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rri\Downloads\"/>
    </mc:Choice>
  </mc:AlternateContent>
  <xr:revisionPtr revIDLastSave="0" documentId="13_ncr:1_{0676E696-AB79-4B02-BB22-FA689286819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BR vs ARR Calculator" sheetId="1" r:id="rId1"/>
    <sheet name="Summary Dashboard" sheetId="2" r:id="rId2"/>
    <sheet name="Assumptions" sheetId="3" r:id="rId3"/>
    <sheet name="Raw Data" sheetId="4" r:id="rId4"/>
  </sheets>
  <definedNames>
    <definedName name="_xlnm._FilterDatabase" localSheetId="0" hidden="1">'OBR vs ARR Calculator'!$A$2:$O$71</definedName>
    <definedName name="_xlnm._FilterDatabase" localSheetId="3" hidden="1">'Raw Data'!$A$1:$J$1</definedName>
    <definedName name="Assumptions_BonusTable">Assumptions!$B$5:$G$9</definedName>
    <definedName name="Assumptions_RatingCat">Assumptions!$E$5:$E$9</definedName>
    <definedName name="Assumptions_ScoreMin">Assumptions!$B$5:$B$9</definedName>
    <definedName name="RawData_Amount">'Raw Data'!$J:$J</definedName>
    <definedName name="RawData_Comment">'Raw Data'!$K:$K</definedName>
    <definedName name="RawData_Division">'Raw Data'!$E:$E</definedName>
    <definedName name="RawData_EmpNo">'Raw Data'!$A:$A</definedName>
    <definedName name="RawData_OBR">'Raw Data'!$H:$H</definedName>
    <definedName name="RawData_OpsYM">'Raw Data'!$B:$B</definedName>
    <definedName name="RawData_QA">'Raw Data'!$G:$G</definedName>
    <definedName name="RawData_SalesInc">'Raw Data'!$I:$I</definedName>
    <definedName name="RawData_Score">'Raw Data'!$F:$F</definedName>
    <definedName name="RawData_Team">'Raw Data'!$D:$D</definedName>
    <definedName name="RawData_UserName">'Raw Data'!$C:$C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2" i="1" l="1"/>
  <c r="P71" i="1"/>
  <c r="M71" i="1"/>
  <c r="L71" i="1"/>
  <c r="I71" i="1"/>
  <c r="J71" i="1" s="1"/>
  <c r="F71" i="1"/>
  <c r="H71" i="1" s="1"/>
  <c r="E71" i="1"/>
  <c r="G71" i="1" s="1"/>
  <c r="D71" i="1"/>
  <c r="B71" i="1"/>
  <c r="P70" i="1"/>
  <c r="M70" i="1"/>
  <c r="L70" i="1"/>
  <c r="I70" i="1"/>
  <c r="J70" i="1" s="1"/>
  <c r="F70" i="1"/>
  <c r="H70" i="1" s="1"/>
  <c r="E70" i="1"/>
  <c r="G70" i="1" s="1"/>
  <c r="D70" i="1"/>
  <c r="B70" i="1"/>
  <c r="P69" i="1"/>
  <c r="M69" i="1"/>
  <c r="L69" i="1"/>
  <c r="I69" i="1"/>
  <c r="J69" i="1" s="1"/>
  <c r="F69" i="1"/>
  <c r="H69" i="1" s="1"/>
  <c r="E69" i="1"/>
  <c r="G69" i="1" s="1"/>
  <c r="D69" i="1"/>
  <c r="B69" i="1"/>
  <c r="P68" i="1"/>
  <c r="M68" i="1"/>
  <c r="L68" i="1"/>
  <c r="I68" i="1"/>
  <c r="J68" i="1" s="1"/>
  <c r="F68" i="1"/>
  <c r="H68" i="1" s="1"/>
  <c r="E68" i="1"/>
  <c r="G68" i="1" s="1"/>
  <c r="D68" i="1"/>
  <c r="B68" i="1"/>
  <c r="P67" i="1"/>
  <c r="M67" i="1"/>
  <c r="L67" i="1"/>
  <c r="I67" i="1"/>
  <c r="J67" i="1" s="1"/>
  <c r="F67" i="1"/>
  <c r="H67" i="1" s="1"/>
  <c r="E67" i="1"/>
  <c r="G67" i="1" s="1"/>
  <c r="D67" i="1"/>
  <c r="B67" i="1"/>
  <c r="P66" i="1"/>
  <c r="M66" i="1"/>
  <c r="L66" i="1"/>
  <c r="I66" i="1"/>
  <c r="J66" i="1" s="1"/>
  <c r="F66" i="1"/>
  <c r="H66" i="1" s="1"/>
  <c r="E66" i="1"/>
  <c r="G66" i="1" s="1"/>
  <c r="D66" i="1"/>
  <c r="B66" i="1"/>
  <c r="P65" i="1"/>
  <c r="M65" i="1"/>
  <c r="L65" i="1"/>
  <c r="I65" i="1"/>
  <c r="J65" i="1" s="1"/>
  <c r="F65" i="1"/>
  <c r="H65" i="1" s="1"/>
  <c r="E65" i="1"/>
  <c r="G65" i="1" s="1"/>
  <c r="D65" i="1"/>
  <c r="B65" i="1"/>
  <c r="P64" i="1"/>
  <c r="M64" i="1"/>
  <c r="L64" i="1"/>
  <c r="I64" i="1"/>
  <c r="J64" i="1" s="1"/>
  <c r="F64" i="1"/>
  <c r="H64" i="1" s="1"/>
  <c r="E64" i="1"/>
  <c r="G64" i="1" s="1"/>
  <c r="D64" i="1"/>
  <c r="B64" i="1"/>
  <c r="P63" i="1"/>
  <c r="M63" i="1"/>
  <c r="L63" i="1"/>
  <c r="I63" i="1"/>
  <c r="J63" i="1" s="1"/>
  <c r="F63" i="1"/>
  <c r="H63" i="1" s="1"/>
  <c r="E63" i="1"/>
  <c r="G63" i="1" s="1"/>
  <c r="D63" i="1"/>
  <c r="B63" i="1"/>
  <c r="P62" i="1"/>
  <c r="M62" i="1"/>
  <c r="L62" i="1"/>
  <c r="I62" i="1"/>
  <c r="J62" i="1" s="1"/>
  <c r="F62" i="1"/>
  <c r="H62" i="1" s="1"/>
  <c r="E62" i="1"/>
  <c r="G62" i="1" s="1"/>
  <c r="D62" i="1"/>
  <c r="B62" i="1"/>
  <c r="P61" i="1"/>
  <c r="M61" i="1"/>
  <c r="L61" i="1"/>
  <c r="I61" i="1"/>
  <c r="J61" i="1" s="1"/>
  <c r="F61" i="1"/>
  <c r="H61" i="1" s="1"/>
  <c r="E61" i="1"/>
  <c r="G61" i="1" s="1"/>
  <c r="D61" i="1"/>
  <c r="B61" i="1"/>
  <c r="P60" i="1"/>
  <c r="M60" i="1"/>
  <c r="L60" i="1"/>
  <c r="I60" i="1"/>
  <c r="J60" i="1" s="1"/>
  <c r="F60" i="1"/>
  <c r="H60" i="1" s="1"/>
  <c r="E60" i="1"/>
  <c r="G60" i="1" s="1"/>
  <c r="D60" i="1"/>
  <c r="B60" i="1"/>
  <c r="P59" i="1"/>
  <c r="M59" i="1"/>
  <c r="L59" i="1"/>
  <c r="I59" i="1"/>
  <c r="J59" i="1" s="1"/>
  <c r="F59" i="1"/>
  <c r="H59" i="1" s="1"/>
  <c r="E59" i="1"/>
  <c r="G59" i="1" s="1"/>
  <c r="D59" i="1"/>
  <c r="B59" i="1"/>
  <c r="P58" i="1"/>
  <c r="M58" i="1"/>
  <c r="L58" i="1"/>
  <c r="I58" i="1"/>
  <c r="J58" i="1" s="1"/>
  <c r="F58" i="1"/>
  <c r="H58" i="1" s="1"/>
  <c r="E58" i="1"/>
  <c r="G58" i="1" s="1"/>
  <c r="D58" i="1"/>
  <c r="B58" i="1"/>
  <c r="P57" i="1"/>
  <c r="M57" i="1"/>
  <c r="L57" i="1"/>
  <c r="I57" i="1"/>
  <c r="J57" i="1" s="1"/>
  <c r="F57" i="1"/>
  <c r="H57" i="1" s="1"/>
  <c r="E57" i="1"/>
  <c r="G57" i="1" s="1"/>
  <c r="D57" i="1"/>
  <c r="B57" i="1"/>
  <c r="P56" i="1"/>
  <c r="M56" i="1"/>
  <c r="L56" i="1"/>
  <c r="I56" i="1"/>
  <c r="J56" i="1" s="1"/>
  <c r="F56" i="1"/>
  <c r="H56" i="1" s="1"/>
  <c r="E56" i="1"/>
  <c r="G56" i="1" s="1"/>
  <c r="D56" i="1"/>
  <c r="B56" i="1"/>
  <c r="P55" i="1"/>
  <c r="M55" i="1"/>
  <c r="L55" i="1"/>
  <c r="I55" i="1"/>
  <c r="J55" i="1" s="1"/>
  <c r="F55" i="1"/>
  <c r="H55" i="1" s="1"/>
  <c r="E55" i="1"/>
  <c r="G55" i="1" s="1"/>
  <c r="D55" i="1"/>
  <c r="B55" i="1"/>
  <c r="P54" i="1"/>
  <c r="M54" i="1"/>
  <c r="L54" i="1"/>
  <c r="I54" i="1"/>
  <c r="J54" i="1" s="1"/>
  <c r="F54" i="1"/>
  <c r="H54" i="1" s="1"/>
  <c r="E54" i="1"/>
  <c r="G54" i="1" s="1"/>
  <c r="D54" i="1"/>
  <c r="B54" i="1"/>
  <c r="P53" i="1"/>
  <c r="M53" i="1"/>
  <c r="L53" i="1"/>
  <c r="I53" i="1"/>
  <c r="J53" i="1" s="1"/>
  <c r="F53" i="1"/>
  <c r="H53" i="1" s="1"/>
  <c r="E53" i="1"/>
  <c r="G53" i="1" s="1"/>
  <c r="D53" i="1"/>
  <c r="B53" i="1"/>
  <c r="P52" i="1"/>
  <c r="M52" i="1"/>
  <c r="L52" i="1"/>
  <c r="I52" i="1"/>
  <c r="J52" i="1" s="1"/>
  <c r="F52" i="1"/>
  <c r="H52" i="1" s="1"/>
  <c r="E52" i="1"/>
  <c r="G52" i="1" s="1"/>
  <c r="D52" i="1"/>
  <c r="P51" i="1"/>
  <c r="M51" i="1"/>
  <c r="L51" i="1"/>
  <c r="I51" i="1"/>
  <c r="J51" i="1" s="1"/>
  <c r="F51" i="1"/>
  <c r="H51" i="1" s="1"/>
  <c r="E51" i="1"/>
  <c r="G51" i="1" s="1"/>
  <c r="D51" i="1"/>
  <c r="B51" i="1"/>
  <c r="P50" i="1"/>
  <c r="M50" i="1"/>
  <c r="L50" i="1"/>
  <c r="I50" i="1"/>
  <c r="J50" i="1" s="1"/>
  <c r="F50" i="1"/>
  <c r="H50" i="1" s="1"/>
  <c r="E50" i="1"/>
  <c r="G50" i="1" s="1"/>
  <c r="D50" i="1"/>
  <c r="B50" i="1"/>
  <c r="P49" i="1"/>
  <c r="M49" i="1"/>
  <c r="L49" i="1"/>
  <c r="I49" i="1"/>
  <c r="J49" i="1" s="1"/>
  <c r="F49" i="1"/>
  <c r="H49" i="1" s="1"/>
  <c r="E49" i="1"/>
  <c r="G49" i="1" s="1"/>
  <c r="D49" i="1"/>
  <c r="B49" i="1"/>
  <c r="P48" i="1"/>
  <c r="M48" i="1"/>
  <c r="L48" i="1"/>
  <c r="I48" i="1"/>
  <c r="J48" i="1" s="1"/>
  <c r="F48" i="1"/>
  <c r="H48" i="1" s="1"/>
  <c r="E48" i="1"/>
  <c r="G48" i="1" s="1"/>
  <c r="D48" i="1"/>
  <c r="B48" i="1"/>
  <c r="P47" i="1"/>
  <c r="M47" i="1"/>
  <c r="L47" i="1"/>
  <c r="I47" i="1"/>
  <c r="J47" i="1" s="1"/>
  <c r="F47" i="1"/>
  <c r="H47" i="1" s="1"/>
  <c r="E47" i="1"/>
  <c r="G47" i="1" s="1"/>
  <c r="D47" i="1"/>
  <c r="B47" i="1"/>
  <c r="P46" i="1"/>
  <c r="M46" i="1"/>
  <c r="L46" i="1"/>
  <c r="I46" i="1"/>
  <c r="J46" i="1" s="1"/>
  <c r="F46" i="1"/>
  <c r="H46" i="1" s="1"/>
  <c r="E46" i="1"/>
  <c r="G46" i="1" s="1"/>
  <c r="D46" i="1"/>
  <c r="B46" i="1"/>
  <c r="P45" i="1"/>
  <c r="M45" i="1"/>
  <c r="L45" i="1"/>
  <c r="I45" i="1"/>
  <c r="J45" i="1" s="1"/>
  <c r="F45" i="1"/>
  <c r="H45" i="1" s="1"/>
  <c r="E45" i="1"/>
  <c r="G45" i="1" s="1"/>
  <c r="D45" i="1"/>
  <c r="B45" i="1"/>
  <c r="P44" i="1"/>
  <c r="M44" i="1"/>
  <c r="L44" i="1"/>
  <c r="I44" i="1"/>
  <c r="J44" i="1" s="1"/>
  <c r="F44" i="1"/>
  <c r="H44" i="1" s="1"/>
  <c r="E44" i="1"/>
  <c r="G44" i="1" s="1"/>
  <c r="D44" i="1"/>
  <c r="B44" i="1"/>
  <c r="P43" i="1"/>
  <c r="M43" i="1"/>
  <c r="L43" i="1"/>
  <c r="I43" i="1"/>
  <c r="J43" i="1" s="1"/>
  <c r="F43" i="1"/>
  <c r="H43" i="1" s="1"/>
  <c r="E43" i="1"/>
  <c r="G43" i="1" s="1"/>
  <c r="D43" i="1"/>
  <c r="B43" i="1"/>
  <c r="P42" i="1"/>
  <c r="M42" i="1"/>
  <c r="L42" i="1"/>
  <c r="I42" i="1"/>
  <c r="J42" i="1" s="1"/>
  <c r="F42" i="1"/>
  <c r="H42" i="1" s="1"/>
  <c r="E42" i="1"/>
  <c r="G42" i="1" s="1"/>
  <c r="D42" i="1"/>
  <c r="B42" i="1"/>
  <c r="P41" i="1"/>
  <c r="M41" i="1"/>
  <c r="L41" i="1"/>
  <c r="I41" i="1"/>
  <c r="J41" i="1" s="1"/>
  <c r="F41" i="1"/>
  <c r="H41" i="1" s="1"/>
  <c r="E41" i="1"/>
  <c r="G41" i="1" s="1"/>
  <c r="D41" i="1"/>
  <c r="B41" i="1"/>
  <c r="P40" i="1"/>
  <c r="M40" i="1"/>
  <c r="L40" i="1"/>
  <c r="I40" i="1"/>
  <c r="J40" i="1" s="1"/>
  <c r="F40" i="1"/>
  <c r="H40" i="1" s="1"/>
  <c r="E40" i="1"/>
  <c r="G40" i="1" s="1"/>
  <c r="D40" i="1"/>
  <c r="B40" i="1"/>
  <c r="P39" i="1"/>
  <c r="M39" i="1"/>
  <c r="L39" i="1"/>
  <c r="I39" i="1"/>
  <c r="J39" i="1" s="1"/>
  <c r="F39" i="1"/>
  <c r="H39" i="1" s="1"/>
  <c r="E39" i="1"/>
  <c r="G39" i="1" s="1"/>
  <c r="D39" i="1"/>
  <c r="B39" i="1"/>
  <c r="P38" i="1"/>
  <c r="M38" i="1"/>
  <c r="L38" i="1"/>
  <c r="I38" i="1"/>
  <c r="J38" i="1" s="1"/>
  <c r="F38" i="1"/>
  <c r="H38" i="1" s="1"/>
  <c r="E38" i="1"/>
  <c r="G38" i="1" s="1"/>
  <c r="D38" i="1"/>
  <c r="B38" i="1"/>
  <c r="P37" i="1"/>
  <c r="M37" i="1"/>
  <c r="L37" i="1"/>
  <c r="I37" i="1"/>
  <c r="J37" i="1" s="1"/>
  <c r="F37" i="1"/>
  <c r="H37" i="1" s="1"/>
  <c r="E37" i="1"/>
  <c r="G37" i="1" s="1"/>
  <c r="D37" i="1"/>
  <c r="B37" i="1"/>
  <c r="P36" i="1"/>
  <c r="M36" i="1"/>
  <c r="L36" i="1"/>
  <c r="I36" i="1"/>
  <c r="J36" i="1" s="1"/>
  <c r="F36" i="1"/>
  <c r="H36" i="1" s="1"/>
  <c r="E36" i="1"/>
  <c r="G36" i="1" s="1"/>
  <c r="D36" i="1"/>
  <c r="B36" i="1"/>
  <c r="P35" i="1"/>
  <c r="M35" i="1"/>
  <c r="L35" i="1"/>
  <c r="I35" i="1"/>
  <c r="J35" i="1" s="1"/>
  <c r="F35" i="1"/>
  <c r="H35" i="1" s="1"/>
  <c r="E35" i="1"/>
  <c r="G35" i="1" s="1"/>
  <c r="D35" i="1"/>
  <c r="B35" i="1"/>
  <c r="P34" i="1"/>
  <c r="M34" i="1"/>
  <c r="L34" i="1"/>
  <c r="I34" i="1"/>
  <c r="J34" i="1" s="1"/>
  <c r="F34" i="1"/>
  <c r="H34" i="1" s="1"/>
  <c r="E34" i="1"/>
  <c r="G34" i="1" s="1"/>
  <c r="D34" i="1"/>
  <c r="B34" i="1"/>
  <c r="P33" i="1"/>
  <c r="M33" i="1"/>
  <c r="L33" i="1"/>
  <c r="I33" i="1"/>
  <c r="J33" i="1" s="1"/>
  <c r="F33" i="1"/>
  <c r="H33" i="1" s="1"/>
  <c r="E33" i="1"/>
  <c r="G33" i="1" s="1"/>
  <c r="D33" i="1"/>
  <c r="B33" i="1"/>
  <c r="P32" i="1"/>
  <c r="M32" i="1"/>
  <c r="L32" i="1"/>
  <c r="I32" i="1"/>
  <c r="J32" i="1" s="1"/>
  <c r="F32" i="1"/>
  <c r="H32" i="1" s="1"/>
  <c r="E32" i="1"/>
  <c r="G32" i="1" s="1"/>
  <c r="D32" i="1"/>
  <c r="B32" i="1"/>
  <c r="P31" i="1"/>
  <c r="M31" i="1"/>
  <c r="L31" i="1"/>
  <c r="I31" i="1"/>
  <c r="J31" i="1" s="1"/>
  <c r="F31" i="1"/>
  <c r="H31" i="1" s="1"/>
  <c r="E31" i="1"/>
  <c r="G31" i="1" s="1"/>
  <c r="D31" i="1"/>
  <c r="B31" i="1"/>
  <c r="P30" i="1"/>
  <c r="M30" i="1"/>
  <c r="L30" i="1"/>
  <c r="I30" i="1"/>
  <c r="J30" i="1" s="1"/>
  <c r="F30" i="1"/>
  <c r="H30" i="1" s="1"/>
  <c r="E30" i="1"/>
  <c r="G30" i="1" s="1"/>
  <c r="D30" i="1"/>
  <c r="B30" i="1"/>
  <c r="P29" i="1"/>
  <c r="M29" i="1"/>
  <c r="L29" i="1"/>
  <c r="I29" i="1"/>
  <c r="J29" i="1" s="1"/>
  <c r="F29" i="1"/>
  <c r="H29" i="1" s="1"/>
  <c r="E29" i="1"/>
  <c r="G29" i="1" s="1"/>
  <c r="D29" i="1"/>
  <c r="B29" i="1"/>
  <c r="P28" i="1"/>
  <c r="M28" i="1"/>
  <c r="L28" i="1"/>
  <c r="I28" i="1"/>
  <c r="J28" i="1" s="1"/>
  <c r="F28" i="1"/>
  <c r="H28" i="1" s="1"/>
  <c r="E28" i="1"/>
  <c r="G28" i="1" s="1"/>
  <c r="D28" i="1"/>
  <c r="B28" i="1"/>
  <c r="P27" i="1"/>
  <c r="L27" i="1"/>
  <c r="M27" i="1" s="1"/>
  <c r="I27" i="1"/>
  <c r="J27" i="1" s="1"/>
  <c r="F27" i="1"/>
  <c r="H27" i="1" s="1"/>
  <c r="E27" i="1"/>
  <c r="G27" i="1" s="1"/>
  <c r="D27" i="1"/>
  <c r="B27" i="1"/>
  <c r="P26" i="1"/>
  <c r="L26" i="1"/>
  <c r="M26" i="1" s="1"/>
  <c r="I26" i="1"/>
  <c r="J26" i="1" s="1"/>
  <c r="F26" i="1"/>
  <c r="H26" i="1" s="1"/>
  <c r="E26" i="1"/>
  <c r="G26" i="1" s="1"/>
  <c r="D26" i="1"/>
  <c r="B26" i="1"/>
  <c r="P25" i="1"/>
  <c r="L25" i="1"/>
  <c r="M25" i="1" s="1"/>
  <c r="I25" i="1"/>
  <c r="J25" i="1" s="1"/>
  <c r="F25" i="1"/>
  <c r="H25" i="1" s="1"/>
  <c r="E25" i="1"/>
  <c r="G25" i="1" s="1"/>
  <c r="D25" i="1"/>
  <c r="B25" i="1"/>
  <c r="P24" i="1"/>
  <c r="L24" i="1"/>
  <c r="M24" i="1" s="1"/>
  <c r="I24" i="1"/>
  <c r="J24" i="1" s="1"/>
  <c r="F24" i="1"/>
  <c r="H24" i="1" s="1"/>
  <c r="E24" i="1"/>
  <c r="G24" i="1" s="1"/>
  <c r="D24" i="1"/>
  <c r="B24" i="1"/>
  <c r="P23" i="1"/>
  <c r="L23" i="1"/>
  <c r="M23" i="1" s="1"/>
  <c r="I23" i="1"/>
  <c r="J23" i="1" s="1"/>
  <c r="F23" i="1"/>
  <c r="H23" i="1" s="1"/>
  <c r="E23" i="1"/>
  <c r="G23" i="1" s="1"/>
  <c r="D23" i="1"/>
  <c r="B23" i="1"/>
  <c r="P22" i="1"/>
  <c r="L22" i="1"/>
  <c r="M22" i="1" s="1"/>
  <c r="I22" i="1"/>
  <c r="J22" i="1" s="1"/>
  <c r="F22" i="1"/>
  <c r="H22" i="1" s="1"/>
  <c r="E22" i="1"/>
  <c r="G22" i="1" s="1"/>
  <c r="D22" i="1"/>
  <c r="B22" i="1"/>
  <c r="P21" i="1"/>
  <c r="L21" i="1"/>
  <c r="M21" i="1" s="1"/>
  <c r="I21" i="1"/>
  <c r="J21" i="1" s="1"/>
  <c r="F21" i="1"/>
  <c r="H21" i="1" s="1"/>
  <c r="E21" i="1"/>
  <c r="G21" i="1" s="1"/>
  <c r="D21" i="1"/>
  <c r="B21" i="1"/>
  <c r="P20" i="1"/>
  <c r="L20" i="1"/>
  <c r="M20" i="1" s="1"/>
  <c r="I20" i="1"/>
  <c r="J20" i="1" s="1"/>
  <c r="F20" i="1"/>
  <c r="H20" i="1" s="1"/>
  <c r="E20" i="1"/>
  <c r="G20" i="1" s="1"/>
  <c r="D20" i="1"/>
  <c r="B20" i="1"/>
  <c r="P19" i="1"/>
  <c r="L19" i="1"/>
  <c r="M19" i="1" s="1"/>
  <c r="I19" i="1"/>
  <c r="J19" i="1" s="1"/>
  <c r="F19" i="1"/>
  <c r="H19" i="1" s="1"/>
  <c r="E19" i="1"/>
  <c r="G19" i="1" s="1"/>
  <c r="D19" i="1"/>
  <c r="B19" i="1"/>
  <c r="P18" i="1"/>
  <c r="L18" i="1"/>
  <c r="M18" i="1" s="1"/>
  <c r="I18" i="1"/>
  <c r="J18" i="1" s="1"/>
  <c r="F18" i="1"/>
  <c r="H18" i="1" s="1"/>
  <c r="E18" i="1"/>
  <c r="G18" i="1" s="1"/>
  <c r="D18" i="1"/>
  <c r="B18" i="1"/>
  <c r="P17" i="1"/>
  <c r="L17" i="1"/>
  <c r="M17" i="1" s="1"/>
  <c r="I17" i="1"/>
  <c r="J17" i="1" s="1"/>
  <c r="F17" i="1"/>
  <c r="H17" i="1" s="1"/>
  <c r="E17" i="1"/>
  <c r="G17" i="1" s="1"/>
  <c r="D17" i="1"/>
  <c r="B17" i="1"/>
  <c r="P16" i="1"/>
  <c r="L16" i="1"/>
  <c r="M16" i="1" s="1"/>
  <c r="I16" i="1"/>
  <c r="J16" i="1" s="1"/>
  <c r="F16" i="1"/>
  <c r="H16" i="1" s="1"/>
  <c r="E16" i="1"/>
  <c r="G16" i="1" s="1"/>
  <c r="D16" i="1"/>
  <c r="B16" i="1"/>
  <c r="P15" i="1"/>
  <c r="L15" i="1"/>
  <c r="M15" i="1" s="1"/>
  <c r="I15" i="1"/>
  <c r="J15" i="1" s="1"/>
  <c r="F15" i="1"/>
  <c r="H15" i="1" s="1"/>
  <c r="E15" i="1"/>
  <c r="G15" i="1" s="1"/>
  <c r="D15" i="1"/>
  <c r="B15" i="1"/>
  <c r="P14" i="1"/>
  <c r="L14" i="1"/>
  <c r="M14" i="1" s="1"/>
  <c r="I14" i="1"/>
  <c r="J14" i="1" s="1"/>
  <c r="F14" i="1"/>
  <c r="H14" i="1" s="1"/>
  <c r="E14" i="1"/>
  <c r="G14" i="1" s="1"/>
  <c r="D14" i="1"/>
  <c r="B14" i="1"/>
  <c r="P13" i="1"/>
  <c r="L13" i="1"/>
  <c r="M13" i="1" s="1"/>
  <c r="I13" i="1"/>
  <c r="J13" i="1" s="1"/>
  <c r="F13" i="1"/>
  <c r="H13" i="1" s="1"/>
  <c r="E13" i="1"/>
  <c r="G13" i="1" s="1"/>
  <c r="D13" i="1"/>
  <c r="B13" i="1"/>
  <c r="P12" i="1"/>
  <c r="L12" i="1"/>
  <c r="M12" i="1" s="1"/>
  <c r="I12" i="1"/>
  <c r="J12" i="1" s="1"/>
  <c r="F12" i="1"/>
  <c r="H12" i="1" s="1"/>
  <c r="E12" i="1"/>
  <c r="G12" i="1" s="1"/>
  <c r="D12" i="1"/>
  <c r="B12" i="1"/>
  <c r="P11" i="1"/>
  <c r="L11" i="1"/>
  <c r="M11" i="1" s="1"/>
  <c r="I11" i="1"/>
  <c r="J11" i="1" s="1"/>
  <c r="F11" i="1"/>
  <c r="H11" i="1" s="1"/>
  <c r="E11" i="1"/>
  <c r="G11" i="1" s="1"/>
  <c r="D11" i="1"/>
  <c r="B11" i="1"/>
  <c r="P10" i="1"/>
  <c r="L10" i="1"/>
  <c r="M10" i="1" s="1"/>
  <c r="I10" i="1"/>
  <c r="J10" i="1" s="1"/>
  <c r="F10" i="1"/>
  <c r="H10" i="1" s="1"/>
  <c r="E10" i="1"/>
  <c r="G10" i="1" s="1"/>
  <c r="D10" i="1"/>
  <c r="B10" i="1"/>
  <c r="P9" i="1"/>
  <c r="L9" i="1"/>
  <c r="M9" i="1" s="1"/>
  <c r="I9" i="1"/>
  <c r="J9" i="1" s="1"/>
  <c r="F9" i="1"/>
  <c r="H9" i="1" s="1"/>
  <c r="E9" i="1"/>
  <c r="G9" i="1" s="1"/>
  <c r="D9" i="1"/>
  <c r="B9" i="1"/>
  <c r="P8" i="1"/>
  <c r="L8" i="1"/>
  <c r="M8" i="1" s="1"/>
  <c r="I8" i="1"/>
  <c r="J8" i="1" s="1"/>
  <c r="F8" i="1"/>
  <c r="H8" i="1" s="1"/>
  <c r="E8" i="1"/>
  <c r="G8" i="1" s="1"/>
  <c r="D8" i="1"/>
  <c r="B8" i="1"/>
  <c r="P7" i="1"/>
  <c r="L7" i="1"/>
  <c r="M7" i="1" s="1"/>
  <c r="I7" i="1"/>
  <c r="J7" i="1" s="1"/>
  <c r="F7" i="1"/>
  <c r="H7" i="1" s="1"/>
  <c r="E7" i="1"/>
  <c r="G7" i="1" s="1"/>
  <c r="D7" i="1"/>
  <c r="B7" i="1"/>
  <c r="P6" i="1"/>
  <c r="L6" i="1"/>
  <c r="M6" i="1" s="1"/>
  <c r="I6" i="1"/>
  <c r="J6" i="1" s="1"/>
  <c r="F6" i="1"/>
  <c r="H6" i="1" s="1"/>
  <c r="E6" i="1"/>
  <c r="G6" i="1" s="1"/>
  <c r="D6" i="1"/>
  <c r="B6" i="1"/>
  <c r="P5" i="1"/>
  <c r="L5" i="1"/>
  <c r="M5" i="1" s="1"/>
  <c r="I5" i="1"/>
  <c r="J5" i="1" s="1"/>
  <c r="F5" i="1"/>
  <c r="H5" i="1" s="1"/>
  <c r="E5" i="1"/>
  <c r="G5" i="1" s="1"/>
  <c r="D5" i="1"/>
  <c r="B5" i="1"/>
  <c r="P4" i="1"/>
  <c r="L4" i="1"/>
  <c r="M4" i="1" s="1"/>
  <c r="I4" i="1"/>
  <c r="J4" i="1" s="1"/>
  <c r="F4" i="1"/>
  <c r="H4" i="1" s="1"/>
  <c r="E4" i="1"/>
  <c r="G4" i="1" s="1"/>
  <c r="D4" i="1"/>
  <c r="B4" i="1"/>
  <c r="P3" i="1"/>
  <c r="L3" i="1"/>
  <c r="I3" i="1"/>
  <c r="J3" i="1" s="1"/>
  <c r="F3" i="1"/>
  <c r="E3" i="1"/>
  <c r="G3" i="1" s="1"/>
  <c r="D3" i="1"/>
  <c r="B3" i="1"/>
  <c r="C12" i="2" l="1"/>
  <c r="M3" i="1"/>
  <c r="O71" i="1"/>
  <c r="N71" i="1"/>
  <c r="N70" i="1"/>
  <c r="O70" i="1"/>
  <c r="O69" i="1"/>
  <c r="N69" i="1"/>
  <c r="N68" i="1"/>
  <c r="O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N60" i="1"/>
  <c r="O60" i="1"/>
  <c r="O59" i="1"/>
  <c r="N59" i="1"/>
  <c r="N58" i="1"/>
  <c r="O58" i="1"/>
  <c r="O57" i="1"/>
  <c r="N57" i="1"/>
  <c r="N56" i="1"/>
  <c r="O56" i="1"/>
  <c r="N55" i="1"/>
  <c r="O55" i="1"/>
  <c r="O54" i="1"/>
  <c r="N54" i="1"/>
  <c r="O53" i="1"/>
  <c r="N53" i="1"/>
  <c r="N52" i="1"/>
  <c r="O52" i="1"/>
  <c r="O51" i="1"/>
  <c r="N51" i="1"/>
  <c r="O50" i="1"/>
  <c r="N50" i="1"/>
  <c r="N49" i="1"/>
  <c r="O49" i="1"/>
  <c r="N48" i="1"/>
  <c r="O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N40" i="1"/>
  <c r="O40" i="1"/>
  <c r="O39" i="1"/>
  <c r="N39" i="1"/>
  <c r="O38" i="1"/>
  <c r="N38" i="1"/>
  <c r="N37" i="1"/>
  <c r="O37" i="1"/>
  <c r="O36" i="1"/>
  <c r="N36" i="1"/>
  <c r="O35" i="1"/>
  <c r="N35" i="1"/>
  <c r="N34" i="1"/>
  <c r="O34" i="1"/>
  <c r="O33" i="1"/>
  <c r="N33" i="1"/>
  <c r="N32" i="1"/>
  <c r="O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N23" i="1"/>
  <c r="O23" i="1"/>
  <c r="O22" i="1"/>
  <c r="N22" i="1"/>
  <c r="O21" i="1"/>
  <c r="N21" i="1"/>
  <c r="N20" i="1"/>
  <c r="O20" i="1"/>
  <c r="N19" i="1"/>
  <c r="O19" i="1"/>
  <c r="N18" i="1"/>
  <c r="O18" i="1"/>
  <c r="N17" i="1"/>
  <c r="O17" i="1"/>
  <c r="N16" i="1"/>
  <c r="O16" i="1"/>
  <c r="O15" i="1"/>
  <c r="N15" i="1"/>
  <c r="O14" i="1"/>
  <c r="N14" i="1"/>
  <c r="O13" i="1"/>
  <c r="N13" i="1"/>
  <c r="N12" i="1"/>
  <c r="O12" i="1"/>
  <c r="O11" i="1"/>
  <c r="N11" i="1"/>
  <c r="O10" i="1"/>
  <c r="N10" i="1"/>
  <c r="N9" i="1"/>
  <c r="O9" i="1"/>
  <c r="N8" i="1"/>
  <c r="O8" i="1"/>
  <c r="N7" i="1"/>
  <c r="O7" i="1"/>
  <c r="N6" i="1"/>
  <c r="O6" i="1"/>
  <c r="N5" i="1"/>
  <c r="O5" i="1"/>
  <c r="O4" i="1"/>
  <c r="N4" i="1"/>
  <c r="B4" i="2"/>
  <c r="D4" i="2"/>
  <c r="C5" i="2"/>
  <c r="B6" i="2"/>
  <c r="D6" i="2"/>
  <c r="C7" i="2"/>
  <c r="B8" i="2"/>
  <c r="D8" i="2"/>
  <c r="C4" i="2"/>
  <c r="B5" i="2"/>
  <c r="D5" i="2"/>
  <c r="C6" i="2"/>
  <c r="B7" i="2"/>
  <c r="D7" i="2"/>
  <c r="C8" i="2"/>
  <c r="C11" i="2"/>
  <c r="H3" i="1"/>
  <c r="C13" i="2" l="1"/>
  <c r="O3" i="1"/>
  <c r="N3" i="1"/>
  <c r="C15" i="2"/>
  <c r="C14" i="2"/>
</calcChain>
</file>

<file path=xl/sharedStrings.xml><?xml version="1.0" encoding="utf-8"?>
<sst xmlns="http://schemas.openxmlformats.org/spreadsheetml/2006/main" count="1709" uniqueCount="141">
  <si>
    <t>OBR vs ARR Comparison Calculator — Servicing Team (Feb 2025 – Feb 2026)</t>
  </si>
  <si>
    <t>#</t>
  </si>
  <si>
    <t>Emp No</t>
  </si>
  <si>
    <t>Employee Name</t>
  </si>
  <si>
    <t>Team</t>
  </si>
  <si>
    <t>Months
in Period</t>
  </si>
  <si>
    <t>Projected
12-Month OBR</t>
  </si>
  <si>
    <t>Avg Monthly OBR</t>
  </si>
  <si>
    <t>Avg Performance
Score</t>
  </si>
  <si>
    <t>Rating Category</t>
  </si>
  <si>
    <t>INPUT: ARR Annual
Salary (R)</t>
  </si>
  <si>
    <t>ARR Bonus
Amount (R)</t>
  </si>
  <si>
    <t>Total ARR
Package (R)</t>
  </si>
  <si>
    <t>OBR Beats
Package?</t>
  </si>
  <si>
    <t>Projected OBR
as % of Salary</t>
  </si>
  <si>
    <t>RenechiaJoseph</t>
  </si>
  <si>
    <t>BrutersMasindi</t>
  </si>
  <si>
    <t>DaphneyMmota</t>
  </si>
  <si>
    <t>TishkaGan</t>
  </si>
  <si>
    <t>SinikiweHlatswayo</t>
  </si>
  <si>
    <t>SiveshManikkam</t>
  </si>
  <si>
    <t>MabelSelesho</t>
  </si>
  <si>
    <t>ChaseMoses</t>
  </si>
  <si>
    <t>NtombiYeni</t>
  </si>
  <si>
    <t>NhanhlaMabunda</t>
  </si>
  <si>
    <t>StaceyThomas</t>
  </si>
  <si>
    <t>MartiniqueLee</t>
  </si>
  <si>
    <t>NobuhleNgubane</t>
  </si>
  <si>
    <t>PhilisiweMkhize</t>
  </si>
  <si>
    <t>BrysonBennette</t>
  </si>
  <si>
    <t>FrengyMathatho</t>
  </si>
  <si>
    <t>MmaditabaMashimane</t>
  </si>
  <si>
    <t>RosheRaas</t>
  </si>
  <si>
    <t>LesegoMotala</t>
  </si>
  <si>
    <t>RamolobeJoel</t>
  </si>
  <si>
    <t>NqobileMagani</t>
  </si>
  <si>
    <t>TarrynFredericks</t>
  </si>
  <si>
    <t>NkosingiphileMabaso</t>
  </si>
  <si>
    <t>NonhlanhlaMasinga</t>
  </si>
  <si>
    <t>ThabisaJali</t>
  </si>
  <si>
    <t>ThenjiweMnikathi</t>
  </si>
  <si>
    <t>JadeVan Schalk Wyk</t>
  </si>
  <si>
    <t>TapaniMalema</t>
  </si>
  <si>
    <t>HendryMndebele</t>
  </si>
  <si>
    <t>Jod-AshNaicker</t>
  </si>
  <si>
    <t>Leilani De Bod</t>
  </si>
  <si>
    <t>Chase Moses</t>
  </si>
  <si>
    <t>SuveshenThaver</t>
  </si>
  <si>
    <t>Ajay Jayalall</t>
  </si>
  <si>
    <t>Tapani Malema</t>
  </si>
  <si>
    <t>Philisiwe Mkhize</t>
  </si>
  <si>
    <t>Stacey Thomas</t>
  </si>
  <si>
    <t>Sinikiwe Hlatshwayo</t>
  </si>
  <si>
    <t>Jade Van Schalkwyk</t>
  </si>
  <si>
    <t>Lesego Motala</t>
  </si>
  <si>
    <t>ChristopherMakhudu</t>
  </si>
  <si>
    <t>Lyzette Angela Ferris</t>
  </si>
  <si>
    <t>Tarryn Fredericks</t>
  </si>
  <si>
    <t>Nqobile Magani</t>
  </si>
  <si>
    <t>Suveshen Thaver</t>
  </si>
  <si>
    <t>Nhanhla Mabunda</t>
  </si>
  <si>
    <t>Thabisa Jali</t>
  </si>
  <si>
    <t>Bryson Bennett</t>
  </si>
  <si>
    <t>Thenjiwe Mnikathi</t>
  </si>
  <si>
    <t>Hendry Mndebele</t>
  </si>
  <si>
    <t>Daphney Mmota</t>
  </si>
  <si>
    <t>Ramolobe Joel</t>
  </si>
  <si>
    <t>Jenise Connies</t>
  </si>
  <si>
    <t>Mmaditaba Mashimane</t>
  </si>
  <si>
    <t>Mabel Selesho</t>
  </si>
  <si>
    <t>Refilwe Mildred Dire</t>
  </si>
  <si>
    <t>Frengy Mathatho</t>
  </si>
  <si>
    <t>Martinique Lee</t>
  </si>
  <si>
    <t>NormaswaziMhlungu</t>
  </si>
  <si>
    <t>Bruters Masindi</t>
  </si>
  <si>
    <t>JabulaniNxumalo</t>
  </si>
  <si>
    <t>Nobuhle Ngubane</t>
  </si>
  <si>
    <t>Ntombi Yeni</t>
  </si>
  <si>
    <t>Roshe Raas</t>
  </si>
  <si>
    <t>AjayJayalall</t>
  </si>
  <si>
    <t>LancastorHendricks</t>
  </si>
  <si>
    <t>CumaLunika</t>
  </si>
  <si>
    <t>Renechia Joseph</t>
  </si>
  <si>
    <t>TeganFrieslaar</t>
  </si>
  <si>
    <t xml:space="preserve">Rating </t>
  </si>
  <si>
    <t>Count</t>
  </si>
  <si>
    <t>Total OBR</t>
  </si>
  <si>
    <t>Avg OBR per Employee</t>
  </si>
  <si>
    <t>Exceptional</t>
  </si>
  <si>
    <t>Exceeds Expectations</t>
  </si>
  <si>
    <t>Meets Expectation</t>
  </si>
  <si>
    <t>Improvement Required</t>
  </si>
  <si>
    <t>Significant Improvement Requirement</t>
  </si>
  <si>
    <t xml:space="preserve">OBR vs ARR Summary </t>
  </si>
  <si>
    <t>Total OBR Paid (all employees)</t>
  </si>
  <si>
    <t>Total ARR Bonus (hypothetical)</t>
  </si>
  <si>
    <t>Net Difference (Total OBR - Total ARR Bonus)</t>
  </si>
  <si>
    <t>Employees where OBR &gt; ARR</t>
  </si>
  <si>
    <t>Employees where ARR &gt; OBR</t>
  </si>
  <si>
    <t xml:space="preserve">ARR Bonus Assumptions </t>
  </si>
  <si>
    <t>Score Thresholds</t>
  </si>
  <si>
    <t>Bonus Scale</t>
  </si>
  <si>
    <t>Min Score (≥)</t>
  </si>
  <si>
    <t>Max Score (&lt;)</t>
  </si>
  <si>
    <t>Fixed Floor (R)</t>
  </si>
  <si>
    <t>% of Salary</t>
  </si>
  <si>
    <t>—</t>
  </si>
  <si>
    <t>EmpNo</t>
  </si>
  <si>
    <t>OpsYM</t>
  </si>
  <si>
    <t>UserName</t>
  </si>
  <si>
    <t>Division</t>
  </si>
  <si>
    <t>Score</t>
  </si>
  <si>
    <t>QA</t>
  </si>
  <si>
    <t>Model(OBR)</t>
  </si>
  <si>
    <t>SalesIncentive</t>
  </si>
  <si>
    <t>Amount</t>
  </si>
  <si>
    <t>Comment</t>
  </si>
  <si>
    <t>LOC 2</t>
  </si>
  <si>
    <t>Servicing</t>
  </si>
  <si>
    <t>No Change</t>
  </si>
  <si>
    <t>LOC 1</t>
  </si>
  <si>
    <t>Comp 2</t>
  </si>
  <si>
    <t>Comp 1</t>
  </si>
  <si>
    <t>Change Made</t>
  </si>
  <si>
    <t>COMP 1</t>
  </si>
  <si>
    <t>left</t>
  </si>
  <si>
    <t>.</t>
  </si>
  <si>
    <t>Agent on Secure Chat</t>
  </si>
  <si>
    <t xml:space="preserve">High sales incentive </t>
  </si>
  <si>
    <t>No change</t>
  </si>
  <si>
    <t>On leave for the last two weeks of the month, so three month score used for those weeks</t>
  </si>
  <si>
    <t>Secure Chat Reliever. Default earn of R3000 and score of 3.62</t>
  </si>
  <si>
    <t>On leave for one week, so three month score used for that week</t>
  </si>
  <si>
    <t xml:space="preserve">3 month average taken </t>
  </si>
  <si>
    <t>3 month average taken ++ Platform Chat Incentive &amp; correction of R742.50 from last month</t>
  </si>
  <si>
    <t xml:space="preserve">Model OBR, adjustment from last month </t>
  </si>
  <si>
    <t>Team Leader</t>
  </si>
  <si>
    <t xml:space="preserve">team leader, first time added </t>
  </si>
  <si>
    <t>Secure Chat Reliever.</t>
  </si>
  <si>
    <t>OBR Shortfall vs ARR</t>
  </si>
  <si>
    <t>Total OBR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</si>
</sst>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R#,##0"/>
    <numFmt numFmtId="165" formatCode="\R#,##0;&quot;(R&quot;#,##0\);\-"/>
    <numFmt numFmtId="166" formatCode="0.0%"/>
    <numFmt numFmtId="167" formatCode="\R#,##0;&quot;(R&quot;#,##0\);\—"/>
    <numFmt numFmtId="168" formatCode="0.0"/>
  </numFmts>
  <fonts count="11" x14ac:knownFonts="1">
    <font>
      <sz val="11"/>
      <color theme="1"/>
      <name val="Calibri"/>
      <family val="2"/>
      <charset val="1"/>
    </font>
    <font>
      <b/>
      <sz val="13"/>
      <name val="Arial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1D4ED8"/>
      <name val="Arial"/>
      <family val="2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1"/>
      <color rgb="FFFFFFFF"/>
      <name val="Arial"/>
      <family val="2"/>
    </font>
    <font>
      <b/>
      <sz val="10"/>
      <color rgb="FF1F2937"/>
      <name val="Arial"/>
      <family val="2"/>
    </font>
    <font>
      <b/>
      <sz val="10"/>
      <color rgb="FFFFFFF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3F4F6"/>
      </patternFill>
    </fill>
    <fill>
      <patternFill patternType="solid">
        <fgColor rgb="FF1F2937"/>
        <bgColor rgb="FF333300"/>
      </patternFill>
    </fill>
    <fill>
      <patternFill patternType="solid">
        <fgColor rgb="FFEFF6FF"/>
        <bgColor rgb="FFF3F4F6"/>
      </patternFill>
    </fill>
    <fill>
      <patternFill patternType="solid">
        <fgColor rgb="FFE5E7EB"/>
        <bgColor rgb="FFF3F4F6"/>
      </patternFill>
    </fill>
    <fill>
      <patternFill patternType="solid">
        <fgColor rgb="FFF3F4F6"/>
        <bgColor rgb="FFEFF6FF"/>
      </patternFill>
    </fill>
    <fill>
      <patternFill patternType="solid">
        <fgColor theme="4"/>
        <bgColor rgb="FF333300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vertical="center"/>
    </xf>
    <xf numFmtId="1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64" fontId="4" fillId="4" borderId="2" xfId="0" applyNumberFormat="1" applyFont="1" applyFill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166" fontId="3" fillId="0" borderId="2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/>
    <xf numFmtId="164" fontId="5" fillId="0" borderId="1" xfId="0" applyNumberFormat="1" applyFont="1" applyBorder="1"/>
    <xf numFmtId="164" fontId="5" fillId="0" borderId="0" xfId="0" applyNumberFormat="1" applyFont="1" applyAlignment="1">
      <alignment horizontal="right"/>
    </xf>
    <xf numFmtId="2" fontId="5" fillId="0" borderId="1" xfId="0" applyNumberFormat="1" applyFont="1" applyBorder="1"/>
    <xf numFmtId="0" fontId="5" fillId="0" borderId="1" xfId="0" applyFont="1" applyBorder="1"/>
    <xf numFmtId="1" fontId="5" fillId="0" borderId="1" xfId="0" applyNumberFormat="1" applyFont="1" applyBorder="1"/>
    <xf numFmtId="0" fontId="2" fillId="3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/>
    <xf numFmtId="164" fontId="7" fillId="0" borderId="1" xfId="0" applyNumberFormat="1" applyFont="1" applyBorder="1"/>
    <xf numFmtId="167" fontId="3" fillId="0" borderId="1" xfId="0" applyNumberFormat="1" applyFont="1" applyBorder="1"/>
    <xf numFmtId="1" fontId="7" fillId="0" borderId="1" xfId="0" applyNumberFormat="1" applyFont="1" applyBorder="1"/>
    <xf numFmtId="1" fontId="3" fillId="0" borderId="1" xfId="0" applyNumberFormat="1" applyFont="1" applyBorder="1"/>
    <xf numFmtId="0" fontId="3" fillId="0" borderId="0" xfId="0" applyFont="1"/>
    <xf numFmtId="0" fontId="9" fillId="5" borderId="0" xfId="0" applyFont="1" applyFill="1"/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8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2" fillId="3" borderId="0" xfId="0" applyFont="1" applyFill="1"/>
    <xf numFmtId="0" fontId="10" fillId="3" borderId="1" xfId="0" applyFont="1" applyFill="1" applyBorder="1" applyAlignment="1">
      <alignment horizontal="center" vertical="center" wrapText="1"/>
    </xf>
    <xf numFmtId="1" fontId="6" fillId="6" borderId="1" xfId="0" applyNumberFormat="1" applyFont="1" applyFill="1" applyBorder="1"/>
    <xf numFmtId="0" fontId="6" fillId="6" borderId="1" xfId="0" applyFont="1" applyFill="1" applyBorder="1"/>
    <xf numFmtId="4" fontId="6" fillId="6" borderId="1" xfId="0" applyNumberFormat="1" applyFont="1" applyFill="1" applyBorder="1"/>
    <xf numFmtId="1" fontId="6" fillId="0" borderId="1" xfId="0" applyNumberFormat="1" applyFont="1" applyBorder="1"/>
    <xf numFmtId="0" fontId="6" fillId="0" borderId="1" xfId="0" applyFont="1" applyBorder="1"/>
    <xf numFmtId="4" fontId="6" fillId="0" borderId="1" xfId="0" applyNumberFormat="1" applyFont="1" applyBorder="1"/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FF6FF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tabSelected="1" zoomScaleNormal="100" workbookViewId="0">
      <pane xSplit="2" ySplit="2" topLeftCell="C34" activePane="bottomRight" state="frozen"/>
      <selection pane="topRight" activeCell="C1" sqref="C1"/>
      <selection pane="bottomLeft" activeCell="A3" sqref="A3"/>
      <selection pane="bottomRight" activeCell="I15" sqref="I15"/>
    </sheetView>
  </sheetViews>
  <sheetFormatPr defaultColWidth="8.6640625" defaultRowHeight="14.4" x14ac:dyDescent="0.3"/>
  <cols>
    <col min="1" max="1" width="5" customWidth="1"/>
    <col min="2" max="2" width="24" customWidth="1"/>
    <col min="3" max="3" width="22" customWidth="1"/>
    <col min="4" max="4" width="9" customWidth="1"/>
    <col min="5" max="5" width="21.109375" customWidth="1"/>
    <col min="6" max="6" width="18" customWidth="1"/>
    <col min="7" max="7" width="12" customWidth="1"/>
    <col min="8" max="8" width="30" customWidth="1"/>
    <col min="9" max="9" width="36.44140625" customWidth="1"/>
    <col min="10" max="10" width="33.88671875" customWidth="1"/>
    <col min="11" max="11" width="22.6640625" customWidth="1"/>
    <col min="12" max="12" width="16" customWidth="1"/>
    <col min="13" max="13" width="19.44140625" customWidth="1"/>
    <col min="14" max="14" width="13" customWidth="1"/>
    <col min="15" max="15" width="16" customWidth="1"/>
    <col min="16" max="16" width="13" customWidth="1"/>
  </cols>
  <sheetData>
    <row r="1" spans="1:16" ht="14.4" customHeight="1" x14ac:dyDescent="0.3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6" ht="36" customHeight="1" x14ac:dyDescent="0.3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140</v>
      </c>
      <c r="G2" s="4" t="s">
        <v>6</v>
      </c>
      <c r="H2" s="3" t="s">
        <v>7</v>
      </c>
      <c r="I2" s="3" t="s">
        <v>8</v>
      </c>
      <c r="J2" s="3" t="s">
        <v>9</v>
      </c>
      <c r="K2" s="59" t="s">
        <v>10</v>
      </c>
      <c r="L2" s="3" t="s">
        <v>11</v>
      </c>
      <c r="M2" s="3" t="s">
        <v>12</v>
      </c>
      <c r="N2" s="3" t="s">
        <v>139</v>
      </c>
      <c r="O2" s="3" t="s">
        <v>13</v>
      </c>
      <c r="P2" s="3" t="s">
        <v>14</v>
      </c>
    </row>
    <row r="3" spans="1:16" ht="14.25" customHeight="1" x14ac:dyDescent="0.3">
      <c r="A3" s="5">
        <v>1</v>
      </c>
      <c r="B3" s="6">
        <f t="shared" ref="B3:B34" si="0">IFERROR(INDEX(RawData_EmpNo,MATCH(C3,RawData_UserName,0)),"")</f>
        <v>1004</v>
      </c>
      <c r="C3" s="7" t="s">
        <v>15</v>
      </c>
      <c r="D3" s="5" t="str">
        <f t="shared" ref="D3:D34" si="1">IFERROR(INDEX(RawData_Team,MATCH(C3,RawData_UserName,0)),"")</f>
        <v>LOC 2</v>
      </c>
      <c r="E3" s="8">
        <f t="shared" ref="E3:E34" si="2">COUNTIF(RawData_UserName,C3)</f>
        <v>12</v>
      </c>
      <c r="F3" s="9">
        <f t="shared" ref="F3:F34" si="3">SUMIF(RawData_UserName,C3,RawData_Amount)</f>
        <v>67600</v>
      </c>
      <c r="G3" s="9">
        <f t="shared" ref="G3:G34" si="4">IF(E3=12,F3,H3*12)</f>
        <v>67600</v>
      </c>
      <c r="H3" s="9">
        <f t="shared" ref="H3:H34" si="5">IFERROR(F3/E3,0)</f>
        <v>5633.333333333333</v>
      </c>
      <c r="I3" s="10">
        <f t="shared" ref="I3:I34" si="6">IFERROR(AVERAGEIF(RawData_UserName,C3,RawData_Score),"")</f>
        <v>2.561666666666667</v>
      </c>
      <c r="J3" s="11" t="str">
        <f>IF(I3="",Assumptions!$E$6,VLOOKUP(I3,Assumptions!$B$5:$E$9,4,TRUE()))</f>
        <v>Improvement Required</v>
      </c>
      <c r="K3" s="58"/>
      <c r="L3" s="9" t="str">
        <f>IF(K3="","",IF(OR(J3=Assumptions!$E$5,J3=Assumptions!$E$6),VLOOKUP(J3,Assumptions!$E$5:$F$9,2,FALSE()),MAX(VLOOKUP(J3,Assumptions!$E$5:$F$9,2,FALSE()),K3*VLOOKUP(J3,Assumptions!$E$5:$G$9,3,FALSE()))))</f>
        <v/>
      </c>
      <c r="M3" s="9" t="str">
        <f t="shared" ref="M3:M34" si="7">IF(K3="","",K3+L3)</f>
        <v/>
      </c>
      <c r="N3" s="13" t="str">
        <f t="shared" ref="N3:N34" si="8">IF(M3="","",G3-M3)</f>
        <v/>
      </c>
      <c r="O3" s="14" t="str">
        <f t="shared" ref="O3:O34" si="9">IF(M3="","",IF(G3&gt;M3,"YES","NO"))</f>
        <v/>
      </c>
      <c r="P3" s="15" t="str">
        <f t="shared" ref="P3:P34" si="10">IF(K3="","",G3/K3)</f>
        <v/>
      </c>
    </row>
    <row r="4" spans="1:16" ht="14.25" customHeight="1" x14ac:dyDescent="0.3">
      <c r="A4" s="5">
        <v>2</v>
      </c>
      <c r="B4" s="6">
        <f t="shared" si="0"/>
        <v>1006</v>
      </c>
      <c r="C4" s="7" t="s">
        <v>16</v>
      </c>
      <c r="D4" s="5" t="str">
        <f t="shared" si="1"/>
        <v>LOC 2</v>
      </c>
      <c r="E4" s="8">
        <f t="shared" si="2"/>
        <v>12</v>
      </c>
      <c r="F4" s="9">
        <f t="shared" si="3"/>
        <v>65845</v>
      </c>
      <c r="G4" s="9">
        <f t="shared" si="4"/>
        <v>65845</v>
      </c>
      <c r="H4" s="9">
        <f t="shared" si="5"/>
        <v>5487.083333333333</v>
      </c>
      <c r="I4" s="10">
        <f t="shared" si="6"/>
        <v>4.0025000000000004</v>
      </c>
      <c r="J4" s="11" t="str">
        <f>IF(I4="",Assumptions!$E$6,VLOOKUP(I4,Assumptions!$B$5:$E$9,4,TRUE()))</f>
        <v>Exceptional</v>
      </c>
      <c r="K4" s="58"/>
      <c r="L4" s="9" t="str">
        <f>IF(K4="","",IF(OR(J4=Assumptions!$E$5,J4=Assumptions!$E$6),VLOOKUP(J4,Assumptions!$E$5:$F$9,2,FALSE()),MAX(VLOOKUP(J4,Assumptions!$E$5:$F$9,2,FALSE()),K4*VLOOKUP(J4,Assumptions!$E$5:$G$9,3,FALSE()))))</f>
        <v/>
      </c>
      <c r="M4" s="9" t="str">
        <f t="shared" si="7"/>
        <v/>
      </c>
      <c r="N4" s="13" t="str">
        <f t="shared" si="8"/>
        <v/>
      </c>
      <c r="O4" s="14" t="str">
        <f t="shared" si="9"/>
        <v/>
      </c>
      <c r="P4" s="15" t="str">
        <f t="shared" si="10"/>
        <v/>
      </c>
    </row>
    <row r="5" spans="1:16" ht="14.25" customHeight="1" x14ac:dyDescent="0.3">
      <c r="A5" s="5">
        <v>3</v>
      </c>
      <c r="B5" s="6">
        <f t="shared" si="0"/>
        <v>1001</v>
      </c>
      <c r="C5" s="7" t="s">
        <v>17</v>
      </c>
      <c r="D5" s="5" t="str">
        <f t="shared" si="1"/>
        <v>LOC 2</v>
      </c>
      <c r="E5" s="8">
        <f t="shared" si="2"/>
        <v>12</v>
      </c>
      <c r="F5" s="9">
        <f t="shared" si="3"/>
        <v>64107.5</v>
      </c>
      <c r="G5" s="9">
        <f t="shared" si="4"/>
        <v>64107.5</v>
      </c>
      <c r="H5" s="9">
        <f t="shared" si="5"/>
        <v>5342.291666666667</v>
      </c>
      <c r="I5" s="10">
        <f t="shared" si="6"/>
        <v>4.0766666666666662</v>
      </c>
      <c r="J5" s="11" t="str">
        <f>IF(I5="",Assumptions!$E$6,VLOOKUP(I5,Assumptions!$B$5:$E$9,4,TRUE()))</f>
        <v>Exceptional</v>
      </c>
      <c r="K5" s="58"/>
      <c r="L5" s="9" t="str">
        <f>IF(K5="","",IF(OR(J5=Assumptions!$E$5,J5=Assumptions!$E$6),VLOOKUP(J5,Assumptions!$E$5:$F$9,2,FALSE()),MAX(VLOOKUP(J5,Assumptions!$E$5:$F$9,2,FALSE()),K5*VLOOKUP(J5,Assumptions!$E$5:$G$9,3,FALSE()))))</f>
        <v/>
      </c>
      <c r="M5" s="9" t="str">
        <f t="shared" si="7"/>
        <v/>
      </c>
      <c r="N5" s="13" t="str">
        <f t="shared" si="8"/>
        <v/>
      </c>
      <c r="O5" s="14" t="str">
        <f t="shared" si="9"/>
        <v/>
      </c>
      <c r="P5" s="15" t="str">
        <f t="shared" si="10"/>
        <v/>
      </c>
    </row>
    <row r="6" spans="1:16" ht="14.25" customHeight="1" x14ac:dyDescent="0.3">
      <c r="A6" s="5">
        <v>4</v>
      </c>
      <c r="B6" s="6">
        <f t="shared" si="0"/>
        <v>1009</v>
      </c>
      <c r="C6" s="7" t="s">
        <v>18</v>
      </c>
      <c r="D6" s="5" t="str">
        <f t="shared" si="1"/>
        <v>LOC 1</v>
      </c>
      <c r="E6" s="8">
        <f t="shared" si="2"/>
        <v>10</v>
      </c>
      <c r="F6" s="9">
        <f t="shared" si="3"/>
        <v>61225</v>
      </c>
      <c r="G6" s="9">
        <f t="shared" si="4"/>
        <v>73470</v>
      </c>
      <c r="H6" s="9">
        <f t="shared" si="5"/>
        <v>6122.5</v>
      </c>
      <c r="I6" s="10">
        <f t="shared" si="6"/>
        <v>2.7329999999999997</v>
      </c>
      <c r="J6" s="11" t="str">
        <f>IF(I6="",Assumptions!$E$6,VLOOKUP(I6,Assumptions!$B$5:$E$9,4,TRUE()))</f>
        <v>Improvement Required</v>
      </c>
      <c r="K6" s="58"/>
      <c r="L6" s="9" t="str">
        <f>IF(K6="","",IF(OR(J6=Assumptions!$E$5,J6=Assumptions!$E$6),VLOOKUP(J6,Assumptions!$E$5:$F$9,2,FALSE()),MAX(VLOOKUP(J6,Assumptions!$E$5:$F$9,2,FALSE()),K6*VLOOKUP(J6,Assumptions!$E$5:$G$9,3,FALSE()))))</f>
        <v/>
      </c>
      <c r="M6" s="9" t="str">
        <f t="shared" si="7"/>
        <v/>
      </c>
      <c r="N6" s="13" t="str">
        <f t="shared" si="8"/>
        <v/>
      </c>
      <c r="O6" s="14" t="str">
        <f t="shared" si="9"/>
        <v/>
      </c>
      <c r="P6" s="15" t="str">
        <f t="shared" si="10"/>
        <v/>
      </c>
    </row>
    <row r="7" spans="1:16" ht="14.25" customHeight="1" x14ac:dyDescent="0.3">
      <c r="A7" s="5">
        <v>5</v>
      </c>
      <c r="B7" s="6">
        <f t="shared" si="0"/>
        <v>1015</v>
      </c>
      <c r="C7" s="7" t="s">
        <v>19</v>
      </c>
      <c r="D7" s="5" t="str">
        <f t="shared" si="1"/>
        <v>LOC 2</v>
      </c>
      <c r="E7" s="8">
        <f t="shared" si="2"/>
        <v>12</v>
      </c>
      <c r="F7" s="9">
        <f t="shared" si="3"/>
        <v>57357.14</v>
      </c>
      <c r="G7" s="9">
        <f t="shared" si="4"/>
        <v>57357.14</v>
      </c>
      <c r="H7" s="9">
        <f t="shared" si="5"/>
        <v>4779.7616666666663</v>
      </c>
      <c r="I7" s="10">
        <f t="shared" si="6"/>
        <v>4.2358333333333329</v>
      </c>
      <c r="J7" s="11" t="str">
        <f>IF(I7="",Assumptions!$E$6,VLOOKUP(I7,Assumptions!$B$5:$E$9,4,TRUE()))</f>
        <v>Exceptional</v>
      </c>
      <c r="K7" s="58"/>
      <c r="L7" s="9" t="str">
        <f>IF(K7="","",IF(OR(J7=Assumptions!$E$5,J7=Assumptions!$E$6),VLOOKUP(J7,Assumptions!$E$5:$F$9,2,FALSE()),MAX(VLOOKUP(J7,Assumptions!$E$5:$F$9,2,FALSE()),K7*VLOOKUP(J7,Assumptions!$E$5:$G$9,3,FALSE()))))</f>
        <v/>
      </c>
      <c r="M7" s="9" t="str">
        <f t="shared" si="7"/>
        <v/>
      </c>
      <c r="N7" s="13" t="str">
        <f t="shared" si="8"/>
        <v/>
      </c>
      <c r="O7" s="14" t="str">
        <f t="shared" si="9"/>
        <v/>
      </c>
      <c r="P7" s="15" t="str">
        <f t="shared" si="10"/>
        <v/>
      </c>
    </row>
    <row r="8" spans="1:16" ht="14.25" customHeight="1" x14ac:dyDescent="0.3">
      <c r="A8" s="5">
        <v>6</v>
      </c>
      <c r="B8" s="6">
        <f t="shared" si="0"/>
        <v>1016</v>
      </c>
      <c r="C8" s="7" t="s">
        <v>20</v>
      </c>
      <c r="D8" s="5" t="str">
        <f t="shared" si="1"/>
        <v>Comp 1</v>
      </c>
      <c r="E8" s="8">
        <f t="shared" si="2"/>
        <v>10</v>
      </c>
      <c r="F8" s="9">
        <f t="shared" si="3"/>
        <v>55000</v>
      </c>
      <c r="G8" s="9">
        <f t="shared" si="4"/>
        <v>66000</v>
      </c>
      <c r="H8" s="9">
        <f t="shared" si="5"/>
        <v>5500</v>
      </c>
      <c r="I8" s="10">
        <f t="shared" si="6"/>
        <v>2.6290000000000004</v>
      </c>
      <c r="J8" s="11" t="str">
        <f>IF(I8="",Assumptions!$E$6,VLOOKUP(I8,Assumptions!$B$5:$E$9,4,TRUE()))</f>
        <v>Improvement Required</v>
      </c>
      <c r="K8" s="58"/>
      <c r="L8" s="9" t="str">
        <f>IF(K8="","",IF(OR(J8=Assumptions!$E$5,J8=Assumptions!$E$6),VLOOKUP(J8,Assumptions!$E$5:$F$9,2,FALSE()),MAX(VLOOKUP(J8,Assumptions!$E$5:$F$9,2,FALSE()),K8*VLOOKUP(J8,Assumptions!$E$5:$G$9,3,FALSE()))))</f>
        <v/>
      </c>
      <c r="M8" s="9" t="str">
        <f t="shared" si="7"/>
        <v/>
      </c>
      <c r="N8" s="13" t="str">
        <f t="shared" si="8"/>
        <v/>
      </c>
      <c r="O8" s="14" t="str">
        <f t="shared" si="9"/>
        <v/>
      </c>
      <c r="P8" s="15" t="str">
        <f t="shared" si="10"/>
        <v/>
      </c>
    </row>
    <row r="9" spans="1:16" ht="14.25" customHeight="1" x14ac:dyDescent="0.3">
      <c r="A9" s="5">
        <v>7</v>
      </c>
      <c r="B9" s="6">
        <f t="shared" si="0"/>
        <v>1029</v>
      </c>
      <c r="C9" s="7" t="s">
        <v>21</v>
      </c>
      <c r="D9" s="5" t="str">
        <f t="shared" si="1"/>
        <v>LOC 2</v>
      </c>
      <c r="E9" s="8">
        <f t="shared" si="2"/>
        <v>12</v>
      </c>
      <c r="F9" s="9">
        <f t="shared" si="3"/>
        <v>54750</v>
      </c>
      <c r="G9" s="9">
        <f t="shared" si="4"/>
        <v>54750</v>
      </c>
      <c r="H9" s="9">
        <f t="shared" si="5"/>
        <v>4562.5</v>
      </c>
      <c r="I9" s="10">
        <f t="shared" si="6"/>
        <v>4.0125000000000002</v>
      </c>
      <c r="J9" s="11" t="str">
        <f>IF(I9="",Assumptions!$E$6,VLOOKUP(I9,Assumptions!$B$5:$E$9,4,TRUE()))</f>
        <v>Exceptional</v>
      </c>
      <c r="K9" s="58"/>
      <c r="L9" s="9" t="str">
        <f>IF(K9="","",IF(OR(J9=Assumptions!$E$5,J9=Assumptions!$E$6),VLOOKUP(J9,Assumptions!$E$5:$F$9,2,FALSE()),MAX(VLOOKUP(J9,Assumptions!$E$5:$F$9,2,FALSE()),K9*VLOOKUP(J9,Assumptions!$E$5:$G$9,3,FALSE()))))</f>
        <v/>
      </c>
      <c r="M9" s="9" t="str">
        <f t="shared" si="7"/>
        <v/>
      </c>
      <c r="N9" s="13" t="str">
        <f t="shared" si="8"/>
        <v/>
      </c>
      <c r="O9" s="14" t="str">
        <f t="shared" si="9"/>
        <v/>
      </c>
      <c r="P9" s="15" t="str">
        <f t="shared" si="10"/>
        <v/>
      </c>
    </row>
    <row r="10" spans="1:16" ht="14.25" customHeight="1" x14ac:dyDescent="0.3">
      <c r="A10" s="5">
        <v>8</v>
      </c>
      <c r="B10" s="6">
        <f t="shared" si="0"/>
        <v>1021</v>
      </c>
      <c r="C10" s="7" t="s">
        <v>22</v>
      </c>
      <c r="D10" s="5" t="str">
        <f t="shared" si="1"/>
        <v>LOC 2</v>
      </c>
      <c r="E10" s="8">
        <f t="shared" si="2"/>
        <v>12</v>
      </c>
      <c r="F10" s="9">
        <f t="shared" si="3"/>
        <v>52991.25</v>
      </c>
      <c r="G10" s="9">
        <f t="shared" si="4"/>
        <v>52991.25</v>
      </c>
      <c r="H10" s="9">
        <f t="shared" si="5"/>
        <v>4415.9375</v>
      </c>
      <c r="I10" s="10">
        <f t="shared" si="6"/>
        <v>3.3650000000000002</v>
      </c>
      <c r="J10" s="11" t="str">
        <f>IF(I10="",Assumptions!$E$6,VLOOKUP(I10,Assumptions!$B$5:$E$9,4,TRUE()))</f>
        <v>Meets Expectation</v>
      </c>
      <c r="K10" s="58"/>
      <c r="L10" s="9" t="str">
        <f>IF(K10="","",IF(OR(J10=Assumptions!$E$5,J10=Assumptions!$E$6),VLOOKUP(J10,Assumptions!$E$5:$F$9,2,FALSE()),MAX(VLOOKUP(J10,Assumptions!$E$5:$F$9,2,FALSE()),K10*VLOOKUP(J10,Assumptions!$E$5:$G$9,3,FALSE()))))</f>
        <v/>
      </c>
      <c r="M10" s="9" t="str">
        <f t="shared" si="7"/>
        <v/>
      </c>
      <c r="N10" s="13" t="str">
        <f t="shared" si="8"/>
        <v/>
      </c>
      <c r="O10" s="14" t="str">
        <f t="shared" si="9"/>
        <v/>
      </c>
      <c r="P10" s="15" t="str">
        <f t="shared" si="10"/>
        <v/>
      </c>
    </row>
    <row r="11" spans="1:16" ht="14.25" customHeight="1" x14ac:dyDescent="0.3">
      <c r="A11" s="5">
        <v>9</v>
      </c>
      <c r="B11" s="6">
        <f t="shared" si="0"/>
        <v>1020</v>
      </c>
      <c r="C11" s="7" t="s">
        <v>23</v>
      </c>
      <c r="D11" s="16" t="str">
        <f t="shared" si="1"/>
        <v>LOC 1</v>
      </c>
      <c r="E11" s="8">
        <f t="shared" si="2"/>
        <v>12</v>
      </c>
      <c r="F11" s="9">
        <f t="shared" si="3"/>
        <v>51811.25</v>
      </c>
      <c r="G11" s="9">
        <f t="shared" si="4"/>
        <v>51811.25</v>
      </c>
      <c r="H11" s="9">
        <f t="shared" si="5"/>
        <v>4317.604166666667</v>
      </c>
      <c r="I11" s="10">
        <f t="shared" si="6"/>
        <v>4.0350000000000001</v>
      </c>
      <c r="J11" s="11" t="str">
        <f>IF(I11="",Assumptions!$E$6,VLOOKUP(I11,Assumptions!$B$5:$E$9,4,TRUE()))</f>
        <v>Exceptional</v>
      </c>
      <c r="K11" s="58"/>
      <c r="L11" s="9" t="str">
        <f>IF(K11="","",IF(OR(J11=Assumptions!$E$5,J11=Assumptions!$E$6),VLOOKUP(J11,Assumptions!$E$5:$F$9,2,FALSE()),MAX(VLOOKUP(J11,Assumptions!$E$5:$F$9,2,FALSE()),K11*VLOOKUP(J11,Assumptions!$E$5:$G$9,3,FALSE()))))</f>
        <v/>
      </c>
      <c r="M11" s="9" t="str">
        <f t="shared" si="7"/>
        <v/>
      </c>
      <c r="N11" s="13" t="str">
        <f t="shared" si="8"/>
        <v/>
      </c>
      <c r="O11" s="14" t="str">
        <f t="shared" si="9"/>
        <v/>
      </c>
      <c r="P11" s="15" t="str">
        <f t="shared" si="10"/>
        <v/>
      </c>
    </row>
    <row r="12" spans="1:16" ht="14.25" customHeight="1" x14ac:dyDescent="0.3">
      <c r="A12" s="5">
        <v>10</v>
      </c>
      <c r="B12" s="6">
        <f t="shared" si="0"/>
        <v>1007</v>
      </c>
      <c r="C12" s="7" t="s">
        <v>24</v>
      </c>
      <c r="D12" s="5" t="str">
        <f t="shared" si="1"/>
        <v>LOC 1</v>
      </c>
      <c r="E12" s="8">
        <f t="shared" si="2"/>
        <v>12</v>
      </c>
      <c r="F12" s="9">
        <f t="shared" si="3"/>
        <v>48078.75</v>
      </c>
      <c r="G12" s="9">
        <f t="shared" si="4"/>
        <v>48078.75</v>
      </c>
      <c r="H12" s="9">
        <f t="shared" si="5"/>
        <v>4006.5625</v>
      </c>
      <c r="I12" s="10">
        <f t="shared" si="6"/>
        <v>3.7950000000000004</v>
      </c>
      <c r="J12" s="11" t="str">
        <f>IF(I12="",Assumptions!$E$6,VLOOKUP(I12,Assumptions!$B$5:$E$9,4,TRUE()))</f>
        <v>Exceeds Expectations</v>
      </c>
      <c r="K12" s="58"/>
      <c r="L12" s="9" t="str">
        <f>IF(K12="","",IF(OR(J12=Assumptions!$E$5,J12=Assumptions!$E$6),VLOOKUP(J12,Assumptions!$E$5:$F$9,2,FALSE()),MAX(VLOOKUP(J12,Assumptions!$E$5:$F$9,2,FALSE()),K12*VLOOKUP(J12,Assumptions!$E$5:$G$9,3,FALSE()))))</f>
        <v/>
      </c>
      <c r="M12" s="9" t="str">
        <f t="shared" si="7"/>
        <v/>
      </c>
      <c r="N12" s="13" t="str">
        <f t="shared" si="8"/>
        <v/>
      </c>
      <c r="O12" s="14" t="str">
        <f t="shared" si="9"/>
        <v/>
      </c>
      <c r="P12" s="15" t="str">
        <f t="shared" si="10"/>
        <v/>
      </c>
    </row>
    <row r="13" spans="1:16" ht="14.25" customHeight="1" x14ac:dyDescent="0.3">
      <c r="A13" s="5">
        <v>11</v>
      </c>
      <c r="B13" s="6">
        <f t="shared" si="0"/>
        <v>1002</v>
      </c>
      <c r="C13" s="7" t="s">
        <v>25</v>
      </c>
      <c r="D13" s="5" t="str">
        <f t="shared" si="1"/>
        <v>LOC 1</v>
      </c>
      <c r="E13" s="8">
        <f t="shared" si="2"/>
        <v>12</v>
      </c>
      <c r="F13" s="9">
        <f t="shared" si="3"/>
        <v>47973.75</v>
      </c>
      <c r="G13" s="9">
        <f t="shared" si="4"/>
        <v>47973.75</v>
      </c>
      <c r="H13" s="9">
        <f t="shared" si="5"/>
        <v>3997.8125</v>
      </c>
      <c r="I13" s="10">
        <f t="shared" si="6"/>
        <v>3.9641666666666668</v>
      </c>
      <c r="J13" s="11" t="str">
        <f>IF(I13="",Assumptions!$E$6,VLOOKUP(I13,Assumptions!$B$5:$E$9,4,TRUE()))</f>
        <v>Exceeds Expectations</v>
      </c>
      <c r="K13" s="58"/>
      <c r="L13" s="9" t="str">
        <f>IF(K13="","",IF(OR(J13=Assumptions!$E$5,J13=Assumptions!$E$6),VLOOKUP(J13,Assumptions!$E$5:$F$9,2,FALSE()),MAX(VLOOKUP(J13,Assumptions!$E$5:$F$9,2,FALSE()),K13*VLOOKUP(J13,Assumptions!$E$5:$G$9,3,FALSE()))))</f>
        <v/>
      </c>
      <c r="M13" s="9" t="str">
        <f t="shared" si="7"/>
        <v/>
      </c>
      <c r="N13" s="13" t="str">
        <f t="shared" si="8"/>
        <v/>
      </c>
      <c r="O13" s="14" t="str">
        <f t="shared" si="9"/>
        <v/>
      </c>
      <c r="P13" s="15" t="str">
        <f t="shared" si="10"/>
        <v/>
      </c>
    </row>
    <row r="14" spans="1:16" ht="14.25" customHeight="1" x14ac:dyDescent="0.3">
      <c r="A14" s="5">
        <v>12</v>
      </c>
      <c r="B14" s="6">
        <f t="shared" si="0"/>
        <v>1003</v>
      </c>
      <c r="C14" s="7" t="s">
        <v>26</v>
      </c>
      <c r="D14" s="5" t="str">
        <f t="shared" si="1"/>
        <v>LOC 1</v>
      </c>
      <c r="E14" s="8">
        <f t="shared" si="2"/>
        <v>12</v>
      </c>
      <c r="F14" s="9">
        <f t="shared" si="3"/>
        <v>46426.25</v>
      </c>
      <c r="G14" s="9">
        <f t="shared" si="4"/>
        <v>46426.25</v>
      </c>
      <c r="H14" s="9">
        <f t="shared" si="5"/>
        <v>3868.8541666666665</v>
      </c>
      <c r="I14" s="10">
        <f t="shared" si="6"/>
        <v>3.9649999999999999</v>
      </c>
      <c r="J14" s="11" t="str">
        <f>IF(I14="",Assumptions!$E$6,VLOOKUP(I14,Assumptions!$B$5:$E$9,4,TRUE()))</f>
        <v>Exceeds Expectations</v>
      </c>
      <c r="K14" s="58"/>
      <c r="L14" s="9" t="str">
        <f>IF(K14="","",IF(OR(J14=Assumptions!$E$5,J14=Assumptions!$E$6),VLOOKUP(J14,Assumptions!$E$5:$F$9,2,FALSE()),MAX(VLOOKUP(J14,Assumptions!$E$5:$F$9,2,FALSE()),K14*VLOOKUP(J14,Assumptions!$E$5:$G$9,3,FALSE()))))</f>
        <v/>
      </c>
      <c r="M14" s="9" t="str">
        <f t="shared" si="7"/>
        <v/>
      </c>
      <c r="N14" s="13" t="str">
        <f t="shared" si="8"/>
        <v/>
      </c>
      <c r="O14" s="14" t="str">
        <f t="shared" si="9"/>
        <v/>
      </c>
      <c r="P14" s="15" t="str">
        <f t="shared" si="10"/>
        <v/>
      </c>
    </row>
    <row r="15" spans="1:16" ht="14.25" customHeight="1" x14ac:dyDescent="0.3">
      <c r="A15" s="5">
        <v>13</v>
      </c>
      <c r="B15" s="6">
        <f t="shared" si="0"/>
        <v>1013</v>
      </c>
      <c r="C15" s="7" t="s">
        <v>27</v>
      </c>
      <c r="D15" s="5" t="str">
        <f t="shared" si="1"/>
        <v>LOC 2</v>
      </c>
      <c r="E15" s="8">
        <f t="shared" si="2"/>
        <v>12</v>
      </c>
      <c r="F15" s="9">
        <f t="shared" si="3"/>
        <v>44212.5</v>
      </c>
      <c r="G15" s="9">
        <f t="shared" si="4"/>
        <v>44212.5</v>
      </c>
      <c r="H15" s="9">
        <f t="shared" si="5"/>
        <v>3684.375</v>
      </c>
      <c r="I15" s="10">
        <f t="shared" si="6"/>
        <v>3.8616666666666668</v>
      </c>
      <c r="J15" s="11" t="str">
        <f>IF(I15="",Assumptions!$E$6,VLOOKUP(I15,Assumptions!$B$5:$E$9,4,TRUE()))</f>
        <v>Exceeds Expectations</v>
      </c>
      <c r="K15" s="58"/>
      <c r="L15" s="9" t="str">
        <f>IF(K15="","",IF(OR(J15=Assumptions!$E$5,J15=Assumptions!$E$6),VLOOKUP(J15,Assumptions!$E$5:$F$9,2,FALSE()),MAX(VLOOKUP(J15,Assumptions!$E$5:$F$9,2,FALSE()),K15*VLOOKUP(J15,Assumptions!$E$5:$G$9,3,FALSE()))))</f>
        <v/>
      </c>
      <c r="M15" s="9" t="str">
        <f t="shared" si="7"/>
        <v/>
      </c>
      <c r="N15" s="13" t="str">
        <f t="shared" si="8"/>
        <v/>
      </c>
      <c r="O15" s="14" t="str">
        <f t="shared" si="9"/>
        <v/>
      </c>
      <c r="P15" s="15" t="str">
        <f t="shared" si="10"/>
        <v/>
      </c>
    </row>
    <row r="16" spans="1:16" ht="14.25" customHeight="1" x14ac:dyDescent="0.3">
      <c r="A16" s="5">
        <v>14</v>
      </c>
      <c r="B16" s="6">
        <f t="shared" si="0"/>
        <v>1018</v>
      </c>
      <c r="C16" s="7" t="s">
        <v>28</v>
      </c>
      <c r="D16" s="5" t="str">
        <f t="shared" si="1"/>
        <v>Comp 1</v>
      </c>
      <c r="E16" s="8">
        <f t="shared" si="2"/>
        <v>12</v>
      </c>
      <c r="F16" s="9">
        <f t="shared" si="3"/>
        <v>35610</v>
      </c>
      <c r="G16" s="9">
        <f t="shared" si="4"/>
        <v>35610</v>
      </c>
      <c r="H16" s="9">
        <f t="shared" si="5"/>
        <v>2967.5</v>
      </c>
      <c r="I16" s="10">
        <f t="shared" si="6"/>
        <v>3.5449999999999999</v>
      </c>
      <c r="J16" s="11" t="str">
        <f>IF(I16="",Assumptions!$E$6,VLOOKUP(I16,Assumptions!$B$5:$E$9,4,TRUE()))</f>
        <v>Exceeds Expectations</v>
      </c>
      <c r="K16" s="58"/>
      <c r="L16" s="9" t="str">
        <f>IF(K16="","",IF(OR(J16=Assumptions!$E$5,J16=Assumptions!$E$6),VLOOKUP(J16,Assumptions!$E$5:$F$9,2,FALSE()),MAX(VLOOKUP(J16,Assumptions!$E$5:$F$9,2,FALSE()),K16*VLOOKUP(J16,Assumptions!$E$5:$G$9,3,FALSE()))))</f>
        <v/>
      </c>
      <c r="M16" s="9" t="str">
        <f t="shared" si="7"/>
        <v/>
      </c>
      <c r="N16" s="13" t="str">
        <f t="shared" si="8"/>
        <v/>
      </c>
      <c r="O16" s="14" t="str">
        <f t="shared" si="9"/>
        <v/>
      </c>
      <c r="P16" s="15" t="str">
        <f t="shared" si="10"/>
        <v/>
      </c>
    </row>
    <row r="17" spans="1:16" ht="14.25" customHeight="1" x14ac:dyDescent="0.3">
      <c r="A17" s="5">
        <v>15</v>
      </c>
      <c r="B17" s="6">
        <f t="shared" si="0"/>
        <v>1030</v>
      </c>
      <c r="C17" s="7" t="s">
        <v>29</v>
      </c>
      <c r="D17" s="5" t="str">
        <f t="shared" si="1"/>
        <v>Comp 2</v>
      </c>
      <c r="E17" s="8">
        <f t="shared" si="2"/>
        <v>12</v>
      </c>
      <c r="F17" s="9">
        <f t="shared" si="3"/>
        <v>35150</v>
      </c>
      <c r="G17" s="9">
        <f t="shared" si="4"/>
        <v>35150</v>
      </c>
      <c r="H17" s="9">
        <f t="shared" si="5"/>
        <v>2929.1666666666665</v>
      </c>
      <c r="I17" s="10">
        <f t="shared" si="6"/>
        <v>3.6766666666666672</v>
      </c>
      <c r="J17" s="11" t="str">
        <f>IF(I17="",Assumptions!$E$6,VLOOKUP(I17,Assumptions!$B$5:$E$9,4,TRUE()))</f>
        <v>Exceeds Expectations</v>
      </c>
      <c r="K17" s="58"/>
      <c r="L17" s="9" t="str">
        <f>IF(K17="","",IF(OR(J17=Assumptions!$E$5,J17=Assumptions!$E$6),VLOOKUP(J17,Assumptions!$E$5:$F$9,2,FALSE()),MAX(VLOOKUP(J17,Assumptions!$E$5:$F$9,2,FALSE()),K17*VLOOKUP(J17,Assumptions!$E$5:$G$9,3,FALSE()))))</f>
        <v/>
      </c>
      <c r="M17" s="9" t="str">
        <f t="shared" si="7"/>
        <v/>
      </c>
      <c r="N17" s="13" t="str">
        <f t="shared" si="8"/>
        <v/>
      </c>
      <c r="O17" s="14" t="str">
        <f t="shared" si="9"/>
        <v/>
      </c>
      <c r="P17" s="15" t="str">
        <f t="shared" si="10"/>
        <v/>
      </c>
    </row>
    <row r="18" spans="1:16" ht="14.25" customHeight="1" x14ac:dyDescent="0.3">
      <c r="A18" s="5">
        <v>16</v>
      </c>
      <c r="B18" s="6">
        <f t="shared" si="0"/>
        <v>1008</v>
      </c>
      <c r="C18" s="7" t="s">
        <v>30</v>
      </c>
      <c r="D18" s="5" t="str">
        <f t="shared" si="1"/>
        <v>LOC 1</v>
      </c>
      <c r="E18" s="8">
        <f t="shared" si="2"/>
        <v>12</v>
      </c>
      <c r="F18" s="9">
        <f t="shared" si="3"/>
        <v>34933.75</v>
      </c>
      <c r="G18" s="9">
        <f t="shared" si="4"/>
        <v>34933.75</v>
      </c>
      <c r="H18" s="9">
        <f t="shared" si="5"/>
        <v>2911.1458333333335</v>
      </c>
      <c r="I18" s="10">
        <f t="shared" si="6"/>
        <v>3.6758333333333333</v>
      </c>
      <c r="J18" s="11" t="str">
        <f>IF(I18="",Assumptions!$E$6,VLOOKUP(I18,Assumptions!$B$5:$E$9,4,TRUE()))</f>
        <v>Exceeds Expectations</v>
      </c>
      <c r="K18" s="58"/>
      <c r="L18" s="9" t="str">
        <f>IF(K18="","",IF(OR(J18=Assumptions!$E$5,J18=Assumptions!$E$6),VLOOKUP(J18,Assumptions!$E$5:$F$9,2,FALSE()),MAX(VLOOKUP(J18,Assumptions!$E$5:$F$9,2,FALSE()),K18*VLOOKUP(J18,Assumptions!$E$5:$G$9,3,FALSE()))))</f>
        <v/>
      </c>
      <c r="M18" s="9" t="str">
        <f t="shared" si="7"/>
        <v/>
      </c>
      <c r="N18" s="13" t="str">
        <f t="shared" si="8"/>
        <v/>
      </c>
      <c r="O18" s="14" t="str">
        <f t="shared" si="9"/>
        <v/>
      </c>
      <c r="P18" s="15" t="str">
        <f t="shared" si="10"/>
        <v/>
      </c>
    </row>
    <row r="19" spans="1:16" ht="14.25" customHeight="1" x14ac:dyDescent="0.3">
      <c r="A19" s="5">
        <v>17</v>
      </c>
      <c r="B19" s="6">
        <f t="shared" si="0"/>
        <v>1028</v>
      </c>
      <c r="C19" s="7" t="s">
        <v>31</v>
      </c>
      <c r="D19" s="5" t="str">
        <f t="shared" si="1"/>
        <v>Comp 2</v>
      </c>
      <c r="E19" s="8">
        <f t="shared" si="2"/>
        <v>12</v>
      </c>
      <c r="F19" s="9">
        <f t="shared" si="3"/>
        <v>34100</v>
      </c>
      <c r="G19" s="9">
        <f t="shared" si="4"/>
        <v>34100</v>
      </c>
      <c r="H19" s="9">
        <f t="shared" si="5"/>
        <v>2841.6666666666665</v>
      </c>
      <c r="I19" s="10">
        <f t="shared" si="6"/>
        <v>3.663333333333334</v>
      </c>
      <c r="J19" s="11" t="str">
        <f>IF(I19="",Assumptions!$E$6,VLOOKUP(I19,Assumptions!$B$5:$E$9,4,TRUE()))</f>
        <v>Exceeds Expectations</v>
      </c>
      <c r="K19" s="58"/>
      <c r="L19" s="9" t="str">
        <f>IF(K19="","",IF(OR(J19=Assumptions!$E$5,J19=Assumptions!$E$6),VLOOKUP(J19,Assumptions!$E$5:$F$9,2,FALSE()),MAX(VLOOKUP(J19,Assumptions!$E$5:$F$9,2,FALSE()),K19*VLOOKUP(J19,Assumptions!$E$5:$G$9,3,FALSE()))))</f>
        <v/>
      </c>
      <c r="M19" s="9" t="str">
        <f t="shared" si="7"/>
        <v/>
      </c>
      <c r="N19" s="13" t="str">
        <f t="shared" si="8"/>
        <v/>
      </c>
      <c r="O19" s="14" t="str">
        <f t="shared" si="9"/>
        <v/>
      </c>
      <c r="P19" s="15" t="str">
        <f t="shared" si="10"/>
        <v/>
      </c>
    </row>
    <row r="20" spans="1:16" ht="14.25" customHeight="1" x14ac:dyDescent="0.3">
      <c r="A20" s="5">
        <v>18</v>
      </c>
      <c r="B20" s="6">
        <f t="shared" si="0"/>
        <v>1031</v>
      </c>
      <c r="C20" s="7" t="s">
        <v>32</v>
      </c>
      <c r="D20" s="5" t="str">
        <f t="shared" si="1"/>
        <v>Comp 1</v>
      </c>
      <c r="E20" s="8">
        <f t="shared" si="2"/>
        <v>12</v>
      </c>
      <c r="F20" s="9">
        <f t="shared" si="3"/>
        <v>32375</v>
      </c>
      <c r="G20" s="9">
        <f t="shared" si="4"/>
        <v>32375</v>
      </c>
      <c r="H20" s="9">
        <f t="shared" si="5"/>
        <v>2697.9166666666665</v>
      </c>
      <c r="I20" s="10">
        <f t="shared" si="6"/>
        <v>3.5633333333333326</v>
      </c>
      <c r="J20" s="11" t="str">
        <f>IF(I20="",Assumptions!$E$6,VLOOKUP(I20,Assumptions!$B$5:$E$9,4,TRUE()))</f>
        <v>Exceeds Expectations</v>
      </c>
      <c r="K20" s="58"/>
      <c r="L20" s="9" t="str">
        <f>IF(K20="","",IF(OR(J20=Assumptions!$E$5,J20=Assumptions!$E$6),VLOOKUP(J20,Assumptions!$E$5:$F$9,2,FALSE()),MAX(VLOOKUP(J20,Assumptions!$E$5:$F$9,2,FALSE()),K20*VLOOKUP(J20,Assumptions!$E$5:$G$9,3,FALSE()))))</f>
        <v/>
      </c>
      <c r="M20" s="9" t="str">
        <f t="shared" si="7"/>
        <v/>
      </c>
      <c r="N20" s="13" t="str">
        <f t="shared" si="8"/>
        <v/>
      </c>
      <c r="O20" s="14" t="str">
        <f t="shared" si="9"/>
        <v/>
      </c>
      <c r="P20" s="15" t="str">
        <f t="shared" si="10"/>
        <v/>
      </c>
    </row>
    <row r="21" spans="1:16" ht="14.25" customHeight="1" x14ac:dyDescent="0.3">
      <c r="A21" s="5">
        <v>19</v>
      </c>
      <c r="B21" s="6">
        <f t="shared" si="0"/>
        <v>1012</v>
      </c>
      <c r="C21" s="7" t="s">
        <v>33</v>
      </c>
      <c r="D21" s="5" t="str">
        <f t="shared" si="1"/>
        <v>Comp 2</v>
      </c>
      <c r="E21" s="8">
        <f t="shared" si="2"/>
        <v>12</v>
      </c>
      <c r="F21" s="9">
        <f t="shared" si="3"/>
        <v>31765</v>
      </c>
      <c r="G21" s="9">
        <f t="shared" si="4"/>
        <v>31765</v>
      </c>
      <c r="H21" s="9">
        <f t="shared" si="5"/>
        <v>2647.0833333333335</v>
      </c>
      <c r="I21" s="10">
        <f t="shared" si="6"/>
        <v>3.0849999999999995</v>
      </c>
      <c r="J21" s="11" t="str">
        <f>IF(I21="",Assumptions!$E$6,VLOOKUP(I21,Assumptions!$B$5:$E$9,4,TRUE()))</f>
        <v>Meets Expectation</v>
      </c>
      <c r="K21" s="58"/>
      <c r="L21" s="9" t="str">
        <f>IF(K21="","",IF(OR(J21=Assumptions!$E$5,J21=Assumptions!$E$6),VLOOKUP(J21,Assumptions!$E$5:$F$9,2,FALSE()),MAX(VLOOKUP(J21,Assumptions!$E$5:$F$9,2,FALSE()),K21*VLOOKUP(J21,Assumptions!$E$5:$G$9,3,FALSE()))))</f>
        <v/>
      </c>
      <c r="M21" s="9" t="str">
        <f t="shared" si="7"/>
        <v/>
      </c>
      <c r="N21" s="13" t="str">
        <f t="shared" si="8"/>
        <v/>
      </c>
      <c r="O21" s="14" t="str">
        <f t="shared" si="9"/>
        <v/>
      </c>
      <c r="P21" s="15" t="str">
        <f t="shared" si="10"/>
        <v/>
      </c>
    </row>
    <row r="22" spans="1:16" ht="14.25" customHeight="1" x14ac:dyDescent="0.3">
      <c r="A22" s="5">
        <v>20</v>
      </c>
      <c r="B22" s="6">
        <f t="shared" si="0"/>
        <v>1032</v>
      </c>
      <c r="C22" s="7" t="s">
        <v>34</v>
      </c>
      <c r="D22" s="5" t="str">
        <f t="shared" si="1"/>
        <v>Comp 2</v>
      </c>
      <c r="E22" s="8">
        <f t="shared" si="2"/>
        <v>12</v>
      </c>
      <c r="F22" s="9">
        <f t="shared" si="3"/>
        <v>28642.5</v>
      </c>
      <c r="G22" s="9">
        <f t="shared" si="4"/>
        <v>28642.5</v>
      </c>
      <c r="H22" s="9">
        <f t="shared" si="5"/>
        <v>2386.875</v>
      </c>
      <c r="I22" s="10">
        <f t="shared" si="6"/>
        <v>3.6016666666666666</v>
      </c>
      <c r="J22" s="11" t="str">
        <f>IF(I22="",Assumptions!$E$6,VLOOKUP(I22,Assumptions!$B$5:$E$9,4,TRUE()))</f>
        <v>Exceeds Expectations</v>
      </c>
      <c r="K22" s="58"/>
      <c r="L22" s="9" t="str">
        <f>IF(K22="","",IF(OR(J22=Assumptions!$E$5,J22=Assumptions!$E$6),VLOOKUP(J22,Assumptions!$E$5:$F$9,2,FALSE()),MAX(VLOOKUP(J22,Assumptions!$E$5:$F$9,2,FALSE()),K22*VLOOKUP(J22,Assumptions!$E$5:$G$9,3,FALSE()))))</f>
        <v/>
      </c>
      <c r="M22" s="9" t="str">
        <f t="shared" si="7"/>
        <v/>
      </c>
      <c r="N22" s="13" t="str">
        <f t="shared" si="8"/>
        <v/>
      </c>
      <c r="O22" s="14" t="str">
        <f t="shared" si="9"/>
        <v/>
      </c>
      <c r="P22" s="15" t="str">
        <f t="shared" si="10"/>
        <v/>
      </c>
    </row>
    <row r="23" spans="1:16" ht="14.25" customHeight="1" x14ac:dyDescent="0.3">
      <c r="A23" s="5">
        <v>21</v>
      </c>
      <c r="B23" s="6">
        <f t="shared" si="0"/>
        <v>1011</v>
      </c>
      <c r="C23" s="7" t="s">
        <v>35</v>
      </c>
      <c r="D23" s="5" t="str">
        <f t="shared" si="1"/>
        <v>Comp 1</v>
      </c>
      <c r="E23" s="8">
        <f t="shared" si="2"/>
        <v>12</v>
      </c>
      <c r="F23" s="9">
        <f t="shared" si="3"/>
        <v>27000</v>
      </c>
      <c r="G23" s="9">
        <f t="shared" si="4"/>
        <v>27000</v>
      </c>
      <c r="H23" s="9">
        <f t="shared" si="5"/>
        <v>2250</v>
      </c>
      <c r="I23" s="10">
        <f t="shared" si="6"/>
        <v>2.8683333333333336</v>
      </c>
      <c r="J23" s="11" t="str">
        <f>IF(I23="",Assumptions!$E$6,VLOOKUP(I23,Assumptions!$B$5:$E$9,4,TRUE()))</f>
        <v>Improvement Required</v>
      </c>
      <c r="K23" s="58"/>
      <c r="L23" s="9" t="str">
        <f>IF(K23="","",IF(OR(J23=Assumptions!$E$5,J23=Assumptions!$E$6),VLOOKUP(J23,Assumptions!$E$5:$F$9,2,FALSE()),MAX(VLOOKUP(J23,Assumptions!$E$5:$F$9,2,FALSE()),K23*VLOOKUP(J23,Assumptions!$E$5:$G$9,3,FALSE()))))</f>
        <v/>
      </c>
      <c r="M23" s="9" t="str">
        <f t="shared" si="7"/>
        <v/>
      </c>
      <c r="N23" s="13" t="str">
        <f t="shared" si="8"/>
        <v/>
      </c>
      <c r="O23" s="14" t="str">
        <f t="shared" si="9"/>
        <v/>
      </c>
      <c r="P23" s="15" t="str">
        <f t="shared" si="10"/>
        <v/>
      </c>
    </row>
    <row r="24" spans="1:16" ht="14.25" customHeight="1" x14ac:dyDescent="0.3">
      <c r="A24" s="5">
        <v>22</v>
      </c>
      <c r="B24" s="6">
        <f t="shared" si="0"/>
        <v>1005</v>
      </c>
      <c r="C24" s="7" t="s">
        <v>36</v>
      </c>
      <c r="D24" s="5" t="str">
        <f t="shared" si="1"/>
        <v>Comp 2</v>
      </c>
      <c r="E24" s="8">
        <f t="shared" si="2"/>
        <v>12</v>
      </c>
      <c r="F24" s="9">
        <f t="shared" si="3"/>
        <v>24125</v>
      </c>
      <c r="G24" s="9">
        <f t="shared" si="4"/>
        <v>24125</v>
      </c>
      <c r="H24" s="9">
        <f t="shared" si="5"/>
        <v>2010.4166666666667</v>
      </c>
      <c r="I24" s="10">
        <f t="shared" si="6"/>
        <v>2.9875000000000003</v>
      </c>
      <c r="J24" s="11" t="str">
        <f>IF(I24="",Assumptions!$E$6,VLOOKUP(I24,Assumptions!$B$5:$E$9,4,TRUE()))</f>
        <v>Improvement Required</v>
      </c>
      <c r="K24" s="58"/>
      <c r="L24" s="9" t="str">
        <f>IF(K24="","",IF(OR(J24=Assumptions!$E$5,J24=Assumptions!$E$6),VLOOKUP(J24,Assumptions!$E$5:$F$9,2,FALSE()),MAX(VLOOKUP(J24,Assumptions!$E$5:$F$9,2,FALSE()),K24*VLOOKUP(J24,Assumptions!$E$5:$G$9,3,FALSE()))))</f>
        <v/>
      </c>
      <c r="M24" s="9" t="str">
        <f t="shared" si="7"/>
        <v/>
      </c>
      <c r="N24" s="13" t="str">
        <f t="shared" si="8"/>
        <v/>
      </c>
      <c r="O24" s="14" t="str">
        <f t="shared" si="9"/>
        <v/>
      </c>
      <c r="P24" s="15" t="str">
        <f t="shared" si="10"/>
        <v/>
      </c>
    </row>
    <row r="25" spans="1:16" ht="14.25" customHeight="1" x14ac:dyDescent="0.3">
      <c r="A25" s="5">
        <v>23</v>
      </c>
      <c r="B25" s="6">
        <f t="shared" si="0"/>
        <v>1033</v>
      </c>
      <c r="C25" s="7" t="s">
        <v>37</v>
      </c>
      <c r="D25" s="5" t="str">
        <f t="shared" si="1"/>
        <v>Comp 1</v>
      </c>
      <c r="E25" s="8">
        <f t="shared" si="2"/>
        <v>9</v>
      </c>
      <c r="F25" s="9">
        <f t="shared" si="3"/>
        <v>23190</v>
      </c>
      <c r="G25" s="9">
        <f t="shared" si="4"/>
        <v>30920</v>
      </c>
      <c r="H25" s="9">
        <f t="shared" si="5"/>
        <v>2576.6666666666665</v>
      </c>
      <c r="I25" s="10">
        <f t="shared" si="6"/>
        <v>3.5255555555555556</v>
      </c>
      <c r="J25" s="11" t="str">
        <f>IF(I25="",Assumptions!$E$6,VLOOKUP(I25,Assumptions!$B$5:$E$9,4,TRUE()))</f>
        <v>Exceeds Expectations</v>
      </c>
      <c r="K25" s="58"/>
      <c r="L25" s="9" t="str">
        <f>IF(K25="","",IF(OR(J25=Assumptions!$E$5,J25=Assumptions!$E$6),VLOOKUP(J25,Assumptions!$E$5:$F$9,2,FALSE()),MAX(VLOOKUP(J25,Assumptions!$E$5:$F$9,2,FALSE()),K25*VLOOKUP(J25,Assumptions!$E$5:$G$9,3,FALSE()))))</f>
        <v/>
      </c>
      <c r="M25" s="9" t="str">
        <f t="shared" si="7"/>
        <v/>
      </c>
      <c r="N25" s="13" t="str">
        <f t="shared" si="8"/>
        <v/>
      </c>
      <c r="O25" s="14" t="str">
        <f t="shared" si="9"/>
        <v/>
      </c>
      <c r="P25" s="15" t="str">
        <f t="shared" si="10"/>
        <v/>
      </c>
    </row>
    <row r="26" spans="1:16" ht="14.25" customHeight="1" x14ac:dyDescent="0.3">
      <c r="A26" s="5">
        <v>24</v>
      </c>
      <c r="B26" s="6">
        <f t="shared" si="0"/>
        <v>1010</v>
      </c>
      <c r="C26" s="7" t="s">
        <v>38</v>
      </c>
      <c r="D26" s="5" t="str">
        <f t="shared" si="1"/>
        <v>LOC 2</v>
      </c>
      <c r="E26" s="8">
        <f t="shared" si="2"/>
        <v>7</v>
      </c>
      <c r="F26" s="9">
        <f t="shared" si="3"/>
        <v>22972.080000000002</v>
      </c>
      <c r="G26" s="9">
        <f t="shared" si="4"/>
        <v>39380.708571428579</v>
      </c>
      <c r="H26" s="9">
        <f t="shared" si="5"/>
        <v>3281.7257142857147</v>
      </c>
      <c r="I26" s="10">
        <f t="shared" si="6"/>
        <v>3.3533333333333335</v>
      </c>
      <c r="J26" s="11" t="str">
        <f>IF(I26="",Assumptions!$E$6,VLOOKUP(I26,Assumptions!$B$5:$E$9,4,TRUE()))</f>
        <v>Meets Expectation</v>
      </c>
      <c r="K26" s="58"/>
      <c r="L26" s="9" t="str">
        <f>IF(K26="","",IF(OR(J26=Assumptions!$E$5,J26=Assumptions!$E$6),VLOOKUP(J26,Assumptions!$E$5:$F$9,2,FALSE()),MAX(VLOOKUP(J26,Assumptions!$E$5:$F$9,2,FALSE()),K26*VLOOKUP(J26,Assumptions!$E$5:$G$9,3,FALSE()))))</f>
        <v/>
      </c>
      <c r="M26" s="9" t="str">
        <f t="shared" si="7"/>
        <v/>
      </c>
      <c r="N26" s="13" t="str">
        <f t="shared" si="8"/>
        <v/>
      </c>
      <c r="O26" s="14" t="str">
        <f t="shared" si="9"/>
        <v/>
      </c>
      <c r="P26" s="15" t="str">
        <f t="shared" si="10"/>
        <v/>
      </c>
    </row>
    <row r="27" spans="1:16" ht="14.25" customHeight="1" x14ac:dyDescent="0.3">
      <c r="A27" s="5">
        <v>25</v>
      </c>
      <c r="B27" s="6">
        <f t="shared" si="0"/>
        <v>1037</v>
      </c>
      <c r="C27" s="7" t="s">
        <v>39</v>
      </c>
      <c r="D27" s="5" t="str">
        <f t="shared" si="1"/>
        <v>Comp 2</v>
      </c>
      <c r="E27" s="8">
        <f t="shared" si="2"/>
        <v>4</v>
      </c>
      <c r="F27" s="9">
        <f t="shared" si="3"/>
        <v>22150</v>
      </c>
      <c r="G27" s="9">
        <f t="shared" si="4"/>
        <v>66450</v>
      </c>
      <c r="H27" s="9">
        <f t="shared" si="5"/>
        <v>5537.5</v>
      </c>
      <c r="I27" s="10">
        <f t="shared" si="6"/>
        <v>4.4424999999999999</v>
      </c>
      <c r="J27" s="11" t="str">
        <f>IF(I27="",Assumptions!$E$6,VLOOKUP(I27,Assumptions!$B$5:$E$9,4,TRUE()))</f>
        <v>Exceptional</v>
      </c>
      <c r="K27" s="58"/>
      <c r="L27" s="9" t="str">
        <f>IF(K27="","",IF(OR(J27=Assumptions!$E$5,J27=Assumptions!$E$6),VLOOKUP(J27,Assumptions!$E$5:$F$9,2,FALSE()),MAX(VLOOKUP(J27,Assumptions!$E$5:$F$9,2,FALSE()),K27*VLOOKUP(J27,Assumptions!$E$5:$G$9,3,FALSE()))))</f>
        <v/>
      </c>
      <c r="M27" s="9" t="str">
        <f t="shared" si="7"/>
        <v/>
      </c>
      <c r="N27" s="13" t="str">
        <f t="shared" si="8"/>
        <v/>
      </c>
      <c r="O27" s="14" t="str">
        <f t="shared" si="9"/>
        <v/>
      </c>
      <c r="P27" s="15" t="str">
        <f t="shared" si="10"/>
        <v/>
      </c>
    </row>
    <row r="28" spans="1:16" ht="14.25" customHeight="1" x14ac:dyDescent="0.3">
      <c r="A28" s="5">
        <v>26</v>
      </c>
      <c r="B28" s="6">
        <f t="shared" si="0"/>
        <v>1027</v>
      </c>
      <c r="C28" s="7" t="s">
        <v>40</v>
      </c>
      <c r="D28" s="5" t="str">
        <f t="shared" si="1"/>
        <v>Comp 2</v>
      </c>
      <c r="E28" s="8">
        <f t="shared" si="2"/>
        <v>12</v>
      </c>
      <c r="F28" s="9">
        <f t="shared" si="3"/>
        <v>21810</v>
      </c>
      <c r="G28" s="9">
        <f t="shared" si="4"/>
        <v>21810</v>
      </c>
      <c r="H28" s="9">
        <f t="shared" si="5"/>
        <v>1817.5</v>
      </c>
      <c r="I28" s="10">
        <f t="shared" si="6"/>
        <v>3.1740000000000004</v>
      </c>
      <c r="J28" s="11" t="str">
        <f>IF(I28="",Assumptions!$E$6,VLOOKUP(I28,Assumptions!$B$5:$E$9,4,TRUE()))</f>
        <v>Meets Expectation</v>
      </c>
      <c r="K28" s="12"/>
      <c r="L28" s="9" t="str">
        <f>IF(K28="","",IF(OR(J28=Assumptions!$E$5,J28=Assumptions!$E$6),VLOOKUP(J28,Assumptions!$E$5:$F$9,2,FALSE()),MAX(VLOOKUP(J28,Assumptions!$E$5:$F$9,2,FALSE()),K28*VLOOKUP(J28,Assumptions!$E$5:$G$9,3,FALSE()))))</f>
        <v/>
      </c>
      <c r="M28" s="9" t="str">
        <f t="shared" si="7"/>
        <v/>
      </c>
      <c r="N28" s="13" t="str">
        <f t="shared" si="8"/>
        <v/>
      </c>
      <c r="O28" s="14" t="str">
        <f t="shared" si="9"/>
        <v/>
      </c>
      <c r="P28" s="15" t="str">
        <f t="shared" si="10"/>
        <v/>
      </c>
    </row>
    <row r="29" spans="1:16" ht="14.25" customHeight="1" x14ac:dyDescent="0.3">
      <c r="A29" s="5">
        <v>27</v>
      </c>
      <c r="B29" s="6">
        <f t="shared" si="0"/>
        <v>1035</v>
      </c>
      <c r="C29" s="7" t="s">
        <v>41</v>
      </c>
      <c r="D29" s="5" t="str">
        <f t="shared" si="1"/>
        <v>Comp 1</v>
      </c>
      <c r="E29" s="8">
        <f t="shared" si="2"/>
        <v>4</v>
      </c>
      <c r="F29" s="9">
        <f t="shared" si="3"/>
        <v>20125</v>
      </c>
      <c r="G29" s="9">
        <f t="shared" si="4"/>
        <v>60375</v>
      </c>
      <c r="H29" s="9">
        <f t="shared" si="5"/>
        <v>5031.25</v>
      </c>
      <c r="I29" s="10">
        <f t="shared" si="6"/>
        <v>4.3899999999999997</v>
      </c>
      <c r="J29" s="11" t="str">
        <f>IF(I29="",Assumptions!$E$6,VLOOKUP(I29,Assumptions!$B$5:$E$9,4,TRUE()))</f>
        <v>Exceptional</v>
      </c>
      <c r="K29" s="12"/>
      <c r="L29" s="9" t="str">
        <f>IF(K29="","",IF(OR(J29=Assumptions!$E$5,J29=Assumptions!$E$6),VLOOKUP(J29,Assumptions!$E$5:$F$9,2,FALSE()),MAX(VLOOKUP(J29,Assumptions!$E$5:$F$9,2,FALSE()),K29*VLOOKUP(J29,Assumptions!$E$5:$G$9,3,FALSE()))))</f>
        <v/>
      </c>
      <c r="M29" s="9" t="str">
        <f t="shared" si="7"/>
        <v/>
      </c>
      <c r="N29" s="13" t="str">
        <f t="shared" si="8"/>
        <v/>
      </c>
      <c r="O29" s="14" t="str">
        <f t="shared" si="9"/>
        <v/>
      </c>
      <c r="P29" s="15" t="str">
        <f t="shared" si="10"/>
        <v/>
      </c>
    </row>
    <row r="30" spans="1:16" ht="14.25" customHeight="1" x14ac:dyDescent="0.3">
      <c r="A30" s="5">
        <v>28</v>
      </c>
      <c r="B30" s="6">
        <f t="shared" si="0"/>
        <v>1036</v>
      </c>
      <c r="C30" s="7" t="s">
        <v>42</v>
      </c>
      <c r="D30" s="5" t="str">
        <f t="shared" si="1"/>
        <v>Comp 1</v>
      </c>
      <c r="E30" s="8">
        <f t="shared" si="2"/>
        <v>4</v>
      </c>
      <c r="F30" s="9">
        <f t="shared" si="3"/>
        <v>19950</v>
      </c>
      <c r="G30" s="9">
        <f t="shared" si="4"/>
        <v>59850</v>
      </c>
      <c r="H30" s="9">
        <f t="shared" si="5"/>
        <v>4987.5</v>
      </c>
      <c r="I30" s="10">
        <f t="shared" si="6"/>
        <v>4.4424999999999999</v>
      </c>
      <c r="J30" s="11" t="str">
        <f>IF(I30="",Assumptions!$E$6,VLOOKUP(I30,Assumptions!$B$5:$E$9,4,TRUE()))</f>
        <v>Exceptional</v>
      </c>
      <c r="K30" s="12"/>
      <c r="L30" s="9" t="str">
        <f>IF(K30="","",IF(OR(J30=Assumptions!$E$5,J30=Assumptions!$E$6),VLOOKUP(J30,Assumptions!$E$5:$F$9,2,FALSE()),MAX(VLOOKUP(J30,Assumptions!$E$5:$F$9,2,FALSE()),K30*VLOOKUP(J30,Assumptions!$E$5:$G$9,3,FALSE()))))</f>
        <v/>
      </c>
      <c r="M30" s="9" t="str">
        <f t="shared" si="7"/>
        <v/>
      </c>
      <c r="N30" s="13" t="str">
        <f t="shared" si="8"/>
        <v/>
      </c>
      <c r="O30" s="14" t="str">
        <f t="shared" si="9"/>
        <v/>
      </c>
      <c r="P30" s="15" t="str">
        <f t="shared" si="10"/>
        <v/>
      </c>
    </row>
    <row r="31" spans="1:16" ht="14.25" customHeight="1" x14ac:dyDescent="0.3">
      <c r="A31" s="5">
        <v>29</v>
      </c>
      <c r="B31" s="6">
        <f t="shared" si="0"/>
        <v>1034</v>
      </c>
      <c r="C31" s="7" t="s">
        <v>43</v>
      </c>
      <c r="D31" s="5" t="str">
        <f t="shared" si="1"/>
        <v>Comp 2</v>
      </c>
      <c r="E31" s="8">
        <f t="shared" si="2"/>
        <v>4</v>
      </c>
      <c r="F31" s="9">
        <f t="shared" si="3"/>
        <v>18070</v>
      </c>
      <c r="G31" s="9">
        <f t="shared" si="4"/>
        <v>54210</v>
      </c>
      <c r="H31" s="9">
        <f t="shared" si="5"/>
        <v>4517.5</v>
      </c>
      <c r="I31" s="10">
        <f t="shared" si="6"/>
        <v>4.4074999999999998</v>
      </c>
      <c r="J31" s="11" t="str">
        <f>IF(I31="",Assumptions!$E$6,VLOOKUP(I31,Assumptions!$B$5:$E$9,4,TRUE()))</f>
        <v>Exceptional</v>
      </c>
      <c r="K31" s="12"/>
      <c r="L31" s="9" t="str">
        <f>IF(K31="","",IF(OR(J31=Assumptions!$E$5,J31=Assumptions!$E$6),VLOOKUP(J31,Assumptions!$E$5:$F$9,2,FALSE()),MAX(VLOOKUP(J31,Assumptions!$E$5:$F$9,2,FALSE()),K31*VLOOKUP(J31,Assumptions!$E$5:$G$9,3,FALSE()))))</f>
        <v/>
      </c>
      <c r="M31" s="9" t="str">
        <f t="shared" si="7"/>
        <v/>
      </c>
      <c r="N31" s="13" t="str">
        <f t="shared" si="8"/>
        <v/>
      </c>
      <c r="O31" s="14" t="str">
        <f t="shared" si="9"/>
        <v/>
      </c>
      <c r="P31" s="15" t="str">
        <f t="shared" si="10"/>
        <v/>
      </c>
    </row>
    <row r="32" spans="1:16" ht="14.25" customHeight="1" x14ac:dyDescent="0.3">
      <c r="A32" s="5">
        <v>30</v>
      </c>
      <c r="B32" s="6">
        <f t="shared" si="0"/>
        <v>1024</v>
      </c>
      <c r="C32" s="7" t="s">
        <v>44</v>
      </c>
      <c r="D32" s="5" t="str">
        <f t="shared" si="1"/>
        <v>Comp 1</v>
      </c>
      <c r="E32" s="8">
        <f t="shared" si="2"/>
        <v>8</v>
      </c>
      <c r="F32" s="9">
        <f t="shared" si="3"/>
        <v>13000</v>
      </c>
      <c r="G32" s="9">
        <f t="shared" si="4"/>
        <v>19500</v>
      </c>
      <c r="H32" s="9">
        <f t="shared" si="5"/>
        <v>1625</v>
      </c>
      <c r="I32" s="10">
        <f t="shared" si="6"/>
        <v>2.9675000000000002</v>
      </c>
      <c r="J32" s="11" t="str">
        <f>IF(I32="",Assumptions!$E$6,VLOOKUP(I32,Assumptions!$B$5:$E$9,4,TRUE()))</f>
        <v>Improvement Required</v>
      </c>
      <c r="K32" s="12"/>
      <c r="L32" s="9" t="str">
        <f>IF(K32="","",IF(OR(J32=Assumptions!$E$5,J32=Assumptions!$E$6),VLOOKUP(J32,Assumptions!$E$5:$F$9,2,FALSE()),MAX(VLOOKUP(J32,Assumptions!$E$5:$F$9,2,FALSE()),K32*VLOOKUP(J32,Assumptions!$E$5:$G$9,3,FALSE()))))</f>
        <v/>
      </c>
      <c r="M32" s="9" t="str">
        <f t="shared" si="7"/>
        <v/>
      </c>
      <c r="N32" s="13" t="str">
        <f t="shared" si="8"/>
        <v/>
      </c>
      <c r="O32" s="14" t="str">
        <f t="shared" si="9"/>
        <v/>
      </c>
      <c r="P32" s="15" t="str">
        <f t="shared" si="10"/>
        <v/>
      </c>
    </row>
    <row r="33" spans="1:16" ht="14.25" customHeight="1" x14ac:dyDescent="0.3">
      <c r="A33" s="5">
        <v>31</v>
      </c>
      <c r="B33" s="6">
        <f t="shared" si="0"/>
        <v>1067</v>
      </c>
      <c r="C33" s="7" t="s">
        <v>45</v>
      </c>
      <c r="D33" s="5" t="str">
        <f t="shared" si="1"/>
        <v>Team Leader</v>
      </c>
      <c r="E33" s="8">
        <f t="shared" si="2"/>
        <v>2</v>
      </c>
      <c r="F33" s="9">
        <f t="shared" si="3"/>
        <v>10000</v>
      </c>
      <c r="G33" s="9">
        <f t="shared" si="4"/>
        <v>60000</v>
      </c>
      <c r="H33" s="9">
        <f t="shared" si="5"/>
        <v>5000</v>
      </c>
      <c r="I33" s="10">
        <f t="shared" si="6"/>
        <v>3.3275000000000001</v>
      </c>
      <c r="J33" s="11" t="str">
        <f>IF(I33="",Assumptions!$E$6,VLOOKUP(I33,Assumptions!$B$5:$E$9,4,TRUE()))</f>
        <v>Meets Expectation</v>
      </c>
      <c r="K33" s="12"/>
      <c r="L33" s="9" t="str">
        <f>IF(K33="","",IF(OR(J33=Assumptions!$E$5,J33=Assumptions!$E$6),VLOOKUP(J33,Assumptions!$E$5:$F$9,2,FALSE()),MAX(VLOOKUP(J33,Assumptions!$E$5:$F$9,2,FALSE()),K33*VLOOKUP(J33,Assumptions!$E$5:$G$9,3,FALSE()))))</f>
        <v/>
      </c>
      <c r="M33" s="9" t="str">
        <f t="shared" si="7"/>
        <v/>
      </c>
      <c r="N33" s="13" t="str">
        <f t="shared" si="8"/>
        <v/>
      </c>
      <c r="O33" s="14" t="str">
        <f t="shared" si="9"/>
        <v/>
      </c>
      <c r="P33" s="15" t="str">
        <f t="shared" si="10"/>
        <v/>
      </c>
    </row>
    <row r="34" spans="1:16" ht="14.25" customHeight="1" x14ac:dyDescent="0.3">
      <c r="A34" s="5">
        <v>32</v>
      </c>
      <c r="B34" s="6">
        <f t="shared" si="0"/>
        <v>1055</v>
      </c>
      <c r="C34" s="7" t="s">
        <v>46</v>
      </c>
      <c r="D34" s="5" t="str">
        <f t="shared" si="1"/>
        <v>LOC 2</v>
      </c>
      <c r="E34" s="8">
        <f t="shared" si="2"/>
        <v>2</v>
      </c>
      <c r="F34" s="9">
        <f t="shared" si="3"/>
        <v>9400</v>
      </c>
      <c r="G34" s="9">
        <f t="shared" si="4"/>
        <v>56400</v>
      </c>
      <c r="H34" s="9">
        <f t="shared" si="5"/>
        <v>4700</v>
      </c>
      <c r="I34" s="10">
        <f t="shared" si="6"/>
        <v>2.3150000000000004</v>
      </c>
      <c r="J34" s="11" t="str">
        <f>IF(I34="",Assumptions!$E$6,VLOOKUP(I34,Assumptions!$B$5:$E$9,4,TRUE()))</f>
        <v>Significant Improvement Requirement</v>
      </c>
      <c r="K34" s="12"/>
      <c r="L34" s="9" t="str">
        <f>IF(K34="","",IF(OR(J34=Assumptions!$E$5,J34=Assumptions!$E$6),VLOOKUP(J34,Assumptions!$E$5:$F$9,2,FALSE()),MAX(VLOOKUP(J34,Assumptions!$E$5:$F$9,2,FALSE()),K34*VLOOKUP(J34,Assumptions!$E$5:$G$9,3,FALSE()))))</f>
        <v/>
      </c>
      <c r="M34" s="9" t="str">
        <f t="shared" si="7"/>
        <v/>
      </c>
      <c r="N34" s="13" t="str">
        <f t="shared" si="8"/>
        <v/>
      </c>
      <c r="O34" s="14" t="str">
        <f t="shared" si="9"/>
        <v/>
      </c>
      <c r="P34" s="15" t="str">
        <f t="shared" si="10"/>
        <v/>
      </c>
    </row>
    <row r="35" spans="1:16" ht="14.25" customHeight="1" x14ac:dyDescent="0.3">
      <c r="A35" s="5">
        <v>33</v>
      </c>
      <c r="B35" s="6">
        <f t="shared" ref="B35:B66" si="11">IFERROR(INDEX(RawData_EmpNo,MATCH(C35,RawData_UserName,0)),"")</f>
        <v>1038</v>
      </c>
      <c r="C35" s="7" t="s">
        <v>47</v>
      </c>
      <c r="D35" s="5" t="str">
        <f t="shared" ref="D35:D66" si="12">IFERROR(INDEX(RawData_Team,MATCH(C35,RawData_UserName,0)),"")</f>
        <v>Comp 2</v>
      </c>
      <c r="E35" s="8">
        <f t="shared" ref="E35:E71" si="13">COUNTIF(RawData_UserName,C35)</f>
        <v>3</v>
      </c>
      <c r="F35" s="9">
        <f t="shared" ref="F35:F71" si="14">SUMIF(RawData_UserName,C35,RawData_Amount)</f>
        <v>9000</v>
      </c>
      <c r="G35" s="9">
        <f t="shared" ref="G35:G66" si="15">IF(E35=12,F35,H35*12)</f>
        <v>36000</v>
      </c>
      <c r="H35" s="9">
        <f t="shared" ref="H35:H71" si="16">IFERROR(F35/E35,0)</f>
        <v>3000</v>
      </c>
      <c r="I35" s="10">
        <f t="shared" ref="I35:I71" si="17">IFERROR(AVERAGEIF(RawData_UserName,C35,RawData_Score),"")</f>
        <v>1.8099999999999998</v>
      </c>
      <c r="J35" s="11" t="str">
        <f>IF(I35="",Assumptions!$E$6,VLOOKUP(I35,Assumptions!$B$5:$E$9,4,TRUE()))</f>
        <v>Significant Improvement Requirement</v>
      </c>
      <c r="K35" s="12"/>
      <c r="L35" s="9" t="str">
        <f>IF(K35="","",IF(OR(J35=Assumptions!$E$5,J35=Assumptions!$E$6),VLOOKUP(J35,Assumptions!$E$5:$F$9,2,FALSE()),MAX(VLOOKUP(J35,Assumptions!$E$5:$F$9,2,FALSE()),K35*VLOOKUP(J35,Assumptions!$E$5:$G$9,3,FALSE()))))</f>
        <v/>
      </c>
      <c r="M35" s="9" t="str">
        <f t="shared" ref="M35:M66" si="18">IF(K35="","",K35+L35)</f>
        <v/>
      </c>
      <c r="N35" s="13" t="str">
        <f t="shared" ref="N35:N66" si="19">IF(M35="","",G35-M35)</f>
        <v/>
      </c>
      <c r="O35" s="14" t="str">
        <f t="shared" ref="O35:O71" si="20">IF(M35="","",IF(G35&gt;M35,"YES","NO"))</f>
        <v/>
      </c>
      <c r="P35" s="15" t="str">
        <f t="shared" ref="P35:P71" si="21">IF(K35="","",G35/K35)</f>
        <v/>
      </c>
    </row>
    <row r="36" spans="1:16" ht="14.25" customHeight="1" x14ac:dyDescent="0.3">
      <c r="A36" s="5">
        <v>34</v>
      </c>
      <c r="B36" s="6">
        <f t="shared" si="11"/>
        <v>1065</v>
      </c>
      <c r="C36" s="7" t="s">
        <v>48</v>
      </c>
      <c r="D36" s="5" t="str">
        <f t="shared" si="12"/>
        <v>Team Leader</v>
      </c>
      <c r="E36" s="8">
        <f t="shared" si="13"/>
        <v>2</v>
      </c>
      <c r="F36" s="9">
        <f t="shared" si="14"/>
        <v>7000</v>
      </c>
      <c r="G36" s="9">
        <f t="shared" si="15"/>
        <v>42000</v>
      </c>
      <c r="H36" s="9">
        <f t="shared" si="16"/>
        <v>3500</v>
      </c>
      <c r="I36" s="10">
        <f t="shared" si="17"/>
        <v>4.1399999999999997</v>
      </c>
      <c r="J36" s="11" t="str">
        <f>IF(I36="",Assumptions!$E$6,VLOOKUP(I36,Assumptions!$B$5:$E$9,4,TRUE()))</f>
        <v>Exceptional</v>
      </c>
      <c r="K36" s="12"/>
      <c r="L36" s="9" t="str">
        <f>IF(K36="","",IF(OR(J36=Assumptions!$E$5,J36=Assumptions!$E$6),VLOOKUP(J36,Assumptions!$E$5:$F$9,2,FALSE()),MAX(VLOOKUP(J36,Assumptions!$E$5:$F$9,2,FALSE()),K36*VLOOKUP(J36,Assumptions!$E$5:$G$9,3,FALSE()))))</f>
        <v/>
      </c>
      <c r="M36" s="9" t="str">
        <f t="shared" si="18"/>
        <v/>
      </c>
      <c r="N36" s="13" t="str">
        <f t="shared" si="19"/>
        <v/>
      </c>
      <c r="O36" s="14" t="str">
        <f t="shared" si="20"/>
        <v/>
      </c>
      <c r="P36" s="15" t="str">
        <f t="shared" si="21"/>
        <v/>
      </c>
    </row>
    <row r="37" spans="1:16" ht="14.25" customHeight="1" x14ac:dyDescent="0.3">
      <c r="A37" s="5">
        <v>35</v>
      </c>
      <c r="B37" s="6">
        <f t="shared" si="11"/>
        <v>1050</v>
      </c>
      <c r="C37" s="7" t="s">
        <v>49</v>
      </c>
      <c r="D37" s="5" t="str">
        <f t="shared" si="12"/>
        <v>Comp 1</v>
      </c>
      <c r="E37" s="8">
        <f t="shared" si="13"/>
        <v>2</v>
      </c>
      <c r="F37" s="9">
        <f t="shared" si="14"/>
        <v>6865</v>
      </c>
      <c r="G37" s="9">
        <f t="shared" si="15"/>
        <v>41190</v>
      </c>
      <c r="H37" s="9">
        <f t="shared" si="16"/>
        <v>3432.5</v>
      </c>
      <c r="I37" s="10">
        <f t="shared" si="17"/>
        <v>4.375</v>
      </c>
      <c r="J37" s="11" t="str">
        <f>IF(I37="",Assumptions!$E$6,VLOOKUP(I37,Assumptions!$B$5:$E$9,4,TRUE()))</f>
        <v>Exceptional</v>
      </c>
      <c r="K37" s="12"/>
      <c r="L37" s="9" t="str">
        <f>IF(K37="","",IF(OR(J37=Assumptions!$E$5,J37=Assumptions!$E$6),VLOOKUP(J37,Assumptions!$E$5:$F$9,2,FALSE()),MAX(VLOOKUP(J37,Assumptions!$E$5:$F$9,2,FALSE()),K37*VLOOKUP(J37,Assumptions!$E$5:$G$9,3,FALSE()))))</f>
        <v/>
      </c>
      <c r="M37" s="9" t="str">
        <f t="shared" si="18"/>
        <v/>
      </c>
      <c r="N37" s="13" t="str">
        <f t="shared" si="19"/>
        <v/>
      </c>
      <c r="O37" s="14" t="str">
        <f t="shared" si="20"/>
        <v/>
      </c>
      <c r="P37" s="15" t="str">
        <f t="shared" si="21"/>
        <v/>
      </c>
    </row>
    <row r="38" spans="1:16" ht="14.25" customHeight="1" x14ac:dyDescent="0.3">
      <c r="A38" s="5">
        <v>36</v>
      </c>
      <c r="B38" s="6">
        <f t="shared" si="11"/>
        <v>1045</v>
      </c>
      <c r="C38" s="7" t="s">
        <v>50</v>
      </c>
      <c r="D38" s="5" t="str">
        <f t="shared" si="12"/>
        <v>Comp 1</v>
      </c>
      <c r="E38" s="8">
        <f t="shared" si="13"/>
        <v>2</v>
      </c>
      <c r="F38" s="9">
        <f t="shared" si="14"/>
        <v>6625</v>
      </c>
      <c r="G38" s="9">
        <f t="shared" si="15"/>
        <v>39750</v>
      </c>
      <c r="H38" s="9">
        <f t="shared" si="16"/>
        <v>3312.5</v>
      </c>
      <c r="I38" s="10">
        <f t="shared" si="17"/>
        <v>4.3849999999999998</v>
      </c>
      <c r="J38" s="11" t="str">
        <f>IF(I38="",Assumptions!$E$6,VLOOKUP(I38,Assumptions!$B$5:$E$9,4,TRUE()))</f>
        <v>Exceptional</v>
      </c>
      <c r="K38" s="12"/>
      <c r="L38" s="9" t="str">
        <f>IF(K38="","",IF(OR(J38=Assumptions!$E$5,J38=Assumptions!$E$6),VLOOKUP(J38,Assumptions!$E$5:$F$9,2,FALSE()),MAX(VLOOKUP(J38,Assumptions!$E$5:$F$9,2,FALSE()),K38*VLOOKUP(J38,Assumptions!$E$5:$G$9,3,FALSE()))))</f>
        <v/>
      </c>
      <c r="M38" s="9" t="str">
        <f t="shared" si="18"/>
        <v/>
      </c>
      <c r="N38" s="13" t="str">
        <f t="shared" si="19"/>
        <v/>
      </c>
      <c r="O38" s="14" t="str">
        <f t="shared" si="20"/>
        <v/>
      </c>
      <c r="P38" s="15" t="str">
        <f t="shared" si="21"/>
        <v/>
      </c>
    </row>
    <row r="39" spans="1:16" ht="14.25" customHeight="1" x14ac:dyDescent="0.3">
      <c r="A39" s="5">
        <v>37</v>
      </c>
      <c r="B39" s="6">
        <f t="shared" si="11"/>
        <v>1064</v>
      </c>
      <c r="C39" s="7" t="s">
        <v>51</v>
      </c>
      <c r="D39" s="5" t="str">
        <f t="shared" si="12"/>
        <v>LOC 1</v>
      </c>
      <c r="E39" s="8">
        <f t="shared" si="13"/>
        <v>2</v>
      </c>
      <c r="F39" s="9">
        <f t="shared" si="14"/>
        <v>6557.5</v>
      </c>
      <c r="G39" s="9">
        <f t="shared" si="15"/>
        <v>39345</v>
      </c>
      <c r="H39" s="9">
        <f t="shared" si="16"/>
        <v>3278.75</v>
      </c>
      <c r="I39" s="10">
        <f t="shared" si="17"/>
        <v>2.5750000000000002</v>
      </c>
      <c r="J39" s="11" t="str">
        <f>IF(I39="",Assumptions!$E$6,VLOOKUP(I39,Assumptions!$B$5:$E$9,4,TRUE()))</f>
        <v>Improvement Required</v>
      </c>
      <c r="K39" s="12"/>
      <c r="L39" s="9" t="str">
        <f>IF(K39="","",IF(OR(J39=Assumptions!$E$5,J39=Assumptions!$E$6),VLOOKUP(J39,Assumptions!$E$5:$F$9,2,FALSE()),MAX(VLOOKUP(J39,Assumptions!$E$5:$F$9,2,FALSE()),K39*VLOOKUP(J39,Assumptions!$E$5:$G$9,3,FALSE()))))</f>
        <v/>
      </c>
      <c r="M39" s="9" t="str">
        <f t="shared" si="18"/>
        <v/>
      </c>
      <c r="N39" s="13" t="str">
        <f t="shared" si="19"/>
        <v/>
      </c>
      <c r="O39" s="14" t="str">
        <f t="shared" si="20"/>
        <v/>
      </c>
      <c r="P39" s="15" t="str">
        <f t="shared" si="21"/>
        <v/>
      </c>
    </row>
    <row r="40" spans="1:16" ht="14.25" customHeight="1" x14ac:dyDescent="0.3">
      <c r="A40" s="5">
        <v>38</v>
      </c>
      <c r="B40" s="6">
        <f t="shared" si="11"/>
        <v>1048</v>
      </c>
      <c r="C40" s="7" t="s">
        <v>52</v>
      </c>
      <c r="D40" s="5" t="str">
        <f t="shared" si="12"/>
        <v>Comp 1</v>
      </c>
      <c r="E40" s="8">
        <f t="shared" si="13"/>
        <v>2</v>
      </c>
      <c r="F40" s="9">
        <f t="shared" si="14"/>
        <v>6520</v>
      </c>
      <c r="G40" s="9">
        <f t="shared" si="15"/>
        <v>39120</v>
      </c>
      <c r="H40" s="9">
        <f t="shared" si="16"/>
        <v>3260</v>
      </c>
      <c r="I40" s="10">
        <f t="shared" si="17"/>
        <v>4.375</v>
      </c>
      <c r="J40" s="11" t="str">
        <f>IF(I40="",Assumptions!$E$6,VLOOKUP(I40,Assumptions!$B$5:$E$9,4,TRUE()))</f>
        <v>Exceptional</v>
      </c>
      <c r="K40" s="12"/>
      <c r="L40" s="9" t="str">
        <f>IF(K40="","",IF(OR(J40=Assumptions!$E$5,J40=Assumptions!$E$6),VLOOKUP(J40,Assumptions!$E$5:$F$9,2,FALSE()),MAX(VLOOKUP(J40,Assumptions!$E$5:$F$9,2,FALSE()),K40*VLOOKUP(J40,Assumptions!$E$5:$G$9,3,FALSE()))))</f>
        <v/>
      </c>
      <c r="M40" s="9" t="str">
        <f t="shared" si="18"/>
        <v/>
      </c>
      <c r="N40" s="13" t="str">
        <f t="shared" si="19"/>
        <v/>
      </c>
      <c r="O40" s="14" t="str">
        <f t="shared" si="20"/>
        <v/>
      </c>
      <c r="P40" s="15" t="str">
        <f t="shared" si="21"/>
        <v/>
      </c>
    </row>
    <row r="41" spans="1:16" ht="14.25" customHeight="1" x14ac:dyDescent="0.3">
      <c r="A41" s="5">
        <v>39</v>
      </c>
      <c r="B41" s="6">
        <f t="shared" si="11"/>
        <v>1041</v>
      </c>
      <c r="C41" s="7" t="s">
        <v>53</v>
      </c>
      <c r="D41" s="5" t="str">
        <f t="shared" si="12"/>
        <v>Comp 1</v>
      </c>
      <c r="E41" s="8">
        <f t="shared" si="13"/>
        <v>2</v>
      </c>
      <c r="F41" s="9">
        <f t="shared" si="14"/>
        <v>6450</v>
      </c>
      <c r="G41" s="9">
        <f t="shared" si="15"/>
        <v>38700</v>
      </c>
      <c r="H41" s="9">
        <f t="shared" si="16"/>
        <v>3225</v>
      </c>
      <c r="I41" s="10">
        <f t="shared" si="17"/>
        <v>4.37</v>
      </c>
      <c r="J41" s="11" t="str">
        <f>IF(I41="",Assumptions!$E$6,VLOOKUP(I41,Assumptions!$B$5:$E$9,4,TRUE()))</f>
        <v>Exceptional</v>
      </c>
      <c r="K41" s="12"/>
      <c r="L41" s="9" t="str">
        <f>IF(K41="","",IF(OR(J41=Assumptions!$E$5,J41=Assumptions!$E$6),VLOOKUP(J41,Assumptions!$E$5:$F$9,2,FALSE()),MAX(VLOOKUP(J41,Assumptions!$E$5:$F$9,2,FALSE()),K41*VLOOKUP(J41,Assumptions!$E$5:$G$9,3,FALSE()))))</f>
        <v/>
      </c>
      <c r="M41" s="9" t="str">
        <f t="shared" si="18"/>
        <v/>
      </c>
      <c r="N41" s="13" t="str">
        <f t="shared" si="19"/>
        <v/>
      </c>
      <c r="O41" s="14" t="str">
        <f t="shared" si="20"/>
        <v/>
      </c>
      <c r="P41" s="15" t="str">
        <f t="shared" si="21"/>
        <v/>
      </c>
    </row>
    <row r="42" spans="1:16" ht="14.25" customHeight="1" x14ac:dyDescent="0.3">
      <c r="A42" s="5">
        <v>40</v>
      </c>
      <c r="B42" s="6">
        <f t="shared" si="11"/>
        <v>1042</v>
      </c>
      <c r="C42" s="7" t="s">
        <v>54</v>
      </c>
      <c r="D42" s="5" t="str">
        <f t="shared" si="12"/>
        <v>Comp 1</v>
      </c>
      <c r="E42" s="8">
        <f t="shared" si="13"/>
        <v>2</v>
      </c>
      <c r="F42" s="9">
        <f t="shared" si="14"/>
        <v>6000</v>
      </c>
      <c r="G42" s="9">
        <f t="shared" si="15"/>
        <v>36000</v>
      </c>
      <c r="H42" s="9">
        <f t="shared" si="16"/>
        <v>3000</v>
      </c>
      <c r="I42" s="10">
        <f t="shared" si="17"/>
        <v>3.5150000000000001</v>
      </c>
      <c r="J42" s="11" t="str">
        <f>IF(I42="",Assumptions!$E$6,VLOOKUP(I42,Assumptions!$B$5:$E$9,4,TRUE()))</f>
        <v>Exceeds Expectations</v>
      </c>
      <c r="K42" s="12"/>
      <c r="L42" s="9" t="str">
        <f>IF(K42="","",IF(OR(J42=Assumptions!$E$5,J42=Assumptions!$E$6),VLOOKUP(J42,Assumptions!$E$5:$F$9,2,FALSE()),MAX(VLOOKUP(J42,Assumptions!$E$5:$F$9,2,FALSE()),K42*VLOOKUP(J42,Assumptions!$E$5:$G$9,3,FALSE()))))</f>
        <v/>
      </c>
      <c r="M42" s="9" t="str">
        <f t="shared" si="18"/>
        <v/>
      </c>
      <c r="N42" s="13" t="str">
        <f t="shared" si="19"/>
        <v/>
      </c>
      <c r="O42" s="14" t="str">
        <f t="shared" si="20"/>
        <v/>
      </c>
      <c r="P42" s="15" t="str">
        <f t="shared" si="21"/>
        <v/>
      </c>
    </row>
    <row r="43" spans="1:16" ht="14.25" customHeight="1" x14ac:dyDescent="0.3">
      <c r="A43" s="5">
        <v>41</v>
      </c>
      <c r="B43" s="6">
        <f t="shared" si="11"/>
        <v>1019</v>
      </c>
      <c r="C43" s="7" t="s">
        <v>55</v>
      </c>
      <c r="D43" s="5" t="str">
        <f t="shared" si="12"/>
        <v>Comp 2</v>
      </c>
      <c r="E43" s="8">
        <f t="shared" si="13"/>
        <v>3</v>
      </c>
      <c r="F43" s="9">
        <f t="shared" si="14"/>
        <v>6000</v>
      </c>
      <c r="G43" s="9">
        <f t="shared" si="15"/>
        <v>24000</v>
      </c>
      <c r="H43" s="9">
        <f t="shared" si="16"/>
        <v>2000</v>
      </c>
      <c r="I43" s="10">
        <f t="shared" si="17"/>
        <v>0.91</v>
      </c>
      <c r="J43" s="11" t="str">
        <f>IF(I43="",Assumptions!$E$6,VLOOKUP(I43,Assumptions!$B$5:$E$9,4,TRUE()))</f>
        <v>Significant Improvement Requirement</v>
      </c>
      <c r="K43" s="12"/>
      <c r="L43" s="9" t="str">
        <f>IF(K43="","",IF(OR(J43=Assumptions!$E$5,J43=Assumptions!$E$6),VLOOKUP(J43,Assumptions!$E$5:$F$9,2,FALSE()),MAX(VLOOKUP(J43,Assumptions!$E$5:$F$9,2,FALSE()),K43*VLOOKUP(J43,Assumptions!$E$5:$G$9,3,FALSE()))))</f>
        <v/>
      </c>
      <c r="M43" s="9" t="str">
        <f t="shared" si="18"/>
        <v/>
      </c>
      <c r="N43" s="13" t="str">
        <f t="shared" si="19"/>
        <v/>
      </c>
      <c r="O43" s="14" t="str">
        <f t="shared" si="20"/>
        <v/>
      </c>
      <c r="P43" s="15" t="str">
        <f t="shared" si="21"/>
        <v/>
      </c>
    </row>
    <row r="44" spans="1:16" ht="14.25" customHeight="1" x14ac:dyDescent="0.3">
      <c r="A44" s="5">
        <v>42</v>
      </c>
      <c r="B44" s="6">
        <f t="shared" si="11"/>
        <v>1068</v>
      </c>
      <c r="C44" s="7" t="s">
        <v>56</v>
      </c>
      <c r="D44" s="5" t="str">
        <f t="shared" si="12"/>
        <v>Team Leader</v>
      </c>
      <c r="E44" s="8">
        <f t="shared" si="13"/>
        <v>2</v>
      </c>
      <c r="F44" s="9">
        <f t="shared" si="14"/>
        <v>6000</v>
      </c>
      <c r="G44" s="9">
        <f t="shared" si="15"/>
        <v>36000</v>
      </c>
      <c r="H44" s="9">
        <f t="shared" si="16"/>
        <v>3000</v>
      </c>
      <c r="I44" s="10">
        <f t="shared" si="17"/>
        <v>3.6524999999999999</v>
      </c>
      <c r="J44" s="11" t="str">
        <f>IF(I44="",Assumptions!$E$6,VLOOKUP(I44,Assumptions!$B$5:$E$9,4,TRUE()))</f>
        <v>Exceeds Expectations</v>
      </c>
      <c r="K44" s="12"/>
      <c r="L44" s="9" t="str">
        <f>IF(K44="","",IF(OR(J44=Assumptions!$E$5,J44=Assumptions!$E$6),VLOOKUP(J44,Assumptions!$E$5:$F$9,2,FALSE()),MAX(VLOOKUP(J44,Assumptions!$E$5:$F$9,2,FALSE()),K44*VLOOKUP(J44,Assumptions!$E$5:$G$9,3,FALSE()))))</f>
        <v/>
      </c>
      <c r="M44" s="9" t="str">
        <f t="shared" si="18"/>
        <v/>
      </c>
      <c r="N44" s="13" t="str">
        <f t="shared" si="19"/>
        <v/>
      </c>
      <c r="O44" s="14" t="str">
        <f t="shared" si="20"/>
        <v/>
      </c>
      <c r="P44" s="15" t="str">
        <f t="shared" si="21"/>
        <v/>
      </c>
    </row>
    <row r="45" spans="1:16" ht="14.25" customHeight="1" x14ac:dyDescent="0.3">
      <c r="A45" s="5">
        <v>43</v>
      </c>
      <c r="B45" s="6">
        <f t="shared" si="11"/>
        <v>1051</v>
      </c>
      <c r="C45" s="7" t="s">
        <v>57</v>
      </c>
      <c r="D45" s="5" t="str">
        <f t="shared" si="12"/>
        <v>Comp 2</v>
      </c>
      <c r="E45" s="8">
        <f t="shared" si="13"/>
        <v>2</v>
      </c>
      <c r="F45" s="9">
        <f t="shared" si="14"/>
        <v>6000</v>
      </c>
      <c r="G45" s="9">
        <f t="shared" si="15"/>
        <v>36000</v>
      </c>
      <c r="H45" s="9">
        <f t="shared" si="16"/>
        <v>3000</v>
      </c>
      <c r="I45" s="10">
        <f t="shared" si="17"/>
        <v>3.0249999999999999</v>
      </c>
      <c r="J45" s="11" t="str">
        <f>IF(I45="",Assumptions!$E$6,VLOOKUP(I45,Assumptions!$B$5:$E$9,4,TRUE()))</f>
        <v>Meets Expectation</v>
      </c>
      <c r="K45" s="12"/>
      <c r="L45" s="9" t="str">
        <f>IF(K45="","",IF(OR(J45=Assumptions!$E$5,J45=Assumptions!$E$6),VLOOKUP(J45,Assumptions!$E$5:$F$9,2,FALSE()),MAX(VLOOKUP(J45,Assumptions!$E$5:$F$9,2,FALSE()),K45*VLOOKUP(J45,Assumptions!$E$5:$G$9,3,FALSE()))))</f>
        <v/>
      </c>
      <c r="M45" s="9" t="str">
        <f t="shared" si="18"/>
        <v/>
      </c>
      <c r="N45" s="13" t="str">
        <f t="shared" si="19"/>
        <v/>
      </c>
      <c r="O45" s="14" t="str">
        <f t="shared" si="20"/>
        <v/>
      </c>
      <c r="P45" s="15" t="str">
        <f t="shared" si="21"/>
        <v/>
      </c>
    </row>
    <row r="46" spans="1:16" ht="14.25" customHeight="1" x14ac:dyDescent="0.3">
      <c r="A46" s="5">
        <v>44</v>
      </c>
      <c r="B46" s="6">
        <f t="shared" si="11"/>
        <v>1044</v>
      </c>
      <c r="C46" s="7" t="s">
        <v>58</v>
      </c>
      <c r="D46" s="5" t="str">
        <f t="shared" si="12"/>
        <v>Comp 1</v>
      </c>
      <c r="E46" s="8">
        <f t="shared" si="13"/>
        <v>2</v>
      </c>
      <c r="F46" s="9">
        <f t="shared" si="14"/>
        <v>6000</v>
      </c>
      <c r="G46" s="9">
        <f t="shared" si="15"/>
        <v>36000</v>
      </c>
      <c r="H46" s="9">
        <f t="shared" si="16"/>
        <v>3000</v>
      </c>
      <c r="I46" s="10">
        <f t="shared" si="17"/>
        <v>3.5150000000000001</v>
      </c>
      <c r="J46" s="11" t="str">
        <f>IF(I46="",Assumptions!$E$6,VLOOKUP(I46,Assumptions!$B$5:$E$9,4,TRUE()))</f>
        <v>Exceeds Expectations</v>
      </c>
      <c r="K46" s="12"/>
      <c r="L46" s="9" t="str">
        <f>IF(K46="","",IF(OR(J46=Assumptions!$E$5,J46=Assumptions!$E$6),VLOOKUP(J46,Assumptions!$E$5:$F$9,2,FALSE()),MAX(VLOOKUP(J46,Assumptions!$E$5:$F$9,2,FALSE()),K46*VLOOKUP(J46,Assumptions!$E$5:$G$9,3,FALSE()))))</f>
        <v/>
      </c>
      <c r="M46" s="9" t="str">
        <f t="shared" si="18"/>
        <v/>
      </c>
      <c r="N46" s="13" t="str">
        <f t="shared" si="19"/>
        <v/>
      </c>
      <c r="O46" s="14" t="str">
        <f t="shared" si="20"/>
        <v/>
      </c>
      <c r="P46" s="15" t="str">
        <f t="shared" si="21"/>
        <v/>
      </c>
    </row>
    <row r="47" spans="1:16" ht="14.25" customHeight="1" x14ac:dyDescent="0.3">
      <c r="A47" s="5">
        <v>45</v>
      </c>
      <c r="B47" s="6">
        <f t="shared" si="11"/>
        <v>1049</v>
      </c>
      <c r="C47" s="7" t="s">
        <v>59</v>
      </c>
      <c r="D47" s="5" t="str">
        <f t="shared" si="12"/>
        <v>Comp 2</v>
      </c>
      <c r="E47" s="8">
        <f t="shared" si="13"/>
        <v>2</v>
      </c>
      <c r="F47" s="9">
        <f t="shared" si="14"/>
        <v>6000</v>
      </c>
      <c r="G47" s="9">
        <f t="shared" si="15"/>
        <v>36000</v>
      </c>
      <c r="H47" s="9">
        <f t="shared" si="16"/>
        <v>3000</v>
      </c>
      <c r="I47" s="10">
        <f t="shared" si="17"/>
        <v>1.415</v>
      </c>
      <c r="J47" s="11" t="str">
        <f>IF(I47="",Assumptions!$E$6,VLOOKUP(I47,Assumptions!$B$5:$E$9,4,TRUE()))</f>
        <v>Significant Improvement Requirement</v>
      </c>
      <c r="K47" s="12"/>
      <c r="L47" s="9" t="str">
        <f>IF(K47="","",IF(OR(J47=Assumptions!$E$5,J47=Assumptions!$E$6),VLOOKUP(J47,Assumptions!$E$5:$F$9,2,FALSE()),MAX(VLOOKUP(J47,Assumptions!$E$5:$F$9,2,FALSE()),K47*VLOOKUP(J47,Assumptions!$E$5:$G$9,3,FALSE()))))</f>
        <v/>
      </c>
      <c r="M47" s="9" t="str">
        <f t="shared" si="18"/>
        <v/>
      </c>
      <c r="N47" s="13" t="str">
        <f t="shared" si="19"/>
        <v/>
      </c>
      <c r="O47" s="14" t="str">
        <f t="shared" si="20"/>
        <v/>
      </c>
      <c r="P47" s="15" t="str">
        <f t="shared" si="21"/>
        <v/>
      </c>
    </row>
    <row r="48" spans="1:16" ht="14.25" customHeight="1" x14ac:dyDescent="0.3">
      <c r="A48" s="5">
        <v>46</v>
      </c>
      <c r="B48" s="6">
        <f t="shared" si="11"/>
        <v>1060</v>
      </c>
      <c r="C48" s="7" t="s">
        <v>60</v>
      </c>
      <c r="D48" s="5" t="str">
        <f t="shared" si="12"/>
        <v>LOC 1</v>
      </c>
      <c r="E48" s="8">
        <f t="shared" si="13"/>
        <v>2</v>
      </c>
      <c r="F48" s="9">
        <f t="shared" si="14"/>
        <v>5995</v>
      </c>
      <c r="G48" s="9">
        <f t="shared" si="15"/>
        <v>35970</v>
      </c>
      <c r="H48" s="9">
        <f t="shared" si="16"/>
        <v>2997.5</v>
      </c>
      <c r="I48" s="10">
        <f t="shared" si="17"/>
        <v>3.7149999999999999</v>
      </c>
      <c r="J48" s="11" t="str">
        <f>IF(I48="",Assumptions!$E$6,VLOOKUP(I48,Assumptions!$B$5:$E$9,4,TRUE()))</f>
        <v>Exceeds Expectations</v>
      </c>
      <c r="K48" s="12"/>
      <c r="L48" s="9" t="str">
        <f>IF(K48="","",IF(OR(J48=Assumptions!$E$5,J48=Assumptions!$E$6),VLOOKUP(J48,Assumptions!$E$5:$F$9,2,FALSE()),MAX(VLOOKUP(J48,Assumptions!$E$5:$F$9,2,FALSE()),K48*VLOOKUP(J48,Assumptions!$E$5:$G$9,3,FALSE()))))</f>
        <v/>
      </c>
      <c r="M48" s="9" t="str">
        <f t="shared" si="18"/>
        <v/>
      </c>
      <c r="N48" s="13" t="str">
        <f t="shared" si="19"/>
        <v/>
      </c>
      <c r="O48" s="14" t="str">
        <f t="shared" si="20"/>
        <v/>
      </c>
      <c r="P48" s="15" t="str">
        <f t="shared" si="21"/>
        <v/>
      </c>
    </row>
    <row r="49" spans="1:16" ht="14.25" customHeight="1" x14ac:dyDescent="0.3">
      <c r="A49" s="5">
        <v>47</v>
      </c>
      <c r="B49" s="6">
        <f t="shared" si="11"/>
        <v>1052</v>
      </c>
      <c r="C49" s="7" t="s">
        <v>61</v>
      </c>
      <c r="D49" s="5" t="str">
        <f t="shared" si="12"/>
        <v>Comp 2</v>
      </c>
      <c r="E49" s="8">
        <f t="shared" si="13"/>
        <v>2</v>
      </c>
      <c r="F49" s="9">
        <f t="shared" si="14"/>
        <v>5940</v>
      </c>
      <c r="G49" s="9">
        <f t="shared" si="15"/>
        <v>35640</v>
      </c>
      <c r="H49" s="9">
        <f t="shared" si="16"/>
        <v>2970</v>
      </c>
      <c r="I49" s="10">
        <f t="shared" si="17"/>
        <v>4.165</v>
      </c>
      <c r="J49" s="11" t="str">
        <f>IF(I49="",Assumptions!$E$6,VLOOKUP(I49,Assumptions!$B$5:$E$9,4,TRUE()))</f>
        <v>Exceptional</v>
      </c>
      <c r="K49" s="12"/>
      <c r="L49" s="9" t="str">
        <f>IF(K49="","",IF(OR(J49=Assumptions!$E$5,J49=Assumptions!$E$6),VLOOKUP(J49,Assumptions!$E$5:$F$9,2,FALSE()),MAX(VLOOKUP(J49,Assumptions!$E$5:$F$9,2,FALSE()),K49*VLOOKUP(J49,Assumptions!$E$5:$G$9,3,FALSE()))))</f>
        <v/>
      </c>
      <c r="M49" s="9" t="str">
        <f t="shared" si="18"/>
        <v/>
      </c>
      <c r="N49" s="13" t="str">
        <f t="shared" si="19"/>
        <v/>
      </c>
      <c r="O49" s="14" t="str">
        <f t="shared" si="20"/>
        <v/>
      </c>
      <c r="P49" s="15" t="str">
        <f t="shared" si="21"/>
        <v/>
      </c>
    </row>
    <row r="50" spans="1:16" ht="14.25" customHeight="1" x14ac:dyDescent="0.3">
      <c r="A50" s="5">
        <v>48</v>
      </c>
      <c r="B50" s="6">
        <f t="shared" si="11"/>
        <v>1039</v>
      </c>
      <c r="C50" s="7" t="s">
        <v>62</v>
      </c>
      <c r="D50" s="5" t="str">
        <f t="shared" si="12"/>
        <v>Comp 2</v>
      </c>
      <c r="E50" s="8">
        <f t="shared" si="13"/>
        <v>2</v>
      </c>
      <c r="F50" s="9">
        <f t="shared" si="14"/>
        <v>5926.8</v>
      </c>
      <c r="G50" s="9">
        <f t="shared" si="15"/>
        <v>35560.800000000003</v>
      </c>
      <c r="H50" s="9">
        <f t="shared" si="16"/>
        <v>2963.4</v>
      </c>
      <c r="I50" s="10">
        <f t="shared" si="17"/>
        <v>4.38</v>
      </c>
      <c r="J50" s="11" t="str">
        <f>IF(I50="",Assumptions!$E$6,VLOOKUP(I50,Assumptions!$B$5:$E$9,4,TRUE()))</f>
        <v>Exceptional</v>
      </c>
      <c r="K50" s="12"/>
      <c r="L50" s="9" t="str">
        <f>IF(K50="","",IF(OR(J50=Assumptions!$E$5,J50=Assumptions!$E$6),VLOOKUP(J50,Assumptions!$E$5:$F$9,2,FALSE()),MAX(VLOOKUP(J50,Assumptions!$E$5:$F$9,2,FALSE()),K50*VLOOKUP(J50,Assumptions!$E$5:$G$9,3,FALSE()))))</f>
        <v/>
      </c>
      <c r="M50" s="9" t="str">
        <f t="shared" si="18"/>
        <v/>
      </c>
      <c r="N50" s="13" t="str">
        <f t="shared" si="19"/>
        <v/>
      </c>
      <c r="O50" s="14" t="str">
        <f t="shared" si="20"/>
        <v/>
      </c>
      <c r="P50" s="15" t="str">
        <f t="shared" si="21"/>
        <v/>
      </c>
    </row>
    <row r="51" spans="1:16" ht="14.25" customHeight="1" x14ac:dyDescent="0.3">
      <c r="A51" s="5">
        <v>49</v>
      </c>
      <c r="B51" s="6">
        <f t="shared" si="11"/>
        <v>1053</v>
      </c>
      <c r="C51" s="7" t="s">
        <v>63</v>
      </c>
      <c r="D51" s="5" t="str">
        <f t="shared" si="12"/>
        <v>Comp 2</v>
      </c>
      <c r="E51" s="8">
        <f t="shared" si="13"/>
        <v>2</v>
      </c>
      <c r="F51" s="9">
        <f t="shared" si="14"/>
        <v>5030</v>
      </c>
      <c r="G51" s="9">
        <f t="shared" si="15"/>
        <v>30180</v>
      </c>
      <c r="H51" s="9">
        <f t="shared" si="16"/>
        <v>2515</v>
      </c>
      <c r="I51" s="10">
        <f t="shared" si="17"/>
        <v>4.38</v>
      </c>
      <c r="J51" s="11" t="str">
        <f>IF(I51="",Assumptions!$E$6,VLOOKUP(I51,Assumptions!$B$5:$E$9,4,TRUE()))</f>
        <v>Exceptional</v>
      </c>
      <c r="K51" s="12"/>
      <c r="L51" s="9" t="str">
        <f>IF(K51="","",IF(OR(J51=Assumptions!$E$5,J51=Assumptions!$E$6),VLOOKUP(J51,Assumptions!$E$5:$F$9,2,FALSE()),MAX(VLOOKUP(J51,Assumptions!$E$5:$F$9,2,FALSE()),K51*VLOOKUP(J51,Assumptions!$E$5:$G$9,3,FALSE()))))</f>
        <v/>
      </c>
      <c r="M51" s="9" t="str">
        <f t="shared" si="18"/>
        <v/>
      </c>
      <c r="N51" s="13" t="str">
        <f t="shared" si="19"/>
        <v/>
      </c>
      <c r="O51" s="14" t="str">
        <f t="shared" si="20"/>
        <v/>
      </c>
      <c r="P51" s="15" t="str">
        <f t="shared" si="21"/>
        <v/>
      </c>
    </row>
    <row r="52" spans="1:16" ht="14.25" customHeight="1" x14ac:dyDescent="0.3">
      <c r="A52" s="5">
        <v>50</v>
      </c>
      <c r="B52" s="6">
        <f>IFERROR(INDEX(RawData_EmpNo,MATCH(C52,RawData_UserName,0)),"")</f>
        <v>1040</v>
      </c>
      <c r="C52" s="7" t="s">
        <v>64</v>
      </c>
      <c r="D52" s="5" t="str">
        <f t="shared" si="12"/>
        <v>Comp 2</v>
      </c>
      <c r="E52" s="8">
        <f t="shared" si="13"/>
        <v>2</v>
      </c>
      <c r="F52" s="9">
        <f t="shared" si="14"/>
        <v>4920</v>
      </c>
      <c r="G52" s="9">
        <f t="shared" si="15"/>
        <v>29520</v>
      </c>
      <c r="H52" s="9">
        <f t="shared" si="16"/>
        <v>2460</v>
      </c>
      <c r="I52" s="10">
        <f t="shared" si="17"/>
        <v>4.3250000000000002</v>
      </c>
      <c r="J52" s="11" t="str">
        <f>IF(I52="",Assumptions!$E$6,VLOOKUP(I52,Assumptions!$B$5:$E$9,4,TRUE()))</f>
        <v>Exceptional</v>
      </c>
      <c r="K52" s="12"/>
      <c r="L52" s="9" t="str">
        <f>IF(K52="","",IF(OR(J52=Assumptions!$E$5,J52=Assumptions!$E$6),VLOOKUP(J52,Assumptions!$E$5:$F$9,2,FALSE()),MAX(VLOOKUP(J52,Assumptions!$E$5:$F$9,2,FALSE()),K52*VLOOKUP(J52,Assumptions!$E$5:$G$9,3,FALSE()))))</f>
        <v/>
      </c>
      <c r="M52" s="9" t="str">
        <f t="shared" si="18"/>
        <v/>
      </c>
      <c r="N52" s="13" t="str">
        <f t="shared" si="19"/>
        <v/>
      </c>
      <c r="O52" s="14" t="str">
        <f t="shared" si="20"/>
        <v/>
      </c>
      <c r="P52" s="15" t="str">
        <f t="shared" si="21"/>
        <v/>
      </c>
    </row>
    <row r="53" spans="1:16" ht="14.25" customHeight="1" x14ac:dyDescent="0.3">
      <c r="A53" s="5">
        <v>51</v>
      </c>
      <c r="B53" s="6">
        <f t="shared" si="11"/>
        <v>1056</v>
      </c>
      <c r="C53" s="7" t="s">
        <v>65</v>
      </c>
      <c r="D53" s="5" t="str">
        <f t="shared" si="12"/>
        <v>LOC 2</v>
      </c>
      <c r="E53" s="8">
        <f t="shared" si="13"/>
        <v>2</v>
      </c>
      <c r="F53" s="9">
        <f t="shared" si="14"/>
        <v>4911.05</v>
      </c>
      <c r="G53" s="9">
        <f t="shared" si="15"/>
        <v>29466.300000000003</v>
      </c>
      <c r="H53" s="9">
        <f t="shared" si="16"/>
        <v>2455.5250000000001</v>
      </c>
      <c r="I53" s="10">
        <f t="shared" si="17"/>
        <v>3.7050000000000001</v>
      </c>
      <c r="J53" s="11" t="str">
        <f>IF(I53="",Assumptions!$E$6,VLOOKUP(I53,Assumptions!$B$5:$E$9,4,TRUE()))</f>
        <v>Exceeds Expectations</v>
      </c>
      <c r="K53" s="12"/>
      <c r="L53" s="9" t="str">
        <f>IF(K53="","",IF(OR(J53=Assumptions!$E$5,J53=Assumptions!$E$6),VLOOKUP(J53,Assumptions!$E$5:$F$9,2,FALSE()),MAX(VLOOKUP(J53,Assumptions!$E$5:$F$9,2,FALSE()),K53*VLOOKUP(J53,Assumptions!$E$5:$G$9,3,FALSE()))))</f>
        <v/>
      </c>
      <c r="M53" s="9" t="str">
        <f t="shared" si="18"/>
        <v/>
      </c>
      <c r="N53" s="13" t="str">
        <f t="shared" si="19"/>
        <v/>
      </c>
      <c r="O53" s="14" t="str">
        <f t="shared" si="20"/>
        <v/>
      </c>
      <c r="P53" s="15" t="str">
        <f t="shared" si="21"/>
        <v/>
      </c>
    </row>
    <row r="54" spans="1:16" ht="14.25" customHeight="1" x14ac:dyDescent="0.3">
      <c r="A54" s="5">
        <v>52</v>
      </c>
      <c r="B54" s="6">
        <f t="shared" si="11"/>
        <v>1046</v>
      </c>
      <c r="C54" s="7" t="s">
        <v>66</v>
      </c>
      <c r="D54" s="5" t="str">
        <f t="shared" si="12"/>
        <v>Comp 2</v>
      </c>
      <c r="E54" s="8">
        <f t="shared" si="13"/>
        <v>2</v>
      </c>
      <c r="F54" s="9">
        <f t="shared" si="14"/>
        <v>4630</v>
      </c>
      <c r="G54" s="9">
        <f t="shared" si="15"/>
        <v>27780</v>
      </c>
      <c r="H54" s="9">
        <f t="shared" si="16"/>
        <v>2315</v>
      </c>
      <c r="I54" s="10">
        <f t="shared" si="17"/>
        <v>4.13</v>
      </c>
      <c r="J54" s="11" t="str">
        <f>IF(I54="",Assumptions!$E$6,VLOOKUP(I54,Assumptions!$B$5:$E$9,4,TRUE()))</f>
        <v>Exceptional</v>
      </c>
      <c r="K54" s="12"/>
      <c r="L54" s="9" t="str">
        <f>IF(K54="","",IF(OR(J54=Assumptions!$E$5,J54=Assumptions!$E$6),VLOOKUP(J54,Assumptions!$E$5:$F$9,2,FALSE()),MAX(VLOOKUP(J54,Assumptions!$E$5:$F$9,2,FALSE()),K54*VLOOKUP(J54,Assumptions!$E$5:$G$9,3,FALSE()))))</f>
        <v/>
      </c>
      <c r="M54" s="9" t="str">
        <f t="shared" si="18"/>
        <v/>
      </c>
      <c r="N54" s="13" t="str">
        <f t="shared" si="19"/>
        <v/>
      </c>
      <c r="O54" s="14" t="str">
        <f t="shared" si="20"/>
        <v/>
      </c>
      <c r="P54" s="15" t="str">
        <f t="shared" si="21"/>
        <v/>
      </c>
    </row>
    <row r="55" spans="1:16" ht="14.25" customHeight="1" x14ac:dyDescent="0.3">
      <c r="A55" s="5">
        <v>53</v>
      </c>
      <c r="B55" s="6">
        <f t="shared" si="11"/>
        <v>1066</v>
      </c>
      <c r="C55" s="7" t="s">
        <v>67</v>
      </c>
      <c r="D55" s="5" t="str">
        <f t="shared" si="12"/>
        <v>Team Leader</v>
      </c>
      <c r="E55" s="8">
        <f t="shared" si="13"/>
        <v>2</v>
      </c>
      <c r="F55" s="9">
        <f t="shared" si="14"/>
        <v>4500</v>
      </c>
      <c r="G55" s="9">
        <f t="shared" si="15"/>
        <v>27000</v>
      </c>
      <c r="H55" s="9">
        <f t="shared" si="16"/>
        <v>2250</v>
      </c>
      <c r="I55" s="10">
        <f t="shared" si="17"/>
        <v>3.8024999999999998</v>
      </c>
      <c r="J55" s="11" t="str">
        <f>IF(I55="",Assumptions!$E$6,VLOOKUP(I55,Assumptions!$B$5:$E$9,4,TRUE()))</f>
        <v>Exceeds Expectations</v>
      </c>
      <c r="K55" s="12"/>
      <c r="L55" s="9" t="str">
        <f>IF(K55="","",IF(OR(J55=Assumptions!$E$5,J55=Assumptions!$E$6),VLOOKUP(J55,Assumptions!$E$5:$F$9,2,FALSE()),MAX(VLOOKUP(J55,Assumptions!$E$5:$F$9,2,FALSE()),K55*VLOOKUP(J55,Assumptions!$E$5:$G$9,3,FALSE()))))</f>
        <v/>
      </c>
      <c r="M55" s="9" t="str">
        <f t="shared" si="18"/>
        <v/>
      </c>
      <c r="N55" s="13" t="str">
        <f t="shared" si="19"/>
        <v/>
      </c>
      <c r="O55" s="14" t="str">
        <f t="shared" si="20"/>
        <v/>
      </c>
      <c r="P55" s="15" t="str">
        <f t="shared" si="21"/>
        <v/>
      </c>
    </row>
    <row r="56" spans="1:16" ht="14.25" customHeight="1" x14ac:dyDescent="0.3">
      <c r="A56" s="5">
        <v>54</v>
      </c>
      <c r="B56" s="6">
        <f t="shared" si="11"/>
        <v>1043</v>
      </c>
      <c r="C56" s="7" t="s">
        <v>68</v>
      </c>
      <c r="D56" s="5" t="str">
        <f t="shared" si="12"/>
        <v>Comp 2</v>
      </c>
      <c r="E56" s="8">
        <f t="shared" si="13"/>
        <v>2</v>
      </c>
      <c r="F56" s="9">
        <f t="shared" si="14"/>
        <v>4045</v>
      </c>
      <c r="G56" s="9">
        <f t="shared" si="15"/>
        <v>24270</v>
      </c>
      <c r="H56" s="9">
        <f t="shared" si="16"/>
        <v>2022.5</v>
      </c>
      <c r="I56" s="10">
        <f t="shared" si="17"/>
        <v>4.3650000000000002</v>
      </c>
      <c r="J56" s="11" t="str">
        <f>IF(I56="",Assumptions!$E$6,VLOOKUP(I56,Assumptions!$B$5:$E$9,4,TRUE()))</f>
        <v>Exceptional</v>
      </c>
      <c r="K56" s="12"/>
      <c r="L56" s="9" t="str">
        <f>IF(K56="","",IF(OR(J56=Assumptions!$E$5,J56=Assumptions!$E$6),VLOOKUP(J56,Assumptions!$E$5:$F$9,2,FALSE()),MAX(VLOOKUP(J56,Assumptions!$E$5:$F$9,2,FALSE()),K56*VLOOKUP(J56,Assumptions!$E$5:$G$9,3,FALSE()))))</f>
        <v/>
      </c>
      <c r="M56" s="9" t="str">
        <f t="shared" si="18"/>
        <v/>
      </c>
      <c r="N56" s="13" t="str">
        <f t="shared" si="19"/>
        <v/>
      </c>
      <c r="O56" s="14" t="str">
        <f t="shared" si="20"/>
        <v/>
      </c>
      <c r="P56" s="15" t="str">
        <f t="shared" si="21"/>
        <v/>
      </c>
    </row>
    <row r="57" spans="1:16" ht="14.25" customHeight="1" x14ac:dyDescent="0.3">
      <c r="A57" s="5">
        <v>55</v>
      </c>
      <c r="B57" s="6">
        <f t="shared" si="11"/>
        <v>1058</v>
      </c>
      <c r="C57" s="7" t="s">
        <v>69</v>
      </c>
      <c r="D57" s="5" t="str">
        <f t="shared" si="12"/>
        <v>LOC 2</v>
      </c>
      <c r="E57" s="8">
        <f t="shared" si="13"/>
        <v>2</v>
      </c>
      <c r="F57" s="9">
        <f t="shared" si="14"/>
        <v>3512.5</v>
      </c>
      <c r="G57" s="9">
        <f t="shared" si="15"/>
        <v>21075</v>
      </c>
      <c r="H57" s="9">
        <f t="shared" si="16"/>
        <v>1756.25</v>
      </c>
      <c r="I57" s="10">
        <f t="shared" si="17"/>
        <v>3.46</v>
      </c>
      <c r="J57" s="11" t="str">
        <f>IF(I57="",Assumptions!$E$6,VLOOKUP(I57,Assumptions!$B$5:$E$9,4,TRUE()))</f>
        <v>Meets Expectation</v>
      </c>
      <c r="K57" s="12"/>
      <c r="L57" s="9" t="str">
        <f>IF(K57="","",IF(OR(J57=Assumptions!$E$5,J57=Assumptions!$E$6),VLOOKUP(J57,Assumptions!$E$5:$F$9,2,FALSE()),MAX(VLOOKUP(J57,Assumptions!$E$5:$F$9,2,FALSE()),K57*VLOOKUP(J57,Assumptions!$E$5:$G$9,3,FALSE()))))</f>
        <v/>
      </c>
      <c r="M57" s="9" t="str">
        <f t="shared" si="18"/>
        <v/>
      </c>
      <c r="N57" s="13" t="str">
        <f t="shared" si="19"/>
        <v/>
      </c>
      <c r="O57" s="14" t="str">
        <f t="shared" si="20"/>
        <v/>
      </c>
      <c r="P57" s="15" t="str">
        <f t="shared" si="21"/>
        <v/>
      </c>
    </row>
    <row r="58" spans="1:16" ht="14.25" customHeight="1" x14ac:dyDescent="0.3">
      <c r="A58" s="5">
        <v>56</v>
      </c>
      <c r="B58" s="6">
        <f t="shared" si="11"/>
        <v>1069</v>
      </c>
      <c r="C58" s="7" t="s">
        <v>70</v>
      </c>
      <c r="D58" s="5" t="str">
        <f t="shared" si="12"/>
        <v>Team Leader</v>
      </c>
      <c r="E58" s="8">
        <f t="shared" si="13"/>
        <v>1</v>
      </c>
      <c r="F58" s="9">
        <f t="shared" si="14"/>
        <v>3500</v>
      </c>
      <c r="G58" s="9">
        <f t="shared" si="15"/>
        <v>42000</v>
      </c>
      <c r="H58" s="9">
        <f t="shared" si="16"/>
        <v>3500</v>
      </c>
      <c r="I58" s="10">
        <f t="shared" si="17"/>
        <v>3.83</v>
      </c>
      <c r="J58" s="11" t="str">
        <f>IF(I58="",Assumptions!$E$6,VLOOKUP(I58,Assumptions!$B$5:$E$9,4,TRUE()))</f>
        <v>Exceeds Expectations</v>
      </c>
      <c r="K58" s="12"/>
      <c r="L58" s="9" t="str">
        <f>IF(K58="","",IF(OR(J58=Assumptions!$E$5,J58=Assumptions!$E$6),VLOOKUP(J58,Assumptions!$E$5:$F$9,2,FALSE()),MAX(VLOOKUP(J58,Assumptions!$E$5:$F$9,2,FALSE()),K58*VLOOKUP(J58,Assumptions!$E$5:$G$9,3,FALSE()))))</f>
        <v/>
      </c>
      <c r="M58" s="9" t="str">
        <f t="shared" si="18"/>
        <v/>
      </c>
      <c r="N58" s="13" t="str">
        <f t="shared" si="19"/>
        <v/>
      </c>
      <c r="O58" s="14" t="str">
        <f t="shared" si="20"/>
        <v/>
      </c>
      <c r="P58" s="15" t="str">
        <f t="shared" si="21"/>
        <v/>
      </c>
    </row>
    <row r="59" spans="1:16" ht="14.25" customHeight="1" x14ac:dyDescent="0.3">
      <c r="A59" s="5">
        <v>57</v>
      </c>
      <c r="B59" s="6">
        <f t="shared" si="11"/>
        <v>1057</v>
      </c>
      <c r="C59" s="7" t="s">
        <v>71</v>
      </c>
      <c r="D59" s="5" t="str">
        <f t="shared" si="12"/>
        <v>LOC 1</v>
      </c>
      <c r="E59" s="8">
        <f t="shared" si="13"/>
        <v>2</v>
      </c>
      <c r="F59" s="9">
        <f t="shared" si="14"/>
        <v>3452.5</v>
      </c>
      <c r="G59" s="9">
        <f t="shared" si="15"/>
        <v>20715</v>
      </c>
      <c r="H59" s="9">
        <f t="shared" si="16"/>
        <v>1726.25</v>
      </c>
      <c r="I59" s="10">
        <f t="shared" si="17"/>
        <v>3.84</v>
      </c>
      <c r="J59" s="11" t="str">
        <f>IF(I59="",Assumptions!$E$6,VLOOKUP(I59,Assumptions!$B$5:$E$9,4,TRUE()))</f>
        <v>Exceeds Expectations</v>
      </c>
      <c r="K59" s="12"/>
      <c r="L59" s="9" t="str">
        <f>IF(K59="","",IF(OR(J59=Assumptions!$E$5,J59=Assumptions!$E$6),VLOOKUP(J59,Assumptions!$E$5:$F$9,2,FALSE()),MAX(VLOOKUP(J59,Assumptions!$E$5:$F$9,2,FALSE()),K59*VLOOKUP(J59,Assumptions!$E$5:$G$9,3,FALSE()))))</f>
        <v/>
      </c>
      <c r="M59" s="9" t="str">
        <f t="shared" si="18"/>
        <v/>
      </c>
      <c r="N59" s="13" t="str">
        <f t="shared" si="19"/>
        <v/>
      </c>
      <c r="O59" s="14" t="str">
        <f t="shared" si="20"/>
        <v/>
      </c>
      <c r="P59" s="15" t="str">
        <f t="shared" si="21"/>
        <v/>
      </c>
    </row>
    <row r="60" spans="1:16" ht="14.25" customHeight="1" x14ac:dyDescent="0.3">
      <c r="A60" s="5">
        <v>58</v>
      </c>
      <c r="B60" s="6">
        <f t="shared" si="11"/>
        <v>1059</v>
      </c>
      <c r="C60" s="7" t="s">
        <v>72</v>
      </c>
      <c r="D60" s="5" t="str">
        <f t="shared" si="12"/>
        <v>LOC 1</v>
      </c>
      <c r="E60" s="8">
        <f t="shared" si="13"/>
        <v>2</v>
      </c>
      <c r="F60" s="9">
        <f t="shared" si="14"/>
        <v>3036.5</v>
      </c>
      <c r="G60" s="9">
        <f t="shared" si="15"/>
        <v>18219</v>
      </c>
      <c r="H60" s="9">
        <f t="shared" si="16"/>
        <v>1518.25</v>
      </c>
      <c r="I60" s="10">
        <f t="shared" si="17"/>
        <v>3.76</v>
      </c>
      <c r="J60" s="11" t="str">
        <f>IF(I60="",Assumptions!$E$6,VLOOKUP(I60,Assumptions!$B$5:$E$9,4,TRUE()))</f>
        <v>Exceeds Expectations</v>
      </c>
      <c r="K60" s="12"/>
      <c r="L60" s="9" t="str">
        <f>IF(K60="","",IF(OR(J60=Assumptions!$E$5,J60=Assumptions!$E$6),VLOOKUP(J60,Assumptions!$E$5:$F$9,2,FALSE()),MAX(VLOOKUP(J60,Assumptions!$E$5:$F$9,2,FALSE()),K60*VLOOKUP(J60,Assumptions!$E$5:$G$9,3,FALSE()))))</f>
        <v/>
      </c>
      <c r="M60" s="9" t="str">
        <f t="shared" si="18"/>
        <v/>
      </c>
      <c r="N60" s="13" t="str">
        <f t="shared" si="19"/>
        <v/>
      </c>
      <c r="O60" s="14" t="str">
        <f t="shared" si="20"/>
        <v/>
      </c>
      <c r="P60" s="15" t="str">
        <f t="shared" si="21"/>
        <v/>
      </c>
    </row>
    <row r="61" spans="1:16" ht="14.25" customHeight="1" x14ac:dyDescent="0.3">
      <c r="A61" s="5">
        <v>59</v>
      </c>
      <c r="B61" s="6">
        <f t="shared" si="11"/>
        <v>1017</v>
      </c>
      <c r="C61" s="7" t="s">
        <v>73</v>
      </c>
      <c r="D61" s="5" t="str">
        <f t="shared" si="12"/>
        <v>Comp 2</v>
      </c>
      <c r="E61" s="8">
        <f t="shared" si="13"/>
        <v>7</v>
      </c>
      <c r="F61" s="9">
        <f t="shared" si="14"/>
        <v>2925</v>
      </c>
      <c r="G61" s="9">
        <f t="shared" si="15"/>
        <v>5014.2857142857138</v>
      </c>
      <c r="H61" s="9">
        <f t="shared" si="16"/>
        <v>417.85714285714283</v>
      </c>
      <c r="I61" s="10">
        <f t="shared" si="17"/>
        <v>2.8442857142857139</v>
      </c>
      <c r="J61" s="11" t="str">
        <f>IF(I61="",Assumptions!$E$6,VLOOKUP(I61,Assumptions!$B$5:$E$9,4,TRUE()))</f>
        <v>Improvement Required</v>
      </c>
      <c r="K61" s="12"/>
      <c r="L61" s="9" t="str">
        <f>IF(K61="","",IF(OR(J61=Assumptions!$E$5,J61=Assumptions!$E$6),VLOOKUP(J61,Assumptions!$E$5:$F$9,2,FALSE()),MAX(VLOOKUP(J61,Assumptions!$E$5:$F$9,2,FALSE()),K61*VLOOKUP(J61,Assumptions!$E$5:$G$9,3,FALSE()))))</f>
        <v/>
      </c>
      <c r="M61" s="9" t="str">
        <f t="shared" si="18"/>
        <v/>
      </c>
      <c r="N61" s="13" t="str">
        <f t="shared" si="19"/>
        <v/>
      </c>
      <c r="O61" s="14" t="str">
        <f t="shared" si="20"/>
        <v/>
      </c>
      <c r="P61" s="15" t="str">
        <f t="shared" si="21"/>
        <v/>
      </c>
    </row>
    <row r="62" spans="1:16" ht="14.25" customHeight="1" x14ac:dyDescent="0.3">
      <c r="A62" s="5">
        <v>60</v>
      </c>
      <c r="B62" s="6">
        <f t="shared" si="11"/>
        <v>1054</v>
      </c>
      <c r="C62" s="7" t="s">
        <v>74</v>
      </c>
      <c r="D62" s="5" t="str">
        <f t="shared" si="12"/>
        <v>LOC 2</v>
      </c>
      <c r="E62" s="8">
        <f t="shared" si="13"/>
        <v>2</v>
      </c>
      <c r="F62" s="9">
        <f t="shared" si="14"/>
        <v>2793.75</v>
      </c>
      <c r="G62" s="9">
        <f t="shared" si="15"/>
        <v>16762.5</v>
      </c>
      <c r="H62" s="9">
        <f t="shared" si="16"/>
        <v>1396.875</v>
      </c>
      <c r="I62" s="10">
        <f t="shared" si="17"/>
        <v>3.665</v>
      </c>
      <c r="J62" s="11" t="str">
        <f>IF(I62="",Assumptions!$E$6,VLOOKUP(I62,Assumptions!$B$5:$E$9,4,TRUE()))</f>
        <v>Exceeds Expectations</v>
      </c>
      <c r="K62" s="12"/>
      <c r="L62" s="9" t="str">
        <f>IF(K62="","",IF(OR(J62=Assumptions!$E$5,J62=Assumptions!$E$6),VLOOKUP(J62,Assumptions!$E$5:$F$9,2,FALSE()),MAX(VLOOKUP(J62,Assumptions!$E$5:$F$9,2,FALSE()),K62*VLOOKUP(J62,Assumptions!$E$5:$G$9,3,FALSE()))))</f>
        <v/>
      </c>
      <c r="M62" s="9" t="str">
        <f t="shared" si="18"/>
        <v/>
      </c>
      <c r="N62" s="13" t="str">
        <f t="shared" si="19"/>
        <v/>
      </c>
      <c r="O62" s="14" t="str">
        <f t="shared" si="20"/>
        <v/>
      </c>
      <c r="P62" s="15" t="str">
        <f t="shared" si="21"/>
        <v/>
      </c>
    </row>
    <row r="63" spans="1:16" ht="14.25" customHeight="1" x14ac:dyDescent="0.3">
      <c r="A63" s="5">
        <v>61</v>
      </c>
      <c r="B63" s="6">
        <f t="shared" si="11"/>
        <v>1026</v>
      </c>
      <c r="C63" s="7" t="s">
        <v>75</v>
      </c>
      <c r="D63" s="5" t="str">
        <f t="shared" si="12"/>
        <v>Comp 1</v>
      </c>
      <c r="E63" s="8">
        <f t="shared" si="13"/>
        <v>5</v>
      </c>
      <c r="F63" s="9">
        <f t="shared" si="14"/>
        <v>2400</v>
      </c>
      <c r="G63" s="9">
        <f t="shared" si="15"/>
        <v>5760</v>
      </c>
      <c r="H63" s="9">
        <f t="shared" si="16"/>
        <v>480</v>
      </c>
      <c r="I63" s="10">
        <f t="shared" si="17"/>
        <v>2.1880000000000002</v>
      </c>
      <c r="J63" s="11" t="str">
        <f>IF(I63="",Assumptions!$E$6,VLOOKUP(I63,Assumptions!$B$5:$E$9,4,TRUE()))</f>
        <v>Significant Improvement Requirement</v>
      </c>
      <c r="K63" s="12"/>
      <c r="L63" s="9" t="str">
        <f>IF(K63="","",IF(OR(J63=Assumptions!$E$5,J63=Assumptions!$E$6),VLOOKUP(J63,Assumptions!$E$5:$F$9,2,FALSE()),MAX(VLOOKUP(J63,Assumptions!$E$5:$F$9,2,FALSE()),K63*VLOOKUP(J63,Assumptions!$E$5:$G$9,3,FALSE()))))</f>
        <v/>
      </c>
      <c r="M63" s="9" t="str">
        <f t="shared" si="18"/>
        <v/>
      </c>
      <c r="N63" s="13" t="str">
        <f t="shared" si="19"/>
        <v/>
      </c>
      <c r="O63" s="14" t="str">
        <f t="shared" si="20"/>
        <v/>
      </c>
      <c r="P63" s="15" t="str">
        <f t="shared" si="21"/>
        <v/>
      </c>
    </row>
    <row r="64" spans="1:16" ht="14.25" customHeight="1" x14ac:dyDescent="0.3">
      <c r="A64" s="5">
        <v>62</v>
      </c>
      <c r="B64" s="6">
        <f t="shared" si="11"/>
        <v>1061</v>
      </c>
      <c r="C64" s="7" t="s">
        <v>76</v>
      </c>
      <c r="D64" s="5" t="str">
        <f t="shared" si="12"/>
        <v>LOC 2</v>
      </c>
      <c r="E64" s="8">
        <f t="shared" si="13"/>
        <v>2</v>
      </c>
      <c r="F64" s="9">
        <f t="shared" si="14"/>
        <v>1649</v>
      </c>
      <c r="G64" s="9">
        <f t="shared" si="15"/>
        <v>9894</v>
      </c>
      <c r="H64" s="9">
        <f t="shared" si="16"/>
        <v>824.5</v>
      </c>
      <c r="I64" s="10">
        <f t="shared" si="17"/>
        <v>3.3149999999999999</v>
      </c>
      <c r="J64" s="11" t="str">
        <f>IF(I64="",Assumptions!$E$6,VLOOKUP(I64,Assumptions!$B$5:$E$9,4,TRUE()))</f>
        <v>Meets Expectation</v>
      </c>
      <c r="K64" s="12"/>
      <c r="L64" s="9" t="str">
        <f>IF(K64="","",IF(OR(J64=Assumptions!$E$5,J64=Assumptions!$E$6),VLOOKUP(J64,Assumptions!$E$5:$F$9,2,FALSE()),MAX(VLOOKUP(J64,Assumptions!$E$5:$F$9,2,FALSE()),K64*VLOOKUP(J64,Assumptions!$E$5:$G$9,3,FALSE()))))</f>
        <v/>
      </c>
      <c r="M64" s="9" t="str">
        <f t="shared" si="18"/>
        <v/>
      </c>
      <c r="N64" s="13" t="str">
        <f t="shared" si="19"/>
        <v/>
      </c>
      <c r="O64" s="14" t="str">
        <f t="shared" si="20"/>
        <v/>
      </c>
      <c r="P64" s="15" t="str">
        <f t="shared" si="21"/>
        <v/>
      </c>
    </row>
    <row r="65" spans="1:16" ht="14.25" customHeight="1" x14ac:dyDescent="0.3">
      <c r="A65" s="5">
        <v>63</v>
      </c>
      <c r="B65" s="6">
        <f t="shared" si="11"/>
        <v>1062</v>
      </c>
      <c r="C65" s="7" t="s">
        <v>77</v>
      </c>
      <c r="D65" s="5" t="str">
        <f t="shared" si="12"/>
        <v>LOC 1</v>
      </c>
      <c r="E65" s="8">
        <f t="shared" si="13"/>
        <v>2</v>
      </c>
      <c r="F65" s="9">
        <f t="shared" si="14"/>
        <v>1209.9000000000001</v>
      </c>
      <c r="G65" s="9">
        <f t="shared" si="15"/>
        <v>7259.4000000000005</v>
      </c>
      <c r="H65" s="9">
        <f t="shared" si="16"/>
        <v>604.95000000000005</v>
      </c>
      <c r="I65" s="10">
        <f t="shared" si="17"/>
        <v>3.5300000000000002</v>
      </c>
      <c r="J65" s="11" t="str">
        <f>IF(I65="",Assumptions!$E$6,VLOOKUP(I65,Assumptions!$B$5:$E$9,4,TRUE()))</f>
        <v>Exceeds Expectations</v>
      </c>
      <c r="K65" s="12"/>
      <c r="L65" s="9" t="str">
        <f>IF(K65="","",IF(OR(J65=Assumptions!$E$5,J65=Assumptions!$E$6),VLOOKUP(J65,Assumptions!$E$5:$F$9,2,FALSE()),MAX(VLOOKUP(J65,Assumptions!$E$5:$F$9,2,FALSE()),K65*VLOOKUP(J65,Assumptions!$E$5:$G$9,3,FALSE()))))</f>
        <v/>
      </c>
      <c r="M65" s="9" t="str">
        <f t="shared" si="18"/>
        <v/>
      </c>
      <c r="N65" s="13" t="str">
        <f t="shared" si="19"/>
        <v/>
      </c>
      <c r="O65" s="14" t="str">
        <f t="shared" si="20"/>
        <v/>
      </c>
      <c r="P65" s="15" t="str">
        <f t="shared" si="21"/>
        <v/>
      </c>
    </row>
    <row r="66" spans="1:16" ht="14.25" customHeight="1" x14ac:dyDescent="0.3">
      <c r="A66" s="5">
        <v>64</v>
      </c>
      <c r="B66" s="6">
        <f t="shared" si="11"/>
        <v>1047</v>
      </c>
      <c r="C66" s="7" t="s">
        <v>78</v>
      </c>
      <c r="D66" s="5" t="str">
        <f t="shared" si="12"/>
        <v>Comp 2</v>
      </c>
      <c r="E66" s="8">
        <f t="shared" si="13"/>
        <v>1</v>
      </c>
      <c r="F66" s="9">
        <f t="shared" si="14"/>
        <v>450</v>
      </c>
      <c r="G66" s="9">
        <f t="shared" si="15"/>
        <v>5400</v>
      </c>
      <c r="H66" s="9">
        <f t="shared" si="16"/>
        <v>450</v>
      </c>
      <c r="I66" s="10">
        <f t="shared" si="17"/>
        <v>3.51</v>
      </c>
      <c r="J66" s="11" t="str">
        <f>IF(I66="",Assumptions!$E$6,VLOOKUP(I66,Assumptions!$B$5:$E$9,4,TRUE()))</f>
        <v>Exceeds Expectations</v>
      </c>
      <c r="K66" s="12"/>
      <c r="L66" s="9" t="str">
        <f>IF(K66="","",IF(OR(J66=Assumptions!$E$5,J66=Assumptions!$E$6),VLOOKUP(J66,Assumptions!$E$5:$F$9,2,FALSE()),MAX(VLOOKUP(J66,Assumptions!$E$5:$F$9,2,FALSE()),K66*VLOOKUP(J66,Assumptions!$E$5:$G$9,3,FALSE()))))</f>
        <v/>
      </c>
      <c r="M66" s="9" t="str">
        <f t="shared" si="18"/>
        <v/>
      </c>
      <c r="N66" s="13" t="str">
        <f t="shared" si="19"/>
        <v/>
      </c>
      <c r="O66" s="14" t="str">
        <f t="shared" si="20"/>
        <v/>
      </c>
      <c r="P66" s="15" t="str">
        <f t="shared" si="21"/>
        <v/>
      </c>
    </row>
    <row r="67" spans="1:16" ht="14.25" customHeight="1" x14ac:dyDescent="0.3">
      <c r="A67" s="5">
        <v>65</v>
      </c>
      <c r="B67" s="6">
        <f t="shared" ref="B67:B71" si="22">IFERROR(INDEX(RawData_EmpNo,MATCH(C67,RawData_UserName,0)),"")</f>
        <v>1022</v>
      </c>
      <c r="C67" s="7" t="s">
        <v>79</v>
      </c>
      <c r="D67" s="5" t="str">
        <f t="shared" ref="D67:D71" si="23">IFERROR(INDEX(RawData_Team,MATCH(C67,RawData_UserName,0)),"")</f>
        <v>Comp 1</v>
      </c>
      <c r="E67" s="8">
        <f t="shared" si="13"/>
        <v>2</v>
      </c>
      <c r="F67" s="9">
        <f t="shared" si="14"/>
        <v>0</v>
      </c>
      <c r="G67" s="9">
        <f t="shared" ref="G67:G71" si="24">IF(E67=12,F67,H67*12)</f>
        <v>0</v>
      </c>
      <c r="H67" s="9">
        <f t="shared" si="16"/>
        <v>0</v>
      </c>
      <c r="I67" s="10" t="str">
        <f t="shared" si="17"/>
        <v/>
      </c>
      <c r="J67" s="11" t="str">
        <f>IF(I67="",Assumptions!$E$6,VLOOKUP(I67,Assumptions!$B$5:$E$9,4,TRUE()))</f>
        <v>Improvement Required</v>
      </c>
      <c r="K67" s="12"/>
      <c r="L67" s="9" t="str">
        <f>IF(K67="","",IF(OR(J67=Assumptions!$E$5,J67=Assumptions!$E$6),VLOOKUP(J67,Assumptions!$E$5:$F$9,2,FALSE()),MAX(VLOOKUP(J67,Assumptions!$E$5:$F$9,2,FALSE()),K67*VLOOKUP(J67,Assumptions!$E$5:$G$9,3,FALSE()))))</f>
        <v/>
      </c>
      <c r="M67" s="9" t="str">
        <f t="shared" ref="M67:M71" si="25">IF(K67="","",K67+L67)</f>
        <v/>
      </c>
      <c r="N67" s="13" t="str">
        <f t="shared" ref="N67:N71" si="26">IF(M67="","",G67-M67)</f>
        <v/>
      </c>
      <c r="O67" s="14" t="str">
        <f t="shared" si="20"/>
        <v/>
      </c>
      <c r="P67" s="15" t="str">
        <f t="shared" si="21"/>
        <v/>
      </c>
    </row>
    <row r="68" spans="1:16" ht="14.25" customHeight="1" x14ac:dyDescent="0.3">
      <c r="A68" s="5">
        <v>66</v>
      </c>
      <c r="B68" s="6">
        <f t="shared" si="22"/>
        <v>1025</v>
      </c>
      <c r="C68" s="7" t="s">
        <v>80</v>
      </c>
      <c r="D68" s="5" t="str">
        <f t="shared" si="23"/>
        <v>Comp 1</v>
      </c>
      <c r="E68" s="8">
        <f t="shared" si="13"/>
        <v>3</v>
      </c>
      <c r="F68" s="9">
        <f t="shared" si="14"/>
        <v>0</v>
      </c>
      <c r="G68" s="9">
        <f t="shared" si="24"/>
        <v>0</v>
      </c>
      <c r="H68" s="9">
        <f t="shared" si="16"/>
        <v>0</v>
      </c>
      <c r="I68" s="10">
        <f t="shared" si="17"/>
        <v>0.61</v>
      </c>
      <c r="J68" s="11" t="str">
        <f>IF(I68="",Assumptions!$E$6,VLOOKUP(I68,Assumptions!$B$5:$E$9,4,TRUE()))</f>
        <v>Significant Improvement Requirement</v>
      </c>
      <c r="K68" s="12"/>
      <c r="L68" s="9" t="str">
        <f>IF(K68="","",IF(OR(J68=Assumptions!$E$5,J68=Assumptions!$E$6),VLOOKUP(J68,Assumptions!$E$5:$F$9,2,FALSE()),MAX(VLOOKUP(J68,Assumptions!$E$5:$F$9,2,FALSE()),K68*VLOOKUP(J68,Assumptions!$E$5:$G$9,3,FALSE()))))</f>
        <v/>
      </c>
      <c r="M68" s="9" t="str">
        <f t="shared" si="25"/>
        <v/>
      </c>
      <c r="N68" s="13" t="str">
        <f t="shared" si="26"/>
        <v/>
      </c>
      <c r="O68" s="14" t="str">
        <f t="shared" si="20"/>
        <v/>
      </c>
      <c r="P68" s="15" t="str">
        <f t="shared" si="21"/>
        <v/>
      </c>
    </row>
    <row r="69" spans="1:16" ht="14.25" customHeight="1" x14ac:dyDescent="0.3">
      <c r="A69" s="5">
        <v>67</v>
      </c>
      <c r="B69" s="6">
        <f t="shared" si="22"/>
        <v>1023</v>
      </c>
      <c r="C69" s="7" t="s">
        <v>81</v>
      </c>
      <c r="D69" s="5" t="str">
        <f t="shared" si="23"/>
        <v>Comp 1</v>
      </c>
      <c r="E69" s="8">
        <f t="shared" si="13"/>
        <v>3</v>
      </c>
      <c r="F69" s="9">
        <f t="shared" si="14"/>
        <v>0</v>
      </c>
      <c r="G69" s="9">
        <f t="shared" si="24"/>
        <v>0</v>
      </c>
      <c r="H69" s="9">
        <f t="shared" si="16"/>
        <v>0</v>
      </c>
      <c r="I69" s="10">
        <f t="shared" si="17"/>
        <v>0.68</v>
      </c>
      <c r="J69" s="11" t="str">
        <f>IF(I69="",Assumptions!$E$6,VLOOKUP(I69,Assumptions!$B$5:$E$9,4,TRUE()))</f>
        <v>Significant Improvement Requirement</v>
      </c>
      <c r="K69" s="12"/>
      <c r="L69" s="9" t="str">
        <f>IF(K69="","",IF(OR(J69=Assumptions!$E$5,J69=Assumptions!$E$6),VLOOKUP(J69,Assumptions!$E$5:$F$9,2,FALSE()),MAX(VLOOKUP(J69,Assumptions!$E$5:$F$9,2,FALSE()),K69*VLOOKUP(J69,Assumptions!$E$5:$G$9,3,FALSE()))))</f>
        <v/>
      </c>
      <c r="M69" s="9" t="str">
        <f t="shared" si="25"/>
        <v/>
      </c>
      <c r="N69" s="13" t="str">
        <f t="shared" si="26"/>
        <v/>
      </c>
      <c r="O69" s="14" t="str">
        <f t="shared" si="20"/>
        <v/>
      </c>
      <c r="P69" s="15" t="str">
        <f t="shared" si="21"/>
        <v/>
      </c>
    </row>
    <row r="70" spans="1:16" ht="14.25" customHeight="1" x14ac:dyDescent="0.3">
      <c r="A70" s="5">
        <v>68</v>
      </c>
      <c r="B70" s="6">
        <f t="shared" si="22"/>
        <v>1063</v>
      </c>
      <c r="C70" s="7" t="s">
        <v>82</v>
      </c>
      <c r="D70" s="5" t="str">
        <f t="shared" si="23"/>
        <v>LOC 2</v>
      </c>
      <c r="E70" s="8">
        <f t="shared" si="13"/>
        <v>2</v>
      </c>
      <c r="F70" s="9">
        <f t="shared" si="14"/>
        <v>0</v>
      </c>
      <c r="G70" s="9">
        <f t="shared" si="24"/>
        <v>0</v>
      </c>
      <c r="H70" s="9">
        <f t="shared" si="16"/>
        <v>0</v>
      </c>
      <c r="I70" s="10">
        <f t="shared" si="17"/>
        <v>1.4649999999999999</v>
      </c>
      <c r="J70" s="11" t="str">
        <f>IF(I70="",Assumptions!$E$6,VLOOKUP(I70,Assumptions!$B$5:$E$9,4,TRUE()))</f>
        <v>Significant Improvement Requirement</v>
      </c>
      <c r="K70" s="12"/>
      <c r="L70" s="9" t="str">
        <f>IF(K70="","",IF(OR(J70=Assumptions!$E$5,J70=Assumptions!$E$6),VLOOKUP(J70,Assumptions!$E$5:$F$9,2,FALSE()),MAX(VLOOKUP(J70,Assumptions!$E$5:$F$9,2,FALSE()),K70*VLOOKUP(J70,Assumptions!$E$5:$G$9,3,FALSE()))))</f>
        <v/>
      </c>
      <c r="M70" s="9" t="str">
        <f t="shared" si="25"/>
        <v/>
      </c>
      <c r="N70" s="13" t="str">
        <f t="shared" si="26"/>
        <v/>
      </c>
      <c r="O70" s="14" t="str">
        <f t="shared" si="20"/>
        <v/>
      </c>
      <c r="P70" s="15" t="str">
        <f t="shared" si="21"/>
        <v/>
      </c>
    </row>
    <row r="71" spans="1:16" ht="14.25" customHeight="1" x14ac:dyDescent="0.3">
      <c r="A71" s="5">
        <v>69</v>
      </c>
      <c r="B71" s="6">
        <f t="shared" si="22"/>
        <v>1014</v>
      </c>
      <c r="C71" s="7" t="s">
        <v>83</v>
      </c>
      <c r="D71" s="5" t="str">
        <f t="shared" si="23"/>
        <v>LOC 1</v>
      </c>
      <c r="E71" s="8">
        <f t="shared" si="13"/>
        <v>2</v>
      </c>
      <c r="F71" s="9">
        <f t="shared" si="14"/>
        <v>0</v>
      </c>
      <c r="G71" s="9">
        <f t="shared" si="24"/>
        <v>0</v>
      </c>
      <c r="H71" s="9">
        <f t="shared" si="16"/>
        <v>0</v>
      </c>
      <c r="I71" s="10" t="str">
        <f t="shared" si="17"/>
        <v/>
      </c>
      <c r="J71" s="11" t="str">
        <f>IF(I71="",Assumptions!$E$6,VLOOKUP(I71,Assumptions!$B$5:$E$9,4,TRUE()))</f>
        <v>Improvement Required</v>
      </c>
      <c r="K71" s="12"/>
      <c r="L71" s="9" t="str">
        <f>IF(K71="","",IF(OR(J71=Assumptions!$E$5,J71=Assumptions!$E$6),VLOOKUP(J71,Assumptions!$E$5:$F$9,2,FALSE()),MAX(VLOOKUP(J71,Assumptions!$E$5:$F$9,2,FALSE()),K71*VLOOKUP(J71,Assumptions!$E$5:$G$9,3,FALSE()))))</f>
        <v/>
      </c>
      <c r="M71" s="9" t="str">
        <f t="shared" si="25"/>
        <v/>
      </c>
      <c r="N71" s="13" t="str">
        <f t="shared" si="26"/>
        <v/>
      </c>
      <c r="O71" s="14" t="str">
        <f t="shared" si="20"/>
        <v/>
      </c>
      <c r="P71" s="15" t="str">
        <f t="shared" si="21"/>
        <v/>
      </c>
    </row>
    <row r="72" spans="1:16" ht="19.5" customHeight="1" x14ac:dyDescent="0.3">
      <c r="A72" s="17"/>
      <c r="C72" s="18"/>
      <c r="D72" s="18"/>
      <c r="E72" s="18"/>
      <c r="F72" s="19"/>
      <c r="G72" s="20"/>
      <c r="H72" s="21"/>
      <c r="I72" s="21"/>
      <c r="J72" s="22"/>
      <c r="K72" s="22"/>
      <c r="L72" s="22"/>
      <c r="M72" s="22"/>
      <c r="N72" s="22"/>
      <c r="O72" s="22"/>
      <c r="P72" s="22"/>
    </row>
    <row r="73" spans="1:16" ht="18" customHeight="1" x14ac:dyDescent="0.3">
      <c r="A73" s="17"/>
      <c r="C73" s="18"/>
      <c r="D73" s="18"/>
      <c r="E73" s="18"/>
      <c r="F73" s="23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1:16" ht="14.25" customHeight="1" x14ac:dyDescent="0.3">
      <c r="A74" s="17"/>
      <c r="C74" s="18"/>
      <c r="D74" s="18"/>
      <c r="E74" s="18"/>
      <c r="F74" s="23"/>
      <c r="G74" s="18"/>
      <c r="H74" s="18"/>
      <c r="I74" s="18"/>
      <c r="J74" s="18"/>
      <c r="K74" s="18"/>
      <c r="L74" s="18"/>
      <c r="M74" s="18"/>
      <c r="N74" s="18"/>
      <c r="O74" s="18"/>
      <c r="P74" s="18"/>
    </row>
  </sheetData>
  <autoFilter ref="A2:O71" xr:uid="{00000000-0009-0000-0000-000000000000}"/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Normal="100" workbookViewId="0">
      <pane ySplit="2" topLeftCell="A3" activePane="bottomLeft" state="frozen"/>
      <selection pane="bottomLeft" activeCell="D5" sqref="D5"/>
    </sheetView>
  </sheetViews>
  <sheetFormatPr defaultColWidth="8.6640625" defaultRowHeight="14.4" x14ac:dyDescent="0.3"/>
  <cols>
    <col min="1" max="1" width="29.33203125" customWidth="1"/>
    <col min="2" max="2" width="10" customWidth="1"/>
    <col min="3" max="3" width="32.5546875" customWidth="1"/>
    <col min="4" max="4" width="20.33203125" customWidth="1"/>
    <col min="5" max="6" width="14" customWidth="1"/>
  </cols>
  <sheetData>
    <row r="1" spans="1:4" ht="10.5" customHeight="1" x14ac:dyDescent="0.3"/>
    <row r="2" spans="1:4" ht="14.25" customHeight="1" x14ac:dyDescent="0.3">
      <c r="A2" s="55" t="s">
        <v>84</v>
      </c>
      <c r="B2" s="55"/>
      <c r="C2" s="55"/>
      <c r="D2" s="55"/>
    </row>
    <row r="3" spans="1:4" ht="19.5" customHeight="1" x14ac:dyDescent="0.3">
      <c r="A3" s="24" t="s">
        <v>9</v>
      </c>
      <c r="B3" s="24" t="s">
        <v>85</v>
      </c>
      <c r="C3" s="24" t="s">
        <v>86</v>
      </c>
      <c r="D3" s="24" t="s">
        <v>87</v>
      </c>
    </row>
    <row r="4" spans="1:4" ht="13.5" customHeight="1" x14ac:dyDescent="0.3">
      <c r="A4" s="2" t="s">
        <v>88</v>
      </c>
      <c r="B4" s="25">
        <f>COUNTIF('OBR vs ARR Calculator'!J3:J71,"Exceptional")</f>
        <v>20</v>
      </c>
      <c r="C4" s="26">
        <f>SUMIF('OBR vs ARR Calculator'!J3:J71,"Exceptional",'OBR vs ARR Calculator'!F3:F71)</f>
        <v>438117.69</v>
      </c>
      <c r="D4" s="26">
        <f>IFERROR(SUMIF('OBR vs ARR Calculator'!J3:J71,"Exceptional",'OBR vs ARR Calculator'!F3:F71)/COUNTIF('OBR vs ARR Calculator'!J3:J71,"Exceptional"),"—")</f>
        <v>21905.8845</v>
      </c>
    </row>
    <row r="5" spans="1:4" ht="21.75" customHeight="1" x14ac:dyDescent="0.3">
      <c r="A5" s="1" t="s">
        <v>89</v>
      </c>
      <c r="B5" s="27">
        <f>COUNTIF('OBR vs ARR Calculator'!J3:J71,"Exceeds Expectations")</f>
        <v>23</v>
      </c>
      <c r="C5" s="28">
        <f>SUMIF('OBR vs ARR Calculator'!J3:J71,"Exceeds Expectations",'OBR vs ARR Calculator'!F3:F71)</f>
        <v>458541.2</v>
      </c>
      <c r="D5" s="28">
        <f>IFERROR(SUMIF('OBR vs ARR Calculator'!J3:J71,"Exceeds Expectations",'OBR vs ARR Calculator'!F3:F71)/COUNTIF('OBR vs ARR Calculator'!J3:J71,"Exceeds Expectations"),"—")</f>
        <v>19936.573913043478</v>
      </c>
    </row>
    <row r="6" spans="1:4" ht="18" customHeight="1" x14ac:dyDescent="0.3">
      <c r="A6" s="2" t="s">
        <v>90</v>
      </c>
      <c r="B6" s="25">
        <f>COUNTIF('OBR vs ARR Calculator'!J3:J71,"Meets Expectation")</f>
        <v>8</v>
      </c>
      <c r="C6" s="26">
        <f>SUMIF('OBR vs ARR Calculator'!J3:J71,"Meets Expectation",'OBR vs ARR Calculator'!F3:F71)</f>
        <v>150699.83000000002</v>
      </c>
      <c r="D6" s="26">
        <f>IFERROR(SUMIF('OBR vs ARR Calculator'!J3:J71,"Meets Expectation",'OBR vs ARR Calculator'!F3:F71)/COUNTIF('OBR vs ARR Calculator'!J3:J71,"Meets Expectation"),"—")</f>
        <v>18837.478750000002</v>
      </c>
    </row>
    <row r="7" spans="1:4" ht="18" customHeight="1" x14ac:dyDescent="0.3">
      <c r="A7" s="1" t="s">
        <v>91</v>
      </c>
      <c r="B7" s="27">
        <f>COUNTIF('OBR vs ARR Calculator'!J3:J71,"Improvement Required")</f>
        <v>10</v>
      </c>
      <c r="C7" s="28">
        <f>SUMIF('OBR vs ARR Calculator'!J3:J71,"Improvement Required",'OBR vs ARR Calculator'!F3:F71)</f>
        <v>257432.5</v>
      </c>
      <c r="D7" s="28">
        <f>IFERROR(SUMIF('OBR vs ARR Calculator'!J3:J71,"Improvement Required",'OBR vs ARR Calculator'!F3:F71)/COUNTIF('OBR vs ARR Calculator'!J3:J71,"Improvement Required"),"—")</f>
        <v>25743.25</v>
      </c>
    </row>
    <row r="8" spans="1:4" ht="18" customHeight="1" x14ac:dyDescent="0.3">
      <c r="A8" s="2" t="s">
        <v>92</v>
      </c>
      <c r="B8" s="25">
        <f>COUNTIF('OBR vs ARR Calculator'!J3:J71,"Significant Improvement Requirement")</f>
        <v>8</v>
      </c>
      <c r="C8" s="26">
        <f>SUMIF('OBR vs ARR Calculator'!J3:J71,"Significant Improvement Requirement",'OBR vs ARR Calculator'!F3:F71)</f>
        <v>32800</v>
      </c>
      <c r="D8" s="26">
        <f>IFERROR(SUMIF('OBR vs ARR Calculator'!J3:J71,"Significant Improvement Requirement",'OBR vs ARR Calculator'!F3:F71)/COUNTIF('OBR vs ARR Calculator'!J3:J71,"Significant Improvement Requirement"),"—")</f>
        <v>4100</v>
      </c>
    </row>
    <row r="9" spans="1:4" ht="18" customHeight="1" x14ac:dyDescent="0.3"/>
    <row r="10" spans="1:4" ht="18" customHeight="1" x14ac:dyDescent="0.3">
      <c r="A10" s="55" t="s">
        <v>93</v>
      </c>
      <c r="B10" s="55"/>
      <c r="C10" s="55"/>
    </row>
    <row r="11" spans="1:4" ht="18" customHeight="1" x14ac:dyDescent="0.3">
      <c r="A11" s="54" t="s">
        <v>94</v>
      </c>
      <c r="B11" s="54"/>
      <c r="C11" s="29">
        <f>SUM('OBR vs ARR Calculator'!F3:F71)</f>
        <v>1337591.22</v>
      </c>
    </row>
    <row r="12" spans="1:4" ht="18" customHeight="1" x14ac:dyDescent="0.3">
      <c r="A12" s="53" t="s">
        <v>95</v>
      </c>
      <c r="B12" s="53"/>
      <c r="C12" s="30">
        <f>SUMIF('OBR vs ARR Calculator'!K3:K71,"&lt;&gt;",'OBR vs ARR Calculator'!L3:L71)</f>
        <v>0</v>
      </c>
    </row>
    <row r="13" spans="1:4" ht="18" customHeight="1" x14ac:dyDescent="0.3">
      <c r="A13" s="54" t="s">
        <v>96</v>
      </c>
      <c r="B13" s="54"/>
      <c r="C13" s="31">
        <f>IFERROR(C11-C12,"—")</f>
        <v>1337591.22</v>
      </c>
    </row>
    <row r="14" spans="1:4" ht="18" customHeight="1" x14ac:dyDescent="0.3">
      <c r="A14" s="53" t="s">
        <v>97</v>
      </c>
      <c r="B14" s="53"/>
      <c r="C14" s="32">
        <f>COUNTIF('OBR vs ARR Calculator'!O3:O71,"YES")</f>
        <v>0</v>
      </c>
    </row>
    <row r="15" spans="1:4" ht="18" customHeight="1" x14ac:dyDescent="0.3">
      <c r="A15" s="54" t="s">
        <v>98</v>
      </c>
      <c r="B15" s="54"/>
      <c r="C15" s="33">
        <f>COUNTIF('OBR vs ARR Calculator'!O3:O71,"NO")</f>
        <v>0</v>
      </c>
    </row>
    <row r="17" ht="21.75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6" ht="21.75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</sheetData>
  <mergeCells count="7">
    <mergeCell ref="A14:B14"/>
    <mergeCell ref="A15:B15"/>
    <mergeCell ref="A2:D2"/>
    <mergeCell ref="A10:C10"/>
    <mergeCell ref="A11:B11"/>
    <mergeCell ref="A12:B12"/>
    <mergeCell ref="A13:B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Normal="100" workbookViewId="0">
      <selection activeCell="C19" sqref="C19"/>
    </sheetView>
  </sheetViews>
  <sheetFormatPr defaultColWidth="8.6640625" defaultRowHeight="14.4" x14ac:dyDescent="0.3"/>
  <cols>
    <col min="1" max="1" width="36" customWidth="1"/>
    <col min="2" max="3" width="14" customWidth="1"/>
    <col min="4" max="4" width="8.77734375" customWidth="1"/>
    <col min="5" max="5" width="36" customWidth="1"/>
    <col min="6" max="6" width="16" customWidth="1"/>
    <col min="7" max="7" width="14" customWidth="1"/>
  </cols>
  <sheetData>
    <row r="1" spans="1:7" ht="27.75" customHeight="1" x14ac:dyDescent="0.3">
      <c r="A1" s="56" t="s">
        <v>99</v>
      </c>
      <c r="B1" s="56"/>
      <c r="C1" s="56"/>
      <c r="D1" s="56"/>
      <c r="E1" s="56"/>
      <c r="F1" s="56"/>
      <c r="G1" s="56"/>
    </row>
    <row r="2" spans="1:7" ht="14.25" customHeight="1" x14ac:dyDescent="0.3">
      <c r="A2" s="34"/>
      <c r="B2" s="34"/>
      <c r="C2" s="34"/>
      <c r="D2" s="34"/>
      <c r="E2" s="34"/>
      <c r="F2" s="34"/>
      <c r="G2" s="34"/>
    </row>
    <row r="3" spans="1:7" ht="14.25" customHeight="1" x14ac:dyDescent="0.3">
      <c r="A3" s="57" t="s">
        <v>100</v>
      </c>
      <c r="B3" s="57"/>
      <c r="C3" s="57"/>
      <c r="D3" s="35"/>
      <c r="E3" s="57" t="s">
        <v>101</v>
      </c>
      <c r="F3" s="57"/>
      <c r="G3" s="57"/>
    </row>
    <row r="4" spans="1:7" ht="14.25" customHeight="1" x14ac:dyDescent="0.3">
      <c r="A4" s="36" t="s">
        <v>9</v>
      </c>
      <c r="B4" s="37" t="s">
        <v>102</v>
      </c>
      <c r="C4" s="37" t="s">
        <v>103</v>
      </c>
      <c r="D4" s="35"/>
      <c r="E4" s="36" t="s">
        <v>9</v>
      </c>
      <c r="F4" s="37" t="s">
        <v>104</v>
      </c>
      <c r="G4" s="37" t="s">
        <v>105</v>
      </c>
    </row>
    <row r="5" spans="1:7" ht="14.25" customHeight="1" x14ac:dyDescent="0.3">
      <c r="A5" s="38" t="s">
        <v>92</v>
      </c>
      <c r="B5" s="39">
        <v>0</v>
      </c>
      <c r="C5" s="39">
        <v>2.5</v>
      </c>
      <c r="D5" s="34"/>
      <c r="E5" s="38" t="s">
        <v>92</v>
      </c>
      <c r="F5" s="40">
        <v>0</v>
      </c>
      <c r="G5" s="41" t="s">
        <v>106</v>
      </c>
    </row>
    <row r="6" spans="1:7" ht="14.25" customHeight="1" x14ac:dyDescent="0.3">
      <c r="A6" s="38" t="s">
        <v>91</v>
      </c>
      <c r="B6" s="39">
        <v>2.5</v>
      </c>
      <c r="C6" s="39">
        <v>3</v>
      </c>
      <c r="D6" s="34"/>
      <c r="E6" s="38" t="s">
        <v>91</v>
      </c>
      <c r="F6" s="40">
        <v>11500</v>
      </c>
      <c r="G6" s="41" t="s">
        <v>106</v>
      </c>
    </row>
    <row r="7" spans="1:7" ht="14.25" customHeight="1" x14ac:dyDescent="0.3">
      <c r="A7" s="38" t="s">
        <v>90</v>
      </c>
      <c r="B7" s="39">
        <v>3</v>
      </c>
      <c r="C7" s="39">
        <v>3.5</v>
      </c>
      <c r="D7" s="34"/>
      <c r="E7" s="38" t="s">
        <v>90</v>
      </c>
      <c r="F7" s="40">
        <v>22500</v>
      </c>
      <c r="G7" s="42">
        <v>7.4999999999999997E-2</v>
      </c>
    </row>
    <row r="8" spans="1:7" ht="14.25" customHeight="1" x14ac:dyDescent="0.3">
      <c r="A8" s="38" t="s">
        <v>89</v>
      </c>
      <c r="B8" s="39">
        <v>3.5</v>
      </c>
      <c r="C8" s="39">
        <v>4</v>
      </c>
      <c r="D8" s="34"/>
      <c r="E8" s="38" t="s">
        <v>89</v>
      </c>
      <c r="F8" s="40">
        <v>27500</v>
      </c>
      <c r="G8" s="42">
        <v>8.4000000000000005E-2</v>
      </c>
    </row>
    <row r="9" spans="1:7" ht="14.25" customHeight="1" x14ac:dyDescent="0.3">
      <c r="A9" s="43" t="s">
        <v>88</v>
      </c>
      <c r="B9" s="39">
        <v>4</v>
      </c>
      <c r="C9" s="39">
        <v>99</v>
      </c>
      <c r="D9" s="34"/>
      <c r="E9" s="43" t="s">
        <v>88</v>
      </c>
      <c r="F9" s="40">
        <v>32500</v>
      </c>
      <c r="G9" s="42">
        <v>0.105</v>
      </c>
    </row>
  </sheetData>
  <mergeCells count="3">
    <mergeCell ref="A1:G1"/>
    <mergeCell ref="A3:C3"/>
    <mergeCell ref="E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01"/>
  <sheetViews>
    <sheetView zoomScaleNormal="100" workbookViewId="0">
      <pane ySplit="1" topLeftCell="A2" activePane="bottomLeft" state="frozen"/>
      <selection pane="bottomLeft" activeCell="B4" sqref="B4"/>
    </sheetView>
  </sheetViews>
  <sheetFormatPr defaultColWidth="8.6640625" defaultRowHeight="14.4" x14ac:dyDescent="0.3"/>
  <cols>
    <col min="1" max="1" width="10" customWidth="1"/>
    <col min="2" max="2" width="22" customWidth="1"/>
    <col min="3" max="3" width="20" customWidth="1"/>
    <col min="4" max="4" width="12" customWidth="1"/>
    <col min="5" max="6" width="8" customWidth="1"/>
    <col min="7" max="7" width="32.109375" customWidth="1"/>
    <col min="8" max="8" width="26.44140625" customWidth="1"/>
    <col min="9" max="9" width="24.33203125" customWidth="1"/>
    <col min="10" max="10" width="25" customWidth="1"/>
    <col min="11" max="11" width="36.21875" customWidth="1"/>
  </cols>
  <sheetData>
    <row r="1" spans="1:11" ht="23.25" customHeight="1" x14ac:dyDescent="0.3">
      <c r="A1" s="44" t="s">
        <v>107</v>
      </c>
      <c r="B1" s="45" t="s">
        <v>108</v>
      </c>
      <c r="C1" s="45" t="s">
        <v>109</v>
      </c>
      <c r="D1" s="45" t="s">
        <v>4</v>
      </c>
      <c r="E1" s="45" t="s">
        <v>110</v>
      </c>
      <c r="F1" s="45" t="s">
        <v>111</v>
      </c>
      <c r="G1" s="45" t="s">
        <v>112</v>
      </c>
      <c r="H1" s="45" t="s">
        <v>113</v>
      </c>
      <c r="I1" s="45" t="s">
        <v>114</v>
      </c>
      <c r="J1" s="45" t="s">
        <v>115</v>
      </c>
      <c r="K1" s="45" t="s">
        <v>116</v>
      </c>
    </row>
    <row r="2" spans="1:11" ht="14.25" customHeight="1" x14ac:dyDescent="0.3">
      <c r="A2">
        <v>1001</v>
      </c>
      <c r="B2" s="46">
        <v>202502</v>
      </c>
      <c r="C2" s="47" t="s">
        <v>17</v>
      </c>
      <c r="D2" s="47" t="s">
        <v>117</v>
      </c>
      <c r="E2" s="47" t="s">
        <v>118</v>
      </c>
      <c r="F2" s="48">
        <v>4.0599999999999996</v>
      </c>
      <c r="G2" s="48">
        <v>97.87</v>
      </c>
      <c r="H2" s="48">
        <v>4925</v>
      </c>
      <c r="I2" s="47"/>
      <c r="J2" s="48">
        <v>4925</v>
      </c>
      <c r="K2" s="47" t="s">
        <v>119</v>
      </c>
    </row>
    <row r="3" spans="1:11" ht="14.25" customHeight="1" x14ac:dyDescent="0.3">
      <c r="A3">
        <v>1002</v>
      </c>
      <c r="B3" s="49">
        <v>202502</v>
      </c>
      <c r="C3" s="50" t="s">
        <v>25</v>
      </c>
      <c r="D3" s="50" t="s">
        <v>120</v>
      </c>
      <c r="E3" s="50" t="s">
        <v>118</v>
      </c>
      <c r="F3" s="51">
        <v>3.95</v>
      </c>
      <c r="G3" s="51">
        <v>95.31</v>
      </c>
      <c r="H3" s="51">
        <v>3195</v>
      </c>
      <c r="I3" s="50"/>
      <c r="J3" s="51">
        <v>3195</v>
      </c>
      <c r="K3" s="50" t="s">
        <v>119</v>
      </c>
    </row>
    <row r="4" spans="1:11" ht="14.25" customHeight="1" x14ac:dyDescent="0.3">
      <c r="A4">
        <v>1003</v>
      </c>
      <c r="B4" s="46">
        <v>202502</v>
      </c>
      <c r="C4" s="47" t="s">
        <v>26</v>
      </c>
      <c r="D4" s="47" t="s">
        <v>120</v>
      </c>
      <c r="E4" s="47" t="s">
        <v>118</v>
      </c>
      <c r="F4" s="48">
        <v>4.03</v>
      </c>
      <c r="G4" s="48">
        <v>99.5</v>
      </c>
      <c r="H4" s="48">
        <v>3650</v>
      </c>
      <c r="I4" s="47"/>
      <c r="J4" s="48">
        <v>3650</v>
      </c>
      <c r="K4" s="47" t="s">
        <v>119</v>
      </c>
    </row>
    <row r="5" spans="1:11" ht="14.25" customHeight="1" x14ac:dyDescent="0.3">
      <c r="A5">
        <v>1004</v>
      </c>
      <c r="B5" s="49">
        <v>202502</v>
      </c>
      <c r="C5" s="50" t="s">
        <v>15</v>
      </c>
      <c r="D5" s="50" t="s">
        <v>117</v>
      </c>
      <c r="E5" s="50" t="s">
        <v>118</v>
      </c>
      <c r="F5" s="51">
        <v>2.65</v>
      </c>
      <c r="G5" s="51">
        <v>96.12</v>
      </c>
      <c r="H5" s="51">
        <v>4800</v>
      </c>
      <c r="I5" s="50"/>
      <c r="J5" s="51">
        <v>4800</v>
      </c>
      <c r="K5" s="50" t="s">
        <v>119</v>
      </c>
    </row>
    <row r="6" spans="1:11" ht="14.25" customHeight="1" x14ac:dyDescent="0.3">
      <c r="A6">
        <v>1005</v>
      </c>
      <c r="B6" s="46">
        <v>202502</v>
      </c>
      <c r="C6" s="47" t="s">
        <v>36</v>
      </c>
      <c r="D6" s="47" t="s">
        <v>121</v>
      </c>
      <c r="E6" s="47" t="s">
        <v>118</v>
      </c>
      <c r="F6" s="48">
        <v>2.81</v>
      </c>
      <c r="G6" s="48">
        <v>100</v>
      </c>
      <c r="H6" s="48">
        <v>0</v>
      </c>
      <c r="I6" s="47"/>
      <c r="J6" s="48">
        <v>0</v>
      </c>
      <c r="K6" s="47" t="s">
        <v>119</v>
      </c>
    </row>
    <row r="7" spans="1:11" ht="14.25" customHeight="1" x14ac:dyDescent="0.3">
      <c r="A7">
        <v>1006</v>
      </c>
      <c r="B7" s="49">
        <v>202502</v>
      </c>
      <c r="C7" s="50" t="s">
        <v>16</v>
      </c>
      <c r="D7" s="50" t="s">
        <v>117</v>
      </c>
      <c r="E7" s="50" t="s">
        <v>118</v>
      </c>
      <c r="F7" s="51">
        <v>4.01</v>
      </c>
      <c r="G7" s="51">
        <v>99.91</v>
      </c>
      <c r="H7" s="51">
        <v>4525</v>
      </c>
      <c r="I7" s="50"/>
      <c r="J7" s="51">
        <v>4525</v>
      </c>
      <c r="K7" s="50" t="s">
        <v>119</v>
      </c>
    </row>
    <row r="8" spans="1:11" ht="14.25" customHeight="1" x14ac:dyDescent="0.3">
      <c r="A8">
        <v>1007</v>
      </c>
      <c r="B8" s="46">
        <v>202502</v>
      </c>
      <c r="C8" s="47" t="s">
        <v>24</v>
      </c>
      <c r="D8" s="47" t="s">
        <v>120</v>
      </c>
      <c r="E8" s="47" t="s">
        <v>118</v>
      </c>
      <c r="F8" s="48">
        <v>3.97</v>
      </c>
      <c r="G8" s="48">
        <v>92.9</v>
      </c>
      <c r="H8" s="48">
        <v>3357.5</v>
      </c>
      <c r="I8" s="47"/>
      <c r="J8" s="48">
        <v>3357.5</v>
      </c>
      <c r="K8" s="47" t="s">
        <v>119</v>
      </c>
    </row>
    <row r="9" spans="1:11" ht="14.25" customHeight="1" x14ac:dyDescent="0.3">
      <c r="A9">
        <v>1008</v>
      </c>
      <c r="B9" s="49">
        <v>202502</v>
      </c>
      <c r="C9" s="50" t="s">
        <v>30</v>
      </c>
      <c r="D9" s="50" t="s">
        <v>120</v>
      </c>
      <c r="E9" s="50" t="s">
        <v>118</v>
      </c>
      <c r="F9" s="51">
        <v>2.86</v>
      </c>
      <c r="G9" s="51">
        <v>100</v>
      </c>
      <c r="H9" s="51">
        <v>0</v>
      </c>
      <c r="I9" s="50"/>
      <c r="J9" s="51">
        <v>0</v>
      </c>
      <c r="K9" s="50" t="s">
        <v>119</v>
      </c>
    </row>
    <row r="10" spans="1:11" ht="14.25" customHeight="1" x14ac:dyDescent="0.3">
      <c r="A10">
        <v>1009</v>
      </c>
      <c r="B10" s="46">
        <v>202502</v>
      </c>
      <c r="C10" s="47" t="s">
        <v>18</v>
      </c>
      <c r="D10" s="47" t="s">
        <v>120</v>
      </c>
      <c r="E10" s="47" t="s">
        <v>118</v>
      </c>
      <c r="F10" s="48">
        <v>2.79</v>
      </c>
      <c r="G10" s="48">
        <v>93.75</v>
      </c>
      <c r="H10" s="48">
        <v>5312.5</v>
      </c>
      <c r="I10" s="47"/>
      <c r="J10" s="48">
        <v>5312.5</v>
      </c>
      <c r="K10" s="47" t="s">
        <v>119</v>
      </c>
    </row>
    <row r="11" spans="1:11" ht="14.25" customHeight="1" x14ac:dyDescent="0.3">
      <c r="A11">
        <v>1010</v>
      </c>
      <c r="B11" s="49">
        <v>202502</v>
      </c>
      <c r="C11" s="50" t="s">
        <v>38</v>
      </c>
      <c r="D11" s="50" t="s">
        <v>117</v>
      </c>
      <c r="E11" s="50" t="s">
        <v>118</v>
      </c>
      <c r="F11" s="51">
        <v>4.0999999999999996</v>
      </c>
      <c r="G11" s="51">
        <v>99.74</v>
      </c>
      <c r="H11" s="51">
        <v>5300</v>
      </c>
      <c r="I11" s="50"/>
      <c r="J11" s="51">
        <v>5300</v>
      </c>
      <c r="K11" s="50" t="s">
        <v>119</v>
      </c>
    </row>
    <row r="12" spans="1:11" ht="14.25" customHeight="1" x14ac:dyDescent="0.3">
      <c r="A12">
        <v>1011</v>
      </c>
      <c r="B12" s="46">
        <v>202502</v>
      </c>
      <c r="C12" s="47" t="s">
        <v>35</v>
      </c>
      <c r="D12" s="47" t="s">
        <v>122</v>
      </c>
      <c r="E12" s="47" t="s">
        <v>118</v>
      </c>
      <c r="F12" s="48">
        <v>2.91</v>
      </c>
      <c r="G12" s="48">
        <v>98.46</v>
      </c>
      <c r="H12" s="48">
        <v>0</v>
      </c>
      <c r="I12" s="47"/>
      <c r="J12" s="48">
        <v>0</v>
      </c>
      <c r="K12" s="47" t="s">
        <v>119</v>
      </c>
    </row>
    <row r="13" spans="1:11" ht="14.25" customHeight="1" x14ac:dyDescent="0.3">
      <c r="A13">
        <v>1012</v>
      </c>
      <c r="B13" s="49">
        <v>202502</v>
      </c>
      <c r="C13" s="50" t="s">
        <v>33</v>
      </c>
      <c r="D13" s="50" t="s">
        <v>121</v>
      </c>
      <c r="E13" s="50" t="s">
        <v>118</v>
      </c>
      <c r="F13" s="51">
        <v>3.52</v>
      </c>
      <c r="G13" s="51">
        <v>78.36</v>
      </c>
      <c r="H13" s="51">
        <v>2153</v>
      </c>
      <c r="I13" s="50"/>
      <c r="J13" s="51">
        <v>2153</v>
      </c>
      <c r="K13" s="50" t="s">
        <v>119</v>
      </c>
    </row>
    <row r="14" spans="1:11" ht="14.25" customHeight="1" x14ac:dyDescent="0.3">
      <c r="A14">
        <v>1013</v>
      </c>
      <c r="B14" s="46">
        <v>202502</v>
      </c>
      <c r="C14" s="47" t="s">
        <v>27</v>
      </c>
      <c r="D14" s="47" t="s">
        <v>117</v>
      </c>
      <c r="E14" s="47" t="s">
        <v>118</v>
      </c>
      <c r="F14" s="48">
        <v>3.8</v>
      </c>
      <c r="G14" s="48">
        <v>99.83</v>
      </c>
      <c r="H14" s="48">
        <v>2300</v>
      </c>
      <c r="I14" s="47"/>
      <c r="J14" s="48">
        <v>2300</v>
      </c>
      <c r="K14" s="47" t="s">
        <v>119</v>
      </c>
    </row>
    <row r="15" spans="1:11" ht="14.25" customHeight="1" x14ac:dyDescent="0.3">
      <c r="A15">
        <v>1014</v>
      </c>
      <c r="B15" s="49">
        <v>202502</v>
      </c>
      <c r="C15" s="50" t="s">
        <v>83</v>
      </c>
      <c r="D15" s="50" t="s">
        <v>120</v>
      </c>
      <c r="E15" s="50" t="s">
        <v>118</v>
      </c>
      <c r="F15" s="51"/>
      <c r="G15" s="51">
        <v>100</v>
      </c>
      <c r="H15" s="51">
        <v>0</v>
      </c>
      <c r="I15" s="50"/>
      <c r="J15" s="51">
        <v>0</v>
      </c>
      <c r="K15" s="50" t="s">
        <v>119</v>
      </c>
    </row>
    <row r="16" spans="1:11" ht="14.25" customHeight="1" x14ac:dyDescent="0.3">
      <c r="A16">
        <v>1015</v>
      </c>
      <c r="B16" s="46">
        <v>202502</v>
      </c>
      <c r="C16" s="47" t="s">
        <v>19</v>
      </c>
      <c r="D16" s="47" t="s">
        <v>117</v>
      </c>
      <c r="E16" s="47" t="s">
        <v>118</v>
      </c>
      <c r="F16" s="48">
        <v>4.03</v>
      </c>
      <c r="G16" s="48">
        <v>93.79</v>
      </c>
      <c r="H16" s="48">
        <v>3495</v>
      </c>
      <c r="I16" s="47"/>
      <c r="J16" s="48">
        <v>3495</v>
      </c>
      <c r="K16" s="47" t="s">
        <v>119</v>
      </c>
    </row>
    <row r="17" spans="1:11" ht="14.25" customHeight="1" x14ac:dyDescent="0.3">
      <c r="A17">
        <v>1016</v>
      </c>
      <c r="B17" s="49">
        <v>202502</v>
      </c>
      <c r="C17" s="50" t="s">
        <v>20</v>
      </c>
      <c r="D17" s="50" t="s">
        <v>122</v>
      </c>
      <c r="E17" s="50" t="s">
        <v>118</v>
      </c>
      <c r="F17" s="51">
        <v>2.96</v>
      </c>
      <c r="G17" s="51">
        <v>100</v>
      </c>
      <c r="H17" s="51">
        <v>5500</v>
      </c>
      <c r="I17" s="50"/>
      <c r="J17" s="51">
        <v>5500</v>
      </c>
      <c r="K17" s="50" t="s">
        <v>119</v>
      </c>
    </row>
    <row r="18" spans="1:11" ht="14.25" customHeight="1" x14ac:dyDescent="0.3">
      <c r="A18">
        <v>1017</v>
      </c>
      <c r="B18" s="46">
        <v>202502</v>
      </c>
      <c r="C18" s="47" t="s">
        <v>73</v>
      </c>
      <c r="D18" s="47" t="s">
        <v>121</v>
      </c>
      <c r="E18" s="47" t="s">
        <v>118</v>
      </c>
      <c r="F18" s="48">
        <v>3.59</v>
      </c>
      <c r="G18" s="48">
        <v>98.52</v>
      </c>
      <c r="H18" s="48">
        <v>975</v>
      </c>
      <c r="I18" s="47"/>
      <c r="J18" s="48">
        <v>975</v>
      </c>
      <c r="K18" s="47" t="s">
        <v>119</v>
      </c>
    </row>
    <row r="19" spans="1:11" ht="14.25" customHeight="1" x14ac:dyDescent="0.3">
      <c r="A19">
        <v>1018</v>
      </c>
      <c r="B19" s="49">
        <v>202502</v>
      </c>
      <c r="C19" s="50" t="s">
        <v>28</v>
      </c>
      <c r="D19" s="50" t="s">
        <v>122</v>
      </c>
      <c r="E19" s="50" t="s">
        <v>118</v>
      </c>
      <c r="F19" s="51">
        <v>3.75</v>
      </c>
      <c r="G19" s="51">
        <v>99.76</v>
      </c>
      <c r="H19" s="51">
        <v>1925</v>
      </c>
      <c r="I19" s="50"/>
      <c r="J19" s="51">
        <v>1925</v>
      </c>
      <c r="K19" s="50" t="s">
        <v>119</v>
      </c>
    </row>
    <row r="20" spans="1:11" ht="14.25" customHeight="1" x14ac:dyDescent="0.3">
      <c r="A20">
        <v>1019</v>
      </c>
      <c r="B20" s="46">
        <v>202502</v>
      </c>
      <c r="C20" s="47" t="s">
        <v>55</v>
      </c>
      <c r="D20" s="47" t="s">
        <v>121</v>
      </c>
      <c r="E20" s="47" t="s">
        <v>118</v>
      </c>
      <c r="F20" s="48"/>
      <c r="G20" s="48">
        <v>90.91</v>
      </c>
      <c r="H20" s="48">
        <v>3000</v>
      </c>
      <c r="I20" s="47"/>
      <c r="J20" s="48">
        <v>3000</v>
      </c>
      <c r="K20" s="47" t="s">
        <v>119</v>
      </c>
    </row>
    <row r="21" spans="1:11" ht="14.25" customHeight="1" x14ac:dyDescent="0.3">
      <c r="A21">
        <v>1020</v>
      </c>
      <c r="B21" s="49">
        <v>202502</v>
      </c>
      <c r="C21" s="50" t="s">
        <v>23</v>
      </c>
      <c r="D21" s="50" t="s">
        <v>120</v>
      </c>
      <c r="E21" s="50" t="s">
        <v>118</v>
      </c>
      <c r="F21" s="51">
        <v>4.16</v>
      </c>
      <c r="G21" s="51">
        <v>99.88</v>
      </c>
      <c r="H21" s="51">
        <v>5100</v>
      </c>
      <c r="I21" s="50"/>
      <c r="J21" s="51">
        <v>5100</v>
      </c>
      <c r="K21" s="50" t="s">
        <v>119</v>
      </c>
    </row>
    <row r="22" spans="1:11" ht="14.25" customHeight="1" x14ac:dyDescent="0.3">
      <c r="A22">
        <v>1021</v>
      </c>
      <c r="B22" s="46">
        <v>202502</v>
      </c>
      <c r="C22" s="47" t="s">
        <v>22</v>
      </c>
      <c r="D22" s="47" t="s">
        <v>117</v>
      </c>
      <c r="E22" s="47" t="s">
        <v>118</v>
      </c>
      <c r="F22" s="48">
        <v>2.97</v>
      </c>
      <c r="G22" s="48">
        <v>84.15</v>
      </c>
      <c r="H22" s="48">
        <v>3400</v>
      </c>
      <c r="I22" s="47"/>
      <c r="J22" s="48">
        <v>3400</v>
      </c>
      <c r="K22" s="47" t="s">
        <v>119</v>
      </c>
    </row>
    <row r="23" spans="1:11" ht="14.25" customHeight="1" x14ac:dyDescent="0.3">
      <c r="A23">
        <v>1022</v>
      </c>
      <c r="B23" s="49">
        <v>202502</v>
      </c>
      <c r="C23" s="50" t="s">
        <v>79</v>
      </c>
      <c r="D23" s="50" t="s">
        <v>122</v>
      </c>
      <c r="E23" s="50" t="s">
        <v>118</v>
      </c>
      <c r="F23" s="51"/>
      <c r="G23" s="51">
        <v>100</v>
      </c>
      <c r="H23" s="51">
        <v>0</v>
      </c>
      <c r="I23" s="50"/>
      <c r="J23" s="51">
        <v>0</v>
      </c>
      <c r="K23" s="50" t="s">
        <v>119</v>
      </c>
    </row>
    <row r="24" spans="1:11" ht="14.25" customHeight="1" x14ac:dyDescent="0.3">
      <c r="A24">
        <v>1023</v>
      </c>
      <c r="B24" s="46">
        <v>202502</v>
      </c>
      <c r="C24" s="47" t="s">
        <v>81</v>
      </c>
      <c r="D24" s="47" t="s">
        <v>122</v>
      </c>
      <c r="E24" s="47" t="s">
        <v>118</v>
      </c>
      <c r="F24" s="48"/>
      <c r="G24" s="48">
        <v>97.9</v>
      </c>
      <c r="H24" s="48">
        <v>0</v>
      </c>
      <c r="I24" s="47"/>
      <c r="J24" s="48">
        <v>0</v>
      </c>
      <c r="K24" s="47" t="s">
        <v>119</v>
      </c>
    </row>
    <row r="25" spans="1:11" ht="14.25" customHeight="1" x14ac:dyDescent="0.3">
      <c r="A25">
        <v>1024</v>
      </c>
      <c r="B25" s="49">
        <v>202502</v>
      </c>
      <c r="C25" s="50" t="s">
        <v>44</v>
      </c>
      <c r="D25" s="50" t="s">
        <v>122</v>
      </c>
      <c r="E25" s="50" t="s">
        <v>118</v>
      </c>
      <c r="F25" s="51">
        <v>3.73</v>
      </c>
      <c r="G25" s="51">
        <v>90</v>
      </c>
      <c r="H25" s="51">
        <v>1350</v>
      </c>
      <c r="I25" s="50"/>
      <c r="J25" s="51">
        <v>1350</v>
      </c>
      <c r="K25" s="50" t="s">
        <v>119</v>
      </c>
    </row>
    <row r="26" spans="1:11" ht="14.25" customHeight="1" x14ac:dyDescent="0.3">
      <c r="A26">
        <v>1025</v>
      </c>
      <c r="B26" s="46">
        <v>202502</v>
      </c>
      <c r="C26" s="47" t="s">
        <v>80</v>
      </c>
      <c r="D26" s="47" t="s">
        <v>122</v>
      </c>
      <c r="E26" s="47" t="s">
        <v>118</v>
      </c>
      <c r="F26" s="48"/>
      <c r="G26" s="48">
        <v>100</v>
      </c>
      <c r="H26" s="48">
        <v>0</v>
      </c>
      <c r="I26" s="47"/>
      <c r="J26" s="48">
        <v>0</v>
      </c>
      <c r="K26" s="47" t="s">
        <v>119</v>
      </c>
    </row>
    <row r="27" spans="1:11" ht="14.25" customHeight="1" x14ac:dyDescent="0.3">
      <c r="A27">
        <v>1026</v>
      </c>
      <c r="B27" s="49">
        <v>202502</v>
      </c>
      <c r="C27" s="50" t="s">
        <v>75</v>
      </c>
      <c r="D27" s="50" t="s">
        <v>122</v>
      </c>
      <c r="E27" s="50" t="s">
        <v>118</v>
      </c>
      <c r="F27" s="51">
        <v>3.67</v>
      </c>
      <c r="G27" s="51">
        <v>80.83</v>
      </c>
      <c r="H27" s="51">
        <v>1200</v>
      </c>
      <c r="I27" s="50"/>
      <c r="J27" s="51">
        <v>1200</v>
      </c>
      <c r="K27" s="50" t="s">
        <v>119</v>
      </c>
    </row>
    <row r="28" spans="1:11" ht="14.25" customHeight="1" x14ac:dyDescent="0.3">
      <c r="A28">
        <v>1027</v>
      </c>
      <c r="B28" s="46">
        <v>202502</v>
      </c>
      <c r="C28" s="47" t="s">
        <v>40</v>
      </c>
      <c r="D28" s="47" t="s">
        <v>121</v>
      </c>
      <c r="E28" s="47" t="s">
        <v>118</v>
      </c>
      <c r="F28" s="48">
        <v>2.95</v>
      </c>
      <c r="G28" s="48">
        <v>62.18</v>
      </c>
      <c r="H28" s="48">
        <v>0</v>
      </c>
      <c r="I28" s="47"/>
      <c r="J28" s="48">
        <v>0</v>
      </c>
      <c r="K28" s="47" t="s">
        <v>119</v>
      </c>
    </row>
    <row r="29" spans="1:11" ht="14.25" customHeight="1" x14ac:dyDescent="0.3">
      <c r="A29">
        <v>1028</v>
      </c>
      <c r="B29" s="49">
        <v>202502</v>
      </c>
      <c r="C29" s="50" t="s">
        <v>31</v>
      </c>
      <c r="D29" s="50" t="s">
        <v>121</v>
      </c>
      <c r="E29" s="50" t="s">
        <v>118</v>
      </c>
      <c r="F29" s="51">
        <v>3.76</v>
      </c>
      <c r="G29" s="51">
        <v>72.489999999999995</v>
      </c>
      <c r="H29" s="51">
        <v>960</v>
      </c>
      <c r="I29" s="50"/>
      <c r="J29" s="51">
        <v>960</v>
      </c>
      <c r="K29" s="50" t="s">
        <v>119</v>
      </c>
    </row>
    <row r="30" spans="1:11" ht="14.25" customHeight="1" x14ac:dyDescent="0.3">
      <c r="A30">
        <v>1029</v>
      </c>
      <c r="B30" s="46">
        <v>202502</v>
      </c>
      <c r="C30" s="47" t="s">
        <v>21</v>
      </c>
      <c r="D30" s="47" t="s">
        <v>117</v>
      </c>
      <c r="E30" s="47" t="s">
        <v>118</v>
      </c>
      <c r="F30" s="48">
        <v>4.04</v>
      </c>
      <c r="G30" s="48">
        <v>99.76</v>
      </c>
      <c r="H30" s="48">
        <v>5125</v>
      </c>
      <c r="I30" s="47"/>
      <c r="J30" s="48">
        <v>5125</v>
      </c>
      <c r="K30" s="47" t="s">
        <v>119</v>
      </c>
    </row>
    <row r="31" spans="1:11" ht="14.25" customHeight="1" x14ac:dyDescent="0.3">
      <c r="A31">
        <v>1030</v>
      </c>
      <c r="B31" s="49">
        <v>202502</v>
      </c>
      <c r="C31" s="50" t="s">
        <v>29</v>
      </c>
      <c r="D31" s="50" t="s">
        <v>121</v>
      </c>
      <c r="E31" s="50" t="s">
        <v>118</v>
      </c>
      <c r="F31" s="51">
        <v>3.8</v>
      </c>
      <c r="G31" s="51">
        <v>99.72</v>
      </c>
      <c r="H31" s="51">
        <v>2125</v>
      </c>
      <c r="I31" s="50"/>
      <c r="J31" s="51">
        <v>2125</v>
      </c>
      <c r="K31" s="50" t="s">
        <v>119</v>
      </c>
    </row>
    <row r="32" spans="1:11" ht="14.25" customHeight="1" x14ac:dyDescent="0.3">
      <c r="A32">
        <v>1031</v>
      </c>
      <c r="B32" s="46">
        <v>202502</v>
      </c>
      <c r="C32" s="47" t="s">
        <v>32</v>
      </c>
      <c r="D32" s="47" t="s">
        <v>122</v>
      </c>
      <c r="E32" s="47" t="s">
        <v>118</v>
      </c>
      <c r="F32" s="48">
        <v>3.35</v>
      </c>
      <c r="G32" s="48">
        <v>90</v>
      </c>
      <c r="H32" s="48">
        <v>1237.5</v>
      </c>
      <c r="I32" s="47"/>
      <c r="J32" s="48">
        <v>1237.5</v>
      </c>
      <c r="K32" s="47" t="s">
        <v>119</v>
      </c>
    </row>
    <row r="33" spans="1:11" ht="14.25" customHeight="1" x14ac:dyDescent="0.3">
      <c r="A33">
        <v>1032</v>
      </c>
      <c r="B33" s="49">
        <v>202502</v>
      </c>
      <c r="C33" s="50" t="s">
        <v>34</v>
      </c>
      <c r="D33" s="50" t="s">
        <v>121</v>
      </c>
      <c r="E33" s="50" t="s">
        <v>118</v>
      </c>
      <c r="F33" s="51">
        <v>3.8</v>
      </c>
      <c r="G33" s="51">
        <v>100</v>
      </c>
      <c r="H33" s="51">
        <v>2125</v>
      </c>
      <c r="I33" s="50"/>
      <c r="J33" s="51">
        <v>2125</v>
      </c>
      <c r="K33" s="50" t="s">
        <v>119</v>
      </c>
    </row>
    <row r="34" spans="1:11" ht="14.25" customHeight="1" x14ac:dyDescent="0.3">
      <c r="A34">
        <v>1033</v>
      </c>
      <c r="B34" s="46">
        <v>202502</v>
      </c>
      <c r="C34" s="47" t="s">
        <v>37</v>
      </c>
      <c r="D34" s="47" t="s">
        <v>122</v>
      </c>
      <c r="E34" s="47" t="s">
        <v>118</v>
      </c>
      <c r="F34" s="48">
        <v>3.71</v>
      </c>
      <c r="G34" s="48">
        <v>87.07</v>
      </c>
      <c r="H34" s="48">
        <v>1540</v>
      </c>
      <c r="I34" s="47"/>
      <c r="J34" s="48">
        <v>1540</v>
      </c>
      <c r="K34" s="47" t="s">
        <v>119</v>
      </c>
    </row>
    <row r="35" spans="1:11" ht="14.25" customHeight="1" x14ac:dyDescent="0.3">
      <c r="A35">
        <v>1001</v>
      </c>
      <c r="B35" s="49">
        <v>202502</v>
      </c>
      <c r="C35" s="50" t="s">
        <v>17</v>
      </c>
      <c r="D35" s="50" t="s">
        <v>117</v>
      </c>
      <c r="E35" s="50" t="s">
        <v>118</v>
      </c>
      <c r="F35" s="51">
        <v>4.0599999999999996</v>
      </c>
      <c r="G35" s="51">
        <v>97.87</v>
      </c>
      <c r="H35" s="51">
        <v>4925</v>
      </c>
      <c r="I35" s="50"/>
      <c r="J35" s="51">
        <v>4925</v>
      </c>
      <c r="K35" s="50" t="s">
        <v>119</v>
      </c>
    </row>
    <row r="36" spans="1:11" ht="14.25" customHeight="1" x14ac:dyDescent="0.3">
      <c r="A36">
        <v>1002</v>
      </c>
      <c r="B36" s="46">
        <v>202502</v>
      </c>
      <c r="C36" s="47" t="s">
        <v>25</v>
      </c>
      <c r="D36" s="47" t="s">
        <v>120</v>
      </c>
      <c r="E36" s="47" t="s">
        <v>118</v>
      </c>
      <c r="F36" s="48">
        <v>3.95</v>
      </c>
      <c r="G36" s="48">
        <v>95.31</v>
      </c>
      <c r="H36" s="48">
        <v>3195</v>
      </c>
      <c r="I36" s="47"/>
      <c r="J36" s="48">
        <v>3195</v>
      </c>
      <c r="K36" s="47" t="s">
        <v>119</v>
      </c>
    </row>
    <row r="37" spans="1:11" ht="14.25" customHeight="1" x14ac:dyDescent="0.3">
      <c r="A37">
        <v>1003</v>
      </c>
      <c r="B37" s="49">
        <v>202502</v>
      </c>
      <c r="C37" s="50" t="s">
        <v>26</v>
      </c>
      <c r="D37" s="50" t="s">
        <v>120</v>
      </c>
      <c r="E37" s="50" t="s">
        <v>118</v>
      </c>
      <c r="F37" s="51">
        <v>4.03</v>
      </c>
      <c r="G37" s="51">
        <v>99.5</v>
      </c>
      <c r="H37" s="51">
        <v>3650</v>
      </c>
      <c r="I37" s="50"/>
      <c r="J37" s="51">
        <v>3650</v>
      </c>
      <c r="K37" s="50" t="s">
        <v>119</v>
      </c>
    </row>
    <row r="38" spans="1:11" ht="14.25" customHeight="1" x14ac:dyDescent="0.3">
      <c r="A38">
        <v>1004</v>
      </c>
      <c r="B38" s="46">
        <v>202502</v>
      </c>
      <c r="C38" s="47" t="s">
        <v>15</v>
      </c>
      <c r="D38" s="47" t="s">
        <v>117</v>
      </c>
      <c r="E38" s="47" t="s">
        <v>118</v>
      </c>
      <c r="F38" s="48">
        <v>2.65</v>
      </c>
      <c r="G38" s="48">
        <v>96.12</v>
      </c>
      <c r="H38" s="48">
        <v>4800</v>
      </c>
      <c r="I38" s="47"/>
      <c r="J38" s="48">
        <v>4800</v>
      </c>
      <c r="K38" s="47" t="s">
        <v>119</v>
      </c>
    </row>
    <row r="39" spans="1:11" ht="14.25" customHeight="1" x14ac:dyDescent="0.3">
      <c r="A39">
        <v>1005</v>
      </c>
      <c r="B39" s="49">
        <v>202502</v>
      </c>
      <c r="C39" s="50" t="s">
        <v>36</v>
      </c>
      <c r="D39" s="50" t="s">
        <v>121</v>
      </c>
      <c r="E39" s="50" t="s">
        <v>118</v>
      </c>
      <c r="F39" s="51">
        <v>2.81</v>
      </c>
      <c r="G39" s="51">
        <v>100</v>
      </c>
      <c r="H39" s="51">
        <v>0</v>
      </c>
      <c r="I39" s="50"/>
      <c r="J39" s="51">
        <v>0</v>
      </c>
      <c r="K39" s="50" t="s">
        <v>119</v>
      </c>
    </row>
    <row r="40" spans="1:11" ht="14.25" customHeight="1" x14ac:dyDescent="0.3">
      <c r="A40">
        <v>1006</v>
      </c>
      <c r="B40" s="46">
        <v>202502</v>
      </c>
      <c r="C40" s="47" t="s">
        <v>16</v>
      </c>
      <c r="D40" s="47" t="s">
        <v>117</v>
      </c>
      <c r="E40" s="47" t="s">
        <v>118</v>
      </c>
      <c r="F40" s="48">
        <v>4.01</v>
      </c>
      <c r="G40" s="48">
        <v>99.91</v>
      </c>
      <c r="H40" s="48">
        <v>4525</v>
      </c>
      <c r="I40" s="47"/>
      <c r="J40" s="48">
        <v>4525</v>
      </c>
      <c r="K40" s="47" t="s">
        <v>119</v>
      </c>
    </row>
    <row r="41" spans="1:11" ht="14.25" customHeight="1" x14ac:dyDescent="0.3">
      <c r="A41">
        <v>1007</v>
      </c>
      <c r="B41" s="49">
        <v>202502</v>
      </c>
      <c r="C41" s="50" t="s">
        <v>24</v>
      </c>
      <c r="D41" s="50" t="s">
        <v>120</v>
      </c>
      <c r="E41" s="50" t="s">
        <v>118</v>
      </c>
      <c r="F41" s="51">
        <v>3.97</v>
      </c>
      <c r="G41" s="51">
        <v>92.9</v>
      </c>
      <c r="H41" s="51">
        <v>3357.5</v>
      </c>
      <c r="I41" s="50"/>
      <c r="J41" s="51">
        <v>3357.5</v>
      </c>
      <c r="K41" s="50" t="s">
        <v>119</v>
      </c>
    </row>
    <row r="42" spans="1:11" ht="14.25" customHeight="1" x14ac:dyDescent="0.3">
      <c r="A42">
        <v>1008</v>
      </c>
      <c r="B42" s="46">
        <v>202502</v>
      </c>
      <c r="C42" s="47" t="s">
        <v>30</v>
      </c>
      <c r="D42" s="47" t="s">
        <v>120</v>
      </c>
      <c r="E42" s="47" t="s">
        <v>118</v>
      </c>
      <c r="F42" s="48">
        <v>2.86</v>
      </c>
      <c r="G42" s="48">
        <v>100</v>
      </c>
      <c r="H42" s="48">
        <v>0</v>
      </c>
      <c r="I42" s="47"/>
      <c r="J42" s="48">
        <v>0</v>
      </c>
      <c r="K42" s="47" t="s">
        <v>119</v>
      </c>
    </row>
    <row r="43" spans="1:11" ht="14.25" customHeight="1" x14ac:dyDescent="0.3">
      <c r="A43">
        <v>1009</v>
      </c>
      <c r="B43" s="49">
        <v>202502</v>
      </c>
      <c r="C43" s="50" t="s">
        <v>18</v>
      </c>
      <c r="D43" s="50" t="s">
        <v>120</v>
      </c>
      <c r="E43" s="50" t="s">
        <v>118</v>
      </c>
      <c r="F43" s="51">
        <v>2.79</v>
      </c>
      <c r="G43" s="51">
        <v>93.75</v>
      </c>
      <c r="H43" s="51">
        <v>5312.5</v>
      </c>
      <c r="I43" s="50"/>
      <c r="J43" s="51">
        <v>5312.5</v>
      </c>
      <c r="K43" s="50" t="s">
        <v>119</v>
      </c>
    </row>
    <row r="44" spans="1:11" ht="14.25" customHeight="1" x14ac:dyDescent="0.3">
      <c r="A44">
        <v>1010</v>
      </c>
      <c r="B44" s="46">
        <v>202502</v>
      </c>
      <c r="C44" s="47" t="s">
        <v>38</v>
      </c>
      <c r="D44" s="47" t="s">
        <v>117</v>
      </c>
      <c r="E44" s="47" t="s">
        <v>118</v>
      </c>
      <c r="F44" s="48">
        <v>4.0999999999999996</v>
      </c>
      <c r="G44" s="48">
        <v>99.74</v>
      </c>
      <c r="H44" s="48">
        <v>5300</v>
      </c>
      <c r="I44" s="47"/>
      <c r="J44" s="48">
        <v>5300</v>
      </c>
      <c r="K44" s="47" t="s">
        <v>119</v>
      </c>
    </row>
    <row r="45" spans="1:11" ht="14.25" customHeight="1" x14ac:dyDescent="0.3">
      <c r="A45">
        <v>1011</v>
      </c>
      <c r="B45" s="49">
        <v>202502</v>
      </c>
      <c r="C45" s="50" t="s">
        <v>35</v>
      </c>
      <c r="D45" s="50" t="s">
        <v>122</v>
      </c>
      <c r="E45" s="50" t="s">
        <v>118</v>
      </c>
      <c r="F45" s="51">
        <v>2.91</v>
      </c>
      <c r="G45" s="51">
        <v>98.46</v>
      </c>
      <c r="H45" s="51">
        <v>0</v>
      </c>
      <c r="I45" s="50"/>
      <c r="J45" s="51">
        <v>0</v>
      </c>
      <c r="K45" s="50" t="s">
        <v>119</v>
      </c>
    </row>
    <row r="46" spans="1:11" ht="14.25" customHeight="1" x14ac:dyDescent="0.3">
      <c r="A46">
        <v>1012</v>
      </c>
      <c r="B46" s="46">
        <v>202502</v>
      </c>
      <c r="C46" s="47" t="s">
        <v>33</v>
      </c>
      <c r="D46" s="47" t="s">
        <v>121</v>
      </c>
      <c r="E46" s="47" t="s">
        <v>118</v>
      </c>
      <c r="F46" s="48">
        <v>3.52</v>
      </c>
      <c r="G46" s="48">
        <v>78.36</v>
      </c>
      <c r="H46" s="48">
        <v>2153</v>
      </c>
      <c r="I46" s="47"/>
      <c r="J46" s="48">
        <v>2153</v>
      </c>
      <c r="K46" s="47" t="s">
        <v>119</v>
      </c>
    </row>
    <row r="47" spans="1:11" ht="14.25" customHeight="1" x14ac:dyDescent="0.3">
      <c r="A47">
        <v>1013</v>
      </c>
      <c r="B47" s="49">
        <v>202502</v>
      </c>
      <c r="C47" s="50" t="s">
        <v>27</v>
      </c>
      <c r="D47" s="50" t="s">
        <v>117</v>
      </c>
      <c r="E47" s="50" t="s">
        <v>118</v>
      </c>
      <c r="F47" s="51">
        <v>3.8</v>
      </c>
      <c r="G47" s="51">
        <v>99.83</v>
      </c>
      <c r="H47" s="51">
        <v>2300</v>
      </c>
      <c r="I47" s="50"/>
      <c r="J47" s="51">
        <v>2300</v>
      </c>
      <c r="K47" s="50" t="s">
        <v>119</v>
      </c>
    </row>
    <row r="48" spans="1:11" ht="14.25" customHeight="1" x14ac:dyDescent="0.3">
      <c r="A48">
        <v>1014</v>
      </c>
      <c r="B48" s="46">
        <v>202502</v>
      </c>
      <c r="C48" s="47" t="s">
        <v>83</v>
      </c>
      <c r="D48" s="47" t="s">
        <v>120</v>
      </c>
      <c r="E48" s="47" t="s">
        <v>118</v>
      </c>
      <c r="F48" s="48"/>
      <c r="G48" s="48">
        <v>100</v>
      </c>
      <c r="H48" s="48">
        <v>0</v>
      </c>
      <c r="I48" s="47"/>
      <c r="J48" s="48">
        <v>0</v>
      </c>
      <c r="K48" s="47" t="s">
        <v>119</v>
      </c>
    </row>
    <row r="49" spans="1:11" ht="14.25" customHeight="1" x14ac:dyDescent="0.3">
      <c r="A49">
        <v>1015</v>
      </c>
      <c r="B49" s="49">
        <v>202502</v>
      </c>
      <c r="C49" s="50" t="s">
        <v>19</v>
      </c>
      <c r="D49" s="50" t="s">
        <v>117</v>
      </c>
      <c r="E49" s="50" t="s">
        <v>118</v>
      </c>
      <c r="F49" s="51">
        <v>4.03</v>
      </c>
      <c r="G49" s="51">
        <v>93.79</v>
      </c>
      <c r="H49" s="51">
        <v>3495</v>
      </c>
      <c r="I49" s="50"/>
      <c r="J49" s="51">
        <v>3495</v>
      </c>
      <c r="K49" s="50" t="s">
        <v>119</v>
      </c>
    </row>
    <row r="50" spans="1:11" ht="14.25" customHeight="1" x14ac:dyDescent="0.3">
      <c r="A50">
        <v>1016</v>
      </c>
      <c r="B50" s="46">
        <v>202502</v>
      </c>
      <c r="C50" s="47" t="s">
        <v>20</v>
      </c>
      <c r="D50" s="47" t="s">
        <v>122</v>
      </c>
      <c r="E50" s="47" t="s">
        <v>118</v>
      </c>
      <c r="F50" s="48">
        <v>2.96</v>
      </c>
      <c r="G50" s="48">
        <v>100</v>
      </c>
      <c r="H50" s="48">
        <v>5500</v>
      </c>
      <c r="I50" s="47"/>
      <c r="J50" s="48">
        <v>5500</v>
      </c>
      <c r="K50" s="47" t="s">
        <v>119</v>
      </c>
    </row>
    <row r="51" spans="1:11" ht="14.25" customHeight="1" x14ac:dyDescent="0.3">
      <c r="A51">
        <v>1017</v>
      </c>
      <c r="B51" s="49">
        <v>202502</v>
      </c>
      <c r="C51" s="50" t="s">
        <v>73</v>
      </c>
      <c r="D51" s="50" t="s">
        <v>121</v>
      </c>
      <c r="E51" s="50" t="s">
        <v>118</v>
      </c>
      <c r="F51" s="51">
        <v>3.59</v>
      </c>
      <c r="G51" s="51">
        <v>98.52</v>
      </c>
      <c r="H51" s="51">
        <v>975</v>
      </c>
      <c r="I51" s="50"/>
      <c r="J51" s="51">
        <v>975</v>
      </c>
      <c r="K51" s="50" t="s">
        <v>119</v>
      </c>
    </row>
    <row r="52" spans="1:11" ht="14.25" customHeight="1" x14ac:dyDescent="0.3">
      <c r="A52">
        <v>1018</v>
      </c>
      <c r="B52" s="46">
        <v>202502</v>
      </c>
      <c r="C52" s="47" t="s">
        <v>28</v>
      </c>
      <c r="D52" s="47" t="s">
        <v>122</v>
      </c>
      <c r="E52" s="47" t="s">
        <v>118</v>
      </c>
      <c r="F52" s="48">
        <v>3.75</v>
      </c>
      <c r="G52" s="48">
        <v>99.76</v>
      </c>
      <c r="H52" s="48">
        <v>1925</v>
      </c>
      <c r="I52" s="47"/>
      <c r="J52" s="48">
        <v>1925</v>
      </c>
      <c r="K52" s="47" t="s">
        <v>119</v>
      </c>
    </row>
    <row r="53" spans="1:11" ht="14.25" customHeight="1" x14ac:dyDescent="0.3">
      <c r="A53">
        <v>1019</v>
      </c>
      <c r="B53" s="49">
        <v>202502</v>
      </c>
      <c r="C53" s="50" t="s">
        <v>55</v>
      </c>
      <c r="D53" s="50" t="s">
        <v>121</v>
      </c>
      <c r="E53" s="50" t="s">
        <v>118</v>
      </c>
      <c r="F53" s="51"/>
      <c r="G53" s="51">
        <v>90.91</v>
      </c>
      <c r="H53" s="51">
        <v>3000</v>
      </c>
      <c r="I53" s="50"/>
      <c r="J53" s="51">
        <v>3000</v>
      </c>
      <c r="K53" s="50" t="s">
        <v>119</v>
      </c>
    </row>
    <row r="54" spans="1:11" ht="14.25" customHeight="1" x14ac:dyDescent="0.3">
      <c r="A54">
        <v>1020</v>
      </c>
      <c r="B54" s="46">
        <v>202502</v>
      </c>
      <c r="C54" s="47" t="s">
        <v>23</v>
      </c>
      <c r="D54" s="47" t="s">
        <v>120</v>
      </c>
      <c r="E54" s="47" t="s">
        <v>118</v>
      </c>
      <c r="F54" s="48">
        <v>4.16</v>
      </c>
      <c r="G54" s="48">
        <v>99.88</v>
      </c>
      <c r="H54" s="48">
        <v>5925</v>
      </c>
      <c r="I54" s="47"/>
      <c r="J54" s="48">
        <v>5100</v>
      </c>
      <c r="K54" s="47" t="s">
        <v>123</v>
      </c>
    </row>
    <row r="55" spans="1:11" ht="14.25" customHeight="1" x14ac:dyDescent="0.3">
      <c r="A55">
        <v>1021</v>
      </c>
      <c r="B55" s="49">
        <v>202502</v>
      </c>
      <c r="C55" s="50" t="s">
        <v>22</v>
      </c>
      <c r="D55" s="50" t="s">
        <v>117</v>
      </c>
      <c r="E55" s="50" t="s">
        <v>118</v>
      </c>
      <c r="F55" s="51">
        <v>2.97</v>
      </c>
      <c r="G55" s="51">
        <v>84.15</v>
      </c>
      <c r="H55" s="51">
        <v>3400</v>
      </c>
      <c r="I55" s="50"/>
      <c r="J55" s="51">
        <v>3400</v>
      </c>
      <c r="K55" s="50" t="s">
        <v>119</v>
      </c>
    </row>
    <row r="56" spans="1:11" ht="14.25" customHeight="1" x14ac:dyDescent="0.3">
      <c r="A56">
        <v>1022</v>
      </c>
      <c r="B56" s="46">
        <v>202502</v>
      </c>
      <c r="C56" s="47" t="s">
        <v>79</v>
      </c>
      <c r="D56" s="47" t="s">
        <v>122</v>
      </c>
      <c r="E56" s="47" t="s">
        <v>118</v>
      </c>
      <c r="F56" s="48"/>
      <c r="G56" s="48">
        <v>100</v>
      </c>
      <c r="H56" s="48">
        <v>0</v>
      </c>
      <c r="I56" s="47"/>
      <c r="J56" s="48">
        <v>0</v>
      </c>
      <c r="K56" s="47" t="s">
        <v>119</v>
      </c>
    </row>
    <row r="57" spans="1:11" ht="14.25" customHeight="1" x14ac:dyDescent="0.3">
      <c r="A57">
        <v>1023</v>
      </c>
      <c r="B57" s="49">
        <v>202502</v>
      </c>
      <c r="C57" s="50" t="s">
        <v>81</v>
      </c>
      <c r="D57" s="50" t="s">
        <v>122</v>
      </c>
      <c r="E57" s="50" t="s">
        <v>118</v>
      </c>
      <c r="F57" s="51"/>
      <c r="G57" s="51">
        <v>97.9</v>
      </c>
      <c r="H57" s="51">
        <v>0</v>
      </c>
      <c r="I57" s="50"/>
      <c r="J57" s="51">
        <v>0</v>
      </c>
      <c r="K57" s="50" t="s">
        <v>119</v>
      </c>
    </row>
    <row r="58" spans="1:11" ht="14.25" customHeight="1" x14ac:dyDescent="0.3">
      <c r="A58">
        <v>1024</v>
      </c>
      <c r="B58" s="46">
        <v>202502</v>
      </c>
      <c r="C58" s="47" t="s">
        <v>44</v>
      </c>
      <c r="D58" s="47" t="s">
        <v>122</v>
      </c>
      <c r="E58" s="47" t="s">
        <v>118</v>
      </c>
      <c r="F58" s="48">
        <v>3.73</v>
      </c>
      <c r="G58" s="48">
        <v>90</v>
      </c>
      <c r="H58" s="48">
        <v>1350</v>
      </c>
      <c r="I58" s="47"/>
      <c r="J58" s="48">
        <v>1350</v>
      </c>
      <c r="K58" s="47" t="s">
        <v>119</v>
      </c>
    </row>
    <row r="59" spans="1:11" ht="14.25" customHeight="1" x14ac:dyDescent="0.3">
      <c r="A59">
        <v>1025</v>
      </c>
      <c r="B59" s="49">
        <v>202502</v>
      </c>
      <c r="C59" s="50" t="s">
        <v>80</v>
      </c>
      <c r="D59" s="50" t="s">
        <v>122</v>
      </c>
      <c r="E59" s="50" t="s">
        <v>118</v>
      </c>
      <c r="F59" s="51"/>
      <c r="G59" s="51">
        <v>100</v>
      </c>
      <c r="H59" s="51">
        <v>0</v>
      </c>
      <c r="I59" s="50"/>
      <c r="J59" s="51">
        <v>0</v>
      </c>
      <c r="K59" s="50" t="s">
        <v>119</v>
      </c>
    </row>
    <row r="60" spans="1:11" ht="14.25" customHeight="1" x14ac:dyDescent="0.3">
      <c r="A60">
        <v>1026</v>
      </c>
      <c r="B60" s="46">
        <v>202502</v>
      </c>
      <c r="C60" s="47" t="s">
        <v>75</v>
      </c>
      <c r="D60" s="47" t="s">
        <v>122</v>
      </c>
      <c r="E60" s="47" t="s">
        <v>118</v>
      </c>
      <c r="F60" s="48">
        <v>3.67</v>
      </c>
      <c r="G60" s="48">
        <v>80.83</v>
      </c>
      <c r="H60" s="48">
        <v>1200</v>
      </c>
      <c r="I60" s="47"/>
      <c r="J60" s="48">
        <v>1200</v>
      </c>
      <c r="K60" s="47" t="s">
        <v>119</v>
      </c>
    </row>
    <row r="61" spans="1:11" ht="14.25" customHeight="1" x14ac:dyDescent="0.3">
      <c r="A61">
        <v>1027</v>
      </c>
      <c r="B61" s="49">
        <v>202502</v>
      </c>
      <c r="C61" s="50" t="s">
        <v>40</v>
      </c>
      <c r="D61" s="50" t="s">
        <v>121</v>
      </c>
      <c r="E61" s="50" t="s">
        <v>118</v>
      </c>
      <c r="F61" s="51">
        <v>2.95</v>
      </c>
      <c r="G61" s="51">
        <v>62.18</v>
      </c>
      <c r="H61" s="51">
        <v>0</v>
      </c>
      <c r="I61" s="50"/>
      <c r="J61" s="51">
        <v>0</v>
      </c>
      <c r="K61" s="50" t="s">
        <v>119</v>
      </c>
    </row>
    <row r="62" spans="1:11" ht="14.25" customHeight="1" x14ac:dyDescent="0.3">
      <c r="A62">
        <v>1028</v>
      </c>
      <c r="B62" s="46">
        <v>202502</v>
      </c>
      <c r="C62" s="47" t="s">
        <v>31</v>
      </c>
      <c r="D62" s="47" t="s">
        <v>121</v>
      </c>
      <c r="E62" s="47" t="s">
        <v>118</v>
      </c>
      <c r="F62" s="48">
        <v>3.76</v>
      </c>
      <c r="G62" s="48">
        <v>72.489999999999995</v>
      </c>
      <c r="H62" s="48">
        <v>960</v>
      </c>
      <c r="I62" s="47"/>
      <c r="J62" s="48">
        <v>960</v>
      </c>
      <c r="K62" s="47" t="s">
        <v>119</v>
      </c>
    </row>
    <row r="63" spans="1:11" ht="14.25" customHeight="1" x14ac:dyDescent="0.3">
      <c r="A63">
        <v>1029</v>
      </c>
      <c r="B63" s="49">
        <v>202502</v>
      </c>
      <c r="C63" s="50" t="s">
        <v>21</v>
      </c>
      <c r="D63" s="50" t="s">
        <v>117</v>
      </c>
      <c r="E63" s="50" t="s">
        <v>118</v>
      </c>
      <c r="F63" s="51">
        <v>4.04</v>
      </c>
      <c r="G63" s="51">
        <v>99.76</v>
      </c>
      <c r="H63" s="51">
        <v>5125</v>
      </c>
      <c r="I63" s="50"/>
      <c r="J63" s="51">
        <v>5125</v>
      </c>
      <c r="K63" s="50" t="s">
        <v>119</v>
      </c>
    </row>
    <row r="64" spans="1:11" ht="14.25" customHeight="1" x14ac:dyDescent="0.3">
      <c r="A64">
        <v>1030</v>
      </c>
      <c r="B64" s="46">
        <v>202502</v>
      </c>
      <c r="C64" s="47" t="s">
        <v>29</v>
      </c>
      <c r="D64" s="47" t="s">
        <v>121</v>
      </c>
      <c r="E64" s="47" t="s">
        <v>118</v>
      </c>
      <c r="F64" s="48">
        <v>3.8</v>
      </c>
      <c r="G64" s="48">
        <v>99.72</v>
      </c>
      <c r="H64" s="48">
        <v>2125</v>
      </c>
      <c r="I64" s="47"/>
      <c r="J64" s="48">
        <v>2125</v>
      </c>
      <c r="K64" s="47" t="s">
        <v>119</v>
      </c>
    </row>
    <row r="65" spans="1:11" ht="14.25" customHeight="1" x14ac:dyDescent="0.3">
      <c r="A65">
        <v>1031</v>
      </c>
      <c r="B65" s="49">
        <v>202502</v>
      </c>
      <c r="C65" s="50" t="s">
        <v>32</v>
      </c>
      <c r="D65" s="50" t="s">
        <v>122</v>
      </c>
      <c r="E65" s="50" t="s">
        <v>118</v>
      </c>
      <c r="F65" s="51">
        <v>3.35</v>
      </c>
      <c r="G65" s="51">
        <v>90</v>
      </c>
      <c r="H65" s="51">
        <v>1237.5</v>
      </c>
      <c r="I65" s="50"/>
      <c r="J65" s="51">
        <v>1237.5</v>
      </c>
      <c r="K65" s="50" t="s">
        <v>119</v>
      </c>
    </row>
    <row r="66" spans="1:11" ht="14.25" customHeight="1" x14ac:dyDescent="0.3">
      <c r="A66">
        <v>1032</v>
      </c>
      <c r="B66" s="46">
        <v>202502</v>
      </c>
      <c r="C66" s="47" t="s">
        <v>34</v>
      </c>
      <c r="D66" s="47" t="s">
        <v>121</v>
      </c>
      <c r="E66" s="47" t="s">
        <v>118</v>
      </c>
      <c r="F66" s="48">
        <v>3.8</v>
      </c>
      <c r="G66" s="48">
        <v>100</v>
      </c>
      <c r="H66" s="48">
        <v>2125</v>
      </c>
      <c r="I66" s="47"/>
      <c r="J66" s="48">
        <v>2125</v>
      </c>
      <c r="K66" s="47" t="s">
        <v>119</v>
      </c>
    </row>
    <row r="67" spans="1:11" ht="14.25" customHeight="1" x14ac:dyDescent="0.3">
      <c r="A67">
        <v>1033</v>
      </c>
      <c r="B67" s="49">
        <v>202502</v>
      </c>
      <c r="C67" s="50" t="s">
        <v>37</v>
      </c>
      <c r="D67" s="50" t="s">
        <v>122</v>
      </c>
      <c r="E67" s="50" t="s">
        <v>118</v>
      </c>
      <c r="F67" s="51">
        <v>3.71</v>
      </c>
      <c r="G67" s="51">
        <v>87.07</v>
      </c>
      <c r="H67" s="51">
        <v>1540</v>
      </c>
      <c r="I67" s="50"/>
      <c r="J67" s="51">
        <v>1540</v>
      </c>
      <c r="K67" s="50" t="s">
        <v>119</v>
      </c>
    </row>
    <row r="68" spans="1:11" ht="14.25" customHeight="1" x14ac:dyDescent="0.3">
      <c r="A68">
        <v>1030</v>
      </c>
      <c r="B68" s="46">
        <v>202503</v>
      </c>
      <c r="C68" s="47" t="s">
        <v>29</v>
      </c>
      <c r="D68" s="47" t="s">
        <v>121</v>
      </c>
      <c r="E68" s="47" t="s">
        <v>118</v>
      </c>
      <c r="F68" s="48">
        <v>2.35</v>
      </c>
      <c r="G68" s="48">
        <v>99.63</v>
      </c>
      <c r="H68" s="48">
        <v>0</v>
      </c>
      <c r="I68" s="47"/>
      <c r="J68" s="48">
        <v>0</v>
      </c>
      <c r="K68" s="47" t="s">
        <v>119</v>
      </c>
    </row>
    <row r="69" spans="1:11" ht="14.25" customHeight="1" x14ac:dyDescent="0.3">
      <c r="A69">
        <v>1019</v>
      </c>
      <c r="B69" s="49">
        <v>202503</v>
      </c>
      <c r="C69" s="50" t="s">
        <v>55</v>
      </c>
      <c r="D69" s="50" t="s">
        <v>121</v>
      </c>
      <c r="E69" s="50" t="s">
        <v>118</v>
      </c>
      <c r="F69" s="51">
        <v>0.91</v>
      </c>
      <c r="G69" s="51">
        <v>100</v>
      </c>
      <c r="H69" s="51">
        <v>0</v>
      </c>
      <c r="I69" s="50"/>
      <c r="J69" s="51">
        <v>0</v>
      </c>
      <c r="K69" s="50" t="s">
        <v>119</v>
      </c>
    </row>
    <row r="70" spans="1:11" ht="14.25" customHeight="1" x14ac:dyDescent="0.3">
      <c r="A70">
        <v>1023</v>
      </c>
      <c r="B70" s="46">
        <v>202503</v>
      </c>
      <c r="C70" s="47" t="s">
        <v>81</v>
      </c>
      <c r="D70" s="47" t="s">
        <v>122</v>
      </c>
      <c r="E70" s="47" t="s">
        <v>118</v>
      </c>
      <c r="F70" s="48">
        <v>0.68</v>
      </c>
      <c r="G70" s="48">
        <v>100</v>
      </c>
      <c r="H70" s="48">
        <v>0</v>
      </c>
      <c r="I70" s="47"/>
      <c r="J70" s="48">
        <v>0</v>
      </c>
      <c r="K70" s="47" t="s">
        <v>119</v>
      </c>
    </row>
    <row r="71" spans="1:11" ht="14.25" customHeight="1" x14ac:dyDescent="0.3">
      <c r="A71">
        <v>1026</v>
      </c>
      <c r="B71" s="49">
        <v>202503</v>
      </c>
      <c r="C71" s="50" t="s">
        <v>75</v>
      </c>
      <c r="D71" s="50" t="s">
        <v>122</v>
      </c>
      <c r="E71" s="50" t="s">
        <v>118</v>
      </c>
      <c r="F71" s="51">
        <v>1.52</v>
      </c>
      <c r="G71" s="51">
        <v>94.32</v>
      </c>
      <c r="H71" s="51">
        <v>0</v>
      </c>
      <c r="I71" s="50"/>
      <c r="J71" s="51">
        <v>0</v>
      </c>
      <c r="K71" s="50" t="s">
        <v>119</v>
      </c>
    </row>
    <row r="72" spans="1:11" ht="14.25" customHeight="1" x14ac:dyDescent="0.3">
      <c r="A72">
        <v>1024</v>
      </c>
      <c r="B72" s="46">
        <v>202503</v>
      </c>
      <c r="C72" s="47" t="s">
        <v>44</v>
      </c>
      <c r="D72" s="47" t="s">
        <v>122</v>
      </c>
      <c r="E72" s="47" t="s">
        <v>118</v>
      </c>
      <c r="F72" s="48">
        <v>1.28</v>
      </c>
      <c r="G72" s="48">
        <v>86.29</v>
      </c>
      <c r="H72" s="48">
        <v>2000</v>
      </c>
      <c r="I72" s="47"/>
      <c r="J72" s="48">
        <v>0</v>
      </c>
      <c r="K72" s="47" t="s">
        <v>123</v>
      </c>
    </row>
    <row r="73" spans="1:11" ht="14.25" customHeight="1" x14ac:dyDescent="0.3">
      <c r="A73">
        <v>1025</v>
      </c>
      <c r="B73" s="49">
        <v>202503</v>
      </c>
      <c r="C73" s="50" t="s">
        <v>80</v>
      </c>
      <c r="D73" s="50" t="s">
        <v>122</v>
      </c>
      <c r="E73" s="50" t="s">
        <v>118</v>
      </c>
      <c r="F73" s="51">
        <v>0.61</v>
      </c>
      <c r="G73" s="51">
        <v>100</v>
      </c>
      <c r="H73" s="51">
        <v>0</v>
      </c>
      <c r="I73" s="50"/>
      <c r="J73" s="51">
        <v>0</v>
      </c>
      <c r="K73" s="50" t="s">
        <v>119</v>
      </c>
    </row>
    <row r="74" spans="1:11" ht="14.25" customHeight="1" x14ac:dyDescent="0.3">
      <c r="A74">
        <v>1012</v>
      </c>
      <c r="B74" s="46">
        <v>202503</v>
      </c>
      <c r="C74" s="47" t="s">
        <v>33</v>
      </c>
      <c r="D74" s="47" t="s">
        <v>121</v>
      </c>
      <c r="E74" s="47" t="s">
        <v>118</v>
      </c>
      <c r="F74" s="48">
        <v>1.28</v>
      </c>
      <c r="G74" s="48">
        <v>89.76</v>
      </c>
      <c r="H74" s="48">
        <v>2153</v>
      </c>
      <c r="I74" s="47"/>
      <c r="J74" s="48">
        <v>2153</v>
      </c>
      <c r="K74" s="47" t="s">
        <v>119</v>
      </c>
    </row>
    <row r="75" spans="1:11" ht="14.25" customHeight="1" x14ac:dyDescent="0.3">
      <c r="A75">
        <v>1028</v>
      </c>
      <c r="B75" s="49">
        <v>202503</v>
      </c>
      <c r="C75" s="50" t="s">
        <v>31</v>
      </c>
      <c r="D75" s="50" t="s">
        <v>121</v>
      </c>
      <c r="E75" s="50" t="s">
        <v>118</v>
      </c>
      <c r="F75" s="51">
        <v>2.27</v>
      </c>
      <c r="G75" s="51">
        <v>88.57</v>
      </c>
      <c r="H75" s="51">
        <v>0</v>
      </c>
      <c r="I75" s="50"/>
      <c r="J75" s="51">
        <v>0</v>
      </c>
      <c r="K75" s="50" t="s">
        <v>119</v>
      </c>
    </row>
    <row r="76" spans="1:11" ht="14.25" customHeight="1" x14ac:dyDescent="0.3">
      <c r="A76">
        <v>1033</v>
      </c>
      <c r="B76" s="46">
        <v>202503</v>
      </c>
      <c r="C76" s="47" t="s">
        <v>37</v>
      </c>
      <c r="D76" s="47" t="s">
        <v>122</v>
      </c>
      <c r="E76" s="47" t="s">
        <v>118</v>
      </c>
      <c r="F76" s="48">
        <v>2.23</v>
      </c>
      <c r="G76" s="48">
        <v>94.72</v>
      </c>
      <c r="H76" s="48">
        <v>0</v>
      </c>
      <c r="I76" s="47"/>
      <c r="J76" s="48">
        <v>0</v>
      </c>
      <c r="K76" s="47" t="s">
        <v>119</v>
      </c>
    </row>
    <row r="77" spans="1:11" ht="14.25" customHeight="1" x14ac:dyDescent="0.3">
      <c r="A77">
        <v>1017</v>
      </c>
      <c r="B77" s="49">
        <v>202503</v>
      </c>
      <c r="C77" s="50" t="s">
        <v>73</v>
      </c>
      <c r="D77" s="50" t="s">
        <v>121</v>
      </c>
      <c r="E77" s="50" t="s">
        <v>118</v>
      </c>
      <c r="F77" s="51">
        <v>1.65</v>
      </c>
      <c r="G77" s="51">
        <v>97.58</v>
      </c>
      <c r="H77" s="51">
        <v>0</v>
      </c>
      <c r="I77" s="50"/>
      <c r="J77" s="51">
        <v>0</v>
      </c>
      <c r="K77" s="50" t="s">
        <v>119</v>
      </c>
    </row>
    <row r="78" spans="1:11" ht="14.25" customHeight="1" x14ac:dyDescent="0.3">
      <c r="A78">
        <v>1011</v>
      </c>
      <c r="B78" s="46">
        <v>202503</v>
      </c>
      <c r="C78" s="47" t="s">
        <v>35</v>
      </c>
      <c r="D78" s="47" t="s">
        <v>122</v>
      </c>
      <c r="E78" s="47" t="s">
        <v>118</v>
      </c>
      <c r="F78" s="48">
        <v>1.03</v>
      </c>
      <c r="G78" s="48">
        <v>91.47</v>
      </c>
      <c r="H78" s="48">
        <v>3000</v>
      </c>
      <c r="I78" s="47"/>
      <c r="J78" s="48">
        <v>0</v>
      </c>
      <c r="K78" s="47" t="s">
        <v>123</v>
      </c>
    </row>
    <row r="79" spans="1:11" ht="14.25" customHeight="1" x14ac:dyDescent="0.3">
      <c r="A79">
        <v>1018</v>
      </c>
      <c r="B79" s="49">
        <v>202503</v>
      </c>
      <c r="C79" s="50" t="s">
        <v>28</v>
      </c>
      <c r="D79" s="50" t="s">
        <v>122</v>
      </c>
      <c r="E79" s="50" t="s">
        <v>118</v>
      </c>
      <c r="F79" s="51">
        <v>1.8</v>
      </c>
      <c r="G79" s="51">
        <v>97.36</v>
      </c>
      <c r="H79" s="51">
        <v>0</v>
      </c>
      <c r="I79" s="50"/>
      <c r="J79" s="51">
        <v>0</v>
      </c>
      <c r="K79" s="50" t="s">
        <v>119</v>
      </c>
    </row>
    <row r="80" spans="1:11" ht="14.25" customHeight="1" x14ac:dyDescent="0.3">
      <c r="A80">
        <v>1032</v>
      </c>
      <c r="B80" s="46">
        <v>202503</v>
      </c>
      <c r="C80" s="47" t="s">
        <v>34</v>
      </c>
      <c r="D80" s="47" t="s">
        <v>121</v>
      </c>
      <c r="E80" s="47" t="s">
        <v>118</v>
      </c>
      <c r="F80" s="48">
        <v>2.37</v>
      </c>
      <c r="G80" s="48">
        <v>91.07</v>
      </c>
      <c r="H80" s="48">
        <v>2125</v>
      </c>
      <c r="I80" s="47"/>
      <c r="J80" s="48">
        <v>2125</v>
      </c>
      <c r="K80" s="47" t="s">
        <v>119</v>
      </c>
    </row>
    <row r="81" spans="1:11" ht="14.25" customHeight="1" x14ac:dyDescent="0.3">
      <c r="A81">
        <v>1031</v>
      </c>
      <c r="B81" s="49">
        <v>202503</v>
      </c>
      <c r="C81" s="50" t="s">
        <v>32</v>
      </c>
      <c r="D81" s="50" t="s">
        <v>122</v>
      </c>
      <c r="E81" s="50" t="s">
        <v>118</v>
      </c>
      <c r="F81" s="51">
        <v>1.88</v>
      </c>
      <c r="G81" s="51">
        <v>98.35</v>
      </c>
      <c r="H81" s="51">
        <v>0</v>
      </c>
      <c r="I81" s="50"/>
      <c r="J81" s="51">
        <v>0</v>
      </c>
      <c r="K81" s="50" t="s">
        <v>119</v>
      </c>
    </row>
    <row r="82" spans="1:11" ht="14.25" customHeight="1" x14ac:dyDescent="0.3">
      <c r="A82">
        <v>1016</v>
      </c>
      <c r="B82" s="46">
        <v>202503</v>
      </c>
      <c r="C82" s="47" t="s">
        <v>20</v>
      </c>
      <c r="D82" s="47" t="s">
        <v>122</v>
      </c>
      <c r="E82" s="47" t="s">
        <v>118</v>
      </c>
      <c r="F82" s="48">
        <v>1.53</v>
      </c>
      <c r="G82" s="48">
        <v>100</v>
      </c>
      <c r="H82" s="48">
        <v>5500</v>
      </c>
      <c r="I82" s="47"/>
      <c r="J82" s="48">
        <v>5500</v>
      </c>
      <c r="K82" s="47" t="s">
        <v>119</v>
      </c>
    </row>
    <row r="83" spans="1:11" ht="14.25" customHeight="1" x14ac:dyDescent="0.3">
      <c r="A83">
        <v>1005</v>
      </c>
      <c r="B83" s="49">
        <v>202503</v>
      </c>
      <c r="C83" s="50" t="s">
        <v>36</v>
      </c>
      <c r="D83" s="50" t="s">
        <v>121</v>
      </c>
      <c r="E83" s="50" t="s">
        <v>118</v>
      </c>
      <c r="F83" s="51">
        <v>1.55</v>
      </c>
      <c r="G83" s="51">
        <v>100</v>
      </c>
      <c r="H83" s="51">
        <v>3500</v>
      </c>
      <c r="I83" s="50"/>
      <c r="J83" s="51">
        <v>0</v>
      </c>
      <c r="K83" s="50" t="s">
        <v>123</v>
      </c>
    </row>
    <row r="84" spans="1:11" ht="14.25" customHeight="1" x14ac:dyDescent="0.3">
      <c r="A84">
        <v>1027</v>
      </c>
      <c r="B84" s="46">
        <v>202503</v>
      </c>
      <c r="C84" s="47" t="s">
        <v>40</v>
      </c>
      <c r="D84" s="47" t="s">
        <v>121</v>
      </c>
      <c r="E84" s="47" t="s">
        <v>118</v>
      </c>
      <c r="F84" s="48"/>
      <c r="G84" s="48">
        <v>100</v>
      </c>
      <c r="H84" s="48">
        <v>0</v>
      </c>
      <c r="I84" s="47"/>
      <c r="J84" s="48">
        <v>0</v>
      </c>
      <c r="K84" s="47" t="s">
        <v>119</v>
      </c>
    </row>
    <row r="85" spans="1:11" ht="14.25" customHeight="1" x14ac:dyDescent="0.3">
      <c r="A85">
        <v>1006</v>
      </c>
      <c r="B85" s="49">
        <v>202503</v>
      </c>
      <c r="C85" s="50" t="s">
        <v>16</v>
      </c>
      <c r="D85" s="50" t="s">
        <v>117</v>
      </c>
      <c r="E85" s="50" t="s">
        <v>118</v>
      </c>
      <c r="F85" s="51">
        <v>4.0999999999999996</v>
      </c>
      <c r="G85" s="51">
        <v>98.36</v>
      </c>
      <c r="H85" s="51">
        <v>5850</v>
      </c>
      <c r="I85" s="50"/>
      <c r="J85" s="51">
        <v>5850</v>
      </c>
      <c r="K85" s="50" t="s">
        <v>119</v>
      </c>
    </row>
    <row r="86" spans="1:11" ht="14.25" customHeight="1" x14ac:dyDescent="0.3">
      <c r="A86">
        <v>1021</v>
      </c>
      <c r="B86" s="46">
        <v>202503</v>
      </c>
      <c r="C86" s="47" t="s">
        <v>22</v>
      </c>
      <c r="D86" s="47" t="s">
        <v>117</v>
      </c>
      <c r="E86" s="47" t="s">
        <v>118</v>
      </c>
      <c r="F86" s="48">
        <v>2.92</v>
      </c>
      <c r="G86" s="48">
        <v>98.89</v>
      </c>
      <c r="H86" s="48">
        <v>3500</v>
      </c>
      <c r="I86" s="47"/>
      <c r="J86" s="48">
        <v>3500</v>
      </c>
      <c r="K86" s="47" t="s">
        <v>119</v>
      </c>
    </row>
    <row r="87" spans="1:11" ht="14.25" customHeight="1" x14ac:dyDescent="0.3">
      <c r="A87">
        <v>1001</v>
      </c>
      <c r="B87" s="49">
        <v>202503</v>
      </c>
      <c r="C87" s="50" t="s">
        <v>17</v>
      </c>
      <c r="D87" s="50" t="s">
        <v>117</v>
      </c>
      <c r="E87" s="50" t="s">
        <v>118</v>
      </c>
      <c r="F87" s="51">
        <v>4.04</v>
      </c>
      <c r="G87" s="51">
        <v>87.63</v>
      </c>
      <c r="H87" s="51">
        <v>5000</v>
      </c>
      <c r="I87" s="50"/>
      <c r="J87" s="51">
        <v>5000</v>
      </c>
      <c r="K87" s="50" t="s">
        <v>119</v>
      </c>
    </row>
    <row r="88" spans="1:11" ht="14.25" customHeight="1" x14ac:dyDescent="0.3">
      <c r="A88">
        <v>1008</v>
      </c>
      <c r="B88" s="46">
        <v>202503</v>
      </c>
      <c r="C88" s="47" t="s">
        <v>30</v>
      </c>
      <c r="D88" s="47" t="s">
        <v>120</v>
      </c>
      <c r="E88" s="47" t="s">
        <v>118</v>
      </c>
      <c r="F88" s="48">
        <v>3.74</v>
      </c>
      <c r="G88" s="48">
        <v>100</v>
      </c>
      <c r="H88" s="48">
        <v>3300</v>
      </c>
      <c r="I88" s="47"/>
      <c r="J88" s="48">
        <v>3300</v>
      </c>
      <c r="K88" s="47" t="s">
        <v>119</v>
      </c>
    </row>
    <row r="89" spans="1:11" ht="14.25" customHeight="1" x14ac:dyDescent="0.3">
      <c r="A89">
        <v>1029</v>
      </c>
      <c r="B89" s="49">
        <v>202503</v>
      </c>
      <c r="C89" s="50" t="s">
        <v>21</v>
      </c>
      <c r="D89" s="50" t="s">
        <v>117</v>
      </c>
      <c r="E89" s="50" t="s">
        <v>118</v>
      </c>
      <c r="F89" s="51">
        <v>4.04</v>
      </c>
      <c r="G89" s="51">
        <v>99.43</v>
      </c>
      <c r="H89" s="51">
        <v>4975</v>
      </c>
      <c r="I89" s="50"/>
      <c r="J89" s="51">
        <v>4975</v>
      </c>
      <c r="K89" s="50" t="s">
        <v>119</v>
      </c>
    </row>
    <row r="90" spans="1:11" ht="14.25" customHeight="1" x14ac:dyDescent="0.3">
      <c r="A90">
        <v>1003</v>
      </c>
      <c r="B90" s="46">
        <v>202503</v>
      </c>
      <c r="C90" s="47" t="s">
        <v>26</v>
      </c>
      <c r="D90" s="47" t="s">
        <v>120</v>
      </c>
      <c r="E90" s="47" t="s">
        <v>118</v>
      </c>
      <c r="F90" s="48">
        <v>3.93</v>
      </c>
      <c r="G90" s="48">
        <v>95.15</v>
      </c>
      <c r="H90" s="48">
        <v>4163.75</v>
      </c>
      <c r="I90" s="47"/>
      <c r="J90" s="48">
        <v>4163.75</v>
      </c>
      <c r="K90" s="47" t="s">
        <v>119</v>
      </c>
    </row>
    <row r="91" spans="1:11" ht="14.25" customHeight="1" x14ac:dyDescent="0.3">
      <c r="A91">
        <v>1007</v>
      </c>
      <c r="B91" s="49">
        <v>202503</v>
      </c>
      <c r="C91" s="50" t="s">
        <v>24</v>
      </c>
      <c r="D91" s="50" t="s">
        <v>120</v>
      </c>
      <c r="E91" s="50" t="s">
        <v>118</v>
      </c>
      <c r="F91" s="51">
        <v>3.84</v>
      </c>
      <c r="G91" s="51">
        <v>95.24</v>
      </c>
      <c r="H91" s="51">
        <v>5132.5</v>
      </c>
      <c r="I91" s="50"/>
      <c r="J91" s="51">
        <v>5132.5</v>
      </c>
      <c r="K91" s="50" t="s">
        <v>119</v>
      </c>
    </row>
    <row r="92" spans="1:11" ht="14.25" customHeight="1" x14ac:dyDescent="0.3">
      <c r="A92">
        <v>1013</v>
      </c>
      <c r="B92" s="46">
        <v>202503</v>
      </c>
      <c r="C92" s="47" t="s">
        <v>27</v>
      </c>
      <c r="D92" s="47" t="s">
        <v>117</v>
      </c>
      <c r="E92" s="47" t="s">
        <v>118</v>
      </c>
      <c r="F92" s="48">
        <v>3.98</v>
      </c>
      <c r="G92" s="48">
        <v>94.68</v>
      </c>
      <c r="H92" s="48">
        <v>4237.5</v>
      </c>
      <c r="I92" s="47"/>
      <c r="J92" s="48">
        <v>4237.5</v>
      </c>
      <c r="K92" s="47" t="s">
        <v>119</v>
      </c>
    </row>
    <row r="93" spans="1:11" ht="14.25" customHeight="1" x14ac:dyDescent="0.3">
      <c r="A93">
        <v>1010</v>
      </c>
      <c r="B93" s="49">
        <v>202503</v>
      </c>
      <c r="C93" s="50" t="s">
        <v>38</v>
      </c>
      <c r="D93" s="50" t="s">
        <v>117</v>
      </c>
      <c r="E93" s="50" t="s">
        <v>118</v>
      </c>
      <c r="F93" s="51">
        <v>4.03</v>
      </c>
      <c r="G93" s="51">
        <v>87.08</v>
      </c>
      <c r="H93" s="51">
        <v>3900</v>
      </c>
      <c r="I93" s="50"/>
      <c r="J93" s="51">
        <v>3900</v>
      </c>
      <c r="K93" s="50" t="s">
        <v>119</v>
      </c>
    </row>
    <row r="94" spans="1:11" ht="14.25" customHeight="1" x14ac:dyDescent="0.3">
      <c r="A94">
        <v>1020</v>
      </c>
      <c r="B94" s="46">
        <v>202503</v>
      </c>
      <c r="C94" s="47" t="s">
        <v>23</v>
      </c>
      <c r="D94" s="47" t="s">
        <v>120</v>
      </c>
      <c r="E94" s="47" t="s">
        <v>118</v>
      </c>
      <c r="F94" s="48">
        <v>3.97</v>
      </c>
      <c r="G94" s="48">
        <v>93.21</v>
      </c>
      <c r="H94" s="48">
        <v>4540</v>
      </c>
      <c r="I94" s="47"/>
      <c r="J94" s="48">
        <v>4540</v>
      </c>
      <c r="K94" s="47" t="s">
        <v>119</v>
      </c>
    </row>
    <row r="95" spans="1:11" ht="14.25" customHeight="1" x14ac:dyDescent="0.3">
      <c r="A95">
        <v>1004</v>
      </c>
      <c r="B95" s="49">
        <v>202503</v>
      </c>
      <c r="C95" s="50" t="s">
        <v>15</v>
      </c>
      <c r="D95" s="50" t="s">
        <v>117</v>
      </c>
      <c r="E95" s="50" t="s">
        <v>118</v>
      </c>
      <c r="F95" s="51">
        <v>2.14</v>
      </c>
      <c r="G95" s="51">
        <v>100</v>
      </c>
      <c r="H95" s="51">
        <v>5400</v>
      </c>
      <c r="I95" s="50"/>
      <c r="J95" s="51">
        <v>5400</v>
      </c>
      <c r="K95" s="50" t="s">
        <v>119</v>
      </c>
    </row>
    <row r="96" spans="1:11" ht="14.25" customHeight="1" x14ac:dyDescent="0.3">
      <c r="A96">
        <v>1015</v>
      </c>
      <c r="B96" s="46">
        <v>202503</v>
      </c>
      <c r="C96" s="47" t="s">
        <v>19</v>
      </c>
      <c r="D96" s="47" t="s">
        <v>117</v>
      </c>
      <c r="E96" s="47" t="s">
        <v>118</v>
      </c>
      <c r="F96" s="48">
        <v>4.0999999999999996</v>
      </c>
      <c r="G96" s="48">
        <v>94.7</v>
      </c>
      <c r="H96" s="48">
        <v>4545</v>
      </c>
      <c r="I96" s="47"/>
      <c r="J96" s="48">
        <v>4545</v>
      </c>
      <c r="K96" s="47" t="s">
        <v>119</v>
      </c>
    </row>
    <row r="97" spans="1:11" ht="14.25" customHeight="1" x14ac:dyDescent="0.3">
      <c r="A97">
        <v>1002</v>
      </c>
      <c r="B97" s="49">
        <v>202503</v>
      </c>
      <c r="C97" s="50" t="s">
        <v>25</v>
      </c>
      <c r="D97" s="50" t="s">
        <v>120</v>
      </c>
      <c r="E97" s="50" t="s">
        <v>118</v>
      </c>
      <c r="F97" s="51">
        <v>4.07</v>
      </c>
      <c r="G97" s="51">
        <v>81.98</v>
      </c>
      <c r="H97" s="51">
        <v>5200</v>
      </c>
      <c r="I97" s="50"/>
      <c r="J97" s="51">
        <v>5200</v>
      </c>
      <c r="K97" s="50" t="s">
        <v>119</v>
      </c>
    </row>
    <row r="98" spans="1:11" ht="14.25" customHeight="1" x14ac:dyDescent="0.3">
      <c r="A98">
        <v>1009</v>
      </c>
      <c r="B98" s="46">
        <v>202503</v>
      </c>
      <c r="C98" s="47" t="s">
        <v>18</v>
      </c>
      <c r="D98" s="47" t="s">
        <v>120</v>
      </c>
      <c r="E98" s="47" t="s">
        <v>118</v>
      </c>
      <c r="F98" s="48">
        <v>2.5</v>
      </c>
      <c r="G98" s="48">
        <v>99.65</v>
      </c>
      <c r="H98" s="48">
        <v>7212.5</v>
      </c>
      <c r="I98" s="47"/>
      <c r="J98" s="48">
        <v>7212.5</v>
      </c>
      <c r="K98" s="47" t="s">
        <v>119</v>
      </c>
    </row>
    <row r="99" spans="1:11" ht="14.25" customHeight="1" x14ac:dyDescent="0.3">
      <c r="A99">
        <v>1030</v>
      </c>
      <c r="B99" s="49">
        <v>202504</v>
      </c>
      <c r="C99" s="50" t="s">
        <v>29</v>
      </c>
      <c r="D99" s="50" t="s">
        <v>121</v>
      </c>
      <c r="E99" s="50" t="s">
        <v>118</v>
      </c>
      <c r="F99" s="51">
        <v>2.02</v>
      </c>
      <c r="G99" s="51">
        <v>100</v>
      </c>
      <c r="H99" s="51">
        <v>0</v>
      </c>
      <c r="I99" s="50"/>
      <c r="J99" s="51">
        <v>0</v>
      </c>
      <c r="K99" s="50" t="s">
        <v>119</v>
      </c>
    </row>
    <row r="100" spans="1:11" ht="14.25" customHeight="1" x14ac:dyDescent="0.3">
      <c r="A100">
        <v>1026</v>
      </c>
      <c r="B100" s="46">
        <v>202504</v>
      </c>
      <c r="C100" s="47" t="s">
        <v>75</v>
      </c>
      <c r="D100" s="47" t="s">
        <v>122</v>
      </c>
      <c r="E100" s="47" t="s">
        <v>118</v>
      </c>
      <c r="F100" s="48">
        <v>1.37</v>
      </c>
      <c r="G100" s="48">
        <v>100</v>
      </c>
      <c r="H100" s="48">
        <v>0</v>
      </c>
      <c r="I100" s="47"/>
      <c r="J100" s="48">
        <v>0</v>
      </c>
      <c r="K100" s="47" t="s">
        <v>119</v>
      </c>
    </row>
    <row r="101" spans="1:11" ht="14.25" customHeight="1" x14ac:dyDescent="0.3">
      <c r="A101">
        <v>1024</v>
      </c>
      <c r="B101" s="49">
        <v>202504</v>
      </c>
      <c r="C101" s="50" t="s">
        <v>44</v>
      </c>
      <c r="D101" s="50" t="s">
        <v>122</v>
      </c>
      <c r="E101" s="50" t="s">
        <v>118</v>
      </c>
      <c r="F101" s="51">
        <v>1.0900000000000001</v>
      </c>
      <c r="G101" s="51">
        <v>96.53</v>
      </c>
      <c r="H101" s="51">
        <v>0</v>
      </c>
      <c r="I101" s="50"/>
      <c r="J101" s="51">
        <v>2000</v>
      </c>
      <c r="K101" s="50" t="s">
        <v>123</v>
      </c>
    </row>
    <row r="102" spans="1:11" ht="14.25" customHeight="1" x14ac:dyDescent="0.3">
      <c r="A102">
        <v>1012</v>
      </c>
      <c r="B102" s="46">
        <v>202504</v>
      </c>
      <c r="C102" s="47" t="s">
        <v>33</v>
      </c>
      <c r="D102" s="47" t="s">
        <v>121</v>
      </c>
      <c r="E102" s="47" t="s">
        <v>118</v>
      </c>
      <c r="F102" s="48">
        <v>1.23</v>
      </c>
      <c r="G102" s="48">
        <v>97.5</v>
      </c>
      <c r="H102" s="48">
        <v>2153</v>
      </c>
      <c r="I102" s="47"/>
      <c r="J102" s="48">
        <v>2153</v>
      </c>
      <c r="K102" s="47" t="s">
        <v>119</v>
      </c>
    </row>
    <row r="103" spans="1:11" ht="14.25" customHeight="1" x14ac:dyDescent="0.3">
      <c r="A103">
        <v>1028</v>
      </c>
      <c r="B103" s="49">
        <v>202504</v>
      </c>
      <c r="C103" s="50" t="s">
        <v>31</v>
      </c>
      <c r="D103" s="50" t="s">
        <v>121</v>
      </c>
      <c r="E103" s="50" t="s">
        <v>118</v>
      </c>
      <c r="F103" s="51">
        <v>1.97</v>
      </c>
      <c r="G103" s="51">
        <v>92.04</v>
      </c>
      <c r="H103" s="51">
        <v>0</v>
      </c>
      <c r="I103" s="50"/>
      <c r="J103" s="51">
        <v>0</v>
      </c>
      <c r="K103" s="50" t="s">
        <v>119</v>
      </c>
    </row>
    <row r="104" spans="1:11" ht="14.25" customHeight="1" x14ac:dyDescent="0.3">
      <c r="A104">
        <v>1033</v>
      </c>
      <c r="B104" s="46">
        <v>202504</v>
      </c>
      <c r="C104" s="47" t="s">
        <v>37</v>
      </c>
      <c r="D104" s="47" t="s">
        <v>122</v>
      </c>
      <c r="E104" s="47" t="s">
        <v>118</v>
      </c>
      <c r="F104" s="48">
        <v>1.97</v>
      </c>
      <c r="G104" s="48">
        <v>99.12</v>
      </c>
      <c r="H104" s="48">
        <v>0</v>
      </c>
      <c r="I104" s="47"/>
      <c r="J104" s="48">
        <v>0</v>
      </c>
      <c r="K104" s="47" t="s">
        <v>119</v>
      </c>
    </row>
    <row r="105" spans="1:11" ht="14.25" customHeight="1" x14ac:dyDescent="0.3">
      <c r="A105">
        <v>1017</v>
      </c>
      <c r="B105" s="49">
        <v>202504</v>
      </c>
      <c r="C105" s="50" t="s">
        <v>73</v>
      </c>
      <c r="D105" s="50" t="s">
        <v>121</v>
      </c>
      <c r="E105" s="50" t="s">
        <v>118</v>
      </c>
      <c r="F105" s="51">
        <v>1.37</v>
      </c>
      <c r="G105" s="51">
        <v>84.56</v>
      </c>
      <c r="H105" s="51">
        <v>0</v>
      </c>
      <c r="I105" s="50"/>
      <c r="J105" s="51">
        <v>0</v>
      </c>
      <c r="K105" s="50" t="s">
        <v>119</v>
      </c>
    </row>
    <row r="106" spans="1:11" ht="14.25" customHeight="1" x14ac:dyDescent="0.3">
      <c r="A106">
        <v>1011</v>
      </c>
      <c r="B106" s="46">
        <v>202504</v>
      </c>
      <c r="C106" s="47" t="s">
        <v>35</v>
      </c>
      <c r="D106" s="47" t="s">
        <v>122</v>
      </c>
      <c r="E106" s="47" t="s">
        <v>118</v>
      </c>
      <c r="F106" s="48">
        <v>0.79</v>
      </c>
      <c r="G106" s="48">
        <v>98.96</v>
      </c>
      <c r="H106" s="48">
        <v>0</v>
      </c>
      <c r="I106" s="47"/>
      <c r="J106" s="48">
        <v>3000</v>
      </c>
      <c r="K106" s="47" t="s">
        <v>123</v>
      </c>
    </row>
    <row r="107" spans="1:11" ht="14.25" customHeight="1" x14ac:dyDescent="0.3">
      <c r="A107">
        <v>1018</v>
      </c>
      <c r="B107" s="49">
        <v>202504</v>
      </c>
      <c r="C107" s="50" t="s">
        <v>28</v>
      </c>
      <c r="D107" s="50" t="s">
        <v>122</v>
      </c>
      <c r="E107" s="50" t="s">
        <v>118</v>
      </c>
      <c r="F107" s="51">
        <v>0.64</v>
      </c>
      <c r="G107" s="51">
        <v>100</v>
      </c>
      <c r="H107" s="51">
        <v>0</v>
      </c>
      <c r="I107" s="50"/>
      <c r="J107" s="51">
        <v>0</v>
      </c>
      <c r="K107" s="50" t="s">
        <v>119</v>
      </c>
    </row>
    <row r="108" spans="1:11" ht="14.25" customHeight="1" x14ac:dyDescent="0.3">
      <c r="A108">
        <v>1032</v>
      </c>
      <c r="B108" s="46">
        <v>202504</v>
      </c>
      <c r="C108" s="47" t="s">
        <v>34</v>
      </c>
      <c r="D108" s="47" t="s">
        <v>121</v>
      </c>
      <c r="E108" s="47" t="s">
        <v>118</v>
      </c>
      <c r="F108" s="48">
        <v>1.75</v>
      </c>
      <c r="G108" s="48">
        <v>97.22</v>
      </c>
      <c r="H108" s="48">
        <v>0</v>
      </c>
      <c r="I108" s="47"/>
      <c r="J108" s="48">
        <v>0</v>
      </c>
      <c r="K108" s="47" t="s">
        <v>119</v>
      </c>
    </row>
    <row r="109" spans="1:11" ht="14.25" customHeight="1" x14ac:dyDescent="0.3">
      <c r="A109">
        <v>1031</v>
      </c>
      <c r="B109" s="49">
        <v>202504</v>
      </c>
      <c r="C109" s="50" t="s">
        <v>32</v>
      </c>
      <c r="D109" s="50" t="s">
        <v>122</v>
      </c>
      <c r="E109" s="50" t="s">
        <v>118</v>
      </c>
      <c r="F109" s="51">
        <v>2.2000000000000002</v>
      </c>
      <c r="G109" s="51">
        <v>99.65</v>
      </c>
      <c r="H109" s="51">
        <v>0</v>
      </c>
      <c r="I109" s="50"/>
      <c r="J109" s="51">
        <v>0</v>
      </c>
      <c r="K109" s="50" t="s">
        <v>119</v>
      </c>
    </row>
    <row r="110" spans="1:11" ht="14.25" customHeight="1" x14ac:dyDescent="0.3">
      <c r="A110">
        <v>1016</v>
      </c>
      <c r="B110" s="46">
        <v>202504</v>
      </c>
      <c r="C110" s="47" t="s">
        <v>20</v>
      </c>
      <c r="D110" s="47" t="s">
        <v>122</v>
      </c>
      <c r="E110" s="47" t="s">
        <v>118</v>
      </c>
      <c r="F110" s="48">
        <v>1.08</v>
      </c>
      <c r="G110" s="48">
        <v>100</v>
      </c>
      <c r="H110" s="48">
        <v>5500</v>
      </c>
      <c r="I110" s="47"/>
      <c r="J110" s="48">
        <v>5500</v>
      </c>
      <c r="K110" s="47" t="s">
        <v>119</v>
      </c>
    </row>
    <row r="111" spans="1:11" ht="14.25" customHeight="1" x14ac:dyDescent="0.3">
      <c r="A111">
        <v>1005</v>
      </c>
      <c r="B111" s="49">
        <v>202504</v>
      </c>
      <c r="C111" s="50" t="s">
        <v>36</v>
      </c>
      <c r="D111" s="50" t="s">
        <v>121</v>
      </c>
      <c r="E111" s="50" t="s">
        <v>118</v>
      </c>
      <c r="F111" s="51">
        <v>1.45</v>
      </c>
      <c r="G111" s="51">
        <v>100</v>
      </c>
      <c r="H111" s="51">
        <v>3000</v>
      </c>
      <c r="I111" s="50"/>
      <c r="J111" s="51">
        <v>3000</v>
      </c>
      <c r="K111" s="50" t="s">
        <v>119</v>
      </c>
    </row>
    <row r="112" spans="1:11" ht="14.25" customHeight="1" x14ac:dyDescent="0.3">
      <c r="A112">
        <v>1027</v>
      </c>
      <c r="B112" s="46">
        <v>202504</v>
      </c>
      <c r="C112" s="47" t="s">
        <v>40</v>
      </c>
      <c r="D112" s="47" t="s">
        <v>121</v>
      </c>
      <c r="E112" s="47" t="s">
        <v>118</v>
      </c>
      <c r="F112" s="48"/>
      <c r="G112" s="48">
        <v>100</v>
      </c>
      <c r="H112" s="48">
        <v>0</v>
      </c>
      <c r="I112" s="47"/>
      <c r="J112" s="48">
        <v>0</v>
      </c>
      <c r="K112" s="47" t="s">
        <v>119</v>
      </c>
    </row>
    <row r="113" spans="1:11" ht="14.25" customHeight="1" x14ac:dyDescent="0.3">
      <c r="A113">
        <v>1006</v>
      </c>
      <c r="B113" s="49">
        <v>202504</v>
      </c>
      <c r="C113" s="50" t="s">
        <v>16</v>
      </c>
      <c r="D113" s="50" t="s">
        <v>117</v>
      </c>
      <c r="E113" s="50" t="s">
        <v>118</v>
      </c>
      <c r="F113" s="51">
        <v>3.97</v>
      </c>
      <c r="G113" s="51">
        <v>99.26</v>
      </c>
      <c r="H113" s="51">
        <v>4450</v>
      </c>
      <c r="I113" s="50"/>
      <c r="J113" s="51">
        <v>4450</v>
      </c>
      <c r="K113" s="50" t="s">
        <v>119</v>
      </c>
    </row>
    <row r="114" spans="1:11" ht="14.25" customHeight="1" x14ac:dyDescent="0.3">
      <c r="A114">
        <v>1021</v>
      </c>
      <c r="B114" s="46">
        <v>202504</v>
      </c>
      <c r="C114" s="47" t="s">
        <v>22</v>
      </c>
      <c r="D114" s="47" t="s">
        <v>117</v>
      </c>
      <c r="E114" s="47" t="s">
        <v>118</v>
      </c>
      <c r="F114" s="48">
        <v>2.64</v>
      </c>
      <c r="G114" s="48">
        <v>95.61</v>
      </c>
      <c r="H114" s="48">
        <v>3000</v>
      </c>
      <c r="I114" s="47"/>
      <c r="J114" s="48">
        <v>3000</v>
      </c>
      <c r="K114" s="47" t="s">
        <v>119</v>
      </c>
    </row>
    <row r="115" spans="1:11" ht="14.25" customHeight="1" x14ac:dyDescent="0.3">
      <c r="A115">
        <v>1001</v>
      </c>
      <c r="B115" s="49">
        <v>202504</v>
      </c>
      <c r="C115" s="50" t="s">
        <v>17</v>
      </c>
      <c r="D115" s="50" t="s">
        <v>117</v>
      </c>
      <c r="E115" s="50" t="s">
        <v>118</v>
      </c>
      <c r="F115" s="51">
        <v>3.91</v>
      </c>
      <c r="G115" s="51">
        <v>86.4</v>
      </c>
      <c r="H115" s="51">
        <v>2740</v>
      </c>
      <c r="I115" s="50"/>
      <c r="J115" s="51">
        <v>2740</v>
      </c>
      <c r="K115" s="50" t="s">
        <v>119</v>
      </c>
    </row>
    <row r="116" spans="1:11" ht="14.25" customHeight="1" x14ac:dyDescent="0.3">
      <c r="A116">
        <v>1008</v>
      </c>
      <c r="B116" s="46">
        <v>202504</v>
      </c>
      <c r="C116" s="47" t="s">
        <v>30</v>
      </c>
      <c r="D116" s="47" t="s">
        <v>120</v>
      </c>
      <c r="E116" s="47" t="s">
        <v>118</v>
      </c>
      <c r="F116" s="48">
        <v>2.25</v>
      </c>
      <c r="G116" s="48">
        <v>100</v>
      </c>
      <c r="H116" s="48">
        <v>0</v>
      </c>
      <c r="I116" s="47"/>
      <c r="J116" s="48">
        <v>0</v>
      </c>
      <c r="K116" s="47" t="s">
        <v>119</v>
      </c>
    </row>
    <row r="117" spans="1:11" ht="14.25" customHeight="1" x14ac:dyDescent="0.3">
      <c r="A117">
        <v>1029</v>
      </c>
      <c r="B117" s="49">
        <v>202504</v>
      </c>
      <c r="C117" s="50" t="s">
        <v>21</v>
      </c>
      <c r="D117" s="50" t="s">
        <v>117</v>
      </c>
      <c r="E117" s="50" t="s">
        <v>118</v>
      </c>
      <c r="F117" s="51">
        <v>4.0199999999999996</v>
      </c>
      <c r="G117" s="51">
        <v>99.37</v>
      </c>
      <c r="H117" s="51">
        <v>3850</v>
      </c>
      <c r="I117" s="50"/>
      <c r="J117" s="51">
        <v>3850</v>
      </c>
      <c r="K117" s="50" t="s">
        <v>119</v>
      </c>
    </row>
    <row r="118" spans="1:11" ht="14.25" customHeight="1" x14ac:dyDescent="0.3">
      <c r="A118">
        <v>1003</v>
      </c>
      <c r="B118" s="46">
        <v>202504</v>
      </c>
      <c r="C118" s="47" t="s">
        <v>26</v>
      </c>
      <c r="D118" s="47" t="s">
        <v>120</v>
      </c>
      <c r="E118" s="47" t="s">
        <v>118</v>
      </c>
      <c r="F118" s="48">
        <v>3.92</v>
      </c>
      <c r="G118" s="48">
        <v>99.71</v>
      </c>
      <c r="H118" s="48">
        <v>2700</v>
      </c>
      <c r="I118" s="47"/>
      <c r="J118" s="48">
        <v>2700</v>
      </c>
      <c r="K118" s="47" t="s">
        <v>119</v>
      </c>
    </row>
    <row r="119" spans="1:11" ht="14.25" customHeight="1" x14ac:dyDescent="0.3">
      <c r="A119">
        <v>1007</v>
      </c>
      <c r="B119" s="49">
        <v>202504</v>
      </c>
      <c r="C119" s="50" t="s">
        <v>24</v>
      </c>
      <c r="D119" s="50" t="s">
        <v>120</v>
      </c>
      <c r="E119" s="50" t="s">
        <v>118</v>
      </c>
      <c r="F119" s="51">
        <v>3.68</v>
      </c>
      <c r="G119" s="51">
        <v>91.7</v>
      </c>
      <c r="H119" s="51">
        <v>2678.75</v>
      </c>
      <c r="I119" s="50"/>
      <c r="J119" s="51">
        <v>2678.75</v>
      </c>
      <c r="K119" s="50" t="s">
        <v>119</v>
      </c>
    </row>
    <row r="120" spans="1:11" ht="14.25" customHeight="1" x14ac:dyDescent="0.3">
      <c r="A120">
        <v>1013</v>
      </c>
      <c r="B120" s="46">
        <v>202504</v>
      </c>
      <c r="C120" s="47" t="s">
        <v>27</v>
      </c>
      <c r="D120" s="47" t="s">
        <v>117</v>
      </c>
      <c r="E120" s="47" t="s">
        <v>118</v>
      </c>
      <c r="F120" s="48">
        <v>3.93</v>
      </c>
      <c r="G120" s="48">
        <v>99.62</v>
      </c>
      <c r="H120" s="48">
        <v>3475</v>
      </c>
      <c r="I120" s="47"/>
      <c r="J120" s="48">
        <v>3475</v>
      </c>
      <c r="K120" s="47" t="s">
        <v>119</v>
      </c>
    </row>
    <row r="121" spans="1:11" ht="14.25" customHeight="1" x14ac:dyDescent="0.3">
      <c r="A121">
        <v>1010</v>
      </c>
      <c r="B121" s="49">
        <v>202504</v>
      </c>
      <c r="C121" s="50" t="s">
        <v>38</v>
      </c>
      <c r="D121" s="50" t="s">
        <v>117</v>
      </c>
      <c r="E121" s="50" t="s">
        <v>118</v>
      </c>
      <c r="F121" s="51">
        <v>1.85</v>
      </c>
      <c r="G121" s="51">
        <v>100</v>
      </c>
      <c r="H121" s="51">
        <v>0</v>
      </c>
      <c r="I121" s="50"/>
      <c r="J121" s="51">
        <v>0</v>
      </c>
      <c r="K121" s="50" t="s">
        <v>119</v>
      </c>
    </row>
    <row r="122" spans="1:11" ht="14.25" customHeight="1" x14ac:dyDescent="0.3">
      <c r="A122">
        <v>1020</v>
      </c>
      <c r="B122" s="46">
        <v>202504</v>
      </c>
      <c r="C122" s="47" t="s">
        <v>23</v>
      </c>
      <c r="D122" s="47" t="s">
        <v>120</v>
      </c>
      <c r="E122" s="47" t="s">
        <v>118</v>
      </c>
      <c r="F122" s="48">
        <v>3.88</v>
      </c>
      <c r="G122" s="48">
        <v>93.03</v>
      </c>
      <c r="H122" s="48">
        <v>3721.25</v>
      </c>
      <c r="I122" s="47"/>
      <c r="J122" s="48">
        <v>3721.25</v>
      </c>
      <c r="K122" s="47" t="s">
        <v>119</v>
      </c>
    </row>
    <row r="123" spans="1:11" ht="14.25" customHeight="1" x14ac:dyDescent="0.3">
      <c r="A123">
        <v>1004</v>
      </c>
      <c r="B123" s="49">
        <v>202504</v>
      </c>
      <c r="C123" s="50" t="s">
        <v>15</v>
      </c>
      <c r="D123" s="50" t="s">
        <v>117</v>
      </c>
      <c r="E123" s="50" t="s">
        <v>118</v>
      </c>
      <c r="F123" s="51">
        <v>2.5</v>
      </c>
      <c r="G123" s="51">
        <v>97.68</v>
      </c>
      <c r="H123" s="51">
        <v>6100</v>
      </c>
      <c r="I123" s="50"/>
      <c r="J123" s="51">
        <v>6100</v>
      </c>
      <c r="K123" s="50" t="s">
        <v>119</v>
      </c>
    </row>
    <row r="124" spans="1:11" ht="14.25" customHeight="1" x14ac:dyDescent="0.3">
      <c r="A124">
        <v>1015</v>
      </c>
      <c r="B124" s="46">
        <v>202504</v>
      </c>
      <c r="C124" s="47" t="s">
        <v>19</v>
      </c>
      <c r="D124" s="47" t="s">
        <v>117</v>
      </c>
      <c r="E124" s="47" t="s">
        <v>118</v>
      </c>
      <c r="F124" s="48">
        <v>3.99</v>
      </c>
      <c r="G124" s="48">
        <v>98.19</v>
      </c>
      <c r="H124" s="48">
        <v>5425</v>
      </c>
      <c r="I124" s="47"/>
      <c r="J124" s="48">
        <v>5425</v>
      </c>
      <c r="K124" s="47" t="s">
        <v>119</v>
      </c>
    </row>
    <row r="125" spans="1:11" ht="14.25" customHeight="1" x14ac:dyDescent="0.3">
      <c r="A125">
        <v>1002</v>
      </c>
      <c r="B125" s="49">
        <v>202504</v>
      </c>
      <c r="C125" s="50" t="s">
        <v>25</v>
      </c>
      <c r="D125" s="50" t="s">
        <v>120</v>
      </c>
      <c r="E125" s="50" t="s">
        <v>118</v>
      </c>
      <c r="F125" s="51">
        <v>3.91</v>
      </c>
      <c r="G125" s="51">
        <v>81.69</v>
      </c>
      <c r="H125" s="51">
        <v>3130</v>
      </c>
      <c r="I125" s="50"/>
      <c r="J125" s="51">
        <v>3130</v>
      </c>
      <c r="K125" s="50" t="s">
        <v>119</v>
      </c>
    </row>
    <row r="126" spans="1:11" ht="14.25" customHeight="1" x14ac:dyDescent="0.3">
      <c r="A126">
        <v>1009</v>
      </c>
      <c r="B126" s="46">
        <v>202504</v>
      </c>
      <c r="C126" s="47" t="s">
        <v>18</v>
      </c>
      <c r="D126" s="47" t="s">
        <v>120</v>
      </c>
      <c r="E126" s="47" t="s">
        <v>118</v>
      </c>
      <c r="F126" s="48">
        <v>2.68</v>
      </c>
      <c r="G126" s="48">
        <v>98.88</v>
      </c>
      <c r="H126" s="48">
        <v>6512.5</v>
      </c>
      <c r="I126" s="47"/>
      <c r="J126" s="48">
        <v>6512.5</v>
      </c>
      <c r="K126" s="47" t="s">
        <v>119</v>
      </c>
    </row>
    <row r="127" spans="1:11" ht="14.25" customHeight="1" x14ac:dyDescent="0.3">
      <c r="A127">
        <v>1030</v>
      </c>
      <c r="B127" s="49">
        <v>202505</v>
      </c>
      <c r="C127" s="50" t="s">
        <v>29</v>
      </c>
      <c r="D127" s="50" t="s">
        <v>121</v>
      </c>
      <c r="E127" s="50" t="s">
        <v>118</v>
      </c>
      <c r="F127" s="51">
        <v>3.06</v>
      </c>
      <c r="G127" s="51">
        <v>99.7</v>
      </c>
      <c r="H127" s="51">
        <v>750</v>
      </c>
      <c r="I127" s="50"/>
      <c r="J127" s="51">
        <v>750</v>
      </c>
      <c r="K127" s="50" t="s">
        <v>119</v>
      </c>
    </row>
    <row r="128" spans="1:11" ht="14.25" customHeight="1" x14ac:dyDescent="0.3">
      <c r="A128">
        <v>1026</v>
      </c>
      <c r="B128" s="46">
        <v>202505</v>
      </c>
      <c r="C128" s="47" t="s">
        <v>75</v>
      </c>
      <c r="D128" s="47" t="s">
        <v>122</v>
      </c>
      <c r="E128" s="47" t="s">
        <v>118</v>
      </c>
      <c r="F128" s="48">
        <v>0.71</v>
      </c>
      <c r="G128" s="48">
        <v>100</v>
      </c>
      <c r="H128" s="48">
        <v>0</v>
      </c>
      <c r="I128" s="47"/>
      <c r="J128" s="48">
        <v>0</v>
      </c>
      <c r="K128" s="47" t="s">
        <v>119</v>
      </c>
    </row>
    <row r="129" spans="1:11" ht="14.25" customHeight="1" x14ac:dyDescent="0.3">
      <c r="A129">
        <v>1024</v>
      </c>
      <c r="B129" s="49">
        <v>202505</v>
      </c>
      <c r="C129" s="50" t="s">
        <v>44</v>
      </c>
      <c r="D129" s="50" t="s">
        <v>122</v>
      </c>
      <c r="E129" s="50" t="s">
        <v>118</v>
      </c>
      <c r="F129" s="51">
        <v>2.52</v>
      </c>
      <c r="G129" s="51">
        <v>89.77</v>
      </c>
      <c r="H129" s="51">
        <v>2000</v>
      </c>
      <c r="I129" s="50"/>
      <c r="J129" s="51">
        <v>2000</v>
      </c>
      <c r="K129" s="50" t="s">
        <v>119</v>
      </c>
    </row>
    <row r="130" spans="1:11" ht="14.25" customHeight="1" x14ac:dyDescent="0.3">
      <c r="A130">
        <v>1012</v>
      </c>
      <c r="B130" s="46">
        <v>202505</v>
      </c>
      <c r="C130" s="47" t="s">
        <v>33</v>
      </c>
      <c r="D130" s="47" t="s">
        <v>121</v>
      </c>
      <c r="E130" s="47" t="s">
        <v>118</v>
      </c>
      <c r="F130" s="48">
        <v>2.56</v>
      </c>
      <c r="G130" s="48">
        <v>91.84</v>
      </c>
      <c r="H130" s="48">
        <v>2153</v>
      </c>
      <c r="I130" s="47"/>
      <c r="J130" s="48">
        <v>2153</v>
      </c>
      <c r="K130" s="47" t="s">
        <v>119</v>
      </c>
    </row>
    <row r="131" spans="1:11" ht="14.25" customHeight="1" x14ac:dyDescent="0.3">
      <c r="A131">
        <v>1028</v>
      </c>
      <c r="B131" s="49">
        <v>202505</v>
      </c>
      <c r="C131" s="50" t="s">
        <v>31</v>
      </c>
      <c r="D131" s="50" t="s">
        <v>121</v>
      </c>
      <c r="E131" s="50" t="s">
        <v>118</v>
      </c>
      <c r="F131" s="51">
        <v>2.89</v>
      </c>
      <c r="G131" s="51">
        <v>93.07</v>
      </c>
      <c r="H131" s="51">
        <v>1057.5</v>
      </c>
      <c r="I131" s="50"/>
      <c r="J131" s="51">
        <v>1057.5</v>
      </c>
      <c r="K131" s="50" t="s">
        <v>119</v>
      </c>
    </row>
    <row r="132" spans="1:11" ht="14.25" customHeight="1" x14ac:dyDescent="0.3">
      <c r="A132">
        <v>1033</v>
      </c>
      <c r="B132" s="46">
        <v>202505</v>
      </c>
      <c r="C132" s="47" t="s">
        <v>37</v>
      </c>
      <c r="D132" s="47" t="s">
        <v>122</v>
      </c>
      <c r="E132" s="47" t="s">
        <v>118</v>
      </c>
      <c r="F132" s="48">
        <v>2.77</v>
      </c>
      <c r="G132" s="48">
        <v>92.5</v>
      </c>
      <c r="H132" s="48">
        <v>855</v>
      </c>
      <c r="I132" s="47"/>
      <c r="J132" s="48">
        <v>855</v>
      </c>
      <c r="K132" s="47" t="s">
        <v>119</v>
      </c>
    </row>
    <row r="133" spans="1:11" ht="14.25" customHeight="1" x14ac:dyDescent="0.3">
      <c r="A133">
        <v>1017</v>
      </c>
      <c r="B133" s="49">
        <v>202505</v>
      </c>
      <c r="C133" s="50" t="s">
        <v>73</v>
      </c>
      <c r="D133" s="50" t="s">
        <v>121</v>
      </c>
      <c r="E133" s="50" t="s">
        <v>118</v>
      </c>
      <c r="F133" s="51">
        <v>2.7</v>
      </c>
      <c r="G133" s="51">
        <v>98.93</v>
      </c>
      <c r="H133" s="51">
        <v>425</v>
      </c>
      <c r="I133" s="50"/>
      <c r="J133" s="51">
        <v>425</v>
      </c>
      <c r="K133" s="50" t="s">
        <v>119</v>
      </c>
    </row>
    <row r="134" spans="1:11" ht="14.25" customHeight="1" x14ac:dyDescent="0.3">
      <c r="A134">
        <v>1011</v>
      </c>
      <c r="B134" s="46">
        <v>202505</v>
      </c>
      <c r="C134" s="47" t="s">
        <v>35</v>
      </c>
      <c r="D134" s="47" t="s">
        <v>122</v>
      </c>
      <c r="E134" s="47" t="s">
        <v>118</v>
      </c>
      <c r="F134" s="48">
        <v>2.23</v>
      </c>
      <c r="G134" s="48">
        <v>99.51</v>
      </c>
      <c r="H134" s="48">
        <v>3000</v>
      </c>
      <c r="I134" s="47"/>
      <c r="J134" s="48">
        <v>3000</v>
      </c>
      <c r="K134" s="47" t="s">
        <v>119</v>
      </c>
    </row>
    <row r="135" spans="1:11" ht="14.25" customHeight="1" x14ac:dyDescent="0.3">
      <c r="A135">
        <v>1018</v>
      </c>
      <c r="B135" s="49">
        <v>202505</v>
      </c>
      <c r="C135" s="50" t="s">
        <v>28</v>
      </c>
      <c r="D135" s="50" t="s">
        <v>122</v>
      </c>
      <c r="E135" s="50" t="s">
        <v>118</v>
      </c>
      <c r="F135" s="51">
        <v>2.73</v>
      </c>
      <c r="G135" s="51">
        <v>99.47</v>
      </c>
      <c r="H135" s="51">
        <v>750</v>
      </c>
      <c r="I135" s="50"/>
      <c r="J135" s="51">
        <v>750</v>
      </c>
      <c r="K135" s="50" t="s">
        <v>119</v>
      </c>
    </row>
    <row r="136" spans="1:11" ht="14.25" customHeight="1" x14ac:dyDescent="0.3">
      <c r="A136">
        <v>1032</v>
      </c>
      <c r="B136" s="46">
        <v>202505</v>
      </c>
      <c r="C136" s="47" t="s">
        <v>34</v>
      </c>
      <c r="D136" s="47" t="s">
        <v>121</v>
      </c>
      <c r="E136" s="47" t="s">
        <v>118</v>
      </c>
      <c r="F136" s="48">
        <v>2.5299999999999998</v>
      </c>
      <c r="G136" s="48">
        <v>93.09</v>
      </c>
      <c r="H136" s="48">
        <v>382.5</v>
      </c>
      <c r="I136" s="47"/>
      <c r="J136" s="48">
        <v>382.5</v>
      </c>
      <c r="K136" s="47" t="s">
        <v>119</v>
      </c>
    </row>
    <row r="137" spans="1:11" ht="14.25" customHeight="1" x14ac:dyDescent="0.3">
      <c r="A137">
        <v>1031</v>
      </c>
      <c r="B137" s="49">
        <v>202505</v>
      </c>
      <c r="C137" s="50" t="s">
        <v>32</v>
      </c>
      <c r="D137" s="50" t="s">
        <v>122</v>
      </c>
      <c r="E137" s="50" t="s">
        <v>118</v>
      </c>
      <c r="F137" s="51">
        <v>2.5299999999999998</v>
      </c>
      <c r="G137" s="51">
        <v>99.39</v>
      </c>
      <c r="H137" s="51">
        <v>125</v>
      </c>
      <c r="I137" s="50"/>
      <c r="J137" s="51">
        <v>125</v>
      </c>
      <c r="K137" s="50" t="s">
        <v>119</v>
      </c>
    </row>
    <row r="138" spans="1:11" ht="14.25" customHeight="1" x14ac:dyDescent="0.3">
      <c r="A138">
        <v>1016</v>
      </c>
      <c r="B138" s="46">
        <v>202505</v>
      </c>
      <c r="C138" s="47" t="s">
        <v>20</v>
      </c>
      <c r="D138" s="47" t="s">
        <v>122</v>
      </c>
      <c r="E138" s="47" t="s">
        <v>118</v>
      </c>
      <c r="F138" s="48">
        <v>2.37</v>
      </c>
      <c r="G138" s="48">
        <v>100</v>
      </c>
      <c r="H138" s="48">
        <v>5500</v>
      </c>
      <c r="I138" s="47"/>
      <c r="J138" s="48">
        <v>5500</v>
      </c>
      <c r="K138" s="47" t="s">
        <v>119</v>
      </c>
    </row>
    <row r="139" spans="1:11" ht="14.25" customHeight="1" x14ac:dyDescent="0.3">
      <c r="A139">
        <v>1005</v>
      </c>
      <c r="B139" s="49">
        <v>202505</v>
      </c>
      <c r="C139" s="50" t="s">
        <v>36</v>
      </c>
      <c r="D139" s="50" t="s">
        <v>121</v>
      </c>
      <c r="E139" s="50" t="s">
        <v>118</v>
      </c>
      <c r="F139" s="51">
        <v>2.65</v>
      </c>
      <c r="G139" s="51">
        <v>100</v>
      </c>
      <c r="H139" s="51">
        <v>3000</v>
      </c>
      <c r="I139" s="50"/>
      <c r="J139" s="51">
        <v>3000</v>
      </c>
      <c r="K139" s="50" t="s">
        <v>119</v>
      </c>
    </row>
    <row r="140" spans="1:11" ht="14.25" customHeight="1" x14ac:dyDescent="0.3">
      <c r="A140">
        <v>1027</v>
      </c>
      <c r="B140" s="46">
        <v>202505</v>
      </c>
      <c r="C140" s="47" t="s">
        <v>40</v>
      </c>
      <c r="D140" s="47" t="s">
        <v>121</v>
      </c>
      <c r="E140" s="47" t="s">
        <v>118</v>
      </c>
      <c r="F140" s="48">
        <v>1.56</v>
      </c>
      <c r="G140" s="48">
        <v>100</v>
      </c>
      <c r="H140" s="48">
        <v>0</v>
      </c>
      <c r="I140" s="47"/>
      <c r="J140" s="48">
        <v>0</v>
      </c>
      <c r="K140" s="47" t="s">
        <v>119</v>
      </c>
    </row>
    <row r="141" spans="1:11" ht="14.25" customHeight="1" x14ac:dyDescent="0.3">
      <c r="A141">
        <v>1006</v>
      </c>
      <c r="B141" s="49">
        <v>202505</v>
      </c>
      <c r="C141" s="50" t="s">
        <v>16</v>
      </c>
      <c r="D141" s="50" t="s">
        <v>117</v>
      </c>
      <c r="E141" s="50" t="s">
        <v>118</v>
      </c>
      <c r="F141" s="51">
        <v>3.93</v>
      </c>
      <c r="G141" s="51">
        <v>99.11</v>
      </c>
      <c r="H141" s="51">
        <v>4200</v>
      </c>
      <c r="I141" s="50"/>
      <c r="J141" s="51">
        <v>4387.5</v>
      </c>
      <c r="K141" s="50" t="s">
        <v>123</v>
      </c>
    </row>
    <row r="142" spans="1:11" ht="14.25" customHeight="1" x14ac:dyDescent="0.3">
      <c r="A142">
        <v>1021</v>
      </c>
      <c r="B142" s="46">
        <v>202505</v>
      </c>
      <c r="C142" s="47" t="s">
        <v>22</v>
      </c>
      <c r="D142" s="47" t="s">
        <v>117</v>
      </c>
      <c r="E142" s="47" t="s">
        <v>118</v>
      </c>
      <c r="F142" s="48">
        <v>2.68</v>
      </c>
      <c r="G142" s="48">
        <v>93.17</v>
      </c>
      <c r="H142" s="48">
        <v>3900</v>
      </c>
      <c r="I142" s="47"/>
      <c r="J142" s="48">
        <v>3900</v>
      </c>
      <c r="K142" s="47" t="s">
        <v>119</v>
      </c>
    </row>
    <row r="143" spans="1:11" ht="14.25" customHeight="1" x14ac:dyDescent="0.3">
      <c r="A143">
        <v>1001</v>
      </c>
      <c r="B143" s="49">
        <v>202505</v>
      </c>
      <c r="C143" s="50" t="s">
        <v>17</v>
      </c>
      <c r="D143" s="50" t="s">
        <v>117</v>
      </c>
      <c r="E143" s="50" t="s">
        <v>118</v>
      </c>
      <c r="F143" s="51">
        <v>4.01</v>
      </c>
      <c r="G143" s="51">
        <v>92.51</v>
      </c>
      <c r="H143" s="51">
        <v>5195</v>
      </c>
      <c r="I143" s="50"/>
      <c r="J143" s="51">
        <v>5195</v>
      </c>
      <c r="K143" s="50" t="s">
        <v>119</v>
      </c>
    </row>
    <row r="144" spans="1:11" ht="14.25" customHeight="1" x14ac:dyDescent="0.3">
      <c r="A144">
        <v>1008</v>
      </c>
      <c r="B144" s="46">
        <v>202505</v>
      </c>
      <c r="C144" s="47" t="s">
        <v>30</v>
      </c>
      <c r="D144" s="47" t="s">
        <v>120</v>
      </c>
      <c r="E144" s="47" t="s">
        <v>118</v>
      </c>
      <c r="F144" s="48">
        <v>3.69</v>
      </c>
      <c r="G144" s="48">
        <v>92.12</v>
      </c>
      <c r="H144" s="48">
        <v>978.75</v>
      </c>
      <c r="I144" s="47"/>
      <c r="J144" s="48">
        <v>978.75</v>
      </c>
      <c r="K144" s="47" t="s">
        <v>119</v>
      </c>
    </row>
    <row r="145" spans="1:11" ht="14.25" customHeight="1" x14ac:dyDescent="0.3">
      <c r="A145">
        <v>1029</v>
      </c>
      <c r="B145" s="49">
        <v>202505</v>
      </c>
      <c r="C145" s="50" t="s">
        <v>21</v>
      </c>
      <c r="D145" s="50" t="s">
        <v>117</v>
      </c>
      <c r="E145" s="50" t="s">
        <v>118</v>
      </c>
      <c r="F145" s="51">
        <v>3.91</v>
      </c>
      <c r="G145" s="51">
        <v>99.32</v>
      </c>
      <c r="H145" s="51">
        <v>3800</v>
      </c>
      <c r="I145" s="50"/>
      <c r="J145" s="51">
        <v>3800</v>
      </c>
      <c r="K145" s="50" t="s">
        <v>119</v>
      </c>
    </row>
    <row r="146" spans="1:11" ht="14.25" customHeight="1" x14ac:dyDescent="0.3">
      <c r="A146">
        <v>1003</v>
      </c>
      <c r="B146" s="46">
        <v>202505</v>
      </c>
      <c r="C146" s="47" t="s">
        <v>26</v>
      </c>
      <c r="D146" s="47" t="s">
        <v>120</v>
      </c>
      <c r="E146" s="47" t="s">
        <v>118</v>
      </c>
      <c r="F146" s="48">
        <v>4</v>
      </c>
      <c r="G146" s="48">
        <v>99.65</v>
      </c>
      <c r="H146" s="48">
        <v>2550</v>
      </c>
      <c r="I146" s="47"/>
      <c r="J146" s="48">
        <v>2550</v>
      </c>
      <c r="K146" s="47" t="s">
        <v>119</v>
      </c>
    </row>
    <row r="147" spans="1:11" ht="14.25" customHeight="1" x14ac:dyDescent="0.3">
      <c r="A147">
        <v>1007</v>
      </c>
      <c r="B147" s="49">
        <v>202505</v>
      </c>
      <c r="C147" s="50" t="s">
        <v>24</v>
      </c>
      <c r="D147" s="50" t="s">
        <v>120</v>
      </c>
      <c r="E147" s="50" t="s">
        <v>118</v>
      </c>
      <c r="F147" s="51">
        <v>3</v>
      </c>
      <c r="G147" s="51">
        <v>98.75</v>
      </c>
      <c r="H147" s="51">
        <v>2675</v>
      </c>
      <c r="I147" s="50"/>
      <c r="J147" s="51">
        <v>2675</v>
      </c>
      <c r="K147" s="50" t="s">
        <v>119</v>
      </c>
    </row>
    <row r="148" spans="1:11" ht="14.25" customHeight="1" x14ac:dyDescent="0.3">
      <c r="A148">
        <v>1013</v>
      </c>
      <c r="B148" s="46">
        <v>202505</v>
      </c>
      <c r="C148" s="47" t="s">
        <v>27</v>
      </c>
      <c r="D148" s="47" t="s">
        <v>117</v>
      </c>
      <c r="E148" s="47" t="s">
        <v>118</v>
      </c>
      <c r="F148" s="48">
        <v>3.81</v>
      </c>
      <c r="G148" s="48">
        <v>99.33</v>
      </c>
      <c r="H148" s="48">
        <v>4275</v>
      </c>
      <c r="I148" s="47"/>
      <c r="J148" s="48">
        <v>4275</v>
      </c>
      <c r="K148" s="47" t="s">
        <v>119</v>
      </c>
    </row>
    <row r="149" spans="1:11" ht="14.25" customHeight="1" x14ac:dyDescent="0.3">
      <c r="A149">
        <v>1010</v>
      </c>
      <c r="B149" s="49">
        <v>202505</v>
      </c>
      <c r="C149" s="50" t="s">
        <v>38</v>
      </c>
      <c r="D149" s="50" t="s">
        <v>117</v>
      </c>
      <c r="E149" s="50" t="s">
        <v>118</v>
      </c>
      <c r="F149" s="51">
        <v>1.9</v>
      </c>
      <c r="G149" s="51">
        <v>100</v>
      </c>
      <c r="H149" s="51">
        <v>0</v>
      </c>
      <c r="I149" s="50"/>
      <c r="J149" s="51">
        <v>0</v>
      </c>
      <c r="K149" s="50" t="s">
        <v>119</v>
      </c>
    </row>
    <row r="150" spans="1:11" ht="14.25" customHeight="1" x14ac:dyDescent="0.3">
      <c r="A150">
        <v>1020</v>
      </c>
      <c r="B150" s="46">
        <v>202505</v>
      </c>
      <c r="C150" s="47" t="s">
        <v>23</v>
      </c>
      <c r="D150" s="47" t="s">
        <v>120</v>
      </c>
      <c r="E150" s="47" t="s">
        <v>118</v>
      </c>
      <c r="F150" s="48">
        <v>4.05</v>
      </c>
      <c r="G150" s="48">
        <v>99.36</v>
      </c>
      <c r="H150" s="48">
        <v>4125</v>
      </c>
      <c r="I150" s="47"/>
      <c r="J150" s="48">
        <v>4125</v>
      </c>
      <c r="K150" s="47" t="s">
        <v>119</v>
      </c>
    </row>
    <row r="151" spans="1:11" ht="14.25" customHeight="1" x14ac:dyDescent="0.3">
      <c r="A151">
        <v>1004</v>
      </c>
      <c r="B151" s="49">
        <v>202505</v>
      </c>
      <c r="C151" s="50" t="s">
        <v>15</v>
      </c>
      <c r="D151" s="50" t="s">
        <v>117</v>
      </c>
      <c r="E151" s="50" t="s">
        <v>118</v>
      </c>
      <c r="F151" s="51">
        <v>2.27</v>
      </c>
      <c r="G151" s="51">
        <v>98.26</v>
      </c>
      <c r="H151" s="51">
        <v>5500</v>
      </c>
      <c r="I151" s="50"/>
      <c r="J151" s="51">
        <v>5500</v>
      </c>
      <c r="K151" s="50" t="s">
        <v>119</v>
      </c>
    </row>
    <row r="152" spans="1:11" ht="14.25" customHeight="1" x14ac:dyDescent="0.3">
      <c r="A152">
        <v>1015</v>
      </c>
      <c r="B152" s="46">
        <v>202505</v>
      </c>
      <c r="C152" s="47" t="s">
        <v>19</v>
      </c>
      <c r="D152" s="47" t="s">
        <v>117</v>
      </c>
      <c r="E152" s="47" t="s">
        <v>118</v>
      </c>
      <c r="F152" s="48">
        <v>4</v>
      </c>
      <c r="G152" s="48">
        <v>99.11</v>
      </c>
      <c r="H152" s="48">
        <v>2550</v>
      </c>
      <c r="I152" s="47"/>
      <c r="J152" s="48">
        <v>2550</v>
      </c>
      <c r="K152" s="47" t="s">
        <v>119</v>
      </c>
    </row>
    <row r="153" spans="1:11" ht="14.25" customHeight="1" x14ac:dyDescent="0.3">
      <c r="A153">
        <v>1002</v>
      </c>
      <c r="B153" s="49">
        <v>202505</v>
      </c>
      <c r="C153" s="50" t="s">
        <v>25</v>
      </c>
      <c r="D153" s="50" t="s">
        <v>120</v>
      </c>
      <c r="E153" s="50" t="s">
        <v>118</v>
      </c>
      <c r="F153" s="51">
        <v>3.77</v>
      </c>
      <c r="G153" s="51">
        <v>95.17</v>
      </c>
      <c r="H153" s="51">
        <v>1978.75</v>
      </c>
      <c r="I153" s="50"/>
      <c r="J153" s="51">
        <v>2147.5</v>
      </c>
      <c r="K153" s="50" t="s">
        <v>123</v>
      </c>
    </row>
    <row r="154" spans="1:11" ht="14.25" customHeight="1" x14ac:dyDescent="0.3">
      <c r="A154">
        <v>1009</v>
      </c>
      <c r="B154" s="46">
        <v>202505</v>
      </c>
      <c r="C154" s="47" t="s">
        <v>18</v>
      </c>
      <c r="D154" s="47" t="s">
        <v>120</v>
      </c>
      <c r="E154" s="47" t="s">
        <v>118</v>
      </c>
      <c r="F154" s="48">
        <v>2.52</v>
      </c>
      <c r="G154" s="48">
        <v>100</v>
      </c>
      <c r="H154" s="48">
        <v>5512.5</v>
      </c>
      <c r="I154" s="47"/>
      <c r="J154" s="48">
        <v>5512.5</v>
      </c>
      <c r="K154" s="47" t="s">
        <v>119</v>
      </c>
    </row>
    <row r="155" spans="1:11" ht="14.25" customHeight="1" x14ac:dyDescent="0.3">
      <c r="A155">
        <v>1030</v>
      </c>
      <c r="B155" s="49">
        <v>202506</v>
      </c>
      <c r="C155" s="50" t="s">
        <v>29</v>
      </c>
      <c r="D155" s="50" t="s">
        <v>121</v>
      </c>
      <c r="E155" s="50" t="s">
        <v>118</v>
      </c>
      <c r="F155" s="51">
        <v>3.07</v>
      </c>
      <c r="G155" s="51">
        <v>99.21</v>
      </c>
      <c r="H155" s="51">
        <v>1300</v>
      </c>
      <c r="I155" s="50"/>
      <c r="J155" s="51">
        <v>1300</v>
      </c>
      <c r="K155" s="50" t="s">
        <v>119</v>
      </c>
    </row>
    <row r="156" spans="1:11" ht="14.25" customHeight="1" x14ac:dyDescent="0.3">
      <c r="A156">
        <v>1024</v>
      </c>
      <c r="B156" s="46">
        <v>202506</v>
      </c>
      <c r="C156" s="47" t="s">
        <v>44</v>
      </c>
      <c r="D156" s="47" t="s">
        <v>121</v>
      </c>
      <c r="E156" s="47" t="s">
        <v>118</v>
      </c>
      <c r="F156" s="48">
        <v>3.54</v>
      </c>
      <c r="G156" s="48">
        <v>69.58</v>
      </c>
      <c r="H156" s="48">
        <v>2100</v>
      </c>
      <c r="I156" s="47"/>
      <c r="J156" s="48">
        <v>2100</v>
      </c>
      <c r="K156" s="47" t="s">
        <v>119</v>
      </c>
    </row>
    <row r="157" spans="1:11" ht="14.25" customHeight="1" x14ac:dyDescent="0.3">
      <c r="A157">
        <v>1012</v>
      </c>
      <c r="B157" s="49">
        <v>202506</v>
      </c>
      <c r="C157" s="50" t="s">
        <v>33</v>
      </c>
      <c r="D157" s="50" t="s">
        <v>122</v>
      </c>
      <c r="E157" s="50" t="s">
        <v>118</v>
      </c>
      <c r="F157" s="51">
        <v>3.46</v>
      </c>
      <c r="G157" s="51">
        <v>95.63</v>
      </c>
      <c r="H157" s="51">
        <v>3000</v>
      </c>
      <c r="I157" s="50"/>
      <c r="J157" s="51">
        <v>3000</v>
      </c>
      <c r="K157" s="50" t="s">
        <v>119</v>
      </c>
    </row>
    <row r="158" spans="1:11" ht="14.25" customHeight="1" x14ac:dyDescent="0.3">
      <c r="A158">
        <v>1028</v>
      </c>
      <c r="B158" s="46">
        <v>202506</v>
      </c>
      <c r="C158" s="47" t="s">
        <v>31</v>
      </c>
      <c r="D158" s="47" t="s">
        <v>121</v>
      </c>
      <c r="E158" s="47" t="s">
        <v>118</v>
      </c>
      <c r="F158" s="48">
        <v>4.16</v>
      </c>
      <c r="G158" s="48">
        <v>94.47</v>
      </c>
      <c r="H158" s="48">
        <v>3622.5</v>
      </c>
      <c r="I158" s="47"/>
      <c r="J158" s="48">
        <v>3622.5</v>
      </c>
      <c r="K158" s="47" t="s">
        <v>119</v>
      </c>
    </row>
    <row r="159" spans="1:11" ht="14.25" customHeight="1" x14ac:dyDescent="0.3">
      <c r="A159">
        <v>1033</v>
      </c>
      <c r="B159" s="49">
        <v>202506</v>
      </c>
      <c r="C159" s="50" t="s">
        <v>37</v>
      </c>
      <c r="D159" s="50" t="s">
        <v>122</v>
      </c>
      <c r="E159" s="50" t="s">
        <v>118</v>
      </c>
      <c r="F159" s="51">
        <v>4.22</v>
      </c>
      <c r="G159" s="51">
        <v>90.06</v>
      </c>
      <c r="H159" s="51">
        <v>3915</v>
      </c>
      <c r="I159" s="50"/>
      <c r="J159" s="51">
        <v>3915</v>
      </c>
      <c r="K159" s="50" t="s">
        <v>119</v>
      </c>
    </row>
    <row r="160" spans="1:11" ht="14.25" customHeight="1" x14ac:dyDescent="0.3">
      <c r="A160">
        <v>1017</v>
      </c>
      <c r="B160" s="46">
        <v>202506</v>
      </c>
      <c r="C160" s="47" t="s">
        <v>73</v>
      </c>
      <c r="D160" s="47" t="s">
        <v>122</v>
      </c>
      <c r="E160" s="47" t="s">
        <v>118</v>
      </c>
      <c r="F160" s="48">
        <v>3.54</v>
      </c>
      <c r="G160" s="48">
        <v>99.74</v>
      </c>
      <c r="H160" s="48">
        <v>550</v>
      </c>
      <c r="I160" s="47"/>
      <c r="J160" s="48">
        <v>550</v>
      </c>
      <c r="K160" s="47" t="s">
        <v>119</v>
      </c>
    </row>
    <row r="161" spans="1:11" ht="14.25" customHeight="1" x14ac:dyDescent="0.3">
      <c r="A161">
        <v>1011</v>
      </c>
      <c r="B161" s="49">
        <v>202506</v>
      </c>
      <c r="C161" s="50" t="s">
        <v>35</v>
      </c>
      <c r="D161" s="50" t="s">
        <v>122</v>
      </c>
      <c r="E161" s="50" t="s">
        <v>118</v>
      </c>
      <c r="F161" s="51">
        <v>3.18</v>
      </c>
      <c r="G161" s="51">
        <v>100</v>
      </c>
      <c r="H161" s="51">
        <v>3000</v>
      </c>
      <c r="I161" s="50"/>
      <c r="J161" s="51">
        <v>3000</v>
      </c>
      <c r="K161" s="50" t="s">
        <v>119</v>
      </c>
    </row>
    <row r="162" spans="1:11" ht="14.25" customHeight="1" x14ac:dyDescent="0.3">
      <c r="A162">
        <v>1020</v>
      </c>
      <c r="B162" s="46">
        <v>202506</v>
      </c>
      <c r="C162" s="47" t="s">
        <v>23</v>
      </c>
      <c r="D162" s="47" t="s">
        <v>124</v>
      </c>
      <c r="E162" s="47" t="s">
        <v>118</v>
      </c>
      <c r="F162" s="48">
        <v>4.2</v>
      </c>
      <c r="G162" s="48">
        <v>100</v>
      </c>
      <c r="H162" s="48">
        <v>6350</v>
      </c>
      <c r="I162" s="47"/>
      <c r="J162" s="48">
        <v>6350</v>
      </c>
      <c r="K162" s="47" t="s">
        <v>119</v>
      </c>
    </row>
    <row r="163" spans="1:11" ht="14.25" customHeight="1" x14ac:dyDescent="0.3">
      <c r="A163">
        <v>1018</v>
      </c>
      <c r="B163" s="49">
        <v>202506</v>
      </c>
      <c r="C163" s="50" t="s">
        <v>28</v>
      </c>
      <c r="D163" s="50" t="s">
        <v>122</v>
      </c>
      <c r="E163" s="50" t="s">
        <v>118</v>
      </c>
      <c r="F163" s="51">
        <v>4.07</v>
      </c>
      <c r="G163" s="51">
        <v>93.4</v>
      </c>
      <c r="H163" s="51">
        <v>3060</v>
      </c>
      <c r="I163" s="50"/>
      <c r="J163" s="51">
        <v>3060</v>
      </c>
      <c r="K163" s="50" t="s">
        <v>119</v>
      </c>
    </row>
    <row r="164" spans="1:11" ht="14.25" customHeight="1" x14ac:dyDescent="0.3">
      <c r="A164">
        <v>1032</v>
      </c>
      <c r="B164" s="46">
        <v>202506</v>
      </c>
      <c r="C164" s="47" t="s">
        <v>34</v>
      </c>
      <c r="D164" s="47" t="s">
        <v>121</v>
      </c>
      <c r="E164" s="47" t="s">
        <v>118</v>
      </c>
      <c r="F164" s="48">
        <v>3.95</v>
      </c>
      <c r="G164" s="48">
        <v>83.73</v>
      </c>
      <c r="H164" s="48">
        <v>2560</v>
      </c>
      <c r="I164" s="47"/>
      <c r="J164" s="48">
        <v>2560</v>
      </c>
      <c r="K164" s="47" t="s">
        <v>119</v>
      </c>
    </row>
    <row r="165" spans="1:11" ht="14.25" customHeight="1" x14ac:dyDescent="0.3">
      <c r="A165">
        <v>1031</v>
      </c>
      <c r="B165" s="49">
        <v>202506</v>
      </c>
      <c r="C165" s="50" t="s">
        <v>32</v>
      </c>
      <c r="D165" s="50" t="s">
        <v>121</v>
      </c>
      <c r="E165" s="50" t="s">
        <v>118</v>
      </c>
      <c r="F165" s="51">
        <v>3.84</v>
      </c>
      <c r="G165" s="51">
        <v>99.66</v>
      </c>
      <c r="H165" s="51">
        <v>3400</v>
      </c>
      <c r="I165" s="50"/>
      <c r="J165" s="51">
        <v>3400</v>
      </c>
      <c r="K165" s="50" t="s">
        <v>119</v>
      </c>
    </row>
    <row r="166" spans="1:11" ht="14.25" customHeight="1" x14ac:dyDescent="0.3">
      <c r="A166">
        <v>1015</v>
      </c>
      <c r="B166" s="46">
        <v>202506</v>
      </c>
      <c r="C166" s="47" t="s">
        <v>19</v>
      </c>
      <c r="D166" s="47" t="s">
        <v>124</v>
      </c>
      <c r="E166" s="47" t="s">
        <v>118</v>
      </c>
      <c r="F166" s="48">
        <v>4.24</v>
      </c>
      <c r="G166" s="48">
        <v>100</v>
      </c>
      <c r="H166" s="48">
        <v>6697.14</v>
      </c>
      <c r="I166" s="47"/>
      <c r="J166" s="48">
        <v>6697.14</v>
      </c>
      <c r="K166" s="47" t="s">
        <v>119</v>
      </c>
    </row>
    <row r="167" spans="1:11" ht="14.25" customHeight="1" x14ac:dyDescent="0.3">
      <c r="A167">
        <v>1016</v>
      </c>
      <c r="B167" s="49">
        <v>202506</v>
      </c>
      <c r="C167" s="50" t="s">
        <v>20</v>
      </c>
      <c r="D167" s="50" t="s">
        <v>122</v>
      </c>
      <c r="E167" s="50" t="s">
        <v>118</v>
      </c>
      <c r="F167" s="51">
        <v>2.96</v>
      </c>
      <c r="G167" s="51">
        <v>100</v>
      </c>
      <c r="H167" s="51">
        <v>5500</v>
      </c>
      <c r="I167" s="50"/>
      <c r="J167" s="51">
        <v>5500</v>
      </c>
      <c r="K167" s="50" t="s">
        <v>119</v>
      </c>
    </row>
    <row r="168" spans="1:11" ht="14.25" customHeight="1" x14ac:dyDescent="0.3">
      <c r="A168">
        <v>1005</v>
      </c>
      <c r="B168" s="46">
        <v>202506</v>
      </c>
      <c r="C168" s="47" t="s">
        <v>36</v>
      </c>
      <c r="D168" s="47" t="s">
        <v>121</v>
      </c>
      <c r="E168" s="47" t="s">
        <v>118</v>
      </c>
      <c r="F168" s="48">
        <v>3.22</v>
      </c>
      <c r="G168" s="48">
        <v>100</v>
      </c>
      <c r="H168" s="48">
        <v>125</v>
      </c>
      <c r="I168" s="47"/>
      <c r="J168" s="48">
        <v>125</v>
      </c>
      <c r="K168" s="47" t="s">
        <v>119</v>
      </c>
    </row>
    <row r="169" spans="1:11" ht="14.25" customHeight="1" x14ac:dyDescent="0.3">
      <c r="A169">
        <v>1027</v>
      </c>
      <c r="B169" s="49">
        <v>202506</v>
      </c>
      <c r="C169" s="50" t="s">
        <v>40</v>
      </c>
      <c r="D169" s="50" t="s">
        <v>121</v>
      </c>
      <c r="E169" s="50" t="s">
        <v>118</v>
      </c>
      <c r="F169" s="51">
        <v>1.9</v>
      </c>
      <c r="G169" s="51">
        <v>100</v>
      </c>
      <c r="H169" s="51">
        <v>0</v>
      </c>
      <c r="I169" s="50"/>
      <c r="J169" s="51">
        <v>0</v>
      </c>
      <c r="K169" s="50" t="s">
        <v>119</v>
      </c>
    </row>
    <row r="170" spans="1:11" ht="14.25" customHeight="1" x14ac:dyDescent="0.3">
      <c r="A170">
        <v>1006</v>
      </c>
      <c r="B170" s="46">
        <v>202506</v>
      </c>
      <c r="C170" s="47" t="s">
        <v>16</v>
      </c>
      <c r="D170" s="47" t="s">
        <v>117</v>
      </c>
      <c r="E170" s="47" t="s">
        <v>118</v>
      </c>
      <c r="F170" s="48">
        <v>3.94</v>
      </c>
      <c r="G170" s="48">
        <v>99.67</v>
      </c>
      <c r="H170" s="48">
        <v>4562.5</v>
      </c>
      <c r="I170" s="47"/>
      <c r="J170" s="48">
        <v>4562.5</v>
      </c>
      <c r="K170" s="47" t="s">
        <v>119</v>
      </c>
    </row>
    <row r="171" spans="1:11" ht="14.25" customHeight="1" x14ac:dyDescent="0.3">
      <c r="A171">
        <v>1021</v>
      </c>
      <c r="B171" s="49">
        <v>202506</v>
      </c>
      <c r="C171" s="50" t="s">
        <v>22</v>
      </c>
      <c r="D171" s="50" t="s">
        <v>117</v>
      </c>
      <c r="E171" s="50" t="s">
        <v>118</v>
      </c>
      <c r="F171" s="51">
        <v>4.0199999999999996</v>
      </c>
      <c r="G171" s="51">
        <v>92.24</v>
      </c>
      <c r="H171" s="51">
        <v>4237.5</v>
      </c>
      <c r="I171" s="50"/>
      <c r="J171" s="51">
        <v>4237.5</v>
      </c>
      <c r="K171" s="50" t="s">
        <v>119</v>
      </c>
    </row>
    <row r="172" spans="1:11" ht="14.25" customHeight="1" x14ac:dyDescent="0.3">
      <c r="A172">
        <v>1001</v>
      </c>
      <c r="B172" s="46">
        <v>202506</v>
      </c>
      <c r="C172" s="47" t="s">
        <v>17</v>
      </c>
      <c r="D172" s="47" t="s">
        <v>117</v>
      </c>
      <c r="E172" s="47" t="s">
        <v>118</v>
      </c>
      <c r="F172" s="48">
        <v>4.0999999999999996</v>
      </c>
      <c r="G172" s="48">
        <v>95.68</v>
      </c>
      <c r="H172" s="48">
        <v>5575</v>
      </c>
      <c r="I172" s="47"/>
      <c r="J172" s="48">
        <v>5575</v>
      </c>
      <c r="K172" s="47" t="s">
        <v>119</v>
      </c>
    </row>
    <row r="173" spans="1:11" ht="14.25" customHeight="1" x14ac:dyDescent="0.3">
      <c r="A173">
        <v>1008</v>
      </c>
      <c r="B173" s="49">
        <v>202506</v>
      </c>
      <c r="C173" s="50" t="s">
        <v>30</v>
      </c>
      <c r="D173" s="50" t="s">
        <v>120</v>
      </c>
      <c r="E173" s="50" t="s">
        <v>118</v>
      </c>
      <c r="F173" s="51">
        <v>4.03</v>
      </c>
      <c r="G173" s="51">
        <v>79.88</v>
      </c>
      <c r="H173" s="51">
        <v>3425</v>
      </c>
      <c r="I173" s="50"/>
      <c r="J173" s="51">
        <v>3425</v>
      </c>
      <c r="K173" s="50" t="s">
        <v>119</v>
      </c>
    </row>
    <row r="174" spans="1:11" ht="14.25" customHeight="1" x14ac:dyDescent="0.3">
      <c r="A174">
        <v>1029</v>
      </c>
      <c r="B174" s="46">
        <v>202506</v>
      </c>
      <c r="C174" s="47" t="s">
        <v>21</v>
      </c>
      <c r="D174" s="47" t="s">
        <v>117</v>
      </c>
      <c r="E174" s="47" t="s">
        <v>118</v>
      </c>
      <c r="F174" s="48">
        <v>4</v>
      </c>
      <c r="G174" s="48">
        <v>99.15</v>
      </c>
      <c r="H174" s="48">
        <v>3800</v>
      </c>
      <c r="I174" s="47"/>
      <c r="J174" s="48">
        <v>3800</v>
      </c>
      <c r="K174" s="47" t="s">
        <v>119</v>
      </c>
    </row>
    <row r="175" spans="1:11" ht="14.25" customHeight="1" x14ac:dyDescent="0.3">
      <c r="A175">
        <v>1003</v>
      </c>
      <c r="B175" s="49">
        <v>202506</v>
      </c>
      <c r="C175" s="50" t="s">
        <v>26</v>
      </c>
      <c r="D175" s="50" t="s">
        <v>120</v>
      </c>
      <c r="E175" s="50" t="s">
        <v>118</v>
      </c>
      <c r="F175" s="51">
        <v>3.56</v>
      </c>
      <c r="G175" s="51">
        <v>98.85</v>
      </c>
      <c r="H175" s="51">
        <v>4725</v>
      </c>
      <c r="I175" s="50"/>
      <c r="J175" s="51">
        <v>4725</v>
      </c>
      <c r="K175" s="50" t="s">
        <v>119</v>
      </c>
    </row>
    <row r="176" spans="1:11" ht="14.25" customHeight="1" x14ac:dyDescent="0.3">
      <c r="A176">
        <v>1007</v>
      </c>
      <c r="B176" s="46">
        <v>202506</v>
      </c>
      <c r="C176" s="47" t="s">
        <v>24</v>
      </c>
      <c r="D176" s="47" t="s">
        <v>120</v>
      </c>
      <c r="E176" s="47" t="s">
        <v>118</v>
      </c>
      <c r="F176" s="48">
        <v>3.71</v>
      </c>
      <c r="G176" s="48">
        <v>96.36</v>
      </c>
      <c r="H176" s="48">
        <v>4737.5</v>
      </c>
      <c r="I176" s="47"/>
      <c r="J176" s="48">
        <v>4737.5</v>
      </c>
      <c r="K176" s="47" t="s">
        <v>119</v>
      </c>
    </row>
    <row r="177" spans="1:11" ht="14.25" customHeight="1" x14ac:dyDescent="0.3">
      <c r="A177">
        <v>1013</v>
      </c>
      <c r="B177" s="49">
        <v>202506</v>
      </c>
      <c r="C177" s="50" t="s">
        <v>27</v>
      </c>
      <c r="D177" s="50" t="s">
        <v>117</v>
      </c>
      <c r="E177" s="50" t="s">
        <v>118</v>
      </c>
      <c r="F177" s="51">
        <v>3.93</v>
      </c>
      <c r="G177" s="51">
        <v>99.74</v>
      </c>
      <c r="H177" s="51">
        <v>3525</v>
      </c>
      <c r="I177" s="50"/>
      <c r="J177" s="51">
        <v>3525</v>
      </c>
      <c r="K177" s="50" t="s">
        <v>119</v>
      </c>
    </row>
    <row r="178" spans="1:11" ht="14.25" customHeight="1" x14ac:dyDescent="0.3">
      <c r="A178">
        <v>1004</v>
      </c>
      <c r="B178" s="46">
        <v>202506</v>
      </c>
      <c r="C178" s="47" t="s">
        <v>15</v>
      </c>
      <c r="D178" s="47" t="s">
        <v>117</v>
      </c>
      <c r="E178" s="47" t="s">
        <v>118</v>
      </c>
      <c r="F178" s="48">
        <v>2.41</v>
      </c>
      <c r="G178" s="48">
        <v>99.03</v>
      </c>
      <c r="H178" s="48">
        <v>6200</v>
      </c>
      <c r="I178" s="47"/>
      <c r="J178" s="48">
        <v>6200</v>
      </c>
      <c r="K178" s="47" t="s">
        <v>119</v>
      </c>
    </row>
    <row r="179" spans="1:11" ht="14.25" customHeight="1" x14ac:dyDescent="0.3">
      <c r="A179">
        <v>1002</v>
      </c>
      <c r="B179" s="49">
        <v>202506</v>
      </c>
      <c r="C179" s="50" t="s">
        <v>25</v>
      </c>
      <c r="D179" s="50" t="s">
        <v>120</v>
      </c>
      <c r="E179" s="50" t="s">
        <v>118</v>
      </c>
      <c r="F179" s="51">
        <v>4.0199999999999996</v>
      </c>
      <c r="G179" s="51">
        <v>86.52</v>
      </c>
      <c r="H179" s="51">
        <v>4900</v>
      </c>
      <c r="I179" s="50"/>
      <c r="J179" s="51">
        <v>4900</v>
      </c>
      <c r="K179" s="50" t="s">
        <v>119</v>
      </c>
    </row>
    <row r="180" spans="1:11" ht="14.25" customHeight="1" x14ac:dyDescent="0.3">
      <c r="A180">
        <v>1009</v>
      </c>
      <c r="B180" s="46">
        <v>202506</v>
      </c>
      <c r="C180" s="47" t="s">
        <v>18</v>
      </c>
      <c r="D180" s="47" t="s">
        <v>120</v>
      </c>
      <c r="E180" s="47" t="s">
        <v>118</v>
      </c>
      <c r="F180" s="48">
        <v>2.84</v>
      </c>
      <c r="G180" s="48">
        <v>99.15</v>
      </c>
      <c r="H180" s="48">
        <v>6312.5</v>
      </c>
      <c r="I180" s="47"/>
      <c r="J180" s="48">
        <v>6312.5</v>
      </c>
      <c r="K180" s="47" t="s">
        <v>119</v>
      </c>
    </row>
    <row r="181" spans="1:11" ht="14.25" customHeight="1" x14ac:dyDescent="0.3">
      <c r="A181">
        <v>1030</v>
      </c>
      <c r="B181" s="49">
        <v>202507</v>
      </c>
      <c r="C181" s="50" t="s">
        <v>29</v>
      </c>
      <c r="D181" s="50" t="s">
        <v>121</v>
      </c>
      <c r="E181" s="50" t="s">
        <v>118</v>
      </c>
      <c r="F181" s="51">
        <v>4.05</v>
      </c>
      <c r="G181" s="51"/>
      <c r="H181" s="51">
        <v>2450</v>
      </c>
      <c r="I181" s="50"/>
      <c r="J181" s="51">
        <v>2450</v>
      </c>
      <c r="K181" s="50" t="s">
        <v>119</v>
      </c>
    </row>
    <row r="182" spans="1:11" ht="14.25" customHeight="1" x14ac:dyDescent="0.3">
      <c r="A182">
        <v>1024</v>
      </c>
      <c r="B182" s="46">
        <v>202507</v>
      </c>
      <c r="C182" s="47" t="s">
        <v>44</v>
      </c>
      <c r="D182" s="47" t="s">
        <v>121</v>
      </c>
      <c r="E182" s="47" t="s">
        <v>118</v>
      </c>
      <c r="F182" s="48">
        <v>4.2300000000000004</v>
      </c>
      <c r="G182" s="48"/>
      <c r="H182" s="48">
        <v>2100</v>
      </c>
      <c r="I182" s="47"/>
      <c r="J182" s="48">
        <v>2100</v>
      </c>
      <c r="K182" s="47" t="s">
        <v>119</v>
      </c>
    </row>
    <row r="183" spans="1:11" ht="14.25" customHeight="1" x14ac:dyDescent="0.3">
      <c r="A183">
        <v>1012</v>
      </c>
      <c r="B183" s="49">
        <v>202507</v>
      </c>
      <c r="C183" s="50" t="s">
        <v>33</v>
      </c>
      <c r="D183" s="50" t="s">
        <v>122</v>
      </c>
      <c r="E183" s="50" t="s">
        <v>118</v>
      </c>
      <c r="F183" s="51">
        <v>3.52</v>
      </c>
      <c r="G183" s="51"/>
      <c r="H183" s="51">
        <v>3000</v>
      </c>
      <c r="I183" s="50"/>
      <c r="J183" s="51">
        <v>3000</v>
      </c>
      <c r="K183" s="50" t="s">
        <v>119</v>
      </c>
    </row>
    <row r="184" spans="1:11" ht="14.25" customHeight="1" x14ac:dyDescent="0.3">
      <c r="A184">
        <v>1028</v>
      </c>
      <c r="B184" s="46">
        <v>202507</v>
      </c>
      <c r="C184" s="47" t="s">
        <v>31</v>
      </c>
      <c r="D184" s="47" t="s">
        <v>121</v>
      </c>
      <c r="E184" s="47" t="s">
        <v>118</v>
      </c>
      <c r="F184" s="48">
        <v>3.12</v>
      </c>
      <c r="G184" s="48"/>
      <c r="H184" s="48">
        <v>750</v>
      </c>
      <c r="I184" s="47"/>
      <c r="J184" s="48">
        <v>750</v>
      </c>
      <c r="K184" s="47" t="s">
        <v>119</v>
      </c>
    </row>
    <row r="185" spans="1:11" ht="14.25" customHeight="1" x14ac:dyDescent="0.3">
      <c r="A185">
        <v>1033</v>
      </c>
      <c r="B185" s="49">
        <v>202507</v>
      </c>
      <c r="C185" s="50" t="s">
        <v>37</v>
      </c>
      <c r="D185" s="50" t="s">
        <v>122</v>
      </c>
      <c r="E185" s="50" t="s">
        <v>118</v>
      </c>
      <c r="F185" s="51">
        <v>4.3499999999999996</v>
      </c>
      <c r="G185" s="51"/>
      <c r="H185" s="51">
        <v>4040</v>
      </c>
      <c r="I185" s="50"/>
      <c r="J185" s="51">
        <v>4040</v>
      </c>
      <c r="K185" s="50" t="s">
        <v>119</v>
      </c>
    </row>
    <row r="186" spans="1:11" ht="14.25" customHeight="1" x14ac:dyDescent="0.3">
      <c r="A186">
        <v>1017</v>
      </c>
      <c r="B186" s="46">
        <v>202507</v>
      </c>
      <c r="C186" s="47" t="s">
        <v>73</v>
      </c>
      <c r="D186" s="47" t="s">
        <v>122</v>
      </c>
      <c r="E186" s="47" t="s">
        <v>118</v>
      </c>
      <c r="F186" s="48">
        <v>3.47</v>
      </c>
      <c r="G186" s="48"/>
      <c r="H186" s="48">
        <v>125</v>
      </c>
      <c r="I186" s="47"/>
      <c r="J186" s="48">
        <v>0</v>
      </c>
      <c r="K186" s="47" t="s">
        <v>123</v>
      </c>
    </row>
    <row r="187" spans="1:11" ht="14.25" customHeight="1" x14ac:dyDescent="0.3">
      <c r="A187">
        <v>1011</v>
      </c>
      <c r="B187" s="49">
        <v>202507</v>
      </c>
      <c r="C187" s="50" t="s">
        <v>35</v>
      </c>
      <c r="D187" s="50" t="s">
        <v>122</v>
      </c>
      <c r="E187" s="50" t="s">
        <v>118</v>
      </c>
      <c r="F187" s="51">
        <v>3.52</v>
      </c>
      <c r="G187" s="51"/>
      <c r="H187" s="51">
        <v>3000</v>
      </c>
      <c r="I187" s="50"/>
      <c r="J187" s="51">
        <v>3000</v>
      </c>
      <c r="K187" s="50" t="s">
        <v>119</v>
      </c>
    </row>
    <row r="188" spans="1:11" ht="14.25" customHeight="1" x14ac:dyDescent="0.3">
      <c r="A188">
        <v>1020</v>
      </c>
      <c r="B188" s="46">
        <v>202507</v>
      </c>
      <c r="C188" s="47" t="s">
        <v>23</v>
      </c>
      <c r="D188" s="47" t="s">
        <v>124</v>
      </c>
      <c r="E188" s="47" t="s">
        <v>118</v>
      </c>
      <c r="F188" s="48">
        <v>4.22</v>
      </c>
      <c r="G188" s="48"/>
      <c r="H188" s="48">
        <v>3075</v>
      </c>
      <c r="I188" s="47"/>
      <c r="J188" s="48">
        <v>3075</v>
      </c>
      <c r="K188" s="47" t="s">
        <v>119</v>
      </c>
    </row>
    <row r="189" spans="1:11" ht="14.25" customHeight="1" x14ac:dyDescent="0.3">
      <c r="A189">
        <v>1018</v>
      </c>
      <c r="B189" s="49">
        <v>202507</v>
      </c>
      <c r="C189" s="50" t="s">
        <v>28</v>
      </c>
      <c r="D189" s="50" t="s">
        <v>122</v>
      </c>
      <c r="E189" s="50" t="s">
        <v>118</v>
      </c>
      <c r="F189" s="51">
        <v>4.3499999999999996</v>
      </c>
      <c r="G189" s="51"/>
      <c r="H189" s="51">
        <v>4800</v>
      </c>
      <c r="I189" s="50"/>
      <c r="J189" s="51">
        <v>4800</v>
      </c>
      <c r="K189" s="50" t="s">
        <v>119</v>
      </c>
    </row>
    <row r="190" spans="1:11" ht="14.25" customHeight="1" x14ac:dyDescent="0.3">
      <c r="A190">
        <v>1032</v>
      </c>
      <c r="B190" s="46">
        <v>202507</v>
      </c>
      <c r="C190" s="47" t="s">
        <v>34</v>
      </c>
      <c r="D190" s="47" t="s">
        <v>121</v>
      </c>
      <c r="E190" s="47" t="s">
        <v>118</v>
      </c>
      <c r="F190" s="48">
        <v>4.08</v>
      </c>
      <c r="G190" s="48"/>
      <c r="H190" s="48">
        <v>2675</v>
      </c>
      <c r="I190" s="47"/>
      <c r="J190" s="48">
        <v>2675</v>
      </c>
      <c r="K190" s="47" t="s">
        <v>119</v>
      </c>
    </row>
    <row r="191" spans="1:11" ht="14.25" customHeight="1" x14ac:dyDescent="0.3">
      <c r="A191">
        <v>1031</v>
      </c>
      <c r="B191" s="49">
        <v>202507</v>
      </c>
      <c r="C191" s="50" t="s">
        <v>32</v>
      </c>
      <c r="D191" s="50" t="s">
        <v>121</v>
      </c>
      <c r="E191" s="50" t="s">
        <v>118</v>
      </c>
      <c r="F191" s="51">
        <v>4.1500000000000004</v>
      </c>
      <c r="G191" s="51"/>
      <c r="H191" s="51">
        <v>2975</v>
      </c>
      <c r="I191" s="50"/>
      <c r="J191" s="51">
        <v>2975</v>
      </c>
      <c r="K191" s="50" t="s">
        <v>119</v>
      </c>
    </row>
    <row r="192" spans="1:11" ht="14.25" customHeight="1" x14ac:dyDescent="0.3">
      <c r="A192">
        <v>1015</v>
      </c>
      <c r="B192" s="46">
        <v>202507</v>
      </c>
      <c r="C192" s="47" t="s">
        <v>19</v>
      </c>
      <c r="D192" s="47" t="s">
        <v>124</v>
      </c>
      <c r="E192" s="47" t="s">
        <v>118</v>
      </c>
      <c r="F192" s="48">
        <v>4.33</v>
      </c>
      <c r="G192" s="48"/>
      <c r="H192" s="48">
        <v>3800</v>
      </c>
      <c r="I192" s="47"/>
      <c r="J192" s="48">
        <v>3800</v>
      </c>
      <c r="K192" s="47" t="s">
        <v>119</v>
      </c>
    </row>
    <row r="193" spans="1:11" ht="14.25" customHeight="1" x14ac:dyDescent="0.3">
      <c r="A193">
        <v>1016</v>
      </c>
      <c r="B193" s="49">
        <v>202507</v>
      </c>
      <c r="C193" s="50" t="s">
        <v>20</v>
      </c>
      <c r="D193" s="50" t="s">
        <v>122</v>
      </c>
      <c r="E193" s="50" t="s">
        <v>118</v>
      </c>
      <c r="F193" s="51">
        <v>2.8</v>
      </c>
      <c r="G193" s="51"/>
      <c r="H193" s="51">
        <v>5500</v>
      </c>
      <c r="I193" s="50"/>
      <c r="J193" s="51">
        <v>5500</v>
      </c>
      <c r="K193" s="50" t="s">
        <v>119</v>
      </c>
    </row>
    <row r="194" spans="1:11" ht="14.25" customHeight="1" x14ac:dyDescent="0.3">
      <c r="A194">
        <v>1005</v>
      </c>
      <c r="B194" s="46">
        <v>202507</v>
      </c>
      <c r="C194" s="47" t="s">
        <v>36</v>
      </c>
      <c r="D194" s="47" t="s">
        <v>121</v>
      </c>
      <c r="E194" s="47" t="s">
        <v>118</v>
      </c>
      <c r="F194" s="48">
        <v>3.44</v>
      </c>
      <c r="G194" s="48"/>
      <c r="H194" s="48">
        <v>3000</v>
      </c>
      <c r="I194" s="47"/>
      <c r="J194" s="48">
        <v>3000</v>
      </c>
      <c r="K194" s="47" t="s">
        <v>119</v>
      </c>
    </row>
    <row r="195" spans="1:11" ht="14.25" customHeight="1" x14ac:dyDescent="0.3">
      <c r="A195">
        <v>1027</v>
      </c>
      <c r="B195" s="49">
        <v>202507</v>
      </c>
      <c r="C195" s="50" t="s">
        <v>40</v>
      </c>
      <c r="D195" s="50" t="s">
        <v>121</v>
      </c>
      <c r="E195" s="50" t="s">
        <v>118</v>
      </c>
      <c r="F195" s="51">
        <v>1.97</v>
      </c>
      <c r="G195" s="51"/>
      <c r="H195" s="51">
        <v>0</v>
      </c>
      <c r="I195" s="50"/>
      <c r="J195" s="51">
        <v>0</v>
      </c>
      <c r="K195" s="50" t="s">
        <v>119</v>
      </c>
    </row>
    <row r="196" spans="1:11" ht="14.25" customHeight="1" x14ac:dyDescent="0.3">
      <c r="A196">
        <v>1006</v>
      </c>
      <c r="B196" s="46">
        <v>202507</v>
      </c>
      <c r="C196" s="47" t="s">
        <v>16</v>
      </c>
      <c r="D196" s="47" t="s">
        <v>117</v>
      </c>
      <c r="E196" s="47" t="s">
        <v>118</v>
      </c>
      <c r="F196" s="48">
        <v>3.94</v>
      </c>
      <c r="G196" s="48"/>
      <c r="H196" s="48">
        <v>4975</v>
      </c>
      <c r="I196" s="47">
        <v>2800</v>
      </c>
      <c r="J196" s="48">
        <v>4975</v>
      </c>
      <c r="K196" s="47" t="s">
        <v>119</v>
      </c>
    </row>
    <row r="197" spans="1:11" ht="14.25" customHeight="1" x14ac:dyDescent="0.3">
      <c r="A197">
        <v>1021</v>
      </c>
      <c r="B197" s="49">
        <v>202507</v>
      </c>
      <c r="C197" s="50" t="s">
        <v>22</v>
      </c>
      <c r="D197" s="50" t="s">
        <v>117</v>
      </c>
      <c r="E197" s="50" t="s">
        <v>118</v>
      </c>
      <c r="F197" s="51">
        <v>3.96</v>
      </c>
      <c r="G197" s="51"/>
      <c r="H197" s="51">
        <v>3628.75</v>
      </c>
      <c r="I197" s="50">
        <v>1300</v>
      </c>
      <c r="J197" s="51">
        <v>3628.75</v>
      </c>
      <c r="K197" s="50" t="s">
        <v>119</v>
      </c>
    </row>
    <row r="198" spans="1:11" ht="14.25" customHeight="1" x14ac:dyDescent="0.3">
      <c r="A198">
        <v>1001</v>
      </c>
      <c r="B198" s="46">
        <v>202507</v>
      </c>
      <c r="C198" s="47" t="s">
        <v>17</v>
      </c>
      <c r="D198" s="47" t="s">
        <v>117</v>
      </c>
      <c r="E198" s="47" t="s">
        <v>118</v>
      </c>
      <c r="F198" s="48">
        <v>4.1399999999999997</v>
      </c>
      <c r="G198" s="48"/>
      <c r="H198" s="48">
        <v>5502.5</v>
      </c>
      <c r="I198" s="47">
        <v>2600</v>
      </c>
      <c r="J198" s="48">
        <v>5502.5</v>
      </c>
      <c r="K198" s="47" t="s">
        <v>119</v>
      </c>
    </row>
    <row r="199" spans="1:11" ht="14.25" customHeight="1" x14ac:dyDescent="0.3">
      <c r="A199">
        <v>1008</v>
      </c>
      <c r="B199" s="49">
        <v>202507</v>
      </c>
      <c r="C199" s="50" t="s">
        <v>30</v>
      </c>
      <c r="D199" s="50" t="s">
        <v>120</v>
      </c>
      <c r="E199" s="50" t="s">
        <v>118</v>
      </c>
      <c r="F199" s="51">
        <v>4.09</v>
      </c>
      <c r="G199" s="51"/>
      <c r="H199" s="51">
        <v>3780</v>
      </c>
      <c r="I199" s="50">
        <v>1200</v>
      </c>
      <c r="J199" s="51">
        <v>3780</v>
      </c>
      <c r="K199" s="50" t="s">
        <v>119</v>
      </c>
    </row>
    <row r="200" spans="1:11" ht="14.25" customHeight="1" x14ac:dyDescent="0.3">
      <c r="A200">
        <v>1029</v>
      </c>
      <c r="B200" s="46">
        <v>202507</v>
      </c>
      <c r="C200" s="47" t="s">
        <v>21</v>
      </c>
      <c r="D200" s="47" t="s">
        <v>117</v>
      </c>
      <c r="E200" s="47" t="s">
        <v>118</v>
      </c>
      <c r="F200" s="48">
        <v>3.9</v>
      </c>
      <c r="G200" s="48"/>
      <c r="H200" s="48">
        <v>4675</v>
      </c>
      <c r="I200" s="47">
        <v>1900</v>
      </c>
      <c r="J200" s="48">
        <v>4675</v>
      </c>
      <c r="K200" s="47" t="s">
        <v>119</v>
      </c>
    </row>
    <row r="201" spans="1:11" ht="14.25" customHeight="1" x14ac:dyDescent="0.3">
      <c r="A201">
        <v>1003</v>
      </c>
      <c r="B201" s="49">
        <v>202507</v>
      </c>
      <c r="C201" s="50" t="s">
        <v>26</v>
      </c>
      <c r="D201" s="50" t="s">
        <v>120</v>
      </c>
      <c r="E201" s="50" t="s">
        <v>118</v>
      </c>
      <c r="F201" s="51">
        <v>4.12</v>
      </c>
      <c r="G201" s="51"/>
      <c r="H201" s="51">
        <v>4125</v>
      </c>
      <c r="I201" s="50">
        <v>900</v>
      </c>
      <c r="J201" s="51">
        <v>4125</v>
      </c>
      <c r="K201" s="50" t="s">
        <v>119</v>
      </c>
    </row>
    <row r="202" spans="1:11" ht="14.25" customHeight="1" x14ac:dyDescent="0.3">
      <c r="A202">
        <v>1007</v>
      </c>
      <c r="B202" s="46">
        <v>202507</v>
      </c>
      <c r="C202" s="47" t="s">
        <v>24</v>
      </c>
      <c r="D202" s="47" t="s">
        <v>120</v>
      </c>
      <c r="E202" s="47" t="s">
        <v>118</v>
      </c>
      <c r="F202" s="48">
        <v>3.86</v>
      </c>
      <c r="G202" s="48"/>
      <c r="H202" s="48">
        <v>3890</v>
      </c>
      <c r="I202" s="47">
        <v>2000</v>
      </c>
      <c r="J202" s="48">
        <v>3890</v>
      </c>
      <c r="K202" s="47" t="s">
        <v>119</v>
      </c>
    </row>
    <row r="203" spans="1:11" ht="14.25" customHeight="1" x14ac:dyDescent="0.3">
      <c r="A203">
        <v>1013</v>
      </c>
      <c r="B203" s="49">
        <v>202507</v>
      </c>
      <c r="C203" s="50" t="s">
        <v>27</v>
      </c>
      <c r="D203" s="50" t="s">
        <v>117</v>
      </c>
      <c r="E203" s="50" t="s">
        <v>118</v>
      </c>
      <c r="F203" s="51">
        <v>4.05</v>
      </c>
      <c r="G203" s="51"/>
      <c r="H203" s="51">
        <v>4825</v>
      </c>
      <c r="I203" s="50">
        <v>1600</v>
      </c>
      <c r="J203" s="51">
        <v>4825</v>
      </c>
      <c r="K203" s="50" t="s">
        <v>119</v>
      </c>
    </row>
    <row r="204" spans="1:11" ht="14.25" customHeight="1" x14ac:dyDescent="0.3">
      <c r="A204">
        <v>1004</v>
      </c>
      <c r="B204" s="46">
        <v>202507</v>
      </c>
      <c r="C204" s="47" t="s">
        <v>15</v>
      </c>
      <c r="D204" s="47" t="s">
        <v>117</v>
      </c>
      <c r="E204" s="47" t="s">
        <v>118</v>
      </c>
      <c r="F204" s="48">
        <v>2.77</v>
      </c>
      <c r="G204" s="48"/>
      <c r="H204" s="48">
        <v>6400</v>
      </c>
      <c r="I204" s="47">
        <v>1600</v>
      </c>
      <c r="J204" s="48">
        <v>6400</v>
      </c>
      <c r="K204" s="47" t="s">
        <v>119</v>
      </c>
    </row>
    <row r="205" spans="1:11" ht="14.25" customHeight="1" x14ac:dyDescent="0.3">
      <c r="A205">
        <v>1002</v>
      </c>
      <c r="B205" s="49">
        <v>202507</v>
      </c>
      <c r="C205" s="50" t="s">
        <v>25</v>
      </c>
      <c r="D205" s="50" t="s">
        <v>120</v>
      </c>
      <c r="E205" s="50" t="s">
        <v>118</v>
      </c>
      <c r="F205" s="51">
        <v>3.92</v>
      </c>
      <c r="G205" s="51"/>
      <c r="H205" s="51">
        <v>4487.5</v>
      </c>
      <c r="I205" s="50">
        <v>2200</v>
      </c>
      <c r="J205" s="51">
        <v>4487.5</v>
      </c>
      <c r="K205" s="50" t="s">
        <v>119</v>
      </c>
    </row>
    <row r="206" spans="1:11" ht="14.25" customHeight="1" x14ac:dyDescent="0.3">
      <c r="A206">
        <v>1009</v>
      </c>
      <c r="B206" s="46">
        <v>202507</v>
      </c>
      <c r="C206" s="47" t="s">
        <v>18</v>
      </c>
      <c r="D206" s="47" t="s">
        <v>120</v>
      </c>
      <c r="E206" s="47" t="s">
        <v>118</v>
      </c>
      <c r="F206" s="48">
        <v>2.87</v>
      </c>
      <c r="G206" s="48"/>
      <c r="H206" s="48">
        <v>6012.5</v>
      </c>
      <c r="I206" s="47">
        <v>900</v>
      </c>
      <c r="J206" s="48">
        <v>6012.5</v>
      </c>
      <c r="K206" s="47" t="s">
        <v>119</v>
      </c>
    </row>
    <row r="207" spans="1:11" ht="14.25" customHeight="1" x14ac:dyDescent="0.3">
      <c r="A207">
        <v>1010</v>
      </c>
      <c r="B207" s="49">
        <v>202507</v>
      </c>
      <c r="C207" s="50" t="s">
        <v>38</v>
      </c>
      <c r="D207" s="50" t="s">
        <v>120</v>
      </c>
      <c r="E207" s="50" t="s">
        <v>118</v>
      </c>
      <c r="F207" s="51">
        <v>4.1399999999999997</v>
      </c>
      <c r="G207" s="51"/>
      <c r="H207" s="51">
        <v>4236.04</v>
      </c>
      <c r="I207" s="50">
        <v>0</v>
      </c>
      <c r="J207" s="51">
        <v>4236.04</v>
      </c>
      <c r="K207" s="50" t="s">
        <v>119</v>
      </c>
    </row>
    <row r="208" spans="1:11" ht="14.25" customHeight="1" x14ac:dyDescent="0.3">
      <c r="A208">
        <v>1030</v>
      </c>
      <c r="B208" s="46">
        <v>202508</v>
      </c>
      <c r="C208" s="47" t="s">
        <v>29</v>
      </c>
      <c r="D208" s="47" t="s">
        <v>121</v>
      </c>
      <c r="E208" s="47" t="s">
        <v>118</v>
      </c>
      <c r="F208" s="48">
        <v>4.32</v>
      </c>
      <c r="G208" s="48"/>
      <c r="H208" s="48">
        <v>4750</v>
      </c>
      <c r="I208" s="47"/>
      <c r="J208" s="48">
        <v>4750</v>
      </c>
      <c r="K208" s="47" t="s">
        <v>119</v>
      </c>
    </row>
    <row r="209" spans="1:11" ht="14.25" customHeight="1" x14ac:dyDescent="0.3">
      <c r="A209">
        <v>1024</v>
      </c>
      <c r="B209" s="49">
        <v>202508</v>
      </c>
      <c r="C209" s="50" t="s">
        <v>44</v>
      </c>
      <c r="D209" s="50" t="s">
        <v>121</v>
      </c>
      <c r="E209" s="50" t="s">
        <v>118</v>
      </c>
      <c r="F209" s="51">
        <v>3.62</v>
      </c>
      <c r="G209" s="51"/>
      <c r="H209" s="51">
        <v>2100</v>
      </c>
      <c r="I209" s="50"/>
      <c r="J209" s="51">
        <v>2100</v>
      </c>
      <c r="K209" s="50" t="s">
        <v>119</v>
      </c>
    </row>
    <row r="210" spans="1:11" ht="14.25" customHeight="1" x14ac:dyDescent="0.3">
      <c r="A210">
        <v>1012</v>
      </c>
      <c r="B210" s="46">
        <v>202508</v>
      </c>
      <c r="C210" s="47" t="s">
        <v>33</v>
      </c>
      <c r="D210" s="47" t="s">
        <v>122</v>
      </c>
      <c r="E210" s="47" t="s">
        <v>118</v>
      </c>
      <c r="F210" s="48">
        <v>3.48</v>
      </c>
      <c r="G210" s="48"/>
      <c r="H210" s="48">
        <v>3000</v>
      </c>
      <c r="I210" s="47"/>
      <c r="J210" s="48">
        <v>3000</v>
      </c>
      <c r="K210" s="47" t="s">
        <v>119</v>
      </c>
    </row>
    <row r="211" spans="1:11" ht="14.25" customHeight="1" x14ac:dyDescent="0.3">
      <c r="A211">
        <v>1028</v>
      </c>
      <c r="B211" s="49">
        <v>202508</v>
      </c>
      <c r="C211" s="50" t="s">
        <v>31</v>
      </c>
      <c r="D211" s="50" t="s">
        <v>121</v>
      </c>
      <c r="E211" s="50" t="s">
        <v>118</v>
      </c>
      <c r="F211" s="51">
        <v>4.34</v>
      </c>
      <c r="G211" s="51"/>
      <c r="H211" s="51">
        <v>5000</v>
      </c>
      <c r="I211" s="50"/>
      <c r="J211" s="51">
        <v>5000</v>
      </c>
      <c r="K211" s="50" t="s">
        <v>119</v>
      </c>
    </row>
    <row r="212" spans="1:11" ht="14.25" customHeight="1" x14ac:dyDescent="0.3">
      <c r="A212">
        <v>1033</v>
      </c>
      <c r="B212" s="46">
        <v>202508</v>
      </c>
      <c r="C212" s="47" t="s">
        <v>37</v>
      </c>
      <c r="D212" s="47" t="s">
        <v>122</v>
      </c>
      <c r="E212" s="47" t="s">
        <v>118</v>
      </c>
      <c r="F212" s="48">
        <v>4.3600000000000003</v>
      </c>
      <c r="G212" s="48"/>
      <c r="H212" s="48">
        <v>6000</v>
      </c>
      <c r="I212" s="47"/>
      <c r="J212" s="48">
        <v>6000</v>
      </c>
      <c r="K212" s="47" t="s">
        <v>119</v>
      </c>
    </row>
    <row r="213" spans="1:11" ht="14.25" customHeight="1" x14ac:dyDescent="0.3">
      <c r="A213">
        <v>1011</v>
      </c>
      <c r="B213" s="49">
        <v>202508</v>
      </c>
      <c r="C213" s="50" t="s">
        <v>35</v>
      </c>
      <c r="D213" s="50" t="s">
        <v>122</v>
      </c>
      <c r="E213" s="50" t="s">
        <v>118</v>
      </c>
      <c r="F213" s="51">
        <v>3.5</v>
      </c>
      <c r="G213" s="51"/>
      <c r="H213" s="51">
        <v>3000</v>
      </c>
      <c r="I213" s="50"/>
      <c r="J213" s="51">
        <v>3000</v>
      </c>
      <c r="K213" s="50" t="s">
        <v>119</v>
      </c>
    </row>
    <row r="214" spans="1:11" ht="14.25" customHeight="1" x14ac:dyDescent="0.3">
      <c r="A214">
        <v>1018</v>
      </c>
      <c r="B214" s="46">
        <v>202508</v>
      </c>
      <c r="C214" s="47" t="s">
        <v>28</v>
      </c>
      <c r="D214" s="47" t="s">
        <v>122</v>
      </c>
      <c r="E214" s="47" t="s">
        <v>118</v>
      </c>
      <c r="F214" s="48">
        <v>4.2699999999999996</v>
      </c>
      <c r="G214" s="48"/>
      <c r="H214" s="48">
        <v>4150</v>
      </c>
      <c r="I214" s="47"/>
      <c r="J214" s="48">
        <v>4150</v>
      </c>
      <c r="K214" s="47" t="s">
        <v>119</v>
      </c>
    </row>
    <row r="215" spans="1:11" ht="14.25" customHeight="1" x14ac:dyDescent="0.3">
      <c r="A215">
        <v>1032</v>
      </c>
      <c r="B215" s="49">
        <v>202508</v>
      </c>
      <c r="C215" s="50" t="s">
        <v>34</v>
      </c>
      <c r="D215" s="50" t="s">
        <v>121</v>
      </c>
      <c r="E215" s="50" t="s">
        <v>118</v>
      </c>
      <c r="F215" s="51">
        <v>4.17</v>
      </c>
      <c r="G215" s="51"/>
      <c r="H215" s="51">
        <v>2900</v>
      </c>
      <c r="I215" s="50"/>
      <c r="J215" s="51">
        <v>2900</v>
      </c>
      <c r="K215" s="50" t="s">
        <v>119</v>
      </c>
    </row>
    <row r="216" spans="1:11" ht="14.25" customHeight="1" x14ac:dyDescent="0.3">
      <c r="A216">
        <v>1031</v>
      </c>
      <c r="B216" s="46">
        <v>202508</v>
      </c>
      <c r="C216" s="47" t="s">
        <v>32</v>
      </c>
      <c r="D216" s="47" t="s">
        <v>121</v>
      </c>
      <c r="E216" s="47" t="s">
        <v>118</v>
      </c>
      <c r="F216" s="48">
        <v>3.82</v>
      </c>
      <c r="G216" s="48"/>
      <c r="H216" s="48">
        <v>2150</v>
      </c>
      <c r="I216" s="47"/>
      <c r="J216" s="48">
        <v>2150</v>
      </c>
      <c r="K216" s="47" t="s">
        <v>119</v>
      </c>
    </row>
    <row r="217" spans="1:11" ht="14.25" customHeight="1" x14ac:dyDescent="0.3">
      <c r="A217">
        <v>1015</v>
      </c>
      <c r="B217" s="49">
        <v>202508</v>
      </c>
      <c r="C217" s="50" t="s">
        <v>19</v>
      </c>
      <c r="D217" s="50" t="s">
        <v>124</v>
      </c>
      <c r="E217" s="50" t="s">
        <v>118</v>
      </c>
      <c r="F217" s="51">
        <v>4.3600000000000003</v>
      </c>
      <c r="G217" s="51"/>
      <c r="H217" s="51">
        <v>6000</v>
      </c>
      <c r="I217" s="50"/>
      <c r="J217" s="51">
        <v>6000</v>
      </c>
      <c r="K217" s="50" t="s">
        <v>119</v>
      </c>
    </row>
    <row r="218" spans="1:11" ht="14.25" customHeight="1" x14ac:dyDescent="0.3">
      <c r="A218">
        <v>1016</v>
      </c>
      <c r="B218" s="46">
        <v>202508</v>
      </c>
      <c r="C218" s="47" t="s">
        <v>20</v>
      </c>
      <c r="D218" s="47" t="s">
        <v>122</v>
      </c>
      <c r="E218" s="47" t="s">
        <v>118</v>
      </c>
      <c r="F218" s="48">
        <v>3.11</v>
      </c>
      <c r="G218" s="48"/>
      <c r="H218" s="48">
        <v>5500</v>
      </c>
      <c r="I218" s="47"/>
      <c r="J218" s="48">
        <v>5500</v>
      </c>
      <c r="K218" s="47" t="s">
        <v>119</v>
      </c>
    </row>
    <row r="219" spans="1:11" ht="14.25" customHeight="1" x14ac:dyDescent="0.3">
      <c r="A219">
        <v>1005</v>
      </c>
      <c r="B219" s="49">
        <v>202508</v>
      </c>
      <c r="C219" s="50" t="s">
        <v>36</v>
      </c>
      <c r="D219" s="50" t="s">
        <v>121</v>
      </c>
      <c r="E219" s="50" t="s">
        <v>118</v>
      </c>
      <c r="F219" s="51">
        <v>3.53</v>
      </c>
      <c r="G219" s="51"/>
      <c r="H219" s="51">
        <v>3000</v>
      </c>
      <c r="I219" s="50"/>
      <c r="J219" s="51">
        <v>3000</v>
      </c>
      <c r="K219" s="50" t="s">
        <v>119</v>
      </c>
    </row>
    <row r="220" spans="1:11" ht="14.25" customHeight="1" x14ac:dyDescent="0.3">
      <c r="A220">
        <v>1027</v>
      </c>
      <c r="B220" s="46">
        <v>202508</v>
      </c>
      <c r="C220" s="47" t="s">
        <v>40</v>
      </c>
      <c r="D220" s="47" t="s">
        <v>121</v>
      </c>
      <c r="E220" s="47" t="s">
        <v>118</v>
      </c>
      <c r="F220" s="48">
        <v>2.64</v>
      </c>
      <c r="G220" s="48"/>
      <c r="H220" s="48">
        <v>950</v>
      </c>
      <c r="I220" s="47"/>
      <c r="J220" s="48">
        <v>950</v>
      </c>
      <c r="K220" s="47" t="s">
        <v>119</v>
      </c>
    </row>
    <row r="221" spans="1:11" ht="14.25" customHeight="1" x14ac:dyDescent="0.3">
      <c r="A221">
        <v>1006</v>
      </c>
      <c r="B221" s="49">
        <v>202508</v>
      </c>
      <c r="C221" s="50" t="s">
        <v>16</v>
      </c>
      <c r="D221" s="50" t="s">
        <v>117</v>
      </c>
      <c r="E221" s="50" t="s">
        <v>118</v>
      </c>
      <c r="F221" s="51">
        <v>4.08</v>
      </c>
      <c r="G221" s="51"/>
      <c r="H221" s="51">
        <v>7950</v>
      </c>
      <c r="I221" s="50">
        <v>4200</v>
      </c>
      <c r="J221" s="51">
        <v>7950</v>
      </c>
      <c r="K221" s="50" t="s">
        <v>119</v>
      </c>
    </row>
    <row r="222" spans="1:11" ht="14.25" customHeight="1" x14ac:dyDescent="0.3">
      <c r="A222">
        <v>1021</v>
      </c>
      <c r="B222" s="46">
        <v>202508</v>
      </c>
      <c r="C222" s="47" t="s">
        <v>22</v>
      </c>
      <c r="D222" s="47" t="s">
        <v>117</v>
      </c>
      <c r="E222" s="47" t="s">
        <v>118</v>
      </c>
      <c r="F222" s="48">
        <v>3.99</v>
      </c>
      <c r="G222" s="48"/>
      <c r="H222" s="48">
        <v>6212.5</v>
      </c>
      <c r="I222" s="47">
        <v>3100</v>
      </c>
      <c r="J222" s="48">
        <v>6212.5</v>
      </c>
      <c r="K222" s="47" t="s">
        <v>119</v>
      </c>
    </row>
    <row r="223" spans="1:11" ht="14.25" customHeight="1" x14ac:dyDescent="0.3">
      <c r="A223">
        <v>1001</v>
      </c>
      <c r="B223" s="49">
        <v>202508</v>
      </c>
      <c r="C223" s="50" t="s">
        <v>17</v>
      </c>
      <c r="D223" s="50" t="s">
        <v>117</v>
      </c>
      <c r="E223" s="50" t="s">
        <v>118</v>
      </c>
      <c r="F223" s="51">
        <v>4.17</v>
      </c>
      <c r="G223" s="51"/>
      <c r="H223" s="51">
        <v>7325</v>
      </c>
      <c r="I223" s="50">
        <v>3200</v>
      </c>
      <c r="J223" s="51">
        <v>7325</v>
      </c>
      <c r="K223" s="50" t="s">
        <v>119</v>
      </c>
    </row>
    <row r="224" spans="1:11" ht="14.25" customHeight="1" x14ac:dyDescent="0.3">
      <c r="A224">
        <v>1008</v>
      </c>
      <c r="B224" s="46">
        <v>202508</v>
      </c>
      <c r="C224" s="47" t="s">
        <v>30</v>
      </c>
      <c r="D224" s="47" t="s">
        <v>120</v>
      </c>
      <c r="E224" s="47" t="s">
        <v>118</v>
      </c>
      <c r="F224" s="48">
        <v>4.1399999999999997</v>
      </c>
      <c r="G224" s="48"/>
      <c r="H224" s="48">
        <v>4700</v>
      </c>
      <c r="I224" s="47">
        <v>1400</v>
      </c>
      <c r="J224" s="48">
        <v>4700</v>
      </c>
      <c r="K224" s="47" t="s">
        <v>119</v>
      </c>
    </row>
    <row r="225" spans="1:11" ht="14.25" customHeight="1" x14ac:dyDescent="0.3">
      <c r="A225">
        <v>1029</v>
      </c>
      <c r="B225" s="49">
        <v>202508</v>
      </c>
      <c r="C225" s="50" t="s">
        <v>21</v>
      </c>
      <c r="D225" s="50" t="s">
        <v>117</v>
      </c>
      <c r="E225" s="50" t="s">
        <v>118</v>
      </c>
      <c r="F225" s="51">
        <v>4.12</v>
      </c>
      <c r="G225" s="51"/>
      <c r="H225" s="51">
        <v>5750</v>
      </c>
      <c r="I225" s="50">
        <v>2000</v>
      </c>
      <c r="J225" s="51">
        <v>5750</v>
      </c>
      <c r="K225" s="50" t="s">
        <v>119</v>
      </c>
    </row>
    <row r="226" spans="1:11" ht="14.25" customHeight="1" x14ac:dyDescent="0.3">
      <c r="A226">
        <v>1003</v>
      </c>
      <c r="B226" s="46">
        <v>202508</v>
      </c>
      <c r="C226" s="47" t="s">
        <v>26</v>
      </c>
      <c r="D226" s="47" t="s">
        <v>120</v>
      </c>
      <c r="E226" s="47" t="s">
        <v>118</v>
      </c>
      <c r="F226" s="48">
        <v>4</v>
      </c>
      <c r="G226" s="48"/>
      <c r="H226" s="48">
        <v>3750</v>
      </c>
      <c r="I226" s="47">
        <v>0</v>
      </c>
      <c r="J226" s="48">
        <v>3750</v>
      </c>
      <c r="K226" s="47" t="s">
        <v>119</v>
      </c>
    </row>
    <row r="227" spans="1:11" ht="14.25" customHeight="1" x14ac:dyDescent="0.3">
      <c r="A227">
        <v>1007</v>
      </c>
      <c r="B227" s="49">
        <v>202508</v>
      </c>
      <c r="C227" s="50" t="s">
        <v>24</v>
      </c>
      <c r="D227" s="50" t="s">
        <v>120</v>
      </c>
      <c r="E227" s="50" t="s">
        <v>118</v>
      </c>
      <c r="F227" s="51">
        <v>4.12</v>
      </c>
      <c r="G227" s="51"/>
      <c r="H227" s="51">
        <v>7125</v>
      </c>
      <c r="I227" s="50">
        <v>3000</v>
      </c>
      <c r="J227" s="51">
        <v>7125</v>
      </c>
      <c r="K227" s="50" t="s">
        <v>119</v>
      </c>
    </row>
    <row r="228" spans="1:11" ht="14.25" customHeight="1" x14ac:dyDescent="0.3">
      <c r="A228">
        <v>1013</v>
      </c>
      <c r="B228" s="46">
        <v>202508</v>
      </c>
      <c r="C228" s="47" t="s">
        <v>27</v>
      </c>
      <c r="D228" s="47" t="s">
        <v>117</v>
      </c>
      <c r="E228" s="47" t="s">
        <v>118</v>
      </c>
      <c r="F228" s="48">
        <v>3.96</v>
      </c>
      <c r="G228" s="48"/>
      <c r="H228" s="48">
        <v>5900</v>
      </c>
      <c r="I228" s="47">
        <v>2600</v>
      </c>
      <c r="J228" s="48">
        <v>5900</v>
      </c>
      <c r="K228" s="47" t="s">
        <v>119</v>
      </c>
    </row>
    <row r="229" spans="1:11" ht="14.25" customHeight="1" x14ac:dyDescent="0.3">
      <c r="A229">
        <v>1020</v>
      </c>
      <c r="B229" s="49">
        <v>202508</v>
      </c>
      <c r="C229" s="50" t="s">
        <v>23</v>
      </c>
      <c r="D229" s="50" t="s">
        <v>120</v>
      </c>
      <c r="E229" s="50" t="s">
        <v>118</v>
      </c>
      <c r="F229" s="51">
        <v>4.13</v>
      </c>
      <c r="G229" s="51"/>
      <c r="H229" s="51">
        <v>5525</v>
      </c>
      <c r="I229" s="50">
        <v>1400</v>
      </c>
      <c r="J229" s="51">
        <v>5525</v>
      </c>
      <c r="K229" s="50" t="s">
        <v>119</v>
      </c>
    </row>
    <row r="230" spans="1:11" ht="14.25" customHeight="1" x14ac:dyDescent="0.3">
      <c r="A230">
        <v>1004</v>
      </c>
      <c r="B230" s="46">
        <v>202508</v>
      </c>
      <c r="C230" s="47" t="s">
        <v>15</v>
      </c>
      <c r="D230" s="47" t="s">
        <v>117</v>
      </c>
      <c r="E230" s="47" t="s">
        <v>118</v>
      </c>
      <c r="F230" s="48">
        <v>2.98</v>
      </c>
      <c r="G230" s="48"/>
      <c r="H230" s="48">
        <v>6500</v>
      </c>
      <c r="I230" s="47">
        <v>1700</v>
      </c>
      <c r="J230" s="48">
        <v>6500</v>
      </c>
      <c r="K230" s="47" t="s">
        <v>119</v>
      </c>
    </row>
    <row r="231" spans="1:11" ht="14.25" customHeight="1" x14ac:dyDescent="0.3">
      <c r="A231">
        <v>1002</v>
      </c>
      <c r="B231" s="49">
        <v>202508</v>
      </c>
      <c r="C231" s="50" t="s">
        <v>25</v>
      </c>
      <c r="D231" s="50" t="s">
        <v>120</v>
      </c>
      <c r="E231" s="50" t="s">
        <v>118</v>
      </c>
      <c r="F231" s="51">
        <v>4.05</v>
      </c>
      <c r="G231" s="51"/>
      <c r="H231" s="51">
        <v>4601.25</v>
      </c>
      <c r="I231" s="50">
        <v>1800</v>
      </c>
      <c r="J231" s="51">
        <v>4601.25</v>
      </c>
      <c r="K231" s="50" t="s">
        <v>119</v>
      </c>
    </row>
    <row r="232" spans="1:11" ht="14.25" customHeight="1" x14ac:dyDescent="0.3">
      <c r="A232">
        <v>1009</v>
      </c>
      <c r="B232" s="46">
        <v>202508</v>
      </c>
      <c r="C232" s="47" t="s">
        <v>18</v>
      </c>
      <c r="D232" s="47" t="s">
        <v>120</v>
      </c>
      <c r="E232" s="47" t="s">
        <v>118</v>
      </c>
      <c r="F232" s="48">
        <v>2.78</v>
      </c>
      <c r="G232" s="48"/>
      <c r="H232" s="48">
        <v>7512.5</v>
      </c>
      <c r="I232" s="47">
        <v>2400</v>
      </c>
      <c r="J232" s="48">
        <v>7512.5</v>
      </c>
      <c r="K232" s="47" t="s">
        <v>119</v>
      </c>
    </row>
    <row r="233" spans="1:11" ht="14.25" customHeight="1" x14ac:dyDescent="0.3">
      <c r="A233">
        <v>1010</v>
      </c>
      <c r="B233" s="49">
        <v>202508</v>
      </c>
      <c r="C233" s="50" t="s">
        <v>38</v>
      </c>
      <c r="D233" s="50" t="s">
        <v>120</v>
      </c>
      <c r="E233" s="50" t="s">
        <v>118</v>
      </c>
      <c r="F233" s="51"/>
      <c r="G233" s="51"/>
      <c r="H233" s="51">
        <v>4236.04</v>
      </c>
      <c r="I233" s="50"/>
      <c r="J233" s="51">
        <v>4236.04</v>
      </c>
      <c r="K233" s="50" t="s">
        <v>125</v>
      </c>
    </row>
    <row r="234" spans="1:11" ht="14.25" customHeight="1" x14ac:dyDescent="0.3">
      <c r="A234">
        <v>1030</v>
      </c>
      <c r="B234" s="46">
        <v>202509</v>
      </c>
      <c r="C234" s="47" t="s">
        <v>29</v>
      </c>
      <c r="D234" s="47" t="s">
        <v>121</v>
      </c>
      <c r="E234" s="47" t="s">
        <v>118</v>
      </c>
      <c r="F234" s="48">
        <v>4.41</v>
      </c>
      <c r="G234" s="48"/>
      <c r="H234" s="48">
        <v>5300</v>
      </c>
      <c r="I234" s="47"/>
      <c r="J234" s="48">
        <v>5300</v>
      </c>
      <c r="K234" s="47" t="s">
        <v>119</v>
      </c>
    </row>
    <row r="235" spans="1:11" ht="14.25" customHeight="1" x14ac:dyDescent="0.3">
      <c r="A235">
        <v>1034</v>
      </c>
      <c r="B235" s="49">
        <v>202509</v>
      </c>
      <c r="C235" s="50" t="s">
        <v>43</v>
      </c>
      <c r="D235" s="50" t="s">
        <v>121</v>
      </c>
      <c r="E235" s="50" t="s">
        <v>118</v>
      </c>
      <c r="F235" s="51">
        <v>4.32</v>
      </c>
      <c r="G235" s="51"/>
      <c r="H235" s="51">
        <v>3080</v>
      </c>
      <c r="I235" s="50"/>
      <c r="J235" s="51">
        <v>3080</v>
      </c>
      <c r="K235" s="50" t="s">
        <v>119</v>
      </c>
    </row>
    <row r="236" spans="1:11" ht="14.25" customHeight="1" x14ac:dyDescent="0.3">
      <c r="A236">
        <v>1035</v>
      </c>
      <c r="B236" s="46">
        <v>202509</v>
      </c>
      <c r="C236" s="47" t="s">
        <v>41</v>
      </c>
      <c r="D236" s="47" t="s">
        <v>122</v>
      </c>
      <c r="E236" s="47" t="s">
        <v>118</v>
      </c>
      <c r="F236" s="48">
        <v>4.25</v>
      </c>
      <c r="G236" s="48"/>
      <c r="H236" s="48">
        <v>3275</v>
      </c>
      <c r="I236" s="47"/>
      <c r="J236" s="48">
        <v>3275</v>
      </c>
      <c r="K236" s="47" t="s">
        <v>119</v>
      </c>
    </row>
    <row r="237" spans="1:11" ht="14.25" customHeight="1" x14ac:dyDescent="0.3">
      <c r="A237">
        <v>1012</v>
      </c>
      <c r="B237" s="49">
        <v>202509</v>
      </c>
      <c r="C237" s="50" t="s">
        <v>33</v>
      </c>
      <c r="D237" s="50" t="s">
        <v>122</v>
      </c>
      <c r="E237" s="50" t="s">
        <v>118</v>
      </c>
      <c r="F237" s="51">
        <v>3.58</v>
      </c>
      <c r="G237" s="51"/>
      <c r="H237" s="51">
        <v>3000</v>
      </c>
      <c r="I237" s="50"/>
      <c r="J237" s="51">
        <v>3000</v>
      </c>
      <c r="K237" s="50" t="s">
        <v>119</v>
      </c>
    </row>
    <row r="238" spans="1:11" ht="14.25" customHeight="1" x14ac:dyDescent="0.3">
      <c r="A238">
        <v>1028</v>
      </c>
      <c r="B238" s="46">
        <v>202509</v>
      </c>
      <c r="C238" s="47" t="s">
        <v>31</v>
      </c>
      <c r="D238" s="47" t="s">
        <v>121</v>
      </c>
      <c r="E238" s="47" t="s">
        <v>118</v>
      </c>
      <c r="F238" s="48">
        <v>4.3899999999999997</v>
      </c>
      <c r="G238" s="48"/>
      <c r="H238" s="48">
        <v>5100</v>
      </c>
      <c r="I238" s="47"/>
      <c r="J238" s="48">
        <v>5100</v>
      </c>
      <c r="K238" s="47" t="s">
        <v>119</v>
      </c>
    </row>
    <row r="239" spans="1:11" ht="14.25" customHeight="1" x14ac:dyDescent="0.3">
      <c r="A239">
        <v>1033</v>
      </c>
      <c r="B239" s="49">
        <v>202509</v>
      </c>
      <c r="C239" s="50" t="s">
        <v>37</v>
      </c>
      <c r="D239" s="50" t="s">
        <v>122</v>
      </c>
      <c r="E239" s="50" t="s">
        <v>118</v>
      </c>
      <c r="F239" s="51">
        <v>4.41</v>
      </c>
      <c r="G239" s="51"/>
      <c r="H239" s="51">
        <v>5300</v>
      </c>
      <c r="I239" s="50"/>
      <c r="J239" s="51">
        <v>5300</v>
      </c>
      <c r="K239" s="50" t="s">
        <v>119</v>
      </c>
    </row>
    <row r="240" spans="1:11" ht="14.25" customHeight="1" x14ac:dyDescent="0.3">
      <c r="A240">
        <v>1011</v>
      </c>
      <c r="B240" s="46">
        <v>202509</v>
      </c>
      <c r="C240" s="47" t="s">
        <v>35</v>
      </c>
      <c r="D240" s="47" t="s">
        <v>122</v>
      </c>
      <c r="E240" s="47" t="s">
        <v>118</v>
      </c>
      <c r="F240" s="48">
        <v>3.55</v>
      </c>
      <c r="G240" s="48"/>
      <c r="H240" s="48">
        <v>3000</v>
      </c>
      <c r="I240" s="47"/>
      <c r="J240" s="48">
        <v>3000</v>
      </c>
      <c r="K240" s="47" t="s">
        <v>119</v>
      </c>
    </row>
    <row r="241" spans="1:11" ht="14.25" customHeight="1" x14ac:dyDescent="0.3">
      <c r="A241">
        <v>1018</v>
      </c>
      <c r="B241" s="49">
        <v>202509</v>
      </c>
      <c r="C241" s="50" t="s">
        <v>28</v>
      </c>
      <c r="D241" s="50" t="s">
        <v>122</v>
      </c>
      <c r="E241" s="50" t="s">
        <v>118</v>
      </c>
      <c r="F241" s="51">
        <v>3.98</v>
      </c>
      <c r="G241" s="51"/>
      <c r="H241" s="51">
        <v>2150</v>
      </c>
      <c r="I241" s="50"/>
      <c r="J241" s="51">
        <v>2150</v>
      </c>
      <c r="K241" s="50" t="s">
        <v>119</v>
      </c>
    </row>
    <row r="242" spans="1:11" ht="14.25" customHeight="1" x14ac:dyDescent="0.3">
      <c r="A242">
        <v>1032</v>
      </c>
      <c r="B242" s="46">
        <v>202509</v>
      </c>
      <c r="C242" s="47" t="s">
        <v>34</v>
      </c>
      <c r="D242" s="47" t="s">
        <v>121</v>
      </c>
      <c r="E242" s="47" t="s">
        <v>118</v>
      </c>
      <c r="F242" s="48">
        <v>4.12</v>
      </c>
      <c r="G242" s="48"/>
      <c r="H242" s="48">
        <v>3200</v>
      </c>
      <c r="I242" s="47"/>
      <c r="J242" s="48">
        <v>3200</v>
      </c>
      <c r="K242" s="47" t="s">
        <v>119</v>
      </c>
    </row>
    <row r="243" spans="1:11" ht="14.25" customHeight="1" x14ac:dyDescent="0.3">
      <c r="A243">
        <v>1031</v>
      </c>
      <c r="B243" s="49">
        <v>202509</v>
      </c>
      <c r="C243" s="50" t="s">
        <v>32</v>
      </c>
      <c r="D243" s="50" t="s">
        <v>121</v>
      </c>
      <c r="E243" s="50" t="s">
        <v>118</v>
      </c>
      <c r="F243" s="51">
        <v>4.41</v>
      </c>
      <c r="G243" s="51"/>
      <c r="H243" s="51">
        <v>5300</v>
      </c>
      <c r="I243" s="50"/>
      <c r="J243" s="51">
        <v>5300</v>
      </c>
      <c r="K243" s="50" t="s">
        <v>119</v>
      </c>
    </row>
    <row r="244" spans="1:11" ht="14.25" customHeight="1" x14ac:dyDescent="0.3">
      <c r="A244">
        <v>1015</v>
      </c>
      <c r="B244" s="46">
        <v>202509</v>
      </c>
      <c r="C244" s="47" t="s">
        <v>19</v>
      </c>
      <c r="D244" s="47" t="s">
        <v>124</v>
      </c>
      <c r="E244" s="47" t="s">
        <v>118</v>
      </c>
      <c r="F244" s="48">
        <v>4.41</v>
      </c>
      <c r="G244" s="48"/>
      <c r="H244" s="48">
        <v>5300</v>
      </c>
      <c r="I244" s="47"/>
      <c r="J244" s="48">
        <v>5300</v>
      </c>
      <c r="K244" s="47" t="s">
        <v>119</v>
      </c>
    </row>
    <row r="245" spans="1:11" ht="14.25" customHeight="1" x14ac:dyDescent="0.3">
      <c r="A245">
        <v>1016</v>
      </c>
      <c r="B245" s="49">
        <v>202509</v>
      </c>
      <c r="C245" s="50" t="s">
        <v>20</v>
      </c>
      <c r="D245" s="50" t="s">
        <v>122</v>
      </c>
      <c r="E245" s="50" t="s">
        <v>118</v>
      </c>
      <c r="F245" s="51">
        <v>3.35</v>
      </c>
      <c r="G245" s="51"/>
      <c r="H245" s="51">
        <v>5500</v>
      </c>
      <c r="I245" s="50"/>
      <c r="J245" s="51">
        <v>5500</v>
      </c>
      <c r="K245" s="50" t="s">
        <v>119</v>
      </c>
    </row>
    <row r="246" spans="1:11" ht="14.25" customHeight="1" x14ac:dyDescent="0.3">
      <c r="A246">
        <v>1036</v>
      </c>
      <c r="B246" s="46">
        <v>202509</v>
      </c>
      <c r="C246" s="47" t="s">
        <v>42</v>
      </c>
      <c r="D246" s="47" t="s">
        <v>122</v>
      </c>
      <c r="E246" s="47" t="s">
        <v>118</v>
      </c>
      <c r="F246" s="48">
        <v>4.41</v>
      </c>
      <c r="G246" s="48"/>
      <c r="H246" s="48">
        <v>5300</v>
      </c>
      <c r="I246" s="47"/>
      <c r="J246" s="48">
        <v>5300</v>
      </c>
      <c r="K246" s="47" t="s">
        <v>119</v>
      </c>
    </row>
    <row r="247" spans="1:11" ht="14.25" customHeight="1" x14ac:dyDescent="0.3">
      <c r="A247">
        <v>1005</v>
      </c>
      <c r="B247" s="49">
        <v>202509</v>
      </c>
      <c r="C247" s="50" t="s">
        <v>36</v>
      </c>
      <c r="D247" s="50" t="s">
        <v>121</v>
      </c>
      <c r="E247" s="50" t="s">
        <v>118</v>
      </c>
      <c r="F247" s="51">
        <v>3.58</v>
      </c>
      <c r="G247" s="51"/>
      <c r="H247" s="51">
        <v>3000</v>
      </c>
      <c r="I247" s="50"/>
      <c r="J247" s="51">
        <v>3000</v>
      </c>
      <c r="K247" s="50" t="s">
        <v>119</v>
      </c>
    </row>
    <row r="248" spans="1:11" ht="14.25" customHeight="1" x14ac:dyDescent="0.3">
      <c r="A248">
        <v>1037</v>
      </c>
      <c r="B248" s="46">
        <v>202509</v>
      </c>
      <c r="C248" s="47" t="s">
        <v>39</v>
      </c>
      <c r="D248" s="47" t="s">
        <v>121</v>
      </c>
      <c r="E248" s="47" t="s">
        <v>118</v>
      </c>
      <c r="F248" s="48">
        <v>4.41</v>
      </c>
      <c r="G248" s="48"/>
      <c r="H248" s="48">
        <v>5300</v>
      </c>
      <c r="I248" s="47"/>
      <c r="J248" s="48">
        <v>5300</v>
      </c>
      <c r="K248" s="47" t="s">
        <v>119</v>
      </c>
    </row>
    <row r="249" spans="1:11" ht="14.25" customHeight="1" x14ac:dyDescent="0.3">
      <c r="A249">
        <v>1027</v>
      </c>
      <c r="B249" s="49">
        <v>202509</v>
      </c>
      <c r="C249" s="50" t="s">
        <v>40</v>
      </c>
      <c r="D249" s="50" t="s">
        <v>121</v>
      </c>
      <c r="E249" s="50" t="s">
        <v>118</v>
      </c>
      <c r="F249" s="51">
        <v>4.41</v>
      </c>
      <c r="G249" s="51"/>
      <c r="H249" s="51">
        <v>5300</v>
      </c>
      <c r="I249" s="50"/>
      <c r="J249" s="51">
        <v>5300</v>
      </c>
      <c r="K249" s="50" t="s">
        <v>119</v>
      </c>
    </row>
    <row r="250" spans="1:11" ht="14.25" customHeight="1" x14ac:dyDescent="0.3">
      <c r="A250">
        <v>1006</v>
      </c>
      <c r="B250" s="46">
        <v>202509</v>
      </c>
      <c r="C250" s="47" t="s">
        <v>16</v>
      </c>
      <c r="D250" s="47" t="s">
        <v>117</v>
      </c>
      <c r="E250" s="47" t="s">
        <v>118</v>
      </c>
      <c r="F250" s="48">
        <v>4.04</v>
      </c>
      <c r="G250" s="48"/>
      <c r="H250" s="48">
        <v>6150</v>
      </c>
      <c r="I250" s="47">
        <v>3600</v>
      </c>
      <c r="J250" s="48">
        <v>6150</v>
      </c>
      <c r="K250" s="47" t="s">
        <v>119</v>
      </c>
    </row>
    <row r="251" spans="1:11" ht="14.25" customHeight="1" x14ac:dyDescent="0.3">
      <c r="A251">
        <v>1021</v>
      </c>
      <c r="B251" s="49">
        <v>202509</v>
      </c>
      <c r="C251" s="50" t="s">
        <v>22</v>
      </c>
      <c r="D251" s="50" t="s">
        <v>117</v>
      </c>
      <c r="E251" s="50" t="s">
        <v>118</v>
      </c>
      <c r="F251" s="51">
        <v>3.69</v>
      </c>
      <c r="G251" s="51"/>
      <c r="H251" s="51">
        <v>4837.5</v>
      </c>
      <c r="I251" s="50">
        <v>3000</v>
      </c>
      <c r="J251" s="51">
        <v>4837.5</v>
      </c>
      <c r="K251" s="50" t="s">
        <v>119</v>
      </c>
    </row>
    <row r="252" spans="1:11" ht="14.25" customHeight="1" x14ac:dyDescent="0.3">
      <c r="A252">
        <v>1001</v>
      </c>
      <c r="B252" s="46">
        <v>202509</v>
      </c>
      <c r="C252" s="47" t="s">
        <v>17</v>
      </c>
      <c r="D252" s="47" t="s">
        <v>117</v>
      </c>
      <c r="E252" s="47" t="s">
        <v>118</v>
      </c>
      <c r="F252" s="48">
        <v>4.12</v>
      </c>
      <c r="G252" s="48"/>
      <c r="H252" s="48">
        <v>7200</v>
      </c>
      <c r="I252" s="47">
        <v>3900</v>
      </c>
      <c r="J252" s="48">
        <v>7200</v>
      </c>
      <c r="K252" s="47" t="s">
        <v>119</v>
      </c>
    </row>
    <row r="253" spans="1:11" ht="14.25" customHeight="1" x14ac:dyDescent="0.3">
      <c r="A253">
        <v>1008</v>
      </c>
      <c r="B253" s="49">
        <v>202509</v>
      </c>
      <c r="C253" s="50" t="s">
        <v>30</v>
      </c>
      <c r="D253" s="50" t="s">
        <v>120</v>
      </c>
      <c r="E253" s="50" t="s">
        <v>118</v>
      </c>
      <c r="F253" s="51">
        <v>4.0999999999999996</v>
      </c>
      <c r="G253" s="51"/>
      <c r="H253" s="51">
        <v>5270</v>
      </c>
      <c r="I253" s="50">
        <v>2300</v>
      </c>
      <c r="J253" s="51">
        <v>5270</v>
      </c>
      <c r="K253" s="50" t="s">
        <v>119</v>
      </c>
    </row>
    <row r="254" spans="1:11" ht="14.25" customHeight="1" x14ac:dyDescent="0.3">
      <c r="A254">
        <v>1029</v>
      </c>
      <c r="B254" s="46">
        <v>202509</v>
      </c>
      <c r="C254" s="47" t="s">
        <v>21</v>
      </c>
      <c r="D254" s="47" t="s">
        <v>117</v>
      </c>
      <c r="E254" s="47" t="s">
        <v>118</v>
      </c>
      <c r="F254" s="48">
        <v>3.99</v>
      </c>
      <c r="G254" s="48"/>
      <c r="H254" s="48">
        <v>4950</v>
      </c>
      <c r="I254" s="47">
        <v>2400</v>
      </c>
      <c r="J254" s="48">
        <v>4950</v>
      </c>
      <c r="K254" s="47" t="s">
        <v>119</v>
      </c>
    </row>
    <row r="255" spans="1:11" ht="14.25" customHeight="1" x14ac:dyDescent="0.3">
      <c r="A255">
        <v>1003</v>
      </c>
      <c r="B255" s="49">
        <v>202509</v>
      </c>
      <c r="C255" s="50" t="s">
        <v>26</v>
      </c>
      <c r="D255" s="50" t="s">
        <v>120</v>
      </c>
      <c r="E255" s="50" t="s">
        <v>118</v>
      </c>
      <c r="F255" s="51">
        <v>3.95</v>
      </c>
      <c r="G255" s="51"/>
      <c r="H255" s="51">
        <v>4475</v>
      </c>
      <c r="I255" s="50">
        <v>2300</v>
      </c>
      <c r="J255" s="51">
        <v>4475</v>
      </c>
      <c r="K255" s="50" t="s">
        <v>119</v>
      </c>
    </row>
    <row r="256" spans="1:11" ht="14.25" customHeight="1" x14ac:dyDescent="0.3">
      <c r="A256">
        <v>1007</v>
      </c>
      <c r="B256" s="46">
        <v>202509</v>
      </c>
      <c r="C256" s="47" t="s">
        <v>24</v>
      </c>
      <c r="D256" s="47" t="s">
        <v>120</v>
      </c>
      <c r="E256" s="47" t="s">
        <v>118</v>
      </c>
      <c r="F256" s="48">
        <v>4.04</v>
      </c>
      <c r="G256" s="48"/>
      <c r="H256" s="48">
        <v>5350</v>
      </c>
      <c r="I256" s="47">
        <v>2800</v>
      </c>
      <c r="J256" s="48">
        <v>5350</v>
      </c>
      <c r="K256" s="47" t="s">
        <v>119</v>
      </c>
    </row>
    <row r="257" spans="1:11" ht="14.25" customHeight="1" x14ac:dyDescent="0.3">
      <c r="A257">
        <v>1013</v>
      </c>
      <c r="B257" s="49">
        <v>202509</v>
      </c>
      <c r="C257" s="50" t="s">
        <v>27</v>
      </c>
      <c r="D257" s="50" t="s">
        <v>117</v>
      </c>
      <c r="E257" s="50" t="s">
        <v>118</v>
      </c>
      <c r="F257" s="51">
        <v>3.92</v>
      </c>
      <c r="G257" s="51"/>
      <c r="H257" s="51">
        <v>4075</v>
      </c>
      <c r="I257" s="50">
        <v>1900</v>
      </c>
      <c r="J257" s="51">
        <v>4075</v>
      </c>
      <c r="K257" s="50" t="s">
        <v>119</v>
      </c>
    </row>
    <row r="258" spans="1:11" ht="14.25" customHeight="1" x14ac:dyDescent="0.3">
      <c r="A258">
        <v>1020</v>
      </c>
      <c r="B258" s="46">
        <v>202509</v>
      </c>
      <c r="C258" s="47" t="s">
        <v>23</v>
      </c>
      <c r="D258" s="47" t="s">
        <v>120</v>
      </c>
      <c r="E258" s="47" t="s">
        <v>118</v>
      </c>
      <c r="F258" s="48">
        <v>3.63</v>
      </c>
      <c r="G258" s="48"/>
      <c r="H258" s="48">
        <v>1537.5</v>
      </c>
      <c r="I258" s="47">
        <v>900</v>
      </c>
      <c r="J258" s="48">
        <v>1537.5</v>
      </c>
      <c r="K258" s="47" t="s">
        <v>119</v>
      </c>
    </row>
    <row r="259" spans="1:11" ht="14.25" customHeight="1" x14ac:dyDescent="0.3">
      <c r="A259">
        <v>1004</v>
      </c>
      <c r="B259" s="49">
        <v>202509</v>
      </c>
      <c r="C259" s="50" t="s">
        <v>15</v>
      </c>
      <c r="D259" s="50" t="s">
        <v>117</v>
      </c>
      <c r="E259" s="50" t="s">
        <v>118</v>
      </c>
      <c r="F259" s="51">
        <v>2.59</v>
      </c>
      <c r="G259" s="51"/>
      <c r="H259" s="51">
        <v>5900</v>
      </c>
      <c r="I259" s="50">
        <v>1100</v>
      </c>
      <c r="J259" s="51">
        <v>5900</v>
      </c>
      <c r="K259" s="50" t="s">
        <v>119</v>
      </c>
    </row>
    <row r="260" spans="1:11" ht="14.25" customHeight="1" x14ac:dyDescent="0.3">
      <c r="A260">
        <v>1002</v>
      </c>
      <c r="B260" s="46">
        <v>202509</v>
      </c>
      <c r="C260" s="47" t="s">
        <v>25</v>
      </c>
      <c r="D260" s="47" t="s">
        <v>120</v>
      </c>
      <c r="E260" s="47" t="s">
        <v>118</v>
      </c>
      <c r="F260" s="48">
        <v>3.98</v>
      </c>
      <c r="G260" s="48"/>
      <c r="H260" s="48">
        <v>2940</v>
      </c>
      <c r="I260" s="47">
        <v>1200</v>
      </c>
      <c r="J260" s="48">
        <v>2940</v>
      </c>
      <c r="K260" s="47" t="s">
        <v>119</v>
      </c>
    </row>
    <row r="261" spans="1:11" ht="14.25" customHeight="1" x14ac:dyDescent="0.3">
      <c r="A261">
        <v>1009</v>
      </c>
      <c r="B261" s="49">
        <v>202509</v>
      </c>
      <c r="C261" s="50" t="s">
        <v>18</v>
      </c>
      <c r="D261" s="50" t="s">
        <v>120</v>
      </c>
      <c r="E261" s="50" t="s">
        <v>118</v>
      </c>
      <c r="F261" s="51">
        <v>2.79</v>
      </c>
      <c r="G261" s="51"/>
      <c r="H261" s="51">
        <v>6412.5</v>
      </c>
      <c r="I261" s="50">
        <v>1300</v>
      </c>
      <c r="J261" s="51">
        <v>6412.5</v>
      </c>
      <c r="K261" s="50" t="s">
        <v>119</v>
      </c>
    </row>
    <row r="262" spans="1:11" ht="14.25" customHeight="1" x14ac:dyDescent="0.3">
      <c r="A262">
        <v>1030</v>
      </c>
      <c r="B262" s="46">
        <v>202510</v>
      </c>
      <c r="C262" s="47" t="s">
        <v>29</v>
      </c>
      <c r="D262" s="47" t="s">
        <v>121</v>
      </c>
      <c r="E262" s="47" t="s">
        <v>118</v>
      </c>
      <c r="F262" s="48">
        <v>4.38</v>
      </c>
      <c r="G262" s="48">
        <v>1</v>
      </c>
      <c r="H262" s="48">
        <v>4050</v>
      </c>
      <c r="I262" s="47">
        <v>1000</v>
      </c>
      <c r="J262" s="48">
        <v>5050</v>
      </c>
      <c r="K262" s="47" t="s">
        <v>119</v>
      </c>
    </row>
    <row r="263" spans="1:11" ht="14.25" customHeight="1" x14ac:dyDescent="0.3">
      <c r="A263">
        <v>1034</v>
      </c>
      <c r="B263" s="49">
        <v>202510</v>
      </c>
      <c r="C263" s="50" t="s">
        <v>43</v>
      </c>
      <c r="D263" s="50" t="s">
        <v>121</v>
      </c>
      <c r="E263" s="50" t="s">
        <v>118</v>
      </c>
      <c r="F263" s="51">
        <v>4.47</v>
      </c>
      <c r="G263" s="51">
        <v>1</v>
      </c>
      <c r="H263" s="51">
        <v>4550</v>
      </c>
      <c r="I263" s="50">
        <v>1000</v>
      </c>
      <c r="J263" s="51">
        <v>5550</v>
      </c>
      <c r="K263" s="50" t="s">
        <v>119</v>
      </c>
    </row>
    <row r="264" spans="1:11" ht="14.25" customHeight="1" x14ac:dyDescent="0.3">
      <c r="A264">
        <v>1035</v>
      </c>
      <c r="B264" s="46">
        <v>202510</v>
      </c>
      <c r="C264" s="47" t="s">
        <v>41</v>
      </c>
      <c r="D264" s="47" t="s">
        <v>122</v>
      </c>
      <c r="E264" s="47" t="s">
        <v>118</v>
      </c>
      <c r="F264" s="48">
        <v>4.47</v>
      </c>
      <c r="G264" s="48">
        <v>1</v>
      </c>
      <c r="H264" s="48">
        <v>4550</v>
      </c>
      <c r="I264" s="47">
        <v>1000</v>
      </c>
      <c r="J264" s="48">
        <v>5550</v>
      </c>
      <c r="K264" s="47" t="s">
        <v>119</v>
      </c>
    </row>
    <row r="265" spans="1:11" ht="14.25" customHeight="1" x14ac:dyDescent="0.3">
      <c r="A265">
        <v>1012</v>
      </c>
      <c r="B265" s="49">
        <v>202510</v>
      </c>
      <c r="C265" s="50" t="s">
        <v>33</v>
      </c>
      <c r="D265" s="50" t="s">
        <v>122</v>
      </c>
      <c r="E265" s="50" t="s">
        <v>118</v>
      </c>
      <c r="F265" s="51">
        <v>3.64</v>
      </c>
      <c r="G265" s="51">
        <v>0.8</v>
      </c>
      <c r="H265" s="51">
        <v>3000</v>
      </c>
      <c r="I265" s="50">
        <v>0</v>
      </c>
      <c r="J265" s="51">
        <v>3000</v>
      </c>
      <c r="K265" s="50" t="s">
        <v>119</v>
      </c>
    </row>
    <row r="266" spans="1:11" ht="14.25" customHeight="1" x14ac:dyDescent="0.3">
      <c r="A266">
        <v>1028</v>
      </c>
      <c r="B266" s="46">
        <v>202510</v>
      </c>
      <c r="C266" s="47" t="s">
        <v>31</v>
      </c>
      <c r="D266" s="47" t="s">
        <v>121</v>
      </c>
      <c r="E266" s="47" t="s">
        <v>118</v>
      </c>
      <c r="F266" s="48">
        <v>4.47</v>
      </c>
      <c r="G266" s="48">
        <v>1</v>
      </c>
      <c r="H266" s="48">
        <v>4550</v>
      </c>
      <c r="I266" s="47">
        <v>1000</v>
      </c>
      <c r="J266" s="48">
        <v>5550</v>
      </c>
      <c r="K266" s="47" t="s">
        <v>119</v>
      </c>
    </row>
    <row r="267" spans="1:11" ht="14.25" customHeight="1" x14ac:dyDescent="0.3">
      <c r="A267">
        <v>1011</v>
      </c>
      <c r="B267" s="49">
        <v>202510</v>
      </c>
      <c r="C267" s="50" t="s">
        <v>35</v>
      </c>
      <c r="D267" s="50" t="s">
        <v>122</v>
      </c>
      <c r="E267" s="50" t="s">
        <v>118</v>
      </c>
      <c r="F267" s="51">
        <v>3.62</v>
      </c>
      <c r="G267" s="51">
        <v>1</v>
      </c>
      <c r="H267" s="51">
        <v>3000</v>
      </c>
      <c r="I267" s="50">
        <v>0</v>
      </c>
      <c r="J267" s="51">
        <v>3000</v>
      </c>
      <c r="K267" s="50" t="s">
        <v>119</v>
      </c>
    </row>
    <row r="268" spans="1:11" ht="14.25" customHeight="1" x14ac:dyDescent="0.3">
      <c r="A268">
        <v>1018</v>
      </c>
      <c r="B268" s="46">
        <v>202510</v>
      </c>
      <c r="C268" s="47" t="s">
        <v>28</v>
      </c>
      <c r="D268" s="47" t="s">
        <v>122</v>
      </c>
      <c r="E268" s="47" t="s">
        <v>118</v>
      </c>
      <c r="F268" s="48">
        <v>4.47</v>
      </c>
      <c r="G268" s="48">
        <v>1</v>
      </c>
      <c r="H268" s="48">
        <v>4550</v>
      </c>
      <c r="I268" s="47">
        <v>1000</v>
      </c>
      <c r="J268" s="48">
        <v>5550</v>
      </c>
      <c r="K268" s="47" t="s">
        <v>119</v>
      </c>
    </row>
    <row r="269" spans="1:11" ht="14.25" customHeight="1" x14ac:dyDescent="0.3">
      <c r="A269">
        <v>1032</v>
      </c>
      <c r="B269" s="49">
        <v>202510</v>
      </c>
      <c r="C269" s="50" t="s">
        <v>34</v>
      </c>
      <c r="D269" s="50" t="s">
        <v>121</v>
      </c>
      <c r="E269" s="50" t="s">
        <v>118</v>
      </c>
      <c r="F269" s="51">
        <v>4.09</v>
      </c>
      <c r="G269" s="51">
        <v>1</v>
      </c>
      <c r="H269" s="51">
        <v>2850</v>
      </c>
      <c r="I269" s="50">
        <v>0</v>
      </c>
      <c r="J269" s="51">
        <v>2850</v>
      </c>
      <c r="K269" s="50" t="s">
        <v>119</v>
      </c>
    </row>
    <row r="270" spans="1:11" ht="14.25" customHeight="1" x14ac:dyDescent="0.3">
      <c r="A270">
        <v>1031</v>
      </c>
      <c r="B270" s="46">
        <v>202510</v>
      </c>
      <c r="C270" s="47" t="s">
        <v>32</v>
      </c>
      <c r="D270" s="47" t="s">
        <v>121</v>
      </c>
      <c r="E270" s="47" t="s">
        <v>118</v>
      </c>
      <c r="F270" s="48">
        <v>4.45</v>
      </c>
      <c r="G270" s="48">
        <v>1</v>
      </c>
      <c r="H270" s="48">
        <v>4300</v>
      </c>
      <c r="I270" s="47">
        <v>1000</v>
      </c>
      <c r="J270" s="48">
        <v>5300</v>
      </c>
      <c r="K270" s="47" t="s">
        <v>119</v>
      </c>
    </row>
    <row r="271" spans="1:11" ht="14.25" customHeight="1" x14ac:dyDescent="0.3">
      <c r="A271">
        <v>1015</v>
      </c>
      <c r="B271" s="49">
        <v>202510</v>
      </c>
      <c r="C271" s="50" t="s">
        <v>19</v>
      </c>
      <c r="D271" s="50" t="s">
        <v>122</v>
      </c>
      <c r="E271" s="50" t="s">
        <v>118</v>
      </c>
      <c r="F271" s="51">
        <v>4.45</v>
      </c>
      <c r="G271" s="51">
        <v>1</v>
      </c>
      <c r="H271" s="51">
        <v>4300</v>
      </c>
      <c r="I271" s="50">
        <v>1000</v>
      </c>
      <c r="J271" s="51">
        <v>5300</v>
      </c>
      <c r="K271" s="50" t="s">
        <v>119</v>
      </c>
    </row>
    <row r="272" spans="1:11" ht="14.25" customHeight="1" x14ac:dyDescent="0.3">
      <c r="A272">
        <v>1016</v>
      </c>
      <c r="B272" s="46">
        <v>202510</v>
      </c>
      <c r="C272" s="47" t="s">
        <v>20</v>
      </c>
      <c r="D272" s="47" t="s">
        <v>122</v>
      </c>
      <c r="E272" s="47" t="s">
        <v>118</v>
      </c>
      <c r="F272" s="48">
        <v>3.17</v>
      </c>
      <c r="G272" s="48" t="s">
        <v>126</v>
      </c>
      <c r="H272" s="48">
        <v>5500</v>
      </c>
      <c r="I272" s="47">
        <v>0</v>
      </c>
      <c r="J272" s="48">
        <v>5500</v>
      </c>
      <c r="K272" s="47" t="s">
        <v>119</v>
      </c>
    </row>
    <row r="273" spans="1:11" ht="14.25" customHeight="1" x14ac:dyDescent="0.3">
      <c r="A273">
        <v>1036</v>
      </c>
      <c r="B273" s="49">
        <v>202510</v>
      </c>
      <c r="C273" s="50" t="s">
        <v>42</v>
      </c>
      <c r="D273" s="50" t="s">
        <v>122</v>
      </c>
      <c r="E273" s="50" t="s">
        <v>118</v>
      </c>
      <c r="F273" s="51">
        <v>4.47</v>
      </c>
      <c r="G273" s="51">
        <v>0.6</v>
      </c>
      <c r="H273" s="51">
        <v>2730</v>
      </c>
      <c r="I273" s="50">
        <v>1000</v>
      </c>
      <c r="J273" s="51">
        <v>3730</v>
      </c>
      <c r="K273" s="50" t="s">
        <v>119</v>
      </c>
    </row>
    <row r="274" spans="1:11" ht="14.25" customHeight="1" x14ac:dyDescent="0.3">
      <c r="A274">
        <v>1005</v>
      </c>
      <c r="B274" s="46">
        <v>202510</v>
      </c>
      <c r="C274" s="47" t="s">
        <v>36</v>
      </c>
      <c r="D274" s="47" t="s">
        <v>121</v>
      </c>
      <c r="E274" s="47" t="s">
        <v>118</v>
      </c>
      <c r="F274" s="48">
        <v>3.59</v>
      </c>
      <c r="G274" s="48">
        <v>1</v>
      </c>
      <c r="H274" s="48">
        <v>3000</v>
      </c>
      <c r="I274" s="47">
        <v>0</v>
      </c>
      <c r="J274" s="48">
        <v>3000</v>
      </c>
      <c r="K274" s="47" t="s">
        <v>119</v>
      </c>
    </row>
    <row r="275" spans="1:11" ht="14.25" customHeight="1" x14ac:dyDescent="0.3">
      <c r="A275">
        <v>1037</v>
      </c>
      <c r="B275" s="49">
        <v>202510</v>
      </c>
      <c r="C275" s="50" t="s">
        <v>39</v>
      </c>
      <c r="D275" s="50" t="s">
        <v>121</v>
      </c>
      <c r="E275" s="50" t="s">
        <v>118</v>
      </c>
      <c r="F275" s="51">
        <v>4.47</v>
      </c>
      <c r="G275" s="51">
        <v>1</v>
      </c>
      <c r="H275" s="51">
        <v>4550</v>
      </c>
      <c r="I275" s="50">
        <v>1000</v>
      </c>
      <c r="J275" s="51">
        <v>5550</v>
      </c>
      <c r="K275" s="50" t="s">
        <v>119</v>
      </c>
    </row>
    <row r="276" spans="1:11" ht="14.25" customHeight="1" x14ac:dyDescent="0.3">
      <c r="A276">
        <v>1027</v>
      </c>
      <c r="B276" s="46">
        <v>202510</v>
      </c>
      <c r="C276" s="47" t="s">
        <v>40</v>
      </c>
      <c r="D276" s="47" t="s">
        <v>121</v>
      </c>
      <c r="E276" s="47" t="s">
        <v>118</v>
      </c>
      <c r="F276" s="48">
        <v>4.47</v>
      </c>
      <c r="G276" s="48">
        <v>0.8</v>
      </c>
      <c r="H276" s="48">
        <v>3640</v>
      </c>
      <c r="I276" s="47">
        <v>1000</v>
      </c>
      <c r="J276" s="48">
        <v>4640</v>
      </c>
      <c r="K276" s="47" t="s">
        <v>119</v>
      </c>
    </row>
    <row r="277" spans="1:11" ht="14.25" customHeight="1" x14ac:dyDescent="0.3">
      <c r="A277">
        <v>1038</v>
      </c>
      <c r="B277" s="49">
        <v>202510</v>
      </c>
      <c r="C277" s="50" t="s">
        <v>47</v>
      </c>
      <c r="D277" s="50" t="s">
        <v>121</v>
      </c>
      <c r="E277" s="50" t="s">
        <v>118</v>
      </c>
      <c r="F277" s="51">
        <v>0</v>
      </c>
      <c r="G277" s="51">
        <v>1</v>
      </c>
      <c r="H277" s="51">
        <v>3000</v>
      </c>
      <c r="I277" s="50">
        <v>0</v>
      </c>
      <c r="J277" s="51">
        <v>3000</v>
      </c>
      <c r="K277" s="50" t="s">
        <v>127</v>
      </c>
    </row>
    <row r="278" spans="1:11" ht="14.25" customHeight="1" x14ac:dyDescent="0.3">
      <c r="A278">
        <v>1006</v>
      </c>
      <c r="B278" s="46">
        <v>202510</v>
      </c>
      <c r="C278" s="47" t="s">
        <v>16</v>
      </c>
      <c r="D278" s="47" t="s">
        <v>117</v>
      </c>
      <c r="E278" s="47" t="s">
        <v>118</v>
      </c>
      <c r="F278" s="48">
        <v>3.97</v>
      </c>
      <c r="G278" s="48">
        <v>0.9</v>
      </c>
      <c r="H278" s="48">
        <v>2295</v>
      </c>
      <c r="I278" s="47">
        <v>5000</v>
      </c>
      <c r="J278" s="48">
        <v>7295</v>
      </c>
      <c r="K278" s="47" t="s">
        <v>128</v>
      </c>
    </row>
    <row r="279" spans="1:11" ht="14.25" customHeight="1" x14ac:dyDescent="0.3">
      <c r="A279">
        <v>1021</v>
      </c>
      <c r="B279" s="49">
        <v>202510</v>
      </c>
      <c r="C279" s="50" t="s">
        <v>22</v>
      </c>
      <c r="D279" s="50" t="s">
        <v>117</v>
      </c>
      <c r="E279" s="50" t="s">
        <v>118</v>
      </c>
      <c r="F279" s="51">
        <v>3.8</v>
      </c>
      <c r="G279" s="51">
        <v>1</v>
      </c>
      <c r="H279" s="51">
        <v>1275</v>
      </c>
      <c r="I279" s="50">
        <v>3200</v>
      </c>
      <c r="J279" s="51">
        <v>4475</v>
      </c>
      <c r="K279" s="50" t="s">
        <v>128</v>
      </c>
    </row>
    <row r="280" spans="1:11" ht="14.25" customHeight="1" x14ac:dyDescent="0.3">
      <c r="A280">
        <v>1001</v>
      </c>
      <c r="B280" s="46">
        <v>202510</v>
      </c>
      <c r="C280" s="47" t="s">
        <v>17</v>
      </c>
      <c r="D280" s="47" t="s">
        <v>117</v>
      </c>
      <c r="E280" s="47" t="s">
        <v>118</v>
      </c>
      <c r="F280" s="48">
        <v>4.08</v>
      </c>
      <c r="G280" s="48">
        <v>0.8</v>
      </c>
      <c r="H280" s="48">
        <v>2640</v>
      </c>
      <c r="I280" s="47">
        <v>4000</v>
      </c>
      <c r="J280" s="48">
        <v>6640</v>
      </c>
      <c r="K280" s="47" t="s">
        <v>128</v>
      </c>
    </row>
    <row r="281" spans="1:11" ht="14.25" customHeight="1" x14ac:dyDescent="0.3">
      <c r="A281">
        <v>1008</v>
      </c>
      <c r="B281" s="49">
        <v>202510</v>
      </c>
      <c r="C281" s="50" t="s">
        <v>30</v>
      </c>
      <c r="D281" s="50" t="s">
        <v>120</v>
      </c>
      <c r="E281" s="50" t="s">
        <v>118</v>
      </c>
      <c r="F281" s="51">
        <v>4.1399999999999997</v>
      </c>
      <c r="G281" s="51">
        <v>0.9</v>
      </c>
      <c r="H281" s="51">
        <v>2970</v>
      </c>
      <c r="I281" s="50">
        <v>1600</v>
      </c>
      <c r="J281" s="51">
        <v>4570</v>
      </c>
      <c r="K281" s="50" t="s">
        <v>119</v>
      </c>
    </row>
    <row r="282" spans="1:11" ht="14.25" customHeight="1" x14ac:dyDescent="0.3">
      <c r="A282">
        <v>1029</v>
      </c>
      <c r="B282" s="46">
        <v>202510</v>
      </c>
      <c r="C282" s="47" t="s">
        <v>21</v>
      </c>
      <c r="D282" s="47" t="s">
        <v>117</v>
      </c>
      <c r="E282" s="47" t="s">
        <v>118</v>
      </c>
      <c r="F282" s="48">
        <v>4.08</v>
      </c>
      <c r="G282" s="48">
        <v>1</v>
      </c>
      <c r="H282" s="48">
        <v>3300</v>
      </c>
      <c r="I282" s="47">
        <v>0</v>
      </c>
      <c r="J282" s="48">
        <v>3300</v>
      </c>
      <c r="K282" s="47" t="s">
        <v>119</v>
      </c>
    </row>
    <row r="283" spans="1:11" ht="14.25" customHeight="1" x14ac:dyDescent="0.3">
      <c r="A283">
        <v>1003</v>
      </c>
      <c r="B283" s="49">
        <v>202510</v>
      </c>
      <c r="C283" s="50" t="s">
        <v>26</v>
      </c>
      <c r="D283" s="50" t="s">
        <v>120</v>
      </c>
      <c r="E283" s="50" t="s">
        <v>118</v>
      </c>
      <c r="F283" s="51">
        <v>4.07</v>
      </c>
      <c r="G283" s="51">
        <v>1</v>
      </c>
      <c r="H283" s="51">
        <v>2925</v>
      </c>
      <c r="I283" s="50">
        <v>1200</v>
      </c>
      <c r="J283" s="51">
        <v>4125</v>
      </c>
      <c r="K283" s="50" t="s">
        <v>119</v>
      </c>
    </row>
    <row r="284" spans="1:11" ht="14.25" customHeight="1" x14ac:dyDescent="0.3">
      <c r="A284">
        <v>1007</v>
      </c>
      <c r="B284" s="46">
        <v>202510</v>
      </c>
      <c r="C284" s="47" t="s">
        <v>24</v>
      </c>
      <c r="D284" s="47" t="s">
        <v>120</v>
      </c>
      <c r="E284" s="47" t="s">
        <v>118</v>
      </c>
      <c r="F284" s="48">
        <v>3.93</v>
      </c>
      <c r="G284" s="48">
        <v>1</v>
      </c>
      <c r="H284" s="48">
        <v>2175</v>
      </c>
      <c r="I284" s="47">
        <v>0</v>
      </c>
      <c r="J284" s="48">
        <v>2175</v>
      </c>
      <c r="K284" s="47" t="s">
        <v>119</v>
      </c>
    </row>
    <row r="285" spans="1:11" ht="14.25" customHeight="1" x14ac:dyDescent="0.3">
      <c r="A285">
        <v>1013</v>
      </c>
      <c r="B285" s="49">
        <v>202510</v>
      </c>
      <c r="C285" s="50" t="s">
        <v>27</v>
      </c>
      <c r="D285" s="50" t="s">
        <v>117</v>
      </c>
      <c r="E285" s="50" t="s">
        <v>118</v>
      </c>
      <c r="F285" s="51">
        <v>3.45</v>
      </c>
      <c r="G285" s="51">
        <v>1</v>
      </c>
      <c r="H285" s="51">
        <v>1350</v>
      </c>
      <c r="I285" s="50">
        <v>1100</v>
      </c>
      <c r="J285" s="51">
        <v>2450</v>
      </c>
      <c r="K285" s="50" t="s">
        <v>119</v>
      </c>
    </row>
    <row r="286" spans="1:11" ht="14.25" customHeight="1" x14ac:dyDescent="0.3">
      <c r="A286">
        <v>1020</v>
      </c>
      <c r="B286" s="46">
        <v>202510</v>
      </c>
      <c r="C286" s="47" t="s">
        <v>23</v>
      </c>
      <c r="D286" s="47" t="s">
        <v>120</v>
      </c>
      <c r="E286" s="47" t="s">
        <v>118</v>
      </c>
      <c r="F286" s="48">
        <v>4.08</v>
      </c>
      <c r="G286" s="48">
        <v>1</v>
      </c>
      <c r="H286" s="48">
        <v>3300</v>
      </c>
      <c r="I286" s="47">
        <v>1300</v>
      </c>
      <c r="J286" s="48">
        <v>4600</v>
      </c>
      <c r="K286" s="47" t="s">
        <v>119</v>
      </c>
    </row>
    <row r="287" spans="1:11" ht="14.25" customHeight="1" x14ac:dyDescent="0.3">
      <c r="A287">
        <v>1004</v>
      </c>
      <c r="B287" s="49">
        <v>202510</v>
      </c>
      <c r="C287" s="50" t="s">
        <v>15</v>
      </c>
      <c r="D287" s="50" t="s">
        <v>117</v>
      </c>
      <c r="E287" s="50" t="s">
        <v>118</v>
      </c>
      <c r="F287" s="51">
        <v>2.67</v>
      </c>
      <c r="G287" s="51">
        <v>1</v>
      </c>
      <c r="H287" s="51">
        <v>4800</v>
      </c>
      <c r="I287" s="50">
        <v>1600</v>
      </c>
      <c r="J287" s="51">
        <v>6400</v>
      </c>
      <c r="K287" s="50" t="s">
        <v>119</v>
      </c>
    </row>
    <row r="288" spans="1:11" ht="14.25" customHeight="1" x14ac:dyDescent="0.3">
      <c r="A288">
        <v>1002</v>
      </c>
      <c r="B288" s="46">
        <v>202510</v>
      </c>
      <c r="C288" s="47" t="s">
        <v>25</v>
      </c>
      <c r="D288" s="47" t="s">
        <v>120</v>
      </c>
      <c r="E288" s="47" t="s">
        <v>118</v>
      </c>
      <c r="F288" s="48">
        <v>4.08</v>
      </c>
      <c r="G288" s="48">
        <v>0.9</v>
      </c>
      <c r="H288" s="48">
        <v>2970</v>
      </c>
      <c r="I288" s="47">
        <v>2700</v>
      </c>
      <c r="J288" s="48">
        <v>5670</v>
      </c>
      <c r="K288" s="47" t="s">
        <v>128</v>
      </c>
    </row>
    <row r="289" spans="1:11" ht="14.25" customHeight="1" x14ac:dyDescent="0.3">
      <c r="A289">
        <v>1009</v>
      </c>
      <c r="B289" s="49">
        <v>202510</v>
      </c>
      <c r="C289" s="50" t="s">
        <v>18</v>
      </c>
      <c r="D289" s="50" t="s">
        <v>120</v>
      </c>
      <c r="E289" s="50" t="s">
        <v>118</v>
      </c>
      <c r="F289" s="51">
        <v>2.77</v>
      </c>
      <c r="G289" s="51">
        <v>1</v>
      </c>
      <c r="H289" s="51">
        <v>5112.5</v>
      </c>
      <c r="I289" s="50">
        <v>0</v>
      </c>
      <c r="J289" s="51">
        <v>5112.5</v>
      </c>
      <c r="K289" s="50" t="s">
        <v>119</v>
      </c>
    </row>
    <row r="290" spans="1:11" ht="14.25" customHeight="1" x14ac:dyDescent="0.3">
      <c r="A290">
        <v>1030</v>
      </c>
      <c r="B290" s="46">
        <v>202511</v>
      </c>
      <c r="C290" s="47" t="s">
        <v>29</v>
      </c>
      <c r="D290" s="47" t="s">
        <v>121</v>
      </c>
      <c r="E290" s="47" t="s">
        <v>118</v>
      </c>
      <c r="F290" s="48">
        <v>4.45</v>
      </c>
      <c r="G290" s="48">
        <v>1</v>
      </c>
      <c r="H290" s="48">
        <v>6500</v>
      </c>
      <c r="I290" s="47">
        <v>0</v>
      </c>
      <c r="J290" s="48">
        <v>6500</v>
      </c>
      <c r="K290" s="47" t="s">
        <v>129</v>
      </c>
    </row>
    <row r="291" spans="1:11" ht="14.25" customHeight="1" x14ac:dyDescent="0.3">
      <c r="A291">
        <v>1034</v>
      </c>
      <c r="B291" s="49">
        <v>202511</v>
      </c>
      <c r="C291" s="50" t="s">
        <v>43</v>
      </c>
      <c r="D291" s="50" t="s">
        <v>121</v>
      </c>
      <c r="E291" s="50" t="s">
        <v>118</v>
      </c>
      <c r="F291" s="51">
        <v>4.43</v>
      </c>
      <c r="G291" s="51">
        <v>0.8</v>
      </c>
      <c r="H291" s="51">
        <v>5400</v>
      </c>
      <c r="I291" s="50">
        <v>0</v>
      </c>
      <c r="J291" s="51">
        <v>5400</v>
      </c>
      <c r="K291" s="50" t="s">
        <v>129</v>
      </c>
    </row>
    <row r="292" spans="1:11" ht="14.25" customHeight="1" x14ac:dyDescent="0.3">
      <c r="A292">
        <v>1035</v>
      </c>
      <c r="B292" s="46">
        <v>202511</v>
      </c>
      <c r="C292" s="47" t="s">
        <v>41</v>
      </c>
      <c r="D292" s="47" t="s">
        <v>122</v>
      </c>
      <c r="E292" s="47" t="s">
        <v>118</v>
      </c>
      <c r="F292" s="48">
        <v>4.45</v>
      </c>
      <c r="G292" s="48">
        <v>1</v>
      </c>
      <c r="H292" s="48">
        <v>6500</v>
      </c>
      <c r="I292" s="47">
        <v>0</v>
      </c>
      <c r="J292" s="48">
        <v>6500</v>
      </c>
      <c r="K292" s="47" t="s">
        <v>129</v>
      </c>
    </row>
    <row r="293" spans="1:11" ht="14.25" customHeight="1" x14ac:dyDescent="0.3">
      <c r="A293">
        <v>1012</v>
      </c>
      <c r="B293" s="49">
        <v>202511</v>
      </c>
      <c r="C293" s="50" t="s">
        <v>33</v>
      </c>
      <c r="D293" s="50" t="s">
        <v>122</v>
      </c>
      <c r="E293" s="50" t="s">
        <v>118</v>
      </c>
      <c r="F293" s="51">
        <v>3.62</v>
      </c>
      <c r="G293" s="51">
        <v>0.8</v>
      </c>
      <c r="H293" s="51">
        <v>3000</v>
      </c>
      <c r="I293" s="50">
        <v>0</v>
      </c>
      <c r="J293" s="51">
        <v>3000</v>
      </c>
      <c r="K293" s="50" t="s">
        <v>129</v>
      </c>
    </row>
    <row r="294" spans="1:11" ht="14.25" customHeight="1" x14ac:dyDescent="0.3">
      <c r="A294">
        <v>1028</v>
      </c>
      <c r="B294" s="46">
        <v>202511</v>
      </c>
      <c r="C294" s="47" t="s">
        <v>31</v>
      </c>
      <c r="D294" s="47" t="s">
        <v>121</v>
      </c>
      <c r="E294" s="47" t="s">
        <v>118</v>
      </c>
      <c r="F294" s="48">
        <v>4.41</v>
      </c>
      <c r="G294" s="48">
        <v>1</v>
      </c>
      <c r="H294" s="48">
        <v>6300</v>
      </c>
      <c r="I294" s="47">
        <v>0</v>
      </c>
      <c r="J294" s="48">
        <v>6300</v>
      </c>
      <c r="K294" s="47" t="s">
        <v>129</v>
      </c>
    </row>
    <row r="295" spans="1:11" ht="14.25" customHeight="1" x14ac:dyDescent="0.3">
      <c r="A295">
        <v>1011</v>
      </c>
      <c r="B295" s="49">
        <v>202511</v>
      </c>
      <c r="C295" s="50" t="s">
        <v>35</v>
      </c>
      <c r="D295" s="50" t="s">
        <v>122</v>
      </c>
      <c r="E295" s="50" t="s">
        <v>118</v>
      </c>
      <c r="F295" s="51">
        <v>3.59</v>
      </c>
      <c r="G295" s="51">
        <v>1</v>
      </c>
      <c r="H295" s="51">
        <v>3000</v>
      </c>
      <c r="I295" s="50">
        <v>0</v>
      </c>
      <c r="J295" s="51">
        <v>3000</v>
      </c>
      <c r="K295" s="50" t="s">
        <v>129</v>
      </c>
    </row>
    <row r="296" spans="1:11" ht="14.25" customHeight="1" x14ac:dyDescent="0.3">
      <c r="A296">
        <v>1018</v>
      </c>
      <c r="B296" s="46">
        <v>202511</v>
      </c>
      <c r="C296" s="47" t="s">
        <v>28</v>
      </c>
      <c r="D296" s="47" t="s">
        <v>122</v>
      </c>
      <c r="E296" s="47" t="s">
        <v>118</v>
      </c>
      <c r="F296" s="48">
        <v>4.43</v>
      </c>
      <c r="G296" s="48">
        <v>1</v>
      </c>
      <c r="H296" s="48">
        <v>6500</v>
      </c>
      <c r="I296" s="47">
        <v>0</v>
      </c>
      <c r="J296" s="48">
        <v>6500</v>
      </c>
      <c r="K296" s="47" t="s">
        <v>129</v>
      </c>
    </row>
    <row r="297" spans="1:11" ht="14.25" customHeight="1" x14ac:dyDescent="0.3">
      <c r="A297">
        <v>1032</v>
      </c>
      <c r="B297" s="49">
        <v>202511</v>
      </c>
      <c r="C297" s="50" t="s">
        <v>34</v>
      </c>
      <c r="D297" s="50" t="s">
        <v>121</v>
      </c>
      <c r="E297" s="50" t="s">
        <v>118</v>
      </c>
      <c r="F297" s="51">
        <v>4.37</v>
      </c>
      <c r="G297" s="51">
        <v>0.8</v>
      </c>
      <c r="H297" s="51">
        <v>5000</v>
      </c>
      <c r="I297" s="50">
        <v>0</v>
      </c>
      <c r="J297" s="51">
        <v>5000</v>
      </c>
      <c r="K297" s="50" t="s">
        <v>129</v>
      </c>
    </row>
    <row r="298" spans="1:11" ht="14.25" customHeight="1" x14ac:dyDescent="0.3">
      <c r="A298">
        <v>1031</v>
      </c>
      <c r="B298" s="46">
        <v>202511</v>
      </c>
      <c r="C298" s="47" t="s">
        <v>32</v>
      </c>
      <c r="D298" s="47" t="s">
        <v>121</v>
      </c>
      <c r="E298" s="47" t="s">
        <v>118</v>
      </c>
      <c r="F298" s="48">
        <v>4.37</v>
      </c>
      <c r="G298" s="48">
        <v>1</v>
      </c>
      <c r="H298" s="48">
        <v>5850</v>
      </c>
      <c r="I298" s="47">
        <v>0</v>
      </c>
      <c r="J298" s="48">
        <v>5850</v>
      </c>
      <c r="K298" s="47" t="s">
        <v>130</v>
      </c>
    </row>
    <row r="299" spans="1:11" ht="14.25" customHeight="1" x14ac:dyDescent="0.3">
      <c r="A299">
        <v>1015</v>
      </c>
      <c r="B299" s="49">
        <v>202511</v>
      </c>
      <c r="C299" s="50" t="s">
        <v>19</v>
      </c>
      <c r="D299" s="50" t="s">
        <v>124</v>
      </c>
      <c r="E299" s="50" t="s">
        <v>118</v>
      </c>
      <c r="F299" s="51">
        <v>4.45</v>
      </c>
      <c r="G299" s="51">
        <v>0.9</v>
      </c>
      <c r="H299" s="51">
        <v>5950</v>
      </c>
      <c r="I299" s="50">
        <v>0</v>
      </c>
      <c r="J299" s="51">
        <v>5950</v>
      </c>
      <c r="K299" s="50" t="s">
        <v>129</v>
      </c>
    </row>
    <row r="300" spans="1:11" ht="14.25" customHeight="1" x14ac:dyDescent="0.3">
      <c r="A300">
        <v>1036</v>
      </c>
      <c r="B300" s="46">
        <v>202511</v>
      </c>
      <c r="C300" s="47" t="s">
        <v>42</v>
      </c>
      <c r="D300" s="47" t="s">
        <v>122</v>
      </c>
      <c r="E300" s="47" t="s">
        <v>118</v>
      </c>
      <c r="F300" s="48">
        <v>4.45</v>
      </c>
      <c r="G300" s="48">
        <v>1</v>
      </c>
      <c r="H300" s="48">
        <v>6500</v>
      </c>
      <c r="I300" s="47">
        <v>0</v>
      </c>
      <c r="J300" s="48">
        <v>6500</v>
      </c>
      <c r="K300" s="47" t="s">
        <v>129</v>
      </c>
    </row>
    <row r="301" spans="1:11" ht="14.25" customHeight="1" x14ac:dyDescent="0.3">
      <c r="A301">
        <v>1005</v>
      </c>
      <c r="B301" s="49">
        <v>202511</v>
      </c>
      <c r="C301" s="50" t="s">
        <v>36</v>
      </c>
      <c r="D301" s="50" t="s">
        <v>121</v>
      </c>
      <c r="E301" s="50" t="s">
        <v>118</v>
      </c>
      <c r="F301" s="51">
        <v>3.62</v>
      </c>
      <c r="G301" s="51">
        <v>1</v>
      </c>
      <c r="H301" s="51">
        <v>3000</v>
      </c>
      <c r="I301" s="50">
        <v>0</v>
      </c>
      <c r="J301" s="51">
        <v>3000</v>
      </c>
      <c r="K301" s="50" t="s">
        <v>131</v>
      </c>
    </row>
    <row r="302" spans="1:11" ht="14.25" customHeight="1" x14ac:dyDescent="0.3">
      <c r="A302">
        <v>1037</v>
      </c>
      <c r="B302" s="46">
        <v>202511</v>
      </c>
      <c r="C302" s="47" t="s">
        <v>39</v>
      </c>
      <c r="D302" s="47" t="s">
        <v>121</v>
      </c>
      <c r="E302" s="47" t="s">
        <v>118</v>
      </c>
      <c r="F302" s="48">
        <v>4.45</v>
      </c>
      <c r="G302" s="48">
        <v>1</v>
      </c>
      <c r="H302" s="48">
        <v>6500</v>
      </c>
      <c r="I302" s="47">
        <v>0</v>
      </c>
      <c r="J302" s="48">
        <v>6500</v>
      </c>
      <c r="K302" s="47" t="s">
        <v>129</v>
      </c>
    </row>
    <row r="303" spans="1:11" ht="14.25" customHeight="1" x14ac:dyDescent="0.3">
      <c r="A303">
        <v>1027</v>
      </c>
      <c r="B303" s="49">
        <v>202511</v>
      </c>
      <c r="C303" s="50" t="s">
        <v>40</v>
      </c>
      <c r="D303" s="50" t="s">
        <v>121</v>
      </c>
      <c r="E303" s="50" t="s">
        <v>118</v>
      </c>
      <c r="F303" s="51">
        <v>4.45</v>
      </c>
      <c r="G303" s="51">
        <v>1</v>
      </c>
      <c r="H303" s="51">
        <v>6500</v>
      </c>
      <c r="I303" s="50">
        <v>0</v>
      </c>
      <c r="J303" s="51">
        <v>6500</v>
      </c>
      <c r="K303" s="50" t="s">
        <v>129</v>
      </c>
    </row>
    <row r="304" spans="1:11" ht="14.25" customHeight="1" x14ac:dyDescent="0.3">
      <c r="A304">
        <v>1038</v>
      </c>
      <c r="B304" s="46">
        <v>202511</v>
      </c>
      <c r="C304" s="47" t="s">
        <v>47</v>
      </c>
      <c r="D304" s="47" t="s">
        <v>121</v>
      </c>
      <c r="E304" s="47" t="s">
        <v>118</v>
      </c>
      <c r="F304" s="48">
        <v>3.62</v>
      </c>
      <c r="G304" s="48">
        <v>1</v>
      </c>
      <c r="H304" s="48">
        <v>3000</v>
      </c>
      <c r="I304" s="47">
        <v>0</v>
      </c>
      <c r="J304" s="48">
        <v>3000</v>
      </c>
      <c r="K304" s="47" t="s">
        <v>131</v>
      </c>
    </row>
    <row r="305" spans="1:11" ht="14.25" customHeight="1" x14ac:dyDescent="0.3">
      <c r="A305">
        <v>1006</v>
      </c>
      <c r="B305" s="49">
        <v>202511</v>
      </c>
      <c r="C305" s="50" t="s">
        <v>16</v>
      </c>
      <c r="D305" s="50" t="s">
        <v>117</v>
      </c>
      <c r="E305" s="50" t="s">
        <v>118</v>
      </c>
      <c r="F305" s="51">
        <v>4.03</v>
      </c>
      <c r="G305" s="51">
        <v>1</v>
      </c>
      <c r="H305" s="51">
        <v>3375</v>
      </c>
      <c r="I305" s="50">
        <v>4000</v>
      </c>
      <c r="J305" s="51">
        <v>7375</v>
      </c>
      <c r="K305" s="50" t="s">
        <v>129</v>
      </c>
    </row>
    <row r="306" spans="1:11" ht="14.25" customHeight="1" x14ac:dyDescent="0.3">
      <c r="A306">
        <v>1021</v>
      </c>
      <c r="B306" s="46">
        <v>202511</v>
      </c>
      <c r="C306" s="47" t="s">
        <v>22</v>
      </c>
      <c r="D306" s="47" t="s">
        <v>117</v>
      </c>
      <c r="E306" s="47" t="s">
        <v>118</v>
      </c>
      <c r="F306" s="48">
        <v>3.18</v>
      </c>
      <c r="G306" s="48">
        <v>1</v>
      </c>
      <c r="H306" s="48">
        <v>3000</v>
      </c>
      <c r="I306" s="47">
        <v>3200</v>
      </c>
      <c r="J306" s="48">
        <v>6200</v>
      </c>
      <c r="K306" s="47" t="s">
        <v>129</v>
      </c>
    </row>
    <row r="307" spans="1:11" ht="14.25" customHeight="1" x14ac:dyDescent="0.3">
      <c r="A307">
        <v>1001</v>
      </c>
      <c r="B307" s="49">
        <v>202511</v>
      </c>
      <c r="C307" s="50" t="s">
        <v>17</v>
      </c>
      <c r="D307" s="50" t="s">
        <v>117</v>
      </c>
      <c r="E307" s="50" t="s">
        <v>118</v>
      </c>
      <c r="F307" s="51">
        <v>4.12</v>
      </c>
      <c r="G307" s="51">
        <v>0.8</v>
      </c>
      <c r="H307" s="51">
        <v>3240</v>
      </c>
      <c r="I307" s="50">
        <v>1900</v>
      </c>
      <c r="J307" s="51">
        <v>5140</v>
      </c>
      <c r="K307" s="50" t="s">
        <v>132</v>
      </c>
    </row>
    <row r="308" spans="1:11" ht="14.25" customHeight="1" x14ac:dyDescent="0.3">
      <c r="A308">
        <v>1008</v>
      </c>
      <c r="B308" s="46">
        <v>202511</v>
      </c>
      <c r="C308" s="47" t="s">
        <v>30</v>
      </c>
      <c r="D308" s="47" t="s">
        <v>120</v>
      </c>
      <c r="E308" s="47" t="s">
        <v>118</v>
      </c>
      <c r="F308" s="48">
        <v>4.0999999999999996</v>
      </c>
      <c r="G308" s="48">
        <v>0.8</v>
      </c>
      <c r="H308" s="48">
        <v>3240</v>
      </c>
      <c r="I308" s="47">
        <v>1700</v>
      </c>
      <c r="J308" s="48">
        <v>4940</v>
      </c>
      <c r="K308" s="47" t="s">
        <v>129</v>
      </c>
    </row>
    <row r="309" spans="1:11" ht="14.25" customHeight="1" x14ac:dyDescent="0.3">
      <c r="A309">
        <v>1029</v>
      </c>
      <c r="B309" s="49">
        <v>202511</v>
      </c>
      <c r="C309" s="50" t="s">
        <v>21</v>
      </c>
      <c r="D309" s="50" t="s">
        <v>117</v>
      </c>
      <c r="E309" s="50" t="s">
        <v>118</v>
      </c>
      <c r="F309" s="51">
        <v>3.99</v>
      </c>
      <c r="G309" s="51">
        <v>1</v>
      </c>
      <c r="H309" s="51">
        <v>3000</v>
      </c>
      <c r="I309" s="50">
        <v>2300</v>
      </c>
      <c r="J309" s="51">
        <v>5300</v>
      </c>
      <c r="K309" s="50" t="s">
        <v>129</v>
      </c>
    </row>
    <row r="310" spans="1:11" ht="14.25" customHeight="1" x14ac:dyDescent="0.3">
      <c r="A310">
        <v>1003</v>
      </c>
      <c r="B310" s="46">
        <v>202511</v>
      </c>
      <c r="C310" s="47" t="s">
        <v>26</v>
      </c>
      <c r="D310" s="47" t="s">
        <v>120</v>
      </c>
      <c r="E310" s="47" t="s">
        <v>118</v>
      </c>
      <c r="F310" s="48">
        <v>3.97</v>
      </c>
      <c r="G310" s="48">
        <v>1</v>
      </c>
      <c r="H310" s="48">
        <v>3112.5</v>
      </c>
      <c r="I310" s="47">
        <v>1300</v>
      </c>
      <c r="J310" s="48">
        <v>4412.5</v>
      </c>
      <c r="K310" s="47" t="s">
        <v>129</v>
      </c>
    </row>
    <row r="311" spans="1:11" ht="14.25" customHeight="1" x14ac:dyDescent="0.3">
      <c r="A311">
        <v>1007</v>
      </c>
      <c r="B311" s="49">
        <v>202511</v>
      </c>
      <c r="C311" s="50" t="s">
        <v>24</v>
      </c>
      <c r="D311" s="50" t="s">
        <v>120</v>
      </c>
      <c r="E311" s="50" t="s">
        <v>118</v>
      </c>
      <c r="F311" s="51">
        <v>3.57</v>
      </c>
      <c r="G311" s="51">
        <v>1</v>
      </c>
      <c r="H311" s="51">
        <v>3000</v>
      </c>
      <c r="I311" s="50">
        <v>2800</v>
      </c>
      <c r="J311" s="51">
        <v>5800</v>
      </c>
      <c r="K311" s="50" t="s">
        <v>132</v>
      </c>
    </row>
    <row r="312" spans="1:11" ht="14.25" customHeight="1" x14ac:dyDescent="0.3">
      <c r="A312">
        <v>1013</v>
      </c>
      <c r="B312" s="46">
        <v>202511</v>
      </c>
      <c r="C312" s="47" t="s">
        <v>27</v>
      </c>
      <c r="D312" s="47" t="s">
        <v>117</v>
      </c>
      <c r="E312" s="47" t="s">
        <v>118</v>
      </c>
      <c r="F312" s="48">
        <v>3.94</v>
      </c>
      <c r="G312" s="48">
        <v>1</v>
      </c>
      <c r="H312" s="48">
        <v>2850</v>
      </c>
      <c r="I312" s="47">
        <v>1400</v>
      </c>
      <c r="J312" s="48">
        <v>4250</v>
      </c>
      <c r="K312" s="47" t="s">
        <v>129</v>
      </c>
    </row>
    <row r="313" spans="1:11" ht="14.25" customHeight="1" x14ac:dyDescent="0.3">
      <c r="A313">
        <v>1020</v>
      </c>
      <c r="B313" s="49">
        <v>202511</v>
      </c>
      <c r="C313" s="50" t="s">
        <v>23</v>
      </c>
      <c r="D313" s="50" t="s">
        <v>120</v>
      </c>
      <c r="E313" s="50" t="s">
        <v>118</v>
      </c>
      <c r="F313" s="51">
        <v>4.03</v>
      </c>
      <c r="G313" s="51">
        <v>0.9</v>
      </c>
      <c r="H313" s="51">
        <v>3037.5</v>
      </c>
      <c r="I313" s="50">
        <v>1800</v>
      </c>
      <c r="J313" s="51">
        <v>4837.5</v>
      </c>
      <c r="K313" s="50" t="s">
        <v>129</v>
      </c>
    </row>
    <row r="314" spans="1:11" ht="14.25" customHeight="1" x14ac:dyDescent="0.3">
      <c r="A314">
        <v>1004</v>
      </c>
      <c r="B314" s="46">
        <v>202511</v>
      </c>
      <c r="C314" s="47" t="s">
        <v>15</v>
      </c>
      <c r="D314" s="47" t="s">
        <v>117</v>
      </c>
      <c r="E314" s="47" t="s">
        <v>118</v>
      </c>
      <c r="F314" s="48">
        <v>2.52</v>
      </c>
      <c r="G314" s="48">
        <v>1</v>
      </c>
      <c r="H314" s="48">
        <v>4800</v>
      </c>
      <c r="I314" s="47">
        <v>0</v>
      </c>
      <c r="J314" s="48">
        <v>4800</v>
      </c>
      <c r="K314" s="47" t="s">
        <v>129</v>
      </c>
    </row>
    <row r="315" spans="1:11" ht="14.25" customHeight="1" x14ac:dyDescent="0.3">
      <c r="A315">
        <v>1002</v>
      </c>
      <c r="B315" s="49">
        <v>202511</v>
      </c>
      <c r="C315" s="50" t="s">
        <v>25</v>
      </c>
      <c r="D315" s="50" t="s">
        <v>120</v>
      </c>
      <c r="E315" s="50" t="s">
        <v>118</v>
      </c>
      <c r="F315" s="51">
        <v>3.89</v>
      </c>
      <c r="G315" s="51">
        <v>0.9</v>
      </c>
      <c r="H315" s="51">
        <v>2565</v>
      </c>
      <c r="I315" s="50">
        <v>1700</v>
      </c>
      <c r="J315" s="51">
        <v>4265</v>
      </c>
      <c r="K315" s="50" t="s">
        <v>129</v>
      </c>
    </row>
    <row r="316" spans="1:11" ht="14.25" customHeight="1" x14ac:dyDescent="0.3">
      <c r="A316">
        <v>1001</v>
      </c>
      <c r="B316" s="46">
        <v>202512</v>
      </c>
      <c r="C316" s="47" t="s">
        <v>17</v>
      </c>
      <c r="D316" s="47" t="s">
        <v>117</v>
      </c>
      <c r="E316" s="47" t="s">
        <v>118</v>
      </c>
      <c r="F316" s="48">
        <v>4.1100000000000003</v>
      </c>
      <c r="G316" s="48">
        <v>88.37</v>
      </c>
      <c r="H316" s="48">
        <v>2640</v>
      </c>
      <c r="I316" s="47">
        <v>1300</v>
      </c>
      <c r="J316" s="48">
        <v>3940</v>
      </c>
      <c r="K316" s="47" t="s">
        <v>133</v>
      </c>
    </row>
    <row r="317" spans="1:11" ht="14.25" customHeight="1" x14ac:dyDescent="0.3">
      <c r="A317">
        <v>1002</v>
      </c>
      <c r="B317" s="49">
        <v>202512</v>
      </c>
      <c r="C317" s="50" t="s">
        <v>25</v>
      </c>
      <c r="D317" s="50" t="s">
        <v>120</v>
      </c>
      <c r="E317" s="50" t="s">
        <v>118</v>
      </c>
      <c r="F317" s="51">
        <v>3.98</v>
      </c>
      <c r="G317" s="51">
        <v>100</v>
      </c>
      <c r="H317" s="51">
        <v>3742.5</v>
      </c>
      <c r="I317" s="50">
        <v>500</v>
      </c>
      <c r="J317" s="51">
        <v>4242.5</v>
      </c>
      <c r="K317" s="50" t="s">
        <v>134</v>
      </c>
    </row>
    <row r="318" spans="1:11" ht="14.25" customHeight="1" x14ac:dyDescent="0.3">
      <c r="A318">
        <v>1003</v>
      </c>
      <c r="B318" s="46">
        <v>202512</v>
      </c>
      <c r="C318" s="47" t="s">
        <v>26</v>
      </c>
      <c r="D318" s="47" t="s">
        <v>120</v>
      </c>
      <c r="E318" s="47" t="s">
        <v>118</v>
      </c>
      <c r="F318" s="48">
        <v>4</v>
      </c>
      <c r="G318" s="48">
        <v>99.84</v>
      </c>
      <c r="H318" s="48">
        <v>3300</v>
      </c>
      <c r="I318" s="47">
        <v>800</v>
      </c>
      <c r="J318" s="48">
        <v>4100</v>
      </c>
      <c r="K318" s="47" t="s">
        <v>133</v>
      </c>
    </row>
    <row r="319" spans="1:11" ht="14.25" customHeight="1" x14ac:dyDescent="0.3">
      <c r="A319">
        <v>1004</v>
      </c>
      <c r="B319" s="49">
        <v>202512</v>
      </c>
      <c r="C319" s="50" t="s">
        <v>15</v>
      </c>
      <c r="D319" s="50" t="s">
        <v>117</v>
      </c>
      <c r="E319" s="50" t="s">
        <v>118</v>
      </c>
      <c r="F319" s="51">
        <v>2.59</v>
      </c>
      <c r="G319" s="51">
        <v>98.96</v>
      </c>
      <c r="H319" s="51">
        <v>4800</v>
      </c>
      <c r="I319" s="50">
        <v>0</v>
      </c>
      <c r="J319" s="51">
        <v>4800</v>
      </c>
      <c r="K319" s="50" t="s">
        <v>133</v>
      </c>
    </row>
    <row r="320" spans="1:11" ht="14.25" customHeight="1" x14ac:dyDescent="0.3">
      <c r="A320">
        <v>1005</v>
      </c>
      <c r="B320" s="46">
        <v>202512</v>
      </c>
      <c r="C320" s="47" t="s">
        <v>36</v>
      </c>
      <c r="D320" s="47" t="s">
        <v>121</v>
      </c>
      <c r="E320" s="47" t="s">
        <v>118</v>
      </c>
      <c r="F320" s="48">
        <v>3.6</v>
      </c>
      <c r="G320" s="48">
        <v>100</v>
      </c>
      <c r="H320" s="48">
        <v>3000</v>
      </c>
      <c r="I320" s="47">
        <v>0</v>
      </c>
      <c r="J320" s="48">
        <v>3000</v>
      </c>
      <c r="K320" s="47" t="s">
        <v>133</v>
      </c>
    </row>
    <row r="321" spans="1:11" ht="14.25" customHeight="1" x14ac:dyDescent="0.3">
      <c r="A321">
        <v>1006</v>
      </c>
      <c r="B321" s="49">
        <v>202512</v>
      </c>
      <c r="C321" s="50" t="s">
        <v>16</v>
      </c>
      <c r="D321" s="50" t="s">
        <v>117</v>
      </c>
      <c r="E321" s="50" t="s">
        <v>118</v>
      </c>
      <c r="F321" s="51">
        <v>4.01</v>
      </c>
      <c r="G321" s="51">
        <v>98.11</v>
      </c>
      <c r="H321" s="51">
        <v>3300</v>
      </c>
      <c r="I321" s="50">
        <v>500</v>
      </c>
      <c r="J321" s="51">
        <v>3800</v>
      </c>
      <c r="K321" s="50" t="s">
        <v>133</v>
      </c>
    </row>
    <row r="322" spans="1:11" ht="14.25" customHeight="1" x14ac:dyDescent="0.3">
      <c r="A322">
        <v>1007</v>
      </c>
      <c r="B322" s="46">
        <v>202512</v>
      </c>
      <c r="C322" s="47" t="s">
        <v>24</v>
      </c>
      <c r="D322" s="47" t="s">
        <v>120</v>
      </c>
      <c r="E322" s="47" t="s">
        <v>118</v>
      </c>
      <c r="F322" s="48">
        <v>3.85</v>
      </c>
      <c r="G322" s="48">
        <v>98.92</v>
      </c>
      <c r="H322" s="48">
        <v>1800</v>
      </c>
      <c r="I322" s="47">
        <v>0</v>
      </c>
      <c r="J322" s="48">
        <v>1800</v>
      </c>
      <c r="K322" s="47" t="s">
        <v>133</v>
      </c>
    </row>
    <row r="323" spans="1:11" ht="14.25" customHeight="1" x14ac:dyDescent="0.3">
      <c r="A323">
        <v>1008</v>
      </c>
      <c r="B323" s="49">
        <v>202512</v>
      </c>
      <c r="C323" s="50" t="s">
        <v>30</v>
      </c>
      <c r="D323" s="50" t="s">
        <v>120</v>
      </c>
      <c r="E323" s="50" t="s">
        <v>118</v>
      </c>
      <c r="F323" s="51">
        <v>4.1100000000000003</v>
      </c>
      <c r="G323" s="51">
        <v>90.06</v>
      </c>
      <c r="H323" s="51">
        <v>2970</v>
      </c>
      <c r="I323" s="50">
        <v>1000</v>
      </c>
      <c r="J323" s="51">
        <v>3970</v>
      </c>
      <c r="K323" s="50" t="s">
        <v>133</v>
      </c>
    </row>
    <row r="324" spans="1:11" ht="14.25" customHeight="1" x14ac:dyDescent="0.3">
      <c r="A324">
        <v>1034</v>
      </c>
      <c r="B324" s="46">
        <v>202512</v>
      </c>
      <c r="C324" s="47" t="s">
        <v>43</v>
      </c>
      <c r="D324" s="47" t="s">
        <v>121</v>
      </c>
      <c r="E324" s="47" t="s">
        <v>118</v>
      </c>
      <c r="F324" s="48">
        <v>4.41</v>
      </c>
      <c r="G324" s="48">
        <v>88.4</v>
      </c>
      <c r="H324" s="48">
        <v>4040</v>
      </c>
      <c r="I324" s="47">
        <v>0</v>
      </c>
      <c r="J324" s="48">
        <v>4040</v>
      </c>
      <c r="K324" s="47" t="s">
        <v>133</v>
      </c>
    </row>
    <row r="325" spans="1:11" ht="14.25" customHeight="1" x14ac:dyDescent="0.3">
      <c r="A325">
        <v>1011</v>
      </c>
      <c r="B325" s="49">
        <v>202512</v>
      </c>
      <c r="C325" s="50" t="s">
        <v>35</v>
      </c>
      <c r="D325" s="50" t="s">
        <v>122</v>
      </c>
      <c r="E325" s="50" t="s">
        <v>118</v>
      </c>
      <c r="F325" s="51">
        <v>3.59</v>
      </c>
      <c r="G325" s="51">
        <v>99.4</v>
      </c>
      <c r="H325" s="51">
        <v>3000</v>
      </c>
      <c r="I325" s="50">
        <v>0</v>
      </c>
      <c r="J325" s="51">
        <v>3000</v>
      </c>
      <c r="K325" s="50" t="s">
        <v>133</v>
      </c>
    </row>
    <row r="326" spans="1:11" ht="14.25" customHeight="1" x14ac:dyDescent="0.3">
      <c r="A326">
        <v>1012</v>
      </c>
      <c r="B326" s="46">
        <v>202512</v>
      </c>
      <c r="C326" s="47" t="s">
        <v>33</v>
      </c>
      <c r="D326" s="47" t="s">
        <v>122</v>
      </c>
      <c r="E326" s="47" t="s">
        <v>118</v>
      </c>
      <c r="F326" s="48">
        <v>3.61</v>
      </c>
      <c r="G326" s="48">
        <v>91.24</v>
      </c>
      <c r="H326" s="48">
        <v>3000</v>
      </c>
      <c r="I326" s="47">
        <v>0</v>
      </c>
      <c r="J326" s="48">
        <v>3000</v>
      </c>
      <c r="K326" s="47" t="s">
        <v>133</v>
      </c>
    </row>
    <row r="327" spans="1:11" ht="14.25" customHeight="1" x14ac:dyDescent="0.3">
      <c r="A327">
        <v>1013</v>
      </c>
      <c r="B327" s="49">
        <v>202512</v>
      </c>
      <c r="C327" s="50" t="s">
        <v>27</v>
      </c>
      <c r="D327" s="50" t="s">
        <v>117</v>
      </c>
      <c r="E327" s="50" t="s">
        <v>118</v>
      </c>
      <c r="F327" s="51">
        <v>3.77</v>
      </c>
      <c r="G327" s="51">
        <v>99.93</v>
      </c>
      <c r="H327" s="51">
        <v>1800</v>
      </c>
      <c r="I327" s="50">
        <v>800</v>
      </c>
      <c r="J327" s="51">
        <v>2600</v>
      </c>
      <c r="K327" s="50" t="s">
        <v>133</v>
      </c>
    </row>
    <row r="328" spans="1:11" ht="14.25" customHeight="1" x14ac:dyDescent="0.3">
      <c r="A328">
        <v>1015</v>
      </c>
      <c r="B328" s="46">
        <v>202512</v>
      </c>
      <c r="C328" s="47" t="s">
        <v>19</v>
      </c>
      <c r="D328" s="47" t="s">
        <v>122</v>
      </c>
      <c r="E328" s="47" t="s">
        <v>118</v>
      </c>
      <c r="F328" s="48">
        <v>4.4400000000000004</v>
      </c>
      <c r="G328" s="48">
        <v>97.87</v>
      </c>
      <c r="H328" s="48">
        <v>4800</v>
      </c>
      <c r="I328" s="47">
        <v>0</v>
      </c>
      <c r="J328" s="48">
        <v>4800</v>
      </c>
      <c r="K328" s="47" t="s">
        <v>133</v>
      </c>
    </row>
    <row r="329" spans="1:11" ht="14.25" customHeight="1" x14ac:dyDescent="0.3">
      <c r="A329">
        <v>1018</v>
      </c>
      <c r="B329" s="49">
        <v>202512</v>
      </c>
      <c r="C329" s="50" t="s">
        <v>28</v>
      </c>
      <c r="D329" s="50" t="s">
        <v>122</v>
      </c>
      <c r="E329" s="50" t="s">
        <v>118</v>
      </c>
      <c r="F329" s="51">
        <v>4.3</v>
      </c>
      <c r="G329" s="51">
        <v>98.68</v>
      </c>
      <c r="H329" s="51">
        <v>4800</v>
      </c>
      <c r="I329" s="50">
        <v>0</v>
      </c>
      <c r="J329" s="51">
        <v>4800</v>
      </c>
      <c r="K329" s="50" t="s">
        <v>133</v>
      </c>
    </row>
    <row r="330" spans="1:11" ht="14.25" customHeight="1" x14ac:dyDescent="0.3">
      <c r="A330">
        <v>1020</v>
      </c>
      <c r="B330" s="46">
        <v>202512</v>
      </c>
      <c r="C330" s="47" t="s">
        <v>23</v>
      </c>
      <c r="D330" s="47" t="s">
        <v>120</v>
      </c>
      <c r="E330" s="47" t="s">
        <v>118</v>
      </c>
      <c r="F330" s="48">
        <v>3.91</v>
      </c>
      <c r="G330" s="48">
        <v>97.89</v>
      </c>
      <c r="H330" s="48">
        <v>1800</v>
      </c>
      <c r="I330" s="47">
        <v>1500</v>
      </c>
      <c r="J330" s="48">
        <v>3300</v>
      </c>
      <c r="K330" s="47" t="s">
        <v>133</v>
      </c>
    </row>
    <row r="331" spans="1:11" ht="14.25" customHeight="1" x14ac:dyDescent="0.3">
      <c r="A331">
        <v>1021</v>
      </c>
      <c r="B331" s="49">
        <v>202512</v>
      </c>
      <c r="C331" s="50" t="s">
        <v>22</v>
      </c>
      <c r="D331" s="50" t="s">
        <v>117</v>
      </c>
      <c r="E331" s="50" t="s">
        <v>118</v>
      </c>
      <c r="F331" s="51">
        <v>3.56</v>
      </c>
      <c r="G331" s="51">
        <v>97.59</v>
      </c>
      <c r="H331" s="51">
        <v>3000</v>
      </c>
      <c r="I331" s="50">
        <v>3200</v>
      </c>
      <c r="J331" s="51">
        <v>6200</v>
      </c>
      <c r="K331" s="50" t="s">
        <v>133</v>
      </c>
    </row>
    <row r="332" spans="1:11" ht="14.25" customHeight="1" x14ac:dyDescent="0.3">
      <c r="A332">
        <v>1027</v>
      </c>
      <c r="B332" s="46">
        <v>202512</v>
      </c>
      <c r="C332" s="47" t="s">
        <v>40</v>
      </c>
      <c r="D332" s="47" t="s">
        <v>121</v>
      </c>
      <c r="E332" s="47" t="s">
        <v>118</v>
      </c>
      <c r="F332" s="48">
        <v>4.4400000000000004</v>
      </c>
      <c r="G332" s="48">
        <v>93.43</v>
      </c>
      <c r="H332" s="48">
        <v>4420</v>
      </c>
      <c r="I332" s="47">
        <v>0</v>
      </c>
      <c r="J332" s="48">
        <v>4420</v>
      </c>
      <c r="K332" s="47" t="s">
        <v>133</v>
      </c>
    </row>
    <row r="333" spans="1:11" ht="14.25" customHeight="1" x14ac:dyDescent="0.3">
      <c r="A333">
        <v>1028</v>
      </c>
      <c r="B333" s="49">
        <v>202512</v>
      </c>
      <c r="C333" s="50" t="s">
        <v>31</v>
      </c>
      <c r="D333" s="50" t="s">
        <v>121</v>
      </c>
      <c r="E333" s="50" t="s">
        <v>118</v>
      </c>
      <c r="F333" s="51">
        <v>4.42</v>
      </c>
      <c r="G333" s="51">
        <v>99.84</v>
      </c>
      <c r="H333" s="51">
        <v>4800</v>
      </c>
      <c r="I333" s="50">
        <v>0</v>
      </c>
      <c r="J333" s="51">
        <v>4800</v>
      </c>
      <c r="K333" s="50" t="s">
        <v>133</v>
      </c>
    </row>
    <row r="334" spans="1:11" ht="14.25" customHeight="1" x14ac:dyDescent="0.3">
      <c r="A334">
        <v>1029</v>
      </c>
      <c r="B334" s="46">
        <v>202512</v>
      </c>
      <c r="C334" s="47" t="s">
        <v>21</v>
      </c>
      <c r="D334" s="47" t="s">
        <v>117</v>
      </c>
      <c r="E334" s="47" t="s">
        <v>118</v>
      </c>
      <c r="F334" s="48">
        <v>4.0199999999999996</v>
      </c>
      <c r="G334" s="48">
        <v>99.78</v>
      </c>
      <c r="H334" s="48">
        <v>3300</v>
      </c>
      <c r="I334" s="47">
        <v>800</v>
      </c>
      <c r="J334" s="48">
        <v>4100</v>
      </c>
      <c r="K334" s="47" t="s">
        <v>133</v>
      </c>
    </row>
    <row r="335" spans="1:11" ht="14.25" customHeight="1" x14ac:dyDescent="0.3">
      <c r="A335">
        <v>1035</v>
      </c>
      <c r="B335" s="49">
        <v>202512</v>
      </c>
      <c r="C335" s="50" t="s">
        <v>41</v>
      </c>
      <c r="D335" s="50" t="s">
        <v>122</v>
      </c>
      <c r="E335" s="50" t="s">
        <v>118</v>
      </c>
      <c r="F335" s="51">
        <v>4.3899999999999997</v>
      </c>
      <c r="G335" s="51">
        <v>98.93</v>
      </c>
      <c r="H335" s="51">
        <v>4800</v>
      </c>
      <c r="I335" s="50">
        <v>0</v>
      </c>
      <c r="J335" s="51">
        <v>4800</v>
      </c>
      <c r="K335" s="50" t="s">
        <v>133</v>
      </c>
    </row>
    <row r="336" spans="1:11" ht="14.25" customHeight="1" x14ac:dyDescent="0.3">
      <c r="A336">
        <v>1030</v>
      </c>
      <c r="B336" s="46">
        <v>202512</v>
      </c>
      <c r="C336" s="47" t="s">
        <v>29</v>
      </c>
      <c r="D336" s="47" t="s">
        <v>121</v>
      </c>
      <c r="E336" s="47" t="s">
        <v>118</v>
      </c>
      <c r="F336" s="48">
        <v>4.41</v>
      </c>
      <c r="G336" s="48">
        <v>100</v>
      </c>
      <c r="H336" s="48">
        <v>4800</v>
      </c>
      <c r="I336" s="47">
        <v>0</v>
      </c>
      <c r="J336" s="48">
        <v>4800</v>
      </c>
      <c r="K336" s="47" t="s">
        <v>133</v>
      </c>
    </row>
    <row r="337" spans="1:11" ht="14.25" customHeight="1" x14ac:dyDescent="0.3">
      <c r="A337">
        <v>1031</v>
      </c>
      <c r="B337" s="49">
        <v>202512</v>
      </c>
      <c r="C337" s="50" t="s">
        <v>32</v>
      </c>
      <c r="D337" s="50" t="s">
        <v>121</v>
      </c>
      <c r="E337" s="50" t="s">
        <v>118</v>
      </c>
      <c r="F337" s="51">
        <v>4.41</v>
      </c>
      <c r="G337" s="51">
        <v>99.59</v>
      </c>
      <c r="H337" s="51">
        <v>4800</v>
      </c>
      <c r="I337" s="50">
        <v>0</v>
      </c>
      <c r="J337" s="51">
        <v>4800</v>
      </c>
      <c r="K337" s="50" t="s">
        <v>133</v>
      </c>
    </row>
    <row r="338" spans="1:11" ht="14.25" customHeight="1" x14ac:dyDescent="0.3">
      <c r="A338">
        <v>1038</v>
      </c>
      <c r="B338" s="46">
        <v>202512</v>
      </c>
      <c r="C338" s="47" t="s">
        <v>47</v>
      </c>
      <c r="D338" s="47" t="s">
        <v>121</v>
      </c>
      <c r="E338" s="47" t="s">
        <v>118</v>
      </c>
      <c r="F338" s="48">
        <v>1.81</v>
      </c>
      <c r="G338" s="48">
        <v>100</v>
      </c>
      <c r="H338" s="48">
        <v>3000</v>
      </c>
      <c r="I338" s="47">
        <v>0</v>
      </c>
      <c r="J338" s="48">
        <v>3000</v>
      </c>
      <c r="K338" s="47" t="s">
        <v>133</v>
      </c>
    </row>
    <row r="339" spans="1:11" ht="14.25" customHeight="1" x14ac:dyDescent="0.3">
      <c r="A339">
        <v>1032</v>
      </c>
      <c r="B339" s="49">
        <v>202512</v>
      </c>
      <c r="C339" s="50" t="s">
        <v>34</v>
      </c>
      <c r="D339" s="50" t="s">
        <v>121</v>
      </c>
      <c r="E339" s="50" t="s">
        <v>118</v>
      </c>
      <c r="F339" s="51">
        <v>4.1900000000000004</v>
      </c>
      <c r="G339" s="51">
        <v>94.76</v>
      </c>
      <c r="H339" s="51">
        <v>2700</v>
      </c>
      <c r="I339" s="50">
        <v>0</v>
      </c>
      <c r="J339" s="51">
        <v>2700</v>
      </c>
      <c r="K339" s="50" t="s">
        <v>133</v>
      </c>
    </row>
    <row r="340" spans="1:11" ht="14.25" customHeight="1" x14ac:dyDescent="0.3">
      <c r="A340">
        <v>1037</v>
      </c>
      <c r="B340" s="46">
        <v>202512</v>
      </c>
      <c r="C340" s="47" t="s">
        <v>39</v>
      </c>
      <c r="D340" s="47" t="s">
        <v>121</v>
      </c>
      <c r="E340" s="47" t="s">
        <v>118</v>
      </c>
      <c r="F340" s="48">
        <v>4.4400000000000004</v>
      </c>
      <c r="G340" s="48">
        <v>100</v>
      </c>
      <c r="H340" s="48">
        <v>4800</v>
      </c>
      <c r="I340" s="47">
        <v>0</v>
      </c>
      <c r="J340" s="48">
        <v>4800</v>
      </c>
      <c r="K340" s="47" t="s">
        <v>133</v>
      </c>
    </row>
    <row r="341" spans="1:11" ht="14.25" customHeight="1" x14ac:dyDescent="0.3">
      <c r="A341">
        <v>1036</v>
      </c>
      <c r="B341" s="49">
        <v>202512</v>
      </c>
      <c r="C341" s="50" t="s">
        <v>42</v>
      </c>
      <c r="D341" s="50" t="s">
        <v>122</v>
      </c>
      <c r="E341" s="50" t="s">
        <v>118</v>
      </c>
      <c r="F341" s="51">
        <v>4.4400000000000004</v>
      </c>
      <c r="G341" s="51">
        <v>92.92</v>
      </c>
      <c r="H341" s="51">
        <v>4420</v>
      </c>
      <c r="I341" s="50">
        <v>0</v>
      </c>
      <c r="J341" s="51">
        <v>4420</v>
      </c>
      <c r="K341" s="50" t="s">
        <v>133</v>
      </c>
    </row>
    <row r="342" spans="1:11" ht="14.25" customHeight="1" x14ac:dyDescent="0.3">
      <c r="A342">
        <v>1039</v>
      </c>
      <c r="B342" s="46">
        <v>202601</v>
      </c>
      <c r="C342" s="47" t="s">
        <v>62</v>
      </c>
      <c r="D342" s="47" t="s">
        <v>121</v>
      </c>
      <c r="E342" s="47" t="s">
        <v>118</v>
      </c>
      <c r="F342" s="48">
        <v>4.3499999999999996</v>
      </c>
      <c r="G342" s="48">
        <v>99.51</v>
      </c>
      <c r="H342" s="48">
        <v>3562.5</v>
      </c>
      <c r="I342" s="47"/>
      <c r="J342" s="48">
        <v>3562.5</v>
      </c>
      <c r="K342" s="47" t="s">
        <v>135</v>
      </c>
    </row>
    <row r="343" spans="1:11" ht="14.25" customHeight="1" x14ac:dyDescent="0.3">
      <c r="A343">
        <v>1040</v>
      </c>
      <c r="B343" s="49">
        <v>202601</v>
      </c>
      <c r="C343" s="50" t="s">
        <v>64</v>
      </c>
      <c r="D343" s="50" t="s">
        <v>121</v>
      </c>
      <c r="E343" s="50" t="s">
        <v>118</v>
      </c>
      <c r="F343" s="51">
        <v>4.2300000000000004</v>
      </c>
      <c r="G343" s="51">
        <v>99.14</v>
      </c>
      <c r="H343" s="51">
        <v>2440</v>
      </c>
      <c r="I343" s="50"/>
      <c r="J343" s="51">
        <v>2440</v>
      </c>
      <c r="K343" s="50" t="s">
        <v>135</v>
      </c>
    </row>
    <row r="344" spans="1:11" ht="14.25" customHeight="1" x14ac:dyDescent="0.3">
      <c r="A344">
        <v>1041</v>
      </c>
      <c r="B344" s="46">
        <v>202601</v>
      </c>
      <c r="C344" s="47" t="s">
        <v>53</v>
      </c>
      <c r="D344" s="47" t="s">
        <v>122</v>
      </c>
      <c r="E344" s="47" t="s">
        <v>118</v>
      </c>
      <c r="F344" s="48">
        <v>4.28</v>
      </c>
      <c r="G344" s="48">
        <v>100</v>
      </c>
      <c r="H344" s="48">
        <v>3000</v>
      </c>
      <c r="I344" s="47"/>
      <c r="J344" s="48">
        <v>3000</v>
      </c>
      <c r="K344" s="47" t="s">
        <v>135</v>
      </c>
    </row>
    <row r="345" spans="1:11" ht="14.25" customHeight="1" x14ac:dyDescent="0.3">
      <c r="A345">
        <v>1042</v>
      </c>
      <c r="B345" s="49">
        <v>202601</v>
      </c>
      <c r="C345" s="50" t="s">
        <v>54</v>
      </c>
      <c r="D345" s="50" t="s">
        <v>122</v>
      </c>
      <c r="E345" s="50" t="s">
        <v>118</v>
      </c>
      <c r="F345" s="51">
        <v>3.47</v>
      </c>
      <c r="G345" s="51">
        <v>100</v>
      </c>
      <c r="H345" s="51">
        <v>3000</v>
      </c>
      <c r="I345" s="50"/>
      <c r="J345" s="51">
        <v>3000</v>
      </c>
      <c r="K345" s="50" t="s">
        <v>135</v>
      </c>
    </row>
    <row r="346" spans="1:11" ht="14.25" customHeight="1" x14ac:dyDescent="0.3">
      <c r="A346">
        <v>1043</v>
      </c>
      <c r="B346" s="46">
        <v>202601</v>
      </c>
      <c r="C346" s="47" t="s">
        <v>68</v>
      </c>
      <c r="D346" s="47" t="s">
        <v>121</v>
      </c>
      <c r="E346" s="47" t="s">
        <v>118</v>
      </c>
      <c r="F346" s="48">
        <v>4.3099999999999996</v>
      </c>
      <c r="G346" s="48">
        <v>98.1</v>
      </c>
      <c r="H346" s="48">
        <v>2182.5</v>
      </c>
      <c r="I346" s="47"/>
      <c r="J346" s="48">
        <v>2182.5</v>
      </c>
      <c r="K346" s="47" t="s">
        <v>135</v>
      </c>
    </row>
    <row r="347" spans="1:11" ht="14.25" customHeight="1" x14ac:dyDescent="0.3">
      <c r="A347">
        <v>1044</v>
      </c>
      <c r="B347" s="49">
        <v>202601</v>
      </c>
      <c r="C347" s="50" t="s">
        <v>58</v>
      </c>
      <c r="D347" s="50" t="s">
        <v>122</v>
      </c>
      <c r="E347" s="50" t="s">
        <v>118</v>
      </c>
      <c r="F347" s="51">
        <v>3.47</v>
      </c>
      <c r="G347" s="51">
        <v>98.33</v>
      </c>
      <c r="H347" s="51">
        <v>3000</v>
      </c>
      <c r="I347" s="50"/>
      <c r="J347" s="51">
        <v>3000</v>
      </c>
      <c r="K347" s="50" t="s">
        <v>135</v>
      </c>
    </row>
    <row r="348" spans="1:11" ht="14.25" customHeight="1" x14ac:dyDescent="0.3">
      <c r="A348">
        <v>1045</v>
      </c>
      <c r="B348" s="46">
        <v>202601</v>
      </c>
      <c r="C348" s="47" t="s">
        <v>50</v>
      </c>
      <c r="D348" s="47" t="s">
        <v>122</v>
      </c>
      <c r="E348" s="47" t="s">
        <v>118</v>
      </c>
      <c r="F348" s="48">
        <v>4.3499999999999996</v>
      </c>
      <c r="G348" s="48">
        <v>97.9</v>
      </c>
      <c r="H348" s="48">
        <v>3562.5</v>
      </c>
      <c r="I348" s="47"/>
      <c r="J348" s="48">
        <v>3562.5</v>
      </c>
      <c r="K348" s="47" t="s">
        <v>135</v>
      </c>
    </row>
    <row r="349" spans="1:11" ht="14.25" customHeight="1" x14ac:dyDescent="0.3">
      <c r="A349">
        <v>1046</v>
      </c>
      <c r="B349" s="49">
        <v>202601</v>
      </c>
      <c r="C349" s="50" t="s">
        <v>66</v>
      </c>
      <c r="D349" s="50" t="s">
        <v>121</v>
      </c>
      <c r="E349" s="50" t="s">
        <v>118</v>
      </c>
      <c r="F349" s="51">
        <v>4.0199999999999996</v>
      </c>
      <c r="G349" s="51">
        <v>83.95</v>
      </c>
      <c r="H349" s="51">
        <v>1985</v>
      </c>
      <c r="I349" s="50"/>
      <c r="J349" s="51">
        <v>1985</v>
      </c>
      <c r="K349" s="50" t="s">
        <v>135</v>
      </c>
    </row>
    <row r="350" spans="1:11" ht="14.25" customHeight="1" x14ac:dyDescent="0.3">
      <c r="A350">
        <v>1047</v>
      </c>
      <c r="B350" s="46">
        <v>202601</v>
      </c>
      <c r="C350" s="47" t="s">
        <v>78</v>
      </c>
      <c r="D350" s="47" t="s">
        <v>121</v>
      </c>
      <c r="E350" s="47" t="s">
        <v>118</v>
      </c>
      <c r="F350" s="48">
        <v>3.51</v>
      </c>
      <c r="G350" s="48">
        <v>100</v>
      </c>
      <c r="H350" s="48">
        <v>450</v>
      </c>
      <c r="I350" s="47"/>
      <c r="J350" s="48">
        <v>450</v>
      </c>
      <c r="K350" s="47" t="s">
        <v>135</v>
      </c>
    </row>
    <row r="351" spans="1:11" ht="14.25" customHeight="1" x14ac:dyDescent="0.3">
      <c r="A351">
        <v>1048</v>
      </c>
      <c r="B351" s="49">
        <v>202601</v>
      </c>
      <c r="C351" s="50" t="s">
        <v>52</v>
      </c>
      <c r="D351" s="50" t="s">
        <v>122</v>
      </c>
      <c r="E351" s="50" t="s">
        <v>118</v>
      </c>
      <c r="F351" s="51">
        <v>4.33</v>
      </c>
      <c r="G351" s="51">
        <v>94.05</v>
      </c>
      <c r="H351" s="51">
        <v>2820</v>
      </c>
      <c r="I351" s="50"/>
      <c r="J351" s="51">
        <v>2820</v>
      </c>
      <c r="K351" s="50" t="s">
        <v>135</v>
      </c>
    </row>
    <row r="352" spans="1:11" ht="14.25" customHeight="1" x14ac:dyDescent="0.3">
      <c r="A352">
        <v>1049</v>
      </c>
      <c r="B352" s="46">
        <v>202601</v>
      </c>
      <c r="C352" s="47" t="s">
        <v>59</v>
      </c>
      <c r="D352" s="47" t="s">
        <v>121</v>
      </c>
      <c r="E352" s="47" t="s">
        <v>118</v>
      </c>
      <c r="F352" s="48">
        <v>2.83</v>
      </c>
      <c r="G352" s="48">
        <v>100</v>
      </c>
      <c r="H352" s="48">
        <v>3000</v>
      </c>
      <c r="I352" s="47"/>
      <c r="J352" s="48">
        <v>3000</v>
      </c>
      <c r="K352" s="47" t="s">
        <v>135</v>
      </c>
    </row>
    <row r="353" spans="1:11" ht="14.25" customHeight="1" x14ac:dyDescent="0.3">
      <c r="A353">
        <v>1050</v>
      </c>
      <c r="B353" s="49">
        <v>202601</v>
      </c>
      <c r="C353" s="50" t="s">
        <v>49</v>
      </c>
      <c r="D353" s="50" t="s">
        <v>122</v>
      </c>
      <c r="E353" s="50" t="s">
        <v>118</v>
      </c>
      <c r="F353" s="51">
        <v>4.3499999999999996</v>
      </c>
      <c r="G353" s="51">
        <v>87.02</v>
      </c>
      <c r="H353" s="51">
        <v>3630</v>
      </c>
      <c r="I353" s="50"/>
      <c r="J353" s="51">
        <v>3630</v>
      </c>
      <c r="K353" s="50" t="s">
        <v>135</v>
      </c>
    </row>
    <row r="354" spans="1:11" ht="14.25" customHeight="1" x14ac:dyDescent="0.3">
      <c r="A354">
        <v>1051</v>
      </c>
      <c r="B354" s="46">
        <v>202601</v>
      </c>
      <c r="C354" s="47" t="s">
        <v>57</v>
      </c>
      <c r="D354" s="47" t="s">
        <v>121</v>
      </c>
      <c r="E354" s="47" t="s">
        <v>118</v>
      </c>
      <c r="F354" s="48">
        <v>2.46</v>
      </c>
      <c r="G354" s="48">
        <v>100</v>
      </c>
      <c r="H354" s="48">
        <v>3000</v>
      </c>
      <c r="I354" s="47"/>
      <c r="J354" s="48">
        <v>3000</v>
      </c>
      <c r="K354" s="47" t="s">
        <v>135</v>
      </c>
    </row>
    <row r="355" spans="1:11" ht="14.25" customHeight="1" x14ac:dyDescent="0.3">
      <c r="A355">
        <v>1052</v>
      </c>
      <c r="B355" s="49">
        <v>202601</v>
      </c>
      <c r="C355" s="50" t="s">
        <v>61</v>
      </c>
      <c r="D355" s="50" t="s">
        <v>121</v>
      </c>
      <c r="E355" s="50" t="s">
        <v>118</v>
      </c>
      <c r="F355" s="51">
        <v>3.91</v>
      </c>
      <c r="G355" s="51">
        <v>100</v>
      </c>
      <c r="H355" s="51">
        <v>2340</v>
      </c>
      <c r="I355" s="50"/>
      <c r="J355" s="51">
        <v>2340</v>
      </c>
      <c r="K355" s="50" t="s">
        <v>135</v>
      </c>
    </row>
    <row r="356" spans="1:11" ht="14.25" customHeight="1" x14ac:dyDescent="0.3">
      <c r="A356">
        <v>1053</v>
      </c>
      <c r="B356" s="46">
        <v>202601</v>
      </c>
      <c r="C356" s="47" t="s">
        <v>63</v>
      </c>
      <c r="D356" s="47" t="s">
        <v>121</v>
      </c>
      <c r="E356" s="47" t="s">
        <v>118</v>
      </c>
      <c r="F356" s="48">
        <v>4.37</v>
      </c>
      <c r="G356" s="48">
        <v>100</v>
      </c>
      <c r="H356" s="48">
        <v>2915</v>
      </c>
      <c r="I356" s="47"/>
      <c r="J356" s="48">
        <v>2915</v>
      </c>
      <c r="K356" s="47" t="s">
        <v>135</v>
      </c>
    </row>
    <row r="357" spans="1:11" ht="14.25" customHeight="1" x14ac:dyDescent="0.3">
      <c r="A357">
        <v>1054</v>
      </c>
      <c r="B357" s="49">
        <v>202601</v>
      </c>
      <c r="C357" s="50" t="s">
        <v>74</v>
      </c>
      <c r="D357" s="50" t="s">
        <v>117</v>
      </c>
      <c r="E357" s="50" t="s">
        <v>118</v>
      </c>
      <c r="F357" s="51">
        <v>3.83</v>
      </c>
      <c r="G357" s="51">
        <v>98.45</v>
      </c>
      <c r="H357" s="51">
        <v>2100</v>
      </c>
      <c r="I357" s="50">
        <v>1800</v>
      </c>
      <c r="J357" s="51">
        <v>2793.75</v>
      </c>
      <c r="K357" s="50" t="s">
        <v>135</v>
      </c>
    </row>
    <row r="358" spans="1:11" ht="14.25" customHeight="1" x14ac:dyDescent="0.3">
      <c r="A358">
        <v>1055</v>
      </c>
      <c r="B358" s="46">
        <v>202601</v>
      </c>
      <c r="C358" s="47" t="s">
        <v>46</v>
      </c>
      <c r="D358" s="47" t="s">
        <v>117</v>
      </c>
      <c r="E358" s="47" t="s">
        <v>118</v>
      </c>
      <c r="F358" s="48">
        <v>2.14</v>
      </c>
      <c r="G358" s="48">
        <v>98.75</v>
      </c>
      <c r="H358" s="48">
        <v>3000</v>
      </c>
      <c r="I358" s="47">
        <v>3400</v>
      </c>
      <c r="J358" s="48">
        <v>6400</v>
      </c>
      <c r="K358" s="47" t="s">
        <v>135</v>
      </c>
    </row>
    <row r="359" spans="1:11" ht="14.25" customHeight="1" x14ac:dyDescent="0.3">
      <c r="A359">
        <v>1056</v>
      </c>
      <c r="B359" s="49">
        <v>202601</v>
      </c>
      <c r="C359" s="50" t="s">
        <v>65</v>
      </c>
      <c r="D359" s="50" t="s">
        <v>117</v>
      </c>
      <c r="E359" s="50" t="s">
        <v>118</v>
      </c>
      <c r="F359" s="51">
        <v>3.76</v>
      </c>
      <c r="G359" s="51">
        <v>87.78</v>
      </c>
      <c r="H359" s="51">
        <v>1080</v>
      </c>
      <c r="I359" s="50">
        <v>3000</v>
      </c>
      <c r="J359" s="51">
        <v>4093.125</v>
      </c>
      <c r="K359" s="50" t="s">
        <v>135</v>
      </c>
    </row>
    <row r="360" spans="1:11" ht="14.25" customHeight="1" x14ac:dyDescent="0.3">
      <c r="A360">
        <v>1057</v>
      </c>
      <c r="B360" s="46">
        <v>202601</v>
      </c>
      <c r="C360" s="47" t="s">
        <v>71</v>
      </c>
      <c r="D360" s="47" t="s">
        <v>120</v>
      </c>
      <c r="E360" s="47" t="s">
        <v>118</v>
      </c>
      <c r="F360" s="48">
        <v>3.69</v>
      </c>
      <c r="G360" s="48">
        <v>73.41</v>
      </c>
      <c r="H360" s="48">
        <v>652.5</v>
      </c>
      <c r="I360" s="47">
        <v>2200</v>
      </c>
      <c r="J360" s="48">
        <v>2282.5</v>
      </c>
      <c r="K360" s="47" t="s">
        <v>135</v>
      </c>
    </row>
    <row r="361" spans="1:11" ht="14.25" customHeight="1" x14ac:dyDescent="0.3">
      <c r="A361">
        <v>1058</v>
      </c>
      <c r="B361" s="49">
        <v>202601</v>
      </c>
      <c r="C361" s="50" t="s">
        <v>69</v>
      </c>
      <c r="D361" s="50" t="s">
        <v>117</v>
      </c>
      <c r="E361" s="50" t="s">
        <v>118</v>
      </c>
      <c r="F361" s="51">
        <v>3.36</v>
      </c>
      <c r="G361" s="51">
        <v>99.13</v>
      </c>
      <c r="H361" s="51">
        <v>1012.5</v>
      </c>
      <c r="I361" s="50">
        <v>1900</v>
      </c>
      <c r="J361" s="51">
        <v>2762.5</v>
      </c>
      <c r="K361" s="50" t="s">
        <v>135</v>
      </c>
    </row>
    <row r="362" spans="1:11" ht="14.25" customHeight="1" x14ac:dyDescent="0.3">
      <c r="A362">
        <v>1059</v>
      </c>
      <c r="B362" s="46">
        <v>202601</v>
      </c>
      <c r="C362" s="47" t="s">
        <v>72</v>
      </c>
      <c r="D362" s="47" t="s">
        <v>120</v>
      </c>
      <c r="E362" s="47" t="s">
        <v>118</v>
      </c>
      <c r="F362" s="48">
        <v>3.87</v>
      </c>
      <c r="G362" s="48">
        <v>99.02</v>
      </c>
      <c r="H362" s="48">
        <v>2287.5</v>
      </c>
      <c r="I362" s="47">
        <v>300</v>
      </c>
      <c r="J362" s="48">
        <v>2400</v>
      </c>
      <c r="K362" s="47" t="s">
        <v>135</v>
      </c>
    </row>
    <row r="363" spans="1:11" ht="14.25" customHeight="1" x14ac:dyDescent="0.3">
      <c r="A363">
        <v>1060</v>
      </c>
      <c r="B363" s="49">
        <v>202601</v>
      </c>
      <c r="C363" s="50" t="s">
        <v>60</v>
      </c>
      <c r="D363" s="50" t="s">
        <v>120</v>
      </c>
      <c r="E363" s="50" t="s">
        <v>118</v>
      </c>
      <c r="F363" s="51">
        <v>3.35</v>
      </c>
      <c r="G363" s="51">
        <v>98.23</v>
      </c>
      <c r="H363" s="51">
        <v>1462.5</v>
      </c>
      <c r="I363" s="50">
        <v>2800</v>
      </c>
      <c r="J363" s="51">
        <v>3812.5</v>
      </c>
      <c r="K363" s="50" t="s">
        <v>135</v>
      </c>
    </row>
    <row r="364" spans="1:11" ht="14.25" customHeight="1" x14ac:dyDescent="0.3">
      <c r="A364">
        <v>1061</v>
      </c>
      <c r="B364" s="46">
        <v>202601</v>
      </c>
      <c r="C364" s="47" t="s">
        <v>76</v>
      </c>
      <c r="D364" s="47" t="s">
        <v>117</v>
      </c>
      <c r="E364" s="47" t="s">
        <v>118</v>
      </c>
      <c r="F364" s="48">
        <v>3.11</v>
      </c>
      <c r="G364" s="48">
        <v>100</v>
      </c>
      <c r="H364" s="48">
        <v>637.5</v>
      </c>
      <c r="I364" s="47">
        <v>900</v>
      </c>
      <c r="J364" s="48">
        <v>1406.25</v>
      </c>
      <c r="K364" s="47" t="s">
        <v>135</v>
      </c>
    </row>
    <row r="365" spans="1:11" ht="14.25" customHeight="1" x14ac:dyDescent="0.3">
      <c r="A365">
        <v>1062</v>
      </c>
      <c r="B365" s="49">
        <v>202601</v>
      </c>
      <c r="C365" s="50" t="s">
        <v>77</v>
      </c>
      <c r="D365" s="50" t="s">
        <v>120</v>
      </c>
      <c r="E365" s="50" t="s">
        <v>118</v>
      </c>
      <c r="F365" s="51">
        <v>3.45</v>
      </c>
      <c r="G365" s="51">
        <v>92.01</v>
      </c>
      <c r="H365" s="51">
        <v>0</v>
      </c>
      <c r="I365" s="50">
        <v>1200</v>
      </c>
      <c r="J365" s="51">
        <v>750</v>
      </c>
      <c r="K365" s="50" t="s">
        <v>135</v>
      </c>
    </row>
    <row r="366" spans="1:11" ht="14.25" customHeight="1" x14ac:dyDescent="0.3">
      <c r="A366">
        <v>1063</v>
      </c>
      <c r="B366" s="46">
        <v>202601</v>
      </c>
      <c r="C366" s="47" t="s">
        <v>82</v>
      </c>
      <c r="D366" s="47" t="s">
        <v>117</v>
      </c>
      <c r="E366" s="47" t="s">
        <v>118</v>
      </c>
      <c r="F366" s="48">
        <v>1.43</v>
      </c>
      <c r="G366" s="48">
        <v>100</v>
      </c>
      <c r="H366" s="48">
        <v>0</v>
      </c>
      <c r="I366" s="47">
        <v>0</v>
      </c>
      <c r="J366" s="48">
        <v>0</v>
      </c>
      <c r="K366" s="47" t="s">
        <v>135</v>
      </c>
    </row>
    <row r="367" spans="1:11" ht="14.25" customHeight="1" x14ac:dyDescent="0.3">
      <c r="A367">
        <v>1064</v>
      </c>
      <c r="B367" s="49">
        <v>202601</v>
      </c>
      <c r="C367" s="50" t="s">
        <v>51</v>
      </c>
      <c r="D367" s="50" t="s">
        <v>120</v>
      </c>
      <c r="E367" s="50" t="s">
        <v>118</v>
      </c>
      <c r="F367" s="51">
        <v>2.86</v>
      </c>
      <c r="G367" s="51">
        <v>95.61</v>
      </c>
      <c r="H367" s="51">
        <v>3000</v>
      </c>
      <c r="I367" s="50">
        <v>1300</v>
      </c>
      <c r="J367" s="51">
        <v>3928.75</v>
      </c>
      <c r="K367" s="50" t="s">
        <v>135</v>
      </c>
    </row>
    <row r="368" spans="1:11" ht="14.25" customHeight="1" x14ac:dyDescent="0.3">
      <c r="A368">
        <v>1065</v>
      </c>
      <c r="B368" s="46">
        <v>202601</v>
      </c>
      <c r="C368" s="47" t="s">
        <v>48</v>
      </c>
      <c r="D368" s="47" t="s">
        <v>136</v>
      </c>
      <c r="E368" s="47" t="s">
        <v>118</v>
      </c>
      <c r="F368" s="48">
        <v>4.0999999999999996</v>
      </c>
      <c r="G368" s="48"/>
      <c r="H368" s="48"/>
      <c r="I368" s="47"/>
      <c r="J368" s="48">
        <v>3500</v>
      </c>
      <c r="K368" s="47" t="s">
        <v>137</v>
      </c>
    </row>
    <row r="369" spans="1:11" ht="14.25" customHeight="1" x14ac:dyDescent="0.3">
      <c r="A369">
        <v>1066</v>
      </c>
      <c r="B369" s="49">
        <v>202601</v>
      </c>
      <c r="C369" s="50" t="s">
        <v>67</v>
      </c>
      <c r="D369" s="50" t="s">
        <v>136</v>
      </c>
      <c r="E369" s="50" t="s">
        <v>118</v>
      </c>
      <c r="F369" s="51">
        <v>3.4249999999999998</v>
      </c>
      <c r="G369" s="51"/>
      <c r="H369" s="51"/>
      <c r="I369" s="50"/>
      <c r="J369" s="51">
        <v>1000</v>
      </c>
      <c r="K369" s="50" t="s">
        <v>137</v>
      </c>
    </row>
    <row r="370" spans="1:11" ht="14.25" customHeight="1" x14ac:dyDescent="0.3">
      <c r="A370">
        <v>1067</v>
      </c>
      <c r="B370" s="46">
        <v>202601</v>
      </c>
      <c r="C370" s="47" t="s">
        <v>45</v>
      </c>
      <c r="D370" s="47" t="s">
        <v>136</v>
      </c>
      <c r="E370" s="47" t="s">
        <v>118</v>
      </c>
      <c r="F370" s="48">
        <v>3.0750000000000002</v>
      </c>
      <c r="G370" s="48"/>
      <c r="H370" s="48"/>
      <c r="I370" s="47"/>
      <c r="J370" s="48">
        <v>3000</v>
      </c>
      <c r="K370" s="47" t="s">
        <v>137</v>
      </c>
    </row>
    <row r="371" spans="1:11" ht="14.25" customHeight="1" x14ac:dyDescent="0.3">
      <c r="A371">
        <v>1068</v>
      </c>
      <c r="B371" s="49">
        <v>202601</v>
      </c>
      <c r="C371" s="50" t="s">
        <v>56</v>
      </c>
      <c r="D371" s="50" t="s">
        <v>136</v>
      </c>
      <c r="E371" s="50" t="s">
        <v>118</v>
      </c>
      <c r="F371" s="51">
        <v>3.625</v>
      </c>
      <c r="G371" s="51"/>
      <c r="H371" s="51"/>
      <c r="I371" s="50"/>
      <c r="J371" s="51">
        <v>3000</v>
      </c>
      <c r="K371" s="50" t="s">
        <v>137</v>
      </c>
    </row>
    <row r="372" spans="1:11" ht="14.25" customHeight="1" x14ac:dyDescent="0.3">
      <c r="A372">
        <v>1039</v>
      </c>
      <c r="B372" s="46">
        <v>202602</v>
      </c>
      <c r="C372" s="47" t="s">
        <v>62</v>
      </c>
      <c r="D372" s="47" t="s">
        <v>121</v>
      </c>
      <c r="E372" s="47" t="s">
        <v>118</v>
      </c>
      <c r="F372" s="48">
        <v>4.41</v>
      </c>
      <c r="G372" s="48">
        <v>99.9</v>
      </c>
      <c r="H372" s="48"/>
      <c r="I372" s="47"/>
      <c r="J372" s="48">
        <v>2364.3000000000002</v>
      </c>
      <c r="K372" s="47"/>
    </row>
    <row r="373" spans="1:11" ht="14.25" customHeight="1" x14ac:dyDescent="0.3">
      <c r="A373">
        <v>1040</v>
      </c>
      <c r="B373" s="49">
        <v>202602</v>
      </c>
      <c r="C373" s="50" t="s">
        <v>64</v>
      </c>
      <c r="D373" s="50" t="s">
        <v>121</v>
      </c>
      <c r="E373" s="50" t="s">
        <v>118</v>
      </c>
      <c r="F373" s="51">
        <v>4.42</v>
      </c>
      <c r="G373" s="51">
        <v>89.08</v>
      </c>
      <c r="H373" s="51"/>
      <c r="I373" s="50"/>
      <c r="J373" s="51">
        <v>2480</v>
      </c>
      <c r="K373" s="50"/>
    </row>
    <row r="374" spans="1:11" ht="14.25" customHeight="1" x14ac:dyDescent="0.3">
      <c r="A374">
        <v>1041</v>
      </c>
      <c r="B374" s="46">
        <v>202602</v>
      </c>
      <c r="C374" s="47" t="s">
        <v>53</v>
      </c>
      <c r="D374" s="47" t="s">
        <v>122</v>
      </c>
      <c r="E374" s="47" t="s">
        <v>118</v>
      </c>
      <c r="F374" s="48">
        <v>4.46</v>
      </c>
      <c r="G374" s="48">
        <v>97.94</v>
      </c>
      <c r="H374" s="48"/>
      <c r="I374" s="47"/>
      <c r="J374" s="48">
        <v>3450</v>
      </c>
      <c r="K374" s="47"/>
    </row>
    <row r="375" spans="1:11" ht="14.25" customHeight="1" x14ac:dyDescent="0.3">
      <c r="A375">
        <v>1042</v>
      </c>
      <c r="B375" s="49">
        <v>202602</v>
      </c>
      <c r="C375" s="50" t="s">
        <v>54</v>
      </c>
      <c r="D375" s="50" t="s">
        <v>122</v>
      </c>
      <c r="E375" s="50" t="s">
        <v>118</v>
      </c>
      <c r="F375" s="51">
        <v>3.56</v>
      </c>
      <c r="G375" s="51">
        <v>95.34</v>
      </c>
      <c r="H375" s="51"/>
      <c r="I375" s="50"/>
      <c r="J375" s="51">
        <v>3000</v>
      </c>
      <c r="K375" s="50" t="s">
        <v>138</v>
      </c>
    </row>
    <row r="376" spans="1:11" ht="14.25" customHeight="1" x14ac:dyDescent="0.3">
      <c r="A376">
        <v>1043</v>
      </c>
      <c r="B376" s="46">
        <v>202602</v>
      </c>
      <c r="C376" s="47" t="s">
        <v>68</v>
      </c>
      <c r="D376" s="47" t="s">
        <v>121</v>
      </c>
      <c r="E376" s="47" t="s">
        <v>118</v>
      </c>
      <c r="F376" s="48">
        <v>4.42</v>
      </c>
      <c r="G376" s="48">
        <v>89.65</v>
      </c>
      <c r="H376" s="48"/>
      <c r="I376" s="47"/>
      <c r="J376" s="48">
        <v>1862.5</v>
      </c>
      <c r="K376" s="47"/>
    </row>
    <row r="377" spans="1:11" ht="14.25" customHeight="1" x14ac:dyDescent="0.3">
      <c r="A377">
        <v>1044</v>
      </c>
      <c r="B377" s="49">
        <v>202602</v>
      </c>
      <c r="C377" s="50" t="s">
        <v>58</v>
      </c>
      <c r="D377" s="50" t="s">
        <v>122</v>
      </c>
      <c r="E377" s="50" t="s">
        <v>118</v>
      </c>
      <c r="F377" s="51">
        <v>3.56</v>
      </c>
      <c r="G377" s="51">
        <v>99.12</v>
      </c>
      <c r="H377" s="51"/>
      <c r="I377" s="50"/>
      <c r="J377" s="51">
        <v>3000</v>
      </c>
      <c r="K377" s="50" t="s">
        <v>138</v>
      </c>
    </row>
    <row r="378" spans="1:11" ht="14.25" customHeight="1" x14ac:dyDescent="0.3">
      <c r="A378">
        <v>1045</v>
      </c>
      <c r="B378" s="46">
        <v>202602</v>
      </c>
      <c r="C378" s="47" t="s">
        <v>50</v>
      </c>
      <c r="D378" s="47" t="s">
        <v>122</v>
      </c>
      <c r="E378" s="47" t="s">
        <v>118</v>
      </c>
      <c r="F378" s="48">
        <v>4.42</v>
      </c>
      <c r="G378" s="48">
        <v>99.52</v>
      </c>
      <c r="H378" s="48"/>
      <c r="I378" s="47"/>
      <c r="J378" s="48">
        <v>3062.5</v>
      </c>
      <c r="K378" s="47"/>
    </row>
    <row r="379" spans="1:11" ht="14.25" customHeight="1" x14ac:dyDescent="0.3">
      <c r="A379">
        <v>1046</v>
      </c>
      <c r="B379" s="49">
        <v>202602</v>
      </c>
      <c r="C379" s="50" t="s">
        <v>66</v>
      </c>
      <c r="D379" s="50" t="s">
        <v>121</v>
      </c>
      <c r="E379" s="50" t="s">
        <v>118</v>
      </c>
      <c r="F379" s="51">
        <v>4.24</v>
      </c>
      <c r="G379" s="51">
        <v>89.37</v>
      </c>
      <c r="H379" s="51"/>
      <c r="I379" s="50"/>
      <c r="J379" s="51">
        <v>2645</v>
      </c>
      <c r="K379" s="50"/>
    </row>
    <row r="380" spans="1:11" ht="14.25" customHeight="1" x14ac:dyDescent="0.3">
      <c r="A380">
        <v>1048</v>
      </c>
      <c r="B380" s="46">
        <v>202602</v>
      </c>
      <c r="C380" s="47" t="s">
        <v>52</v>
      </c>
      <c r="D380" s="47" t="s">
        <v>122</v>
      </c>
      <c r="E380" s="47" t="s">
        <v>118</v>
      </c>
      <c r="F380" s="48">
        <v>4.42</v>
      </c>
      <c r="G380" s="48">
        <v>96.65</v>
      </c>
      <c r="H380" s="48"/>
      <c r="I380" s="47"/>
      <c r="J380" s="48">
        <v>3700</v>
      </c>
      <c r="K380" s="47"/>
    </row>
    <row r="381" spans="1:11" ht="14.25" customHeight="1" x14ac:dyDescent="0.3">
      <c r="A381">
        <v>1050</v>
      </c>
      <c r="B381" s="49">
        <v>202602</v>
      </c>
      <c r="C381" s="50" t="s">
        <v>49</v>
      </c>
      <c r="D381" s="50" t="s">
        <v>122</v>
      </c>
      <c r="E381" s="50" t="s">
        <v>118</v>
      </c>
      <c r="F381" s="51">
        <v>4.4000000000000004</v>
      </c>
      <c r="G381" s="51">
        <v>93.66</v>
      </c>
      <c r="H381" s="51"/>
      <c r="I381" s="50"/>
      <c r="J381" s="51">
        <v>3235</v>
      </c>
      <c r="K381" s="50"/>
    </row>
    <row r="382" spans="1:11" ht="14.25" customHeight="1" x14ac:dyDescent="0.3">
      <c r="A382">
        <v>1051</v>
      </c>
      <c r="B382" s="46">
        <v>202602</v>
      </c>
      <c r="C382" s="47" t="s">
        <v>57</v>
      </c>
      <c r="D382" s="47" t="s">
        <v>121</v>
      </c>
      <c r="E382" s="47" t="s">
        <v>118</v>
      </c>
      <c r="F382" s="48">
        <v>3.59</v>
      </c>
      <c r="G382" s="48">
        <v>100</v>
      </c>
      <c r="H382" s="48"/>
      <c r="I382" s="47"/>
      <c r="J382" s="48">
        <v>3000</v>
      </c>
      <c r="K382" s="47" t="s">
        <v>138</v>
      </c>
    </row>
    <row r="383" spans="1:11" ht="14.25" customHeight="1" x14ac:dyDescent="0.3">
      <c r="A383">
        <v>1052</v>
      </c>
      <c r="B383" s="49">
        <v>202602</v>
      </c>
      <c r="C383" s="50" t="s">
        <v>61</v>
      </c>
      <c r="D383" s="50" t="s">
        <v>121</v>
      </c>
      <c r="E383" s="50" t="s">
        <v>118</v>
      </c>
      <c r="F383" s="51">
        <v>4.42</v>
      </c>
      <c r="G383" s="51">
        <v>98.78</v>
      </c>
      <c r="H383" s="51"/>
      <c r="I383" s="50"/>
      <c r="J383" s="51">
        <v>3600</v>
      </c>
      <c r="K383" s="50"/>
    </row>
    <row r="384" spans="1:11" ht="14.25" customHeight="1" x14ac:dyDescent="0.3">
      <c r="A384">
        <v>1053</v>
      </c>
      <c r="B384" s="46">
        <v>202602</v>
      </c>
      <c r="C384" s="47" t="s">
        <v>63</v>
      </c>
      <c r="D384" s="47" t="s">
        <v>121</v>
      </c>
      <c r="E384" s="47" t="s">
        <v>118</v>
      </c>
      <c r="F384" s="48">
        <v>4.3899999999999997</v>
      </c>
      <c r="G384" s="48">
        <v>96.66</v>
      </c>
      <c r="H384" s="48"/>
      <c r="I384" s="47"/>
      <c r="J384" s="48">
        <v>2115</v>
      </c>
      <c r="K384" s="47"/>
    </row>
    <row r="385" spans="1:11" ht="14.25" customHeight="1" x14ac:dyDescent="0.3">
      <c r="A385">
        <v>1049</v>
      </c>
      <c r="B385" s="49">
        <v>202602</v>
      </c>
      <c r="C385" s="50" t="s">
        <v>59</v>
      </c>
      <c r="D385" s="50" t="s">
        <v>121</v>
      </c>
      <c r="E385" s="50" t="s">
        <v>118</v>
      </c>
      <c r="F385" s="51">
        <v>0</v>
      </c>
      <c r="G385" s="51">
        <v>0</v>
      </c>
      <c r="H385" s="51"/>
      <c r="I385" s="50"/>
      <c r="J385" s="51">
        <v>3000</v>
      </c>
      <c r="K385" s="50"/>
    </row>
    <row r="386" spans="1:11" ht="14.25" customHeight="1" x14ac:dyDescent="0.3">
      <c r="A386">
        <v>1054</v>
      </c>
      <c r="B386" s="46">
        <v>202602</v>
      </c>
      <c r="C386" s="47" t="s">
        <v>74</v>
      </c>
      <c r="D386" s="47" t="s">
        <v>117</v>
      </c>
      <c r="E386" s="47" t="s">
        <v>118</v>
      </c>
      <c r="F386" s="48">
        <v>3.5</v>
      </c>
      <c r="G386" s="48">
        <v>99.21</v>
      </c>
      <c r="H386" s="48"/>
      <c r="I386" s="47"/>
      <c r="J386" s="48">
        <v>0</v>
      </c>
      <c r="K386" s="47"/>
    </row>
    <row r="387" spans="1:11" ht="14.25" customHeight="1" x14ac:dyDescent="0.3">
      <c r="A387">
        <v>1055</v>
      </c>
      <c r="B387" s="49">
        <v>202602</v>
      </c>
      <c r="C387" s="50" t="s">
        <v>46</v>
      </c>
      <c r="D387" s="50" t="s">
        <v>117</v>
      </c>
      <c r="E387" s="50" t="s">
        <v>118</v>
      </c>
      <c r="F387" s="51">
        <v>2.4900000000000002</v>
      </c>
      <c r="G387" s="51">
        <v>95.87</v>
      </c>
      <c r="H387" s="51"/>
      <c r="I387" s="50"/>
      <c r="J387" s="51">
        <v>3000</v>
      </c>
      <c r="K387" s="50" t="s">
        <v>138</v>
      </c>
    </row>
    <row r="388" spans="1:11" ht="14.25" customHeight="1" x14ac:dyDescent="0.3">
      <c r="A388">
        <v>1056</v>
      </c>
      <c r="B388" s="46">
        <v>202602</v>
      </c>
      <c r="C388" s="47" t="s">
        <v>65</v>
      </c>
      <c r="D388" s="47" t="s">
        <v>117</v>
      </c>
      <c r="E388" s="47" t="s">
        <v>118</v>
      </c>
      <c r="F388" s="48">
        <v>3.65</v>
      </c>
      <c r="G388" s="48">
        <v>88.69</v>
      </c>
      <c r="H388" s="48"/>
      <c r="I388" s="47"/>
      <c r="J388" s="48">
        <v>817.92499999999995</v>
      </c>
      <c r="K388" s="47"/>
    </row>
    <row r="389" spans="1:11" ht="14.25" customHeight="1" x14ac:dyDescent="0.3">
      <c r="A389">
        <v>1057</v>
      </c>
      <c r="B389" s="49">
        <v>202602</v>
      </c>
      <c r="C389" s="50" t="s">
        <v>71</v>
      </c>
      <c r="D389" s="50" t="s">
        <v>120</v>
      </c>
      <c r="E389" s="50" t="s">
        <v>118</v>
      </c>
      <c r="F389" s="51">
        <v>3.99</v>
      </c>
      <c r="G389" s="51">
        <v>84.57</v>
      </c>
      <c r="H389" s="51"/>
      <c r="I389" s="50"/>
      <c r="J389" s="51">
        <v>1170</v>
      </c>
      <c r="K389" s="50"/>
    </row>
    <row r="390" spans="1:11" ht="14.25" customHeight="1" x14ac:dyDescent="0.3">
      <c r="A390">
        <v>1058</v>
      </c>
      <c r="B390" s="46">
        <v>202602</v>
      </c>
      <c r="C390" s="47" t="s">
        <v>69</v>
      </c>
      <c r="D390" s="47" t="s">
        <v>117</v>
      </c>
      <c r="E390" s="47" t="s">
        <v>118</v>
      </c>
      <c r="F390" s="48">
        <v>3.56</v>
      </c>
      <c r="G390" s="48">
        <v>99.25</v>
      </c>
      <c r="H390" s="48"/>
      <c r="I390" s="47"/>
      <c r="J390" s="48">
        <v>750</v>
      </c>
      <c r="K390" s="47"/>
    </row>
    <row r="391" spans="1:11" ht="14.25" customHeight="1" x14ac:dyDescent="0.3">
      <c r="A391">
        <v>1059</v>
      </c>
      <c r="B391" s="49">
        <v>202602</v>
      </c>
      <c r="C391" s="50" t="s">
        <v>72</v>
      </c>
      <c r="D391" s="50" t="s">
        <v>120</v>
      </c>
      <c r="E391" s="50" t="s">
        <v>118</v>
      </c>
      <c r="F391" s="51">
        <v>3.65</v>
      </c>
      <c r="G391" s="51">
        <v>99.65</v>
      </c>
      <c r="H391" s="51"/>
      <c r="I391" s="50"/>
      <c r="J391" s="51">
        <v>636.5</v>
      </c>
      <c r="K391" s="50"/>
    </row>
    <row r="392" spans="1:11" ht="14.25" customHeight="1" x14ac:dyDescent="0.3">
      <c r="A392">
        <v>1060</v>
      </c>
      <c r="B392" s="46">
        <v>202602</v>
      </c>
      <c r="C392" s="47" t="s">
        <v>60</v>
      </c>
      <c r="D392" s="47" t="s">
        <v>120</v>
      </c>
      <c r="E392" s="47" t="s">
        <v>118</v>
      </c>
      <c r="F392" s="48">
        <v>4.08</v>
      </c>
      <c r="G392" s="48">
        <v>95.53</v>
      </c>
      <c r="H392" s="48"/>
      <c r="I392" s="47"/>
      <c r="J392" s="48">
        <v>2182.5</v>
      </c>
      <c r="K392" s="47"/>
    </row>
    <row r="393" spans="1:11" ht="14.25" customHeight="1" x14ac:dyDescent="0.3">
      <c r="A393">
        <v>1061</v>
      </c>
      <c r="B393" s="49">
        <v>202602</v>
      </c>
      <c r="C393" s="50" t="s">
        <v>76</v>
      </c>
      <c r="D393" s="50" t="s">
        <v>117</v>
      </c>
      <c r="E393" s="50" t="s">
        <v>118</v>
      </c>
      <c r="F393" s="51">
        <v>3.52</v>
      </c>
      <c r="G393" s="51">
        <v>99.85</v>
      </c>
      <c r="H393" s="51"/>
      <c r="I393" s="50"/>
      <c r="J393" s="51">
        <v>242.75</v>
      </c>
      <c r="K393" s="50"/>
    </row>
    <row r="394" spans="1:11" ht="14.25" customHeight="1" x14ac:dyDescent="0.3">
      <c r="A394">
        <v>1062</v>
      </c>
      <c r="B394" s="46">
        <v>202602</v>
      </c>
      <c r="C394" s="47" t="s">
        <v>77</v>
      </c>
      <c r="D394" s="47" t="s">
        <v>120</v>
      </c>
      <c r="E394" s="47" t="s">
        <v>118</v>
      </c>
      <c r="F394" s="48">
        <v>3.61</v>
      </c>
      <c r="G394" s="48">
        <v>95.72</v>
      </c>
      <c r="H394" s="48"/>
      <c r="I394" s="47"/>
      <c r="J394" s="48">
        <v>459.9</v>
      </c>
      <c r="K394" s="47"/>
    </row>
    <row r="395" spans="1:11" ht="14.25" customHeight="1" x14ac:dyDescent="0.3">
      <c r="A395">
        <v>1063</v>
      </c>
      <c r="B395" s="49">
        <v>202602</v>
      </c>
      <c r="C395" s="50" t="s">
        <v>82</v>
      </c>
      <c r="D395" s="50" t="s">
        <v>117</v>
      </c>
      <c r="E395" s="50" t="s">
        <v>118</v>
      </c>
      <c r="F395" s="51">
        <v>1.5</v>
      </c>
      <c r="G395" s="51">
        <v>100</v>
      </c>
      <c r="H395" s="51"/>
      <c r="I395" s="50"/>
      <c r="J395" s="51">
        <v>0</v>
      </c>
      <c r="K395" s="50"/>
    </row>
    <row r="396" spans="1:11" ht="14.25" customHeight="1" x14ac:dyDescent="0.3">
      <c r="A396">
        <v>1064</v>
      </c>
      <c r="B396" s="46">
        <v>202602</v>
      </c>
      <c r="C396" s="47" t="s">
        <v>51</v>
      </c>
      <c r="D396" s="47" t="s">
        <v>120</v>
      </c>
      <c r="E396" s="47" t="s">
        <v>118</v>
      </c>
      <c r="F396" s="48">
        <v>2.29</v>
      </c>
      <c r="G396" s="48">
        <v>93.47</v>
      </c>
      <c r="H396" s="48"/>
      <c r="I396" s="47"/>
      <c r="J396" s="48">
        <v>2628.75</v>
      </c>
      <c r="K396" s="47"/>
    </row>
    <row r="397" spans="1:11" ht="14.25" customHeight="1" x14ac:dyDescent="0.3">
      <c r="A397">
        <v>1069</v>
      </c>
      <c r="B397" s="49">
        <v>202602</v>
      </c>
      <c r="C397" s="50" t="s">
        <v>70</v>
      </c>
      <c r="D397" s="50" t="s">
        <v>136</v>
      </c>
      <c r="E397" s="50" t="s">
        <v>118</v>
      </c>
      <c r="F397" s="51">
        <v>3.83</v>
      </c>
      <c r="G397" s="51">
        <v>93.13</v>
      </c>
      <c r="H397" s="51"/>
      <c r="I397" s="50"/>
      <c r="J397" s="51">
        <v>3500</v>
      </c>
      <c r="K397" s="50"/>
    </row>
    <row r="398" spans="1:11" ht="14.25" customHeight="1" x14ac:dyDescent="0.3">
      <c r="A398">
        <v>1065</v>
      </c>
      <c r="B398" s="46">
        <v>202602</v>
      </c>
      <c r="C398" s="47" t="s">
        <v>48</v>
      </c>
      <c r="D398" s="47" t="s">
        <v>136</v>
      </c>
      <c r="E398" s="47" t="s">
        <v>118</v>
      </c>
      <c r="F398" s="48">
        <v>4.18</v>
      </c>
      <c r="G398" s="48">
        <v>96.27</v>
      </c>
      <c r="H398" s="48"/>
      <c r="I398" s="47"/>
      <c r="J398" s="48">
        <v>3500</v>
      </c>
      <c r="K398" s="47"/>
    </row>
    <row r="399" spans="1:11" ht="14.25" customHeight="1" x14ac:dyDescent="0.3">
      <c r="A399">
        <v>1066</v>
      </c>
      <c r="B399" s="49">
        <v>202602</v>
      </c>
      <c r="C399" s="50" t="s">
        <v>67</v>
      </c>
      <c r="D399" s="50" t="s">
        <v>136</v>
      </c>
      <c r="E399" s="50" t="s">
        <v>118</v>
      </c>
      <c r="F399" s="51">
        <v>4.18</v>
      </c>
      <c r="G399" s="51">
        <v>97.79</v>
      </c>
      <c r="H399" s="51"/>
      <c r="I399" s="50"/>
      <c r="J399" s="51">
        <v>3500</v>
      </c>
      <c r="K399" s="50"/>
    </row>
    <row r="400" spans="1:11" ht="14.25" customHeight="1" x14ac:dyDescent="0.3">
      <c r="A400">
        <v>1067</v>
      </c>
      <c r="B400" s="46">
        <v>202602</v>
      </c>
      <c r="C400" s="47" t="s">
        <v>45</v>
      </c>
      <c r="D400" s="47" t="s">
        <v>136</v>
      </c>
      <c r="E400" s="47" t="s">
        <v>118</v>
      </c>
      <c r="F400" s="48">
        <v>3.58</v>
      </c>
      <c r="G400" s="48">
        <v>95.37</v>
      </c>
      <c r="H400" s="48"/>
      <c r="I400" s="47"/>
      <c r="J400" s="48">
        <v>7000</v>
      </c>
      <c r="K400" s="47"/>
    </row>
    <row r="401" spans="1:11" ht="14.25" customHeight="1" x14ac:dyDescent="0.3">
      <c r="A401">
        <v>1068</v>
      </c>
      <c r="B401" s="49">
        <v>202602</v>
      </c>
      <c r="C401" s="50" t="s">
        <v>56</v>
      </c>
      <c r="D401" s="50" t="s">
        <v>136</v>
      </c>
      <c r="E401" s="50" t="s">
        <v>118</v>
      </c>
      <c r="F401" s="51">
        <v>3.68</v>
      </c>
      <c r="G401" s="51">
        <v>100</v>
      </c>
      <c r="H401" s="51"/>
      <c r="I401" s="50"/>
      <c r="J401" s="51">
        <v>3000</v>
      </c>
      <c r="K401" s="50"/>
    </row>
  </sheetData>
  <autoFilter ref="A1:J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OBR vs ARR Calculator</vt:lpstr>
      <vt:lpstr>Summary Dashboard</vt:lpstr>
      <vt:lpstr>Assumptions</vt:lpstr>
      <vt:lpstr>Raw Data</vt:lpstr>
      <vt:lpstr>Assumptions_BonusTable</vt:lpstr>
      <vt:lpstr>Assumptions_RatingCat</vt:lpstr>
      <vt:lpstr>Assumptions_ScoreMin</vt:lpstr>
      <vt:lpstr>RawData_Amount</vt:lpstr>
      <vt:lpstr>RawData_Comment</vt:lpstr>
      <vt:lpstr>RawData_Division</vt:lpstr>
      <vt:lpstr>RawData_EmpNo</vt:lpstr>
      <vt:lpstr>RawData_OBR</vt:lpstr>
      <vt:lpstr>RawData_OpsYM</vt:lpstr>
      <vt:lpstr>RawData_QA</vt:lpstr>
      <vt:lpstr>RawData_SalesInc</vt:lpstr>
      <vt:lpstr>RawData_Score</vt:lpstr>
      <vt:lpstr>RawData_Team</vt:lpstr>
      <vt:lpstr>RawData_UserName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Morris Nkomo</cp:lastModifiedBy>
  <cp:revision>0</cp:revision>
  <dcterms:created xsi:type="dcterms:W3CDTF">2026-03-25T17:47:35Z</dcterms:created>
  <dcterms:modified xsi:type="dcterms:W3CDTF">2026-03-25T23:13:36Z</dcterms:modified>
  <dc:language>en-US</dc:language>
</cp:coreProperties>
</file>