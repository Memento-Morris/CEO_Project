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irstrandgroup-my.sharepoint.com/personal/f5608392_fnb_co_za/Documents/Microsoft Teams Chat Files/"/>
    </mc:Choice>
  </mc:AlternateContent>
  <xr:revisionPtr revIDLastSave="0" documentId="8_{0143E1C0-06AF-40C5-BC3A-1DD4F62DD1EF}" xr6:coauthVersionLast="47" xr6:coauthVersionMax="47" xr10:uidLastSave="{00000000-0000-0000-0000-000000000000}"/>
  <bookViews>
    <workbookView xWindow="28680" yWindow="1725" windowWidth="29040" windowHeight="15720" firstSheet="37" activeTab="37" xr2:uid="{00000000-000D-0000-FFFF-FFFF00000000}"/>
  </bookViews>
  <sheets>
    <sheet name="JUN2024" sheetId="2" r:id="rId1"/>
    <sheet name="JUL2024" sheetId="3" r:id="rId2"/>
    <sheet name="AUG2024" sheetId="4" r:id="rId3"/>
    <sheet name="SEP2024" sheetId="5" r:id="rId4"/>
    <sheet name="OCT2024" sheetId="6" r:id="rId5"/>
    <sheet name="NOV2024" sheetId="7" r:id="rId6"/>
    <sheet name="DEC2024" sheetId="8" r:id="rId7"/>
    <sheet name="JAN2025" sheetId="9" r:id="rId8"/>
    <sheet name="FEB2025" sheetId="10" r:id="rId9"/>
    <sheet name="MAR2025" sheetId="11" r:id="rId10"/>
    <sheet name="APRIL2025" sheetId="26" r:id="rId11"/>
    <sheet name="APR2025_Example" sheetId="21" r:id="rId12"/>
    <sheet name="Sheet7" sheetId="47" r:id="rId13"/>
    <sheet name="May2025_old" sheetId="20" r:id="rId14"/>
    <sheet name="APR2025" sheetId="29" r:id="rId15"/>
    <sheet name="Sheet2" sheetId="42" r:id="rId16"/>
    <sheet name="Sheet3" sheetId="43" r:id="rId17"/>
    <sheet name="Sheet4" sheetId="44" r:id="rId18"/>
    <sheet name="Sheet5" sheetId="45" r:id="rId19"/>
    <sheet name="Sheet6" sheetId="46" r:id="rId20"/>
    <sheet name="Sheet8" sheetId="48" r:id="rId21"/>
    <sheet name="Sheet9" sheetId="49" r:id="rId22"/>
    <sheet name="Sheet1" sheetId="41" r:id="rId23"/>
    <sheet name="MAY2025" sheetId="30" r:id="rId24"/>
    <sheet name="JULY 2025" sheetId="40" r:id="rId25"/>
    <sheet name="Sheet11" sheetId="51" r:id="rId26"/>
    <sheet name="Sheet10" sheetId="50" r:id="rId27"/>
    <sheet name="JUN2025" sheetId="31" r:id="rId28"/>
    <sheet name="JUL2025" sheetId="32" r:id="rId29"/>
    <sheet name="AUG2025" sheetId="33" r:id="rId30"/>
    <sheet name="SEP2025" sheetId="34" r:id="rId31"/>
    <sheet name="NOV2025" sheetId="36" r:id="rId32"/>
    <sheet name="OCT2025" sheetId="35" r:id="rId33"/>
    <sheet name="DEC2025" sheetId="37" r:id="rId34"/>
    <sheet name="JAN2026" sheetId="52" r:id="rId35"/>
    <sheet name="FEB2026" sheetId="56" r:id="rId36"/>
    <sheet name="MAR2026" sheetId="57" r:id="rId37"/>
    <sheet name="APR2026" sheetId="58" r:id="rId38"/>
    <sheet name="MAY 2026" sheetId="59" r:id="rId39"/>
    <sheet name="Employees" sheetId="28" state="hidden" r:id="rId40"/>
    <sheet name="Date list" sheetId="27" state="hidden" r:id="rId41"/>
  </sheets>
  <definedNames>
    <definedName name="ExternalData_1" localSheetId="39" hidden="1">Employees!$A$1:$C$101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56" l="1"/>
  <c r="B8" i="58"/>
  <c r="C7" i="58"/>
  <c r="B7" i="58"/>
  <c r="B8" i="57"/>
  <c r="C7" i="57"/>
  <c r="B7" i="57"/>
  <c r="B16" i="52"/>
  <c r="C16" i="52"/>
  <c r="B17" i="52"/>
  <c r="B4" i="37"/>
  <c r="C3" i="37"/>
  <c r="B3" i="37"/>
  <c r="B3" i="36"/>
  <c r="C20" i="35"/>
  <c r="B20" i="35"/>
  <c r="C19" i="35"/>
  <c r="B19" i="35"/>
  <c r="C4" i="34"/>
  <c r="B4" i="34"/>
  <c r="C3" i="34"/>
  <c r="B3" i="34"/>
  <c r="C19" i="33"/>
  <c r="C8" i="33"/>
  <c r="B8" i="33"/>
  <c r="C7" i="33"/>
  <c r="B7" i="33"/>
  <c r="B66" i="31"/>
  <c r="C10" i="40"/>
  <c r="B10" i="40"/>
  <c r="C9" i="40"/>
  <c r="B9" i="40"/>
  <c r="C24" i="31"/>
  <c r="B24" i="31"/>
  <c r="C23" i="31"/>
  <c r="B23" i="31"/>
  <c r="C4" i="30"/>
  <c r="B4" i="30"/>
  <c r="H2" i="31"/>
  <c r="C32" i="30"/>
  <c r="C31" i="30"/>
  <c r="B8" i="30"/>
  <c r="B9" i="30"/>
  <c r="B10" i="30"/>
  <c r="B11" i="30"/>
  <c r="B12" i="30"/>
  <c r="B13" i="30"/>
  <c r="B14" i="30"/>
  <c r="B15" i="30"/>
  <c r="B16" i="30"/>
  <c r="B17" i="30"/>
  <c r="B18" i="30"/>
  <c r="B19" i="30"/>
  <c r="C7" i="30"/>
  <c r="C8" i="30"/>
  <c r="C9" i="30"/>
  <c r="C10" i="30"/>
  <c r="C11" i="30"/>
  <c r="C12" i="30"/>
  <c r="C13" i="30"/>
  <c r="C14" i="30"/>
  <c r="C15" i="30"/>
  <c r="C16" i="30"/>
  <c r="C17" i="30"/>
  <c r="C18" i="30"/>
  <c r="C19" i="30"/>
  <c r="B7" i="30"/>
  <c r="B6" i="30"/>
  <c r="B5" i="30"/>
  <c r="B3" i="30"/>
  <c r="C5" i="30"/>
  <c r="C6" i="30"/>
  <c r="C3" i="30"/>
  <c r="C7" i="31"/>
  <c r="C6" i="31"/>
  <c r="C5" i="31"/>
  <c r="C4" i="31"/>
  <c r="H3" i="29"/>
  <c r="H2" i="29"/>
  <c r="C4" i="29"/>
  <c r="C5" i="29"/>
  <c r="B4" i="29"/>
  <c r="B5" i="29"/>
  <c r="C3" i="29"/>
  <c r="B3" i="29"/>
  <c r="H11" i="21"/>
  <c r="H12" i="21"/>
  <c r="H13" i="21"/>
  <c r="C14" i="21"/>
  <c r="B14" i="21"/>
  <c r="C13" i="21"/>
  <c r="B13" i="21"/>
  <c r="C12" i="21"/>
  <c r="B12" i="21"/>
  <c r="C11" i="21"/>
  <c r="B11" i="21"/>
  <c r="B10" i="21"/>
  <c r="H10" i="21"/>
  <c r="C10" i="21"/>
  <c r="H9" i="21"/>
  <c r="C9" i="21"/>
  <c r="B9" i="21"/>
  <c r="H8" i="21"/>
  <c r="C8" i="21"/>
  <c r="B8" i="21"/>
  <c r="H7" i="21"/>
  <c r="C7" i="21"/>
  <c r="B7" i="21"/>
  <c r="C2" i="36"/>
  <c r="B2" i="36"/>
  <c r="H6" i="21"/>
  <c r="C6" i="21"/>
  <c r="B6" i="21"/>
  <c r="H2" i="32"/>
  <c r="C2" i="32"/>
  <c r="B2" i="32"/>
  <c r="H2" i="30"/>
  <c r="C2" i="30"/>
  <c r="B2" i="30"/>
  <c r="C2" i="29"/>
  <c r="B2" i="29"/>
  <c r="H3" i="21"/>
  <c r="H4" i="21"/>
  <c r="H5" i="21"/>
  <c r="C5" i="21"/>
  <c r="B5" i="21"/>
  <c r="C2" i="21"/>
  <c r="C3" i="21"/>
  <c r="C4" i="21"/>
  <c r="B2" i="21"/>
  <c r="B4" i="21"/>
  <c r="B3" i="21"/>
  <c r="H2" i="2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76E3EF9-8F49-4CEF-876D-E7E5F0E49CBD}" keepAlive="1" name="Query - OBR Employees" description="Connection to the 'OBR Employees' query in the workbook." type="5" refreshedVersion="8" background="1" saveData="1">
    <dbPr connection="Provider=Microsoft.Mashup.OleDb.1;Data Source=$Workbook$;Location=&quot;OBR Employees&quot;;Extended Properties=&quot;&quot;" command="SELECT * FROM [OBR Employees]"/>
  </connection>
</connections>
</file>

<file path=xl/sharedStrings.xml><?xml version="1.0" encoding="utf-8"?>
<sst xmlns="http://schemas.openxmlformats.org/spreadsheetml/2006/main" count="3357" uniqueCount="484">
  <si>
    <t>Full_Name</t>
  </si>
  <si>
    <t>F_Number</t>
  </si>
  <si>
    <t>Team</t>
  </si>
  <si>
    <t>Leave_Start_Date</t>
  </si>
  <si>
    <t>Leave_End_Date</t>
  </si>
  <si>
    <t>Scorecard_Affected_Date[Which Monday Scorecard is Affected]</t>
  </si>
  <si>
    <t>Incentive_Period_Start_Date</t>
  </si>
  <si>
    <t>Leave Days</t>
  </si>
  <si>
    <t>Tebogo Ramontja</t>
  </si>
  <si>
    <t>F88711848</t>
  </si>
  <si>
    <t>LOC Advisor</t>
  </si>
  <si>
    <t>16/07/2024</t>
  </si>
  <si>
    <t>23/07/2024</t>
  </si>
  <si>
    <t>15- 21 July</t>
  </si>
  <si>
    <t>Cuma Lunika</t>
  </si>
  <si>
    <t>F5555612</t>
  </si>
  <si>
    <t>Comp Servicing</t>
  </si>
  <si>
    <t>20/08/2024</t>
  </si>
  <si>
    <t>26/08/2024</t>
  </si>
  <si>
    <t>Marcia Zwane</t>
  </si>
  <si>
    <t>F5383323</t>
  </si>
  <si>
    <t>LOC Rejections</t>
  </si>
  <si>
    <t>23/8/2024</t>
  </si>
  <si>
    <t>19/08/2024 &amp; 26/08/2024</t>
  </si>
  <si>
    <t>Lucky Malatji</t>
  </si>
  <si>
    <t>F5522870</t>
  </si>
  <si>
    <t>LOC BLOC</t>
  </si>
  <si>
    <t>5-Aug-24 to 11-Aug-24</t>
  </si>
  <si>
    <t>Fanele Hlongwane</t>
  </si>
  <si>
    <t>F5491576</t>
  </si>
  <si>
    <t>Ike Maseko</t>
  </si>
  <si>
    <t>F2959151</t>
  </si>
  <si>
    <t>Loc Advisors</t>
  </si>
  <si>
    <t>13/08/2024</t>
  </si>
  <si>
    <t>Nobuhle Ngubane</t>
  </si>
  <si>
    <t>F5369665</t>
  </si>
  <si>
    <t>LOC Servicing</t>
  </si>
  <si>
    <t>10 Consec Annual Leave</t>
  </si>
  <si>
    <t>Stacey Thomas</t>
  </si>
  <si>
    <t>F3446921</t>
  </si>
  <si>
    <t>5 days</t>
  </si>
  <si>
    <t>Oarabile</t>
  </si>
  <si>
    <t>F5583136</t>
  </si>
  <si>
    <t>LOC Claims</t>
  </si>
  <si>
    <t>11 Consec Sick Leave</t>
  </si>
  <si>
    <t>Zinhle</t>
  </si>
  <si>
    <t>F5639271</t>
  </si>
  <si>
    <t>Martenity until 24th October</t>
  </si>
  <si>
    <t xml:space="preserve">Vonani Mashimby </t>
  </si>
  <si>
    <t>F5390052</t>
  </si>
  <si>
    <t>week 3 (09-15 Sept)</t>
  </si>
  <si>
    <t xml:space="preserve">Philisiwe  </t>
  </si>
  <si>
    <t>F5502764</t>
  </si>
  <si>
    <t xml:space="preserve">Comp servicing </t>
  </si>
  <si>
    <t>29/09/2024</t>
  </si>
  <si>
    <t>Busisiwe Sihlangu</t>
  </si>
  <si>
    <t>Lutendo Makgotlo</t>
  </si>
  <si>
    <t>F5586143</t>
  </si>
  <si>
    <t>Kagiso Kgatle</t>
  </si>
  <si>
    <t>F5589932</t>
  </si>
  <si>
    <t>Kyle Tyler</t>
  </si>
  <si>
    <t xml:space="preserve">Invoicing </t>
  </si>
  <si>
    <t xml:space="preserve">Martinique Lee </t>
  </si>
  <si>
    <t>2nd September 2024</t>
  </si>
  <si>
    <t>Sick Leave</t>
  </si>
  <si>
    <t>Ntombi Yeni</t>
  </si>
  <si>
    <t>F5518598</t>
  </si>
  <si>
    <t>Family Responsibility</t>
  </si>
  <si>
    <t>Nhlanhla Mabunda</t>
  </si>
  <si>
    <t>F5073502</t>
  </si>
  <si>
    <t>25/10/2024</t>
  </si>
  <si>
    <t xml:space="preserve">14th, 21st and 28th </t>
  </si>
  <si>
    <t>10 Parternity Leave + 3 Annual leave</t>
  </si>
  <si>
    <t xml:space="preserve">Roshe Raas </t>
  </si>
  <si>
    <t>F8872892</t>
  </si>
  <si>
    <t xml:space="preserve">Comp Servicing </t>
  </si>
  <si>
    <t xml:space="preserve">23/10/2024 </t>
  </si>
  <si>
    <t xml:space="preserve">29/10/2024 </t>
  </si>
  <si>
    <t xml:space="preserve">Sick Leave </t>
  </si>
  <si>
    <t>Part 10 days annual leave which started from 23/09/2024 and overlapped into October 2024</t>
  </si>
  <si>
    <t>Phathiswa Matyobeni</t>
  </si>
  <si>
    <t>F5687772</t>
  </si>
  <si>
    <t>18/10/2024</t>
  </si>
  <si>
    <t>7 &amp; 14</t>
  </si>
  <si>
    <t>Annual leave</t>
  </si>
  <si>
    <t>Nadia Hadebe</t>
  </si>
  <si>
    <t>F5485843</t>
  </si>
  <si>
    <t>Sometime in April 2025</t>
  </si>
  <si>
    <t>7,14,21 &amp;28</t>
  </si>
  <si>
    <t>Maternity leave which started on 30/09/2024 and overlapped into october 2024</t>
  </si>
  <si>
    <t>Sibusiso Tshabalala</t>
  </si>
  <si>
    <t>F5549159</t>
  </si>
  <si>
    <t>23/10/2024</t>
  </si>
  <si>
    <t>Chris Geldenhuys</t>
  </si>
  <si>
    <t>F5485819</t>
  </si>
  <si>
    <t>25/09/2024</t>
  </si>
  <si>
    <t>Nthabiseng  Mmethi</t>
  </si>
  <si>
    <t>F5598117</t>
  </si>
  <si>
    <t>31/10/2024</t>
  </si>
  <si>
    <t>14,21,28</t>
  </si>
  <si>
    <t xml:space="preserve">Maternity leave </t>
  </si>
  <si>
    <t>Zanele Buthelezi</t>
  </si>
  <si>
    <t>F5428890</t>
  </si>
  <si>
    <t>14, 21</t>
  </si>
  <si>
    <t>F5530458</t>
  </si>
  <si>
    <t>30/09/2024</t>
  </si>
  <si>
    <t xml:space="preserve">Nompumelelo Vundla </t>
  </si>
  <si>
    <t>F5106214</t>
  </si>
  <si>
    <t>Thabo Tiisetso</t>
  </si>
  <si>
    <t>F5582326</t>
  </si>
  <si>
    <t>28/10/2024</t>
  </si>
  <si>
    <t>Jonathan Zikhali</t>
  </si>
  <si>
    <t>F5585856</t>
  </si>
  <si>
    <t>17/10/2024</t>
  </si>
  <si>
    <t>Sometime around the 7th of November</t>
  </si>
  <si>
    <t>Sick Leave, partenity and family responsibility.</t>
  </si>
  <si>
    <t>Ahtiyya Essop</t>
  </si>
  <si>
    <t>F5447852</t>
  </si>
  <si>
    <t>04/10/2024</t>
  </si>
  <si>
    <t xml:space="preserve">Mmetja Maluleke </t>
  </si>
  <si>
    <t>F5485908</t>
  </si>
  <si>
    <t>24/10/2024</t>
  </si>
  <si>
    <t xml:space="preserve">Mmaditabe Mashimane </t>
  </si>
  <si>
    <t>F5663547</t>
  </si>
  <si>
    <t>29/10/2024</t>
  </si>
  <si>
    <t xml:space="preserve">Study leave </t>
  </si>
  <si>
    <t xml:space="preserve">Lesego Motala </t>
  </si>
  <si>
    <t>F5220246</t>
  </si>
  <si>
    <t xml:space="preserve">3 Sick Leave + 2 Leave days </t>
  </si>
  <si>
    <t>Luleka Namba</t>
  </si>
  <si>
    <t>F5569087</t>
  </si>
  <si>
    <t xml:space="preserve"> LOC Claims</t>
  </si>
  <si>
    <t>Annual</t>
  </si>
  <si>
    <t>Mhlengi Mnguni</t>
  </si>
  <si>
    <t>F8876207</t>
  </si>
  <si>
    <t>15/11/2024</t>
  </si>
  <si>
    <t>sick leave</t>
  </si>
  <si>
    <t>Dumisani Monareng</t>
  </si>
  <si>
    <t>F5531128</t>
  </si>
  <si>
    <t>LOC CLAIMS</t>
  </si>
  <si>
    <t>18/11/2024</t>
  </si>
  <si>
    <t>29/11/2024</t>
  </si>
  <si>
    <t>27/09/2024</t>
  </si>
  <si>
    <t>Sometime next year 2025</t>
  </si>
  <si>
    <t>Maternity leave</t>
  </si>
  <si>
    <t xml:space="preserve">4,11,18,25 </t>
  </si>
  <si>
    <t>Rixongile  Baloyi</t>
  </si>
  <si>
    <t>F5447887</t>
  </si>
  <si>
    <t>17/12/2024</t>
  </si>
  <si>
    <t>Mmetja Maluleke</t>
  </si>
  <si>
    <t>27/12/2024</t>
  </si>
  <si>
    <t>Samantha Williams</t>
  </si>
  <si>
    <t>F5503604</t>
  </si>
  <si>
    <t>23/12/2024</t>
  </si>
  <si>
    <t>Sikho Tywakadi</t>
  </si>
  <si>
    <t>F8873573</t>
  </si>
  <si>
    <t>13/12/2024</t>
  </si>
  <si>
    <t>02 AND 09 December 2024</t>
  </si>
  <si>
    <t>Lethokuhle Dysoi</t>
  </si>
  <si>
    <t>F5437954</t>
  </si>
  <si>
    <t>02, 09, 16,23 and 30  December 2024</t>
  </si>
  <si>
    <t>30/11/2024</t>
  </si>
  <si>
    <t>Ajay Jayallal</t>
  </si>
  <si>
    <t>F5554020</t>
  </si>
  <si>
    <t>compservicing</t>
  </si>
  <si>
    <t>17/12/24</t>
  </si>
  <si>
    <t>23 and 30/12/24</t>
  </si>
  <si>
    <t xml:space="preserve">10 days Annual leave </t>
  </si>
  <si>
    <t>Frengy Kgwale</t>
  </si>
  <si>
    <t>F5107695</t>
  </si>
  <si>
    <t>31/12/2024</t>
  </si>
  <si>
    <t>Sick long period</t>
  </si>
  <si>
    <t>Bruters Masindi</t>
  </si>
  <si>
    <t>30/12/2024</t>
  </si>
  <si>
    <t>13/01/2025</t>
  </si>
  <si>
    <t>Daphney Mmota</t>
  </si>
  <si>
    <t>19/12/2024</t>
  </si>
  <si>
    <t>Mabel Selesho</t>
  </si>
  <si>
    <t>20/12/2024</t>
  </si>
  <si>
    <t>Martinique Lee</t>
  </si>
  <si>
    <t>Nonhlanhla Masinga</t>
  </si>
  <si>
    <t>15/01/2025</t>
  </si>
  <si>
    <t>SinikiweHlatswayo</t>
  </si>
  <si>
    <t>Shaun Schreiber</t>
  </si>
  <si>
    <t>F8876531</t>
  </si>
  <si>
    <t>18/12/2024</t>
  </si>
  <si>
    <t>Tegan Frieslaar</t>
  </si>
  <si>
    <t>F5435935</t>
  </si>
  <si>
    <t>Sick / Annual leave</t>
  </si>
  <si>
    <t>Majoro Qhamkoane</t>
  </si>
  <si>
    <t>F3339424</t>
  </si>
  <si>
    <t>Tumelo Molele</t>
  </si>
  <si>
    <t>F5550637</t>
  </si>
  <si>
    <t>Shadrick Baloyi</t>
  </si>
  <si>
    <t>F5560624</t>
  </si>
  <si>
    <t>21/12/2024</t>
  </si>
  <si>
    <t>Caledon Hluyako</t>
  </si>
  <si>
    <t>F5586496</t>
  </si>
  <si>
    <t>23/12/202</t>
  </si>
  <si>
    <t>Muxe Vureni</t>
  </si>
  <si>
    <t>F5595398</t>
  </si>
  <si>
    <t>24/12/2024</t>
  </si>
  <si>
    <t>Nomsa Mawelela</t>
  </si>
  <si>
    <t>F5582334</t>
  </si>
  <si>
    <t xml:space="preserve">30 Dec and 6 Jan </t>
  </si>
  <si>
    <t>Loveness Nkosi</t>
  </si>
  <si>
    <t>F8870468</t>
  </si>
  <si>
    <t>Fanelesibonge Hlongwa</t>
  </si>
  <si>
    <t>23-29 Dec</t>
  </si>
  <si>
    <t>Lucky Malatjie</t>
  </si>
  <si>
    <t>23 Dec to 12 Jan</t>
  </si>
  <si>
    <t>F5459788</t>
  </si>
  <si>
    <t>30 Dec to 5 Jan</t>
  </si>
  <si>
    <t>Compservicing</t>
  </si>
  <si>
    <t xml:space="preserve">27/12/2024 </t>
  </si>
  <si>
    <t xml:space="preserve">23 Dec to 30 Dec 2024 </t>
  </si>
  <si>
    <t>Lethokuhle Dyosi</t>
  </si>
  <si>
    <t>Annual Leave</t>
  </si>
  <si>
    <t>17/01/2025</t>
  </si>
  <si>
    <t>Buhle Xulu</t>
  </si>
  <si>
    <t>F5377862</t>
  </si>
  <si>
    <t>22/01/2025</t>
  </si>
  <si>
    <t>Mokgadi Ramakgola</t>
  </si>
  <si>
    <t>F5298261</t>
  </si>
  <si>
    <t>21/01/2025</t>
  </si>
  <si>
    <t>annual Leave</t>
  </si>
  <si>
    <t>Manthepeng Mohlala</t>
  </si>
  <si>
    <t>F5560675</t>
  </si>
  <si>
    <t>Vusile Lamola</t>
  </si>
  <si>
    <t>F5428882</t>
  </si>
  <si>
    <t>17/06/2025</t>
  </si>
  <si>
    <t>Maternity Leave</t>
  </si>
  <si>
    <t>Elizabeth Ramokadi</t>
  </si>
  <si>
    <t>F5595282</t>
  </si>
  <si>
    <t>Thembinkosi Zikode</t>
  </si>
  <si>
    <t>F5153638</t>
  </si>
  <si>
    <t>Nandy Nyakane</t>
  </si>
  <si>
    <t>F5632595</t>
  </si>
  <si>
    <t>Busisiwe Mashego</t>
  </si>
  <si>
    <t>F5694744</t>
  </si>
  <si>
    <t>16/01/2025</t>
  </si>
  <si>
    <t>Karabo Mogashane</t>
  </si>
  <si>
    <t>F8872453</t>
  </si>
  <si>
    <t>20/01/2025</t>
  </si>
  <si>
    <t>31/01/2025</t>
  </si>
  <si>
    <t>17/02/2025</t>
  </si>
  <si>
    <t>21/02/2025</t>
  </si>
  <si>
    <t>3/02/2025, 10/02/2025, 17/02/2025 &amp; 24/02/2025</t>
  </si>
  <si>
    <t>Nomaswazi Mhlungu</t>
  </si>
  <si>
    <t>F5493919</t>
  </si>
  <si>
    <t>COMP Servicing</t>
  </si>
  <si>
    <t>29/01/2025</t>
  </si>
  <si>
    <t>Sick leave</t>
  </si>
  <si>
    <t>Vonani Mashimby</t>
  </si>
  <si>
    <t>23/02/2025</t>
  </si>
  <si>
    <t xml:space="preserve">family responsibility leave &amp; annual </t>
  </si>
  <si>
    <t>Thenjiwe</t>
  </si>
  <si>
    <t>F5663393</t>
  </si>
  <si>
    <t>24/07/2025</t>
  </si>
  <si>
    <t>Portia  Rikhotso</t>
  </si>
  <si>
    <t>F5595428</t>
  </si>
  <si>
    <t>27/01/2025</t>
  </si>
  <si>
    <t>10/2/2025</t>
  </si>
  <si>
    <t>Refilwe Masia</t>
  </si>
  <si>
    <t>F5588855</t>
  </si>
  <si>
    <t>27 /01/2025</t>
  </si>
  <si>
    <t>11/02/2025</t>
  </si>
  <si>
    <t>Pimani Nemadodzi</t>
  </si>
  <si>
    <t>F5276268</t>
  </si>
  <si>
    <t>26/05/2025</t>
  </si>
  <si>
    <t>28/02/2025</t>
  </si>
  <si>
    <t xml:space="preserve">Sick leave  </t>
  </si>
  <si>
    <t>20/03/2025</t>
  </si>
  <si>
    <t>Sinikiwe Hlatswayo</t>
  </si>
  <si>
    <t>F5485428</t>
  </si>
  <si>
    <t>SP exclusion</t>
  </si>
  <si>
    <t>Renechia Joseph</t>
  </si>
  <si>
    <t>F4841239</t>
  </si>
  <si>
    <t>Zinhle Tsotetsi</t>
  </si>
  <si>
    <t>20/02/2025</t>
  </si>
  <si>
    <t>2/3/2025 &amp; 9/3/2025</t>
  </si>
  <si>
    <t>Lesego Motala</t>
  </si>
  <si>
    <t>F5330246</t>
  </si>
  <si>
    <t>Annual/Paternity Leave</t>
  </si>
  <si>
    <t xml:space="preserve">Samkele Doncabe </t>
  </si>
  <si>
    <t>F8873504</t>
  </si>
  <si>
    <t>24/02/2025</t>
  </si>
  <si>
    <t>17/03/2025</t>
  </si>
  <si>
    <t>24 /2/2025</t>
  </si>
  <si>
    <t>3 and 10 March 2025</t>
  </si>
  <si>
    <t>Samkele Doncabe</t>
  </si>
  <si>
    <t>31/03/2015</t>
  </si>
  <si>
    <t>31/03/2025</t>
  </si>
  <si>
    <t>13/03/2025</t>
  </si>
  <si>
    <t>28/03/2025</t>
  </si>
  <si>
    <t>F5584817</t>
  </si>
  <si>
    <t xml:space="preserve">Secure chat </t>
  </si>
  <si>
    <t xml:space="preserve">Jod-Ash  Naciker </t>
  </si>
  <si>
    <t>Family responsibility leave</t>
  </si>
  <si>
    <t>Annual leave/Paternity leave</t>
  </si>
  <si>
    <t>21/03/2025</t>
  </si>
  <si>
    <t>14/03/2025</t>
  </si>
  <si>
    <t>Sick and Annual leave</t>
  </si>
  <si>
    <t xml:space="preserve">Shadrick Baloyi </t>
  </si>
  <si>
    <t>3/03/2025, 10/03/2025, 17/03/2025 , 24/02/2025 &amp; 31/03.2025</t>
  </si>
  <si>
    <t>24/03/2025</t>
  </si>
  <si>
    <t xml:space="preserve">Renechia Joseph	</t>
  </si>
  <si>
    <t>17/6/2025</t>
  </si>
  <si>
    <t>17/3/2025</t>
  </si>
  <si>
    <t>24/3/2025</t>
  </si>
  <si>
    <t>F5282004</t>
  </si>
  <si>
    <t>18/03/2025</t>
  </si>
  <si>
    <t xml:space="preserve">Annual leave </t>
  </si>
  <si>
    <t>25/03/2025</t>
  </si>
  <si>
    <t>22/08/2025</t>
  </si>
  <si>
    <t>Nompumelelo Vundla</t>
  </si>
  <si>
    <t>F5583071</t>
  </si>
  <si>
    <t>Vanesa Machibene</t>
  </si>
  <si>
    <t>14/4/2025</t>
  </si>
  <si>
    <t xml:space="preserve">Thaver, Suveshen </t>
  </si>
  <si>
    <t>F8872893</t>
  </si>
  <si>
    <t>22/4/2025</t>
  </si>
  <si>
    <t>28/3/2025</t>
  </si>
  <si>
    <t>31/3/2025</t>
  </si>
  <si>
    <t>Bandile Mavundla</t>
  </si>
  <si>
    <t>F8872468</t>
  </si>
  <si>
    <t>27/03/2025</t>
  </si>
  <si>
    <t>13/04/2025</t>
  </si>
  <si>
    <t>13/05/2025</t>
  </si>
  <si>
    <t>18/04/2025</t>
  </si>
  <si>
    <t>Anne-Mari Baird</t>
  </si>
  <si>
    <t>F8876877</t>
  </si>
  <si>
    <t>17/4/2025</t>
  </si>
  <si>
    <t>25/04/2025</t>
  </si>
  <si>
    <t>21/04/2025</t>
  </si>
  <si>
    <t>Leave Reason</t>
  </si>
  <si>
    <t>Baloyi Rixongile</t>
  </si>
  <si>
    <t>Bernardus Van der merwe</t>
  </si>
  <si>
    <t>Baloyi Shadrick</t>
  </si>
  <si>
    <t>Roshe Raas</t>
  </si>
  <si>
    <t>19/5/2025</t>
  </si>
  <si>
    <t>Maternity</t>
  </si>
  <si>
    <t>17/6/2027</t>
  </si>
  <si>
    <t>17/6/2028</t>
  </si>
  <si>
    <t>F7527373</t>
  </si>
  <si>
    <t>lOC Servicing</t>
  </si>
  <si>
    <t>F4650085</t>
  </si>
  <si>
    <t>Week Duration System Issues</t>
  </si>
  <si>
    <t>INC8744902</t>
  </si>
  <si>
    <t> </t>
  </si>
  <si>
    <t>Nhanhla Mabunda</t>
  </si>
  <si>
    <t>F3446921`</t>
  </si>
  <si>
    <t>F4961935</t>
  </si>
  <si>
    <t>Reabetswe Mbele</t>
  </si>
  <si>
    <t>F8872625</t>
  </si>
  <si>
    <t xml:space="preserve">F8873573 </t>
  </si>
  <si>
    <t>Jabulani Nxumalo</t>
  </si>
  <si>
    <t>Ramolobe Joel</t>
  </si>
  <si>
    <t>Mokgadi Ramokgola</t>
  </si>
  <si>
    <t>Other</t>
  </si>
  <si>
    <t>Tishka Gan</t>
  </si>
  <si>
    <t>F5192145</t>
  </si>
  <si>
    <t>F650085</t>
  </si>
  <si>
    <t>Thenjiwe Mnikathi</t>
  </si>
  <si>
    <t>Bryson Bennett</t>
  </si>
  <si>
    <t>F8872449</t>
  </si>
  <si>
    <t xml:space="preserve">10 Days </t>
  </si>
  <si>
    <t>Mmaditaba Mashimane</t>
  </si>
  <si>
    <t>Team 3 LOC Advisors</t>
  </si>
  <si>
    <t>Siphiwo Nxumalo</t>
  </si>
  <si>
    <t>F8875629</t>
  </si>
  <si>
    <t>Rejections</t>
  </si>
  <si>
    <t>LOC Paralegals</t>
  </si>
  <si>
    <t>21/07/2025</t>
  </si>
  <si>
    <t>Until further notice</t>
  </si>
  <si>
    <t>28/07/2025</t>
  </si>
  <si>
    <t>study leave</t>
  </si>
  <si>
    <t>Vutomi Baloyi</t>
  </si>
  <si>
    <t>F8876068</t>
  </si>
  <si>
    <t>Frengy Mathatho</t>
  </si>
  <si>
    <t>Mhlengi Mguni</t>
  </si>
  <si>
    <t>F5632596</t>
  </si>
  <si>
    <t>F5632597</t>
  </si>
  <si>
    <t>F5632598</t>
  </si>
  <si>
    <t>F8878465</t>
  </si>
  <si>
    <t>Bennett, Bryson Xavier</t>
  </si>
  <si>
    <t xml:space="preserve">COMP Servicing </t>
  </si>
  <si>
    <t>Nqobile Magani</t>
  </si>
  <si>
    <t>F5324823</t>
  </si>
  <si>
    <t>Sinethemba Nxele</t>
  </si>
  <si>
    <t>F5624592</t>
  </si>
  <si>
    <t>5</t>
  </si>
  <si>
    <t xml:space="preserve">motor inspection </t>
  </si>
  <si>
    <t>Chase Moses</t>
  </si>
  <si>
    <t>F5530563</t>
  </si>
  <si>
    <t>Team 1 LOC Advisors</t>
  </si>
  <si>
    <t>Fanele Hlongwa</t>
  </si>
  <si>
    <t>BLOC LOC Advisor</t>
  </si>
  <si>
    <t>Nhlanhla Mhlope</t>
  </si>
  <si>
    <t>F8874896</t>
  </si>
  <si>
    <t>BLOC Paralegal</t>
  </si>
  <si>
    <t xml:space="preserve">Team 1 LOC Advisors </t>
  </si>
  <si>
    <t>Sydney Malatsi</t>
  </si>
  <si>
    <t>F8874256</t>
  </si>
  <si>
    <t>Team 2 LOC Advisors</t>
  </si>
  <si>
    <t>F8877177</t>
  </si>
  <si>
    <t>F2988763</t>
  </si>
  <si>
    <t>Team 1 claim handlers</t>
  </si>
  <si>
    <t>BLOC Advisor</t>
  </si>
  <si>
    <t>F5330563</t>
  </si>
  <si>
    <t>Makgahlela  Ramolobe</t>
  </si>
  <si>
    <t>Family Responsibility Leave</t>
  </si>
  <si>
    <t>Jade Van Schalkvyk</t>
  </si>
  <si>
    <t>F8871766</t>
  </si>
  <si>
    <t>Bryson Bennette</t>
  </si>
  <si>
    <t>Bernardus Van Der Merwe</t>
  </si>
  <si>
    <t>Loc Servicing</t>
  </si>
  <si>
    <t>Thabisa Jali</t>
  </si>
  <si>
    <t>F8880343</t>
  </si>
  <si>
    <t xml:space="preserve">MMaditaba  Mashimane </t>
  </si>
  <si>
    <t>Name</t>
  </si>
  <si>
    <t>EmployeeNumber</t>
  </si>
  <si>
    <t>Ajay (TL) Jayalall</t>
  </si>
  <si>
    <t>Comp 1</t>
  </si>
  <si>
    <t>LOC 2</t>
  </si>
  <si>
    <t>Comp 2</t>
  </si>
  <si>
    <t>Team 1 Paralegals</t>
  </si>
  <si>
    <t>BLOC</t>
  </si>
  <si>
    <t>Carla Cundell</t>
  </si>
  <si>
    <t>F4906306</t>
  </si>
  <si>
    <t>DEAN</t>
  </si>
  <si>
    <t>F5392217</t>
  </si>
  <si>
    <t>Invoicing</t>
  </si>
  <si>
    <t>Team 3 Paralegals</t>
  </si>
  <si>
    <t>LOC 1</t>
  </si>
  <si>
    <t>Harold Thafeni</t>
  </si>
  <si>
    <t>F5595436</t>
  </si>
  <si>
    <t>Team 2 Paralegals</t>
  </si>
  <si>
    <t>Hluyako Caledon</t>
  </si>
  <si>
    <t>F5643368</t>
  </si>
  <si>
    <t>Jenise(TL) Connies</t>
  </si>
  <si>
    <t>F5216893</t>
  </si>
  <si>
    <t>Jod-Ash Naicker</t>
  </si>
  <si>
    <t>KHANYISILE</t>
  </si>
  <si>
    <t>F8877333</t>
  </si>
  <si>
    <t>KYLE</t>
  </si>
  <si>
    <t>LOVENESS</t>
  </si>
  <si>
    <t>Team 1 BLOC Paralegals</t>
  </si>
  <si>
    <t>Majoro Qhamakoane</t>
  </si>
  <si>
    <t>Mmabatho Kgeretsi</t>
  </si>
  <si>
    <t>F5502780</t>
  </si>
  <si>
    <t>Namba Luleka</t>
  </si>
  <si>
    <t>Nhlalenhle Mazibuko</t>
  </si>
  <si>
    <t>F5428831</t>
  </si>
  <si>
    <t>Nkosingiphile Mabaso</t>
  </si>
  <si>
    <t>F8877187</t>
  </si>
  <si>
    <t>NOMSA</t>
  </si>
  <si>
    <t>Normaswazi Mhlungu</t>
  </si>
  <si>
    <t>NTHABISENG</t>
  </si>
  <si>
    <t>Oarabile Moshoeu</t>
  </si>
  <si>
    <t>Onkgopotse Moeletsi</t>
  </si>
  <si>
    <t>F5002001</t>
  </si>
  <si>
    <t>T/L</t>
  </si>
  <si>
    <t>Philisiwe Mkhize</t>
  </si>
  <si>
    <t>Portia Rikhotso</t>
  </si>
  <si>
    <t>Puleng Leputu</t>
  </si>
  <si>
    <t>F5347173</t>
  </si>
  <si>
    <t>F8872425</t>
  </si>
  <si>
    <t>Sivashen Chetty</t>
  </si>
  <si>
    <t>F5437962</t>
  </si>
  <si>
    <t>Sivesh Manikkam</t>
  </si>
  <si>
    <t>F5493552</t>
  </si>
  <si>
    <t>Tarryn Fredericks</t>
  </si>
  <si>
    <t>F4903773</t>
  </si>
  <si>
    <t>Tinswalo Sithole</t>
  </si>
  <si>
    <t>F5478340</t>
  </si>
  <si>
    <t>Tshifhiwa Moseta</t>
  </si>
  <si>
    <t>F5312191</t>
  </si>
  <si>
    <t>Tsholofelo Molefe</t>
  </si>
  <si>
    <t>F5477751</t>
  </si>
  <si>
    <t>Yonela Mpambani</t>
  </si>
  <si>
    <t>F8878308</t>
  </si>
  <si>
    <t>Dates</t>
  </si>
  <si>
    <t>Mondays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</si>
</sst>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3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color rgb="FF242424"/>
      <name val="Aptos Narrow"/>
      <family val="2"/>
    </font>
    <font>
      <sz val="11"/>
      <color rgb="FF000000"/>
      <name val="Aptos Narrow"/>
      <family val="2"/>
    </font>
    <font>
      <u/>
      <sz val="11"/>
      <color theme="10"/>
      <name val="Aptos Narrow"/>
      <family val="2"/>
      <scheme val="minor"/>
    </font>
    <font>
      <sz val="10"/>
      <color theme="1"/>
      <name val="MS Sans Serif"/>
      <family val="1"/>
      <charset val="1"/>
    </font>
    <font>
      <sz val="10"/>
      <color rgb="FF000000"/>
      <name val="Calibri"/>
      <family val="2"/>
      <charset val="1"/>
    </font>
    <font>
      <sz val="11"/>
      <color rgb="FF262626"/>
      <name val="Segoe UI"/>
      <family val="2"/>
    </font>
    <font>
      <sz val="11"/>
      <color theme="10"/>
      <name val="Aptos Narrow"/>
      <family val="2"/>
      <scheme val="minor"/>
    </font>
    <font>
      <sz val="11"/>
      <color theme="1"/>
      <name val="Aptos"/>
      <family val="2"/>
      <charset val="1"/>
    </font>
    <font>
      <sz val="11"/>
      <color rgb="FF000000"/>
      <name val="Aptos Narrow"/>
      <family val="2"/>
      <scheme val="minor"/>
    </font>
    <font>
      <sz val="11"/>
      <color rgb="FF000000"/>
      <name val="Calibri"/>
      <charset val="1"/>
    </font>
    <font>
      <sz val="11"/>
      <color rgb="FF000000"/>
      <name val="Calibri"/>
    </font>
    <font>
      <sz val="11"/>
      <color theme="1"/>
      <name val="Aptos"/>
      <family val="2"/>
    </font>
    <font>
      <sz val="11"/>
      <color rgb="FF000000"/>
      <name val="Aptos Narrow"/>
      <charset val="1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242424"/>
      <name val="Aptos Narrow"/>
      <charset val="1"/>
    </font>
    <font>
      <sz val="11"/>
      <color theme="1"/>
      <name val="-Apple-System"/>
      <charset val="1"/>
    </font>
    <font>
      <sz val="12"/>
      <color theme="1"/>
      <name val="Aptos"/>
      <family val="2"/>
      <charset val="1"/>
    </font>
    <font>
      <b/>
      <sz val="11"/>
      <color rgb="FF000000"/>
      <name val="Calibri"/>
    </font>
    <font>
      <b/>
      <sz val="11"/>
      <color rgb="FF000000"/>
      <name val="Aptos Narrow"/>
      <family val="2"/>
    </font>
    <font>
      <sz val="11"/>
      <color rgb="FF000000"/>
      <name val="Aptos Narrow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54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0" borderId="0" xfId="0" applyAlignment="1">
      <alignment wrapText="1"/>
    </xf>
    <xf numFmtId="15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1"/>
    <xf numFmtId="0" fontId="5" fillId="0" borderId="0" xfId="0" applyFont="1"/>
    <xf numFmtId="14" fontId="0" fillId="0" borderId="0" xfId="0" applyNumberFormat="1" applyAlignment="1">
      <alignment horizontal="left"/>
    </xf>
    <xf numFmtId="17" fontId="0" fillId="0" borderId="0" xfId="0" applyNumberFormat="1" applyAlignment="1">
      <alignment horizontal="left"/>
    </xf>
    <xf numFmtId="0" fontId="0" fillId="0" borderId="0" xfId="0" applyAlignment="1">
      <alignment horizontal="right"/>
    </xf>
    <xf numFmtId="14" fontId="0" fillId="0" borderId="0" xfId="0" quotePrefix="1" applyNumberFormat="1"/>
    <xf numFmtId="14" fontId="6" fillId="0" borderId="0" xfId="0" applyNumberFormat="1" applyFont="1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16" fontId="0" fillId="0" borderId="0" xfId="0" applyNumberFormat="1" applyAlignment="1">
      <alignment horizontal="left"/>
    </xf>
    <xf numFmtId="14" fontId="1" fillId="0" borderId="0" xfId="0" applyNumberFormat="1" applyFont="1"/>
    <xf numFmtId="15" fontId="1" fillId="0" borderId="0" xfId="0" applyNumberFormat="1" applyFont="1"/>
    <xf numFmtId="0" fontId="7" fillId="0" borderId="0" xfId="0" applyFont="1"/>
    <xf numFmtId="0" fontId="8" fillId="0" borderId="0" xfId="1" applyFont="1"/>
    <xf numFmtId="14" fontId="1" fillId="0" borderId="0" xfId="0" applyNumberFormat="1" applyFont="1" applyAlignment="1">
      <alignment horizontal="left" vertical="top"/>
    </xf>
    <xf numFmtId="0" fontId="0" fillId="0" borderId="0" xfId="0" quotePrefix="1"/>
    <xf numFmtId="0" fontId="9" fillId="0" borderId="0" xfId="0" applyFont="1"/>
    <xf numFmtId="15" fontId="3" fillId="0" borderId="0" xfId="0" applyNumberFormat="1" applyFont="1"/>
    <xf numFmtId="0" fontId="1" fillId="2" borderId="1" xfId="0" applyFont="1" applyFill="1" applyBorder="1"/>
    <xf numFmtId="0" fontId="0" fillId="3" borderId="0" xfId="0" applyFill="1"/>
    <xf numFmtId="0" fontId="0" fillId="2" borderId="0" xfId="0" applyFill="1"/>
    <xf numFmtId="14" fontId="0" fillId="2" borderId="0" xfId="0" applyNumberFormat="1" applyFill="1"/>
    <xf numFmtId="0" fontId="10" fillId="2" borderId="0" xfId="0" applyFont="1" applyFill="1"/>
    <xf numFmtId="15" fontId="1" fillId="0" borderId="0" xfId="0" applyNumberFormat="1" applyFont="1" applyAlignment="1">
      <alignment horizontal="right"/>
    </xf>
    <xf numFmtId="0" fontId="0" fillId="0" borderId="0" xfId="1" applyFont="1"/>
    <xf numFmtId="0" fontId="11" fillId="0" borderId="0" xfId="0" applyFont="1"/>
    <xf numFmtId="0" fontId="11" fillId="0" borderId="0" xfId="0" applyFont="1" applyAlignment="1">
      <alignment wrapText="1"/>
    </xf>
    <xf numFmtId="0" fontId="12" fillId="0" borderId="0" xfId="0" applyFont="1"/>
    <xf numFmtId="16" fontId="0" fillId="0" borderId="0" xfId="0" applyNumberFormat="1"/>
    <xf numFmtId="0" fontId="13" fillId="0" borderId="0" xfId="0" applyFont="1"/>
    <xf numFmtId="0" fontId="14" fillId="0" borderId="0" xfId="0" applyFont="1"/>
    <xf numFmtId="15" fontId="0" fillId="2" borderId="0" xfId="0" applyNumberFormat="1" applyFill="1"/>
    <xf numFmtId="14" fontId="15" fillId="0" borderId="2" xfId="0" applyNumberFormat="1" applyFont="1" applyBorder="1" applyAlignment="1">
      <alignment horizontal="center" vertical="top"/>
    </xf>
    <xf numFmtId="14" fontId="12" fillId="0" borderId="0" xfId="0" applyNumberFormat="1" applyFont="1"/>
    <xf numFmtId="0" fontId="17" fillId="0" borderId="0" xfId="0" applyFont="1"/>
    <xf numFmtId="0" fontId="18" fillId="0" borderId="0" xfId="0" applyFont="1"/>
    <xf numFmtId="0" fontId="19" fillId="0" borderId="0" xfId="0" applyFont="1"/>
    <xf numFmtId="14" fontId="0" fillId="3" borderId="0" xfId="0" applyNumberFormat="1" applyFill="1"/>
    <xf numFmtId="14" fontId="0" fillId="0" borderId="0" xfId="0" applyNumberFormat="1" applyAlignment="1">
      <alignment horizontal="right"/>
    </xf>
    <xf numFmtId="0" fontId="20" fillId="0" borderId="0" xfId="0" applyFont="1"/>
    <xf numFmtId="14" fontId="20" fillId="0" borderId="0" xfId="0" applyNumberFormat="1" applyFont="1"/>
    <xf numFmtId="0" fontId="15" fillId="0" borderId="0" xfId="0" applyFont="1"/>
    <xf numFmtId="0" fontId="3" fillId="0" borderId="3" xfId="0" applyFont="1" applyBorder="1"/>
    <xf numFmtId="14" fontId="14" fillId="0" borderId="0" xfId="0" applyNumberFormat="1" applyFont="1"/>
    <xf numFmtId="14" fontId="15" fillId="0" borderId="0" xfId="0" applyNumberFormat="1" applyFont="1"/>
    <xf numFmtId="0" fontId="21" fillId="0" borderId="0" xfId="0" applyFont="1"/>
    <xf numFmtId="0" fontId="22" fillId="0" borderId="0" xfId="0" applyFont="1"/>
  </cellXfs>
  <cellStyles count="2">
    <cellStyle name="Hyperlink" xfId="1" builtinId="8"/>
    <cellStyle name="Normal" xfId="0" builtinId="0"/>
  </cellStyles>
  <dxfs count="11">
    <dxf>
      <numFmt numFmtId="164" formatCode="yyyy/mm/dd"/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yyyy/mm/dd"/>
      <alignment horizontal="center" vertical="top" textRotation="0" wrapText="0" indent="0" justifyLastLine="0" shrinkToFit="0" readingOrder="0"/>
    </dxf>
    <dxf>
      <numFmt numFmtId="164" formatCode="yyyy/mm/dd"/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yyyy/mm/dd"/>
      <alignment horizontal="center" vertical="top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</dxfs>
  <tableStyles count="1" defaultTableStyle="TableStyleMedium2" defaultPivotStyle="PivotStyleMedium9">
    <tableStyle name="Invisible" pivot="0" table="0" count="0" xr9:uid="{F0CDA9AC-9A58-420F-AA79-21DC9D124B0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theme" Target="theme/theme1.xml"/><Relationship Id="rId47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onnections" Target="connection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A00EB13-8E07-49B4-9E81-93FDCAE4FCFD}" autoFormatId="16" applyNumberFormats="0" applyBorderFormats="0" applyFontFormats="0" applyPatternFormats="0" applyAlignmentFormats="0" applyWidthHeightFormats="0">
  <queryTableRefresh nextId="10">
    <queryTableFields count="3">
      <queryTableField id="1" name="Name" tableColumnId="1"/>
      <queryTableField id="2" name="EmployeeNumber" tableColumnId="2"/>
      <queryTableField id="9" name="Team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59BE761-4C3E-4656-8377-E052BE39935F}" name="OBR_Employees" displayName="OBR_Employees" ref="A1:C101" tableType="queryTable" totalsRowShown="0">
  <autoFilter ref="A1:C101" xr:uid="{859BE761-4C3E-4656-8377-E052BE39935F}"/>
  <tableColumns count="3">
    <tableColumn id="1" xr3:uid="{2D861480-A3BD-4348-9951-3214B3F843CD}" uniqueName="1" name="Name" queryTableFieldId="1" dataDxfId="10"/>
    <tableColumn id="2" xr3:uid="{5C4D0D0B-F4E3-4833-A537-11F971753279}" uniqueName="2" name="EmployeeNumber" queryTableFieldId="2" dataDxfId="9"/>
    <tableColumn id="9" xr3:uid="{250A868E-0638-410A-9E64-D8D347C10AB4}" uniqueName="9" name="Team" queryTableFieldId="9" dataDxfId="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22F7295-02CA-468E-8CA0-C81BC7A2C1B3}" name="Table2" displayName="Table2" ref="A1:A1048576" totalsRowShown="0" headerRowDxfId="7" headerRowBorderDxfId="5" tableBorderDxfId="6">
  <autoFilter ref="A1:A1048576" xr:uid="{522F7295-02CA-468E-8CA0-C81BC7A2C1B3}"/>
  <tableColumns count="1">
    <tableColumn id="1" xr3:uid="{5E292919-A5B2-412A-902C-AFB45BA61F32}" name="Dates" dataDxfId="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927C057-5B55-4124-B0ED-51B34F9315B0}" name="Table3" displayName="Table3" ref="D1:D1048576" totalsRowShown="0" headerRowDxfId="3" headerRowBorderDxfId="1" tableBorderDxfId="2">
  <autoFilter ref="D1:D1048576" xr:uid="{8927C057-5B55-4124-B0ED-51B34F9315B0}"/>
  <tableColumns count="1">
    <tableColumn id="1" xr3:uid="{0832F82D-DF84-4546-A815-7F643A143F8C}" name="Monday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hyperlink" Target="mailto:f8872453@fnb.co.za" TargetMode="External"/><Relationship Id="rId1" Type="http://schemas.openxmlformats.org/officeDocument/2006/relationships/hyperlink" Target="mailto:f8872453@fnb.co.za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mailto:f5687772@fnb.co.za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mailto:f5569087@fnb.co.za" TargetMode="External"/><Relationship Id="rId2" Type="http://schemas.openxmlformats.org/officeDocument/2006/relationships/hyperlink" Target="mailto:f5377862@fnb.co.za" TargetMode="External"/><Relationship Id="rId1" Type="http://schemas.openxmlformats.org/officeDocument/2006/relationships/hyperlink" Target="mailto:f5569087@fnb.co.za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mailto:f8876877@fnb.co.za" TargetMode="Externa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hyperlink" Target="mailto:f5485843@fnb.co.za" TargetMode="External"/><Relationship Id="rId1" Type="http://schemas.openxmlformats.org/officeDocument/2006/relationships/hyperlink" Target="mailto:f5485843@fnb.co.za" TargetMode="Externa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hyperlink" Target="mailto:f8875629@fnb.co.za" TargetMode="External"/><Relationship Id="rId2" Type="http://schemas.openxmlformats.org/officeDocument/2006/relationships/hyperlink" Target="mailto:f8876877@fnb.co.za" TargetMode="External"/><Relationship Id="rId1" Type="http://schemas.openxmlformats.org/officeDocument/2006/relationships/hyperlink" Target="mailto:f5632595@fnb.co.za" TargetMode="External"/><Relationship Id="rId5" Type="http://schemas.openxmlformats.org/officeDocument/2006/relationships/hyperlink" Target="mailto:f5632595@fnb.co.za" TargetMode="External"/><Relationship Id="rId4" Type="http://schemas.openxmlformats.org/officeDocument/2006/relationships/hyperlink" Target="mailto:f8875629@fnb.co.za" TargetMode="External"/></Relationships>
</file>

<file path=xl/worksheets/_rels/sheet28.xml.rels><?xml version="1.0" encoding="UTF-8" standalone="yes"?>
<Relationships xmlns="http://schemas.openxmlformats.org/package/2006/relationships"><Relationship Id="rId8" Type="http://schemas.openxmlformats.org/officeDocument/2006/relationships/hyperlink" Target="mailto:f8873573@fnb.co.za" TargetMode="External"/><Relationship Id="rId3" Type="http://schemas.openxmlformats.org/officeDocument/2006/relationships/hyperlink" Target="mailto:f5589932@fnb.co.za" TargetMode="External"/><Relationship Id="rId7" Type="http://schemas.openxmlformats.org/officeDocument/2006/relationships/hyperlink" Target="mailto:f8878465@fnb.co.za" TargetMode="External"/><Relationship Id="rId2" Type="http://schemas.openxmlformats.org/officeDocument/2006/relationships/hyperlink" Target="mailto:f8876068@fnb.co.za" TargetMode="External"/><Relationship Id="rId1" Type="http://schemas.openxmlformats.org/officeDocument/2006/relationships/hyperlink" Target="mailto:f5687772@fnb.co.za" TargetMode="External"/><Relationship Id="rId6" Type="http://schemas.openxmlformats.org/officeDocument/2006/relationships/hyperlink" Target="mailto:f8878465@fnb.co.za" TargetMode="External"/><Relationship Id="rId5" Type="http://schemas.openxmlformats.org/officeDocument/2006/relationships/hyperlink" Target="mailto:f5632595@fnb.co.za" TargetMode="External"/><Relationship Id="rId4" Type="http://schemas.openxmlformats.org/officeDocument/2006/relationships/hyperlink" Target="mailto:f5632595@fnb.co.za" TargetMode="Externa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hyperlink" Target="mailto:f5632595@fnb.co.za" TargetMode="External"/><Relationship Id="rId1" Type="http://schemas.openxmlformats.org/officeDocument/2006/relationships/hyperlink" Target="mailto:f5632595@fnb.co.za" TargetMode="Externa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hyperlink" Target="mailto:f5485843@fnb.co.za" TargetMode="External"/><Relationship Id="rId2" Type="http://schemas.openxmlformats.org/officeDocument/2006/relationships/hyperlink" Target="mailto:f5485843@fnb.co.za" TargetMode="External"/><Relationship Id="rId1" Type="http://schemas.openxmlformats.org/officeDocument/2006/relationships/hyperlink" Target="mailto:f5632595@fnb.co.za" TargetMode="Externa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hyperlink" Target="mailto:f8876068@fnb.co.za" TargetMode="External"/></Relationships>
</file>

<file path=xl/worksheets/_rels/sheet34.xml.rels><?xml version="1.0" encoding="UTF-8" standalone="yes"?>
<Relationships xmlns="http://schemas.openxmlformats.org/package/2006/relationships"><Relationship Id="rId8" Type="http://schemas.openxmlformats.org/officeDocument/2006/relationships/hyperlink" Target="mailto:f5377862@fnb.co.za" TargetMode="External"/><Relationship Id="rId3" Type="http://schemas.openxmlformats.org/officeDocument/2006/relationships/hyperlink" Target="mailto:f8872453@fnb.co.za" TargetMode="External"/><Relationship Id="rId7" Type="http://schemas.openxmlformats.org/officeDocument/2006/relationships/hyperlink" Target="mailto:f5687772@fnb.co.za" TargetMode="External"/><Relationship Id="rId2" Type="http://schemas.openxmlformats.org/officeDocument/2006/relationships/hyperlink" Target="mailto:f8876877@fnb.co.za" TargetMode="External"/><Relationship Id="rId1" Type="http://schemas.openxmlformats.org/officeDocument/2006/relationships/hyperlink" Target="mailto:f8876877@fnb.co.za" TargetMode="External"/><Relationship Id="rId6" Type="http://schemas.openxmlformats.org/officeDocument/2006/relationships/hyperlink" Target="mailto:f8876068@fnb.co.za" TargetMode="External"/><Relationship Id="rId5" Type="http://schemas.openxmlformats.org/officeDocument/2006/relationships/hyperlink" Target="mailto:f8875629@fnb.co.za" TargetMode="External"/><Relationship Id="rId4" Type="http://schemas.openxmlformats.org/officeDocument/2006/relationships/hyperlink" Target="mailto:f8875629@fnb.co.za" TargetMode="External"/></Relationships>
</file>

<file path=xl/worksheets/_rels/sheet35.xml.rels><?xml version="1.0" encoding="UTF-8" standalone="yes"?>
<Relationships xmlns="http://schemas.openxmlformats.org/package/2006/relationships"><Relationship Id="rId8" Type="http://schemas.openxmlformats.org/officeDocument/2006/relationships/hyperlink" Target="mailto:f8876068@fnb.co.za" TargetMode="External"/><Relationship Id="rId3" Type="http://schemas.openxmlformats.org/officeDocument/2006/relationships/hyperlink" Target="mailto:f8875629@fnb.co.za" TargetMode="External"/><Relationship Id="rId7" Type="http://schemas.openxmlformats.org/officeDocument/2006/relationships/hyperlink" Target="mailto:f8876068@fnb.co.za" TargetMode="External"/><Relationship Id="rId2" Type="http://schemas.openxmlformats.org/officeDocument/2006/relationships/hyperlink" Target="mailto:f8872453@fnb.co.za" TargetMode="External"/><Relationship Id="rId1" Type="http://schemas.openxmlformats.org/officeDocument/2006/relationships/hyperlink" Target="mailto:f8872453@fnb.co.za" TargetMode="External"/><Relationship Id="rId6" Type="http://schemas.openxmlformats.org/officeDocument/2006/relationships/hyperlink" Target="mailto:f8876068@fnb.co.za" TargetMode="External"/><Relationship Id="rId5" Type="http://schemas.openxmlformats.org/officeDocument/2006/relationships/hyperlink" Target="mailto:f8876068@fnb.co.za" TargetMode="External"/><Relationship Id="rId10" Type="http://schemas.openxmlformats.org/officeDocument/2006/relationships/hyperlink" Target="mailto:f5687772@fnb.co.za" TargetMode="External"/><Relationship Id="rId4" Type="http://schemas.openxmlformats.org/officeDocument/2006/relationships/hyperlink" Target="mailto:f8875629@fnb.co.za" TargetMode="External"/><Relationship Id="rId9" Type="http://schemas.openxmlformats.org/officeDocument/2006/relationships/hyperlink" Target="mailto:f5377862@fnb.co.za" TargetMode="External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hyperlink" Target="mailto:f8878465@fnb.co.za" TargetMode="External"/><Relationship Id="rId1" Type="http://schemas.openxmlformats.org/officeDocument/2006/relationships/hyperlink" Target="mailto:f8878465@fnb.co.za" TargetMode="Externa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242F8-BC5C-4AD1-8927-2C1CBF87C6A5}">
  <sheetPr codeName="Sheet1"/>
  <dimension ref="A1:H1"/>
  <sheetViews>
    <sheetView workbookViewId="0">
      <selection activeCell="B1" sqref="B1"/>
    </sheetView>
  </sheetViews>
  <sheetFormatPr defaultRowHeight="14.45"/>
  <cols>
    <col min="1" max="1" width="13.42578125" bestFit="1" customWidth="1"/>
    <col min="2" max="2" width="9.42578125" bestFit="1" customWidth="1"/>
    <col min="3" max="3" width="5.42578125" bestFit="1" customWidth="1"/>
    <col min="4" max="4" width="15.42578125" bestFit="1" customWidth="1"/>
    <col min="5" max="5" width="14.85546875" bestFit="1" customWidth="1"/>
    <col min="6" max="6" width="54.5703125" bestFit="1" customWidth="1"/>
    <col min="7" max="7" width="24.85546875" bestFit="1" customWidth="1"/>
    <col min="8" max="8" width="10" bestFit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1AF38-B801-4EE0-BED7-E738C29636D2}">
  <sheetPr codeName="Sheet2"/>
  <dimension ref="A1:H2"/>
  <sheetViews>
    <sheetView topLeftCell="A2" workbookViewId="0">
      <selection activeCell="D20" sqref="D20"/>
    </sheetView>
  </sheetViews>
  <sheetFormatPr defaultRowHeight="14.45"/>
  <cols>
    <col min="1" max="1" width="8.85546875" bestFit="1" customWidth="1"/>
    <col min="2" max="2" width="9.85546875" bestFit="1" customWidth="1"/>
    <col min="3" max="3" width="11.140625" bestFit="1" customWidth="1"/>
    <col min="4" max="4" width="14.140625" bestFit="1" customWidth="1"/>
    <col min="5" max="5" width="13.42578125" bestFit="1" customWidth="1"/>
    <col min="6" max="6" width="53.42578125" bestFit="1" customWidth="1"/>
    <col min="7" max="7" width="24.140625" bestFit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</row>
    <row r="2" spans="1:8" ht="28.9">
      <c r="A2" s="3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s="4">
        <v>45474</v>
      </c>
      <c r="H2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B0D4B-8D10-482A-B6D7-F2C80B5018AD}">
  <sheetPr codeName="Sheet3"/>
  <dimension ref="A1:H6"/>
  <sheetViews>
    <sheetView workbookViewId="0">
      <selection activeCell="A7" sqref="A7:H9"/>
    </sheetView>
  </sheetViews>
  <sheetFormatPr defaultRowHeight="14.45"/>
  <cols>
    <col min="1" max="1" width="17.140625" customWidth="1"/>
    <col min="2" max="2" width="21.5703125" bestFit="1" customWidth="1"/>
    <col min="3" max="3" width="15.5703125" customWidth="1"/>
    <col min="4" max="4" width="14.140625" bestFit="1" customWidth="1"/>
    <col min="5" max="5" width="13.42578125" bestFit="1" customWidth="1"/>
    <col min="6" max="6" width="53.42578125" bestFit="1" customWidth="1"/>
    <col min="7" max="7" width="24.140625" bestFit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</row>
    <row r="2" spans="1:8">
      <c r="A2" t="s">
        <v>14</v>
      </c>
      <c r="B2" t="s">
        <v>15</v>
      </c>
      <c r="C2" t="s">
        <v>16</v>
      </c>
      <c r="D2" t="s">
        <v>17</v>
      </c>
      <c r="E2" s="2">
        <v>45331</v>
      </c>
      <c r="F2" t="s">
        <v>18</v>
      </c>
      <c r="H2">
        <v>10</v>
      </c>
    </row>
    <row r="3" spans="1:8">
      <c r="A3" t="s">
        <v>19</v>
      </c>
      <c r="B3" t="s">
        <v>20</v>
      </c>
      <c r="C3" s="5" t="s">
        <v>21</v>
      </c>
      <c r="D3" s="2">
        <v>45513</v>
      </c>
      <c r="E3" t="s">
        <v>22</v>
      </c>
      <c r="F3" t="s">
        <v>23</v>
      </c>
      <c r="H3">
        <v>10</v>
      </c>
    </row>
    <row r="4" spans="1:8">
      <c r="A4" t="s">
        <v>24</v>
      </c>
      <c r="B4" t="s">
        <v>25</v>
      </c>
      <c r="C4" t="s">
        <v>26</v>
      </c>
      <c r="D4" s="4">
        <v>45509</v>
      </c>
      <c r="E4" s="4">
        <v>45513</v>
      </c>
      <c r="F4" t="s">
        <v>27</v>
      </c>
      <c r="H4">
        <v>5</v>
      </c>
    </row>
    <row r="5" spans="1:8">
      <c r="A5" t="s">
        <v>28</v>
      </c>
      <c r="B5" s="3" t="s">
        <v>29</v>
      </c>
      <c r="C5" t="s">
        <v>26</v>
      </c>
      <c r="D5" s="4">
        <v>45516</v>
      </c>
      <c r="E5" s="4">
        <v>45520</v>
      </c>
      <c r="F5" s="4">
        <v>45522</v>
      </c>
      <c r="G5" s="4">
        <v>45502</v>
      </c>
      <c r="H5">
        <v>5</v>
      </c>
    </row>
    <row r="6" spans="1:8">
      <c r="A6" t="s">
        <v>30</v>
      </c>
      <c r="B6" t="s">
        <v>31</v>
      </c>
      <c r="C6" s="6" t="s">
        <v>32</v>
      </c>
      <c r="D6" s="2">
        <v>45481</v>
      </c>
      <c r="E6" t="s">
        <v>33</v>
      </c>
      <c r="F6" s="2">
        <v>45634</v>
      </c>
      <c r="H6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39492-2F6C-4189-8926-9BD4160B7055}">
  <sheetPr codeName="Sheet4"/>
  <dimension ref="A1:H16"/>
  <sheetViews>
    <sheetView topLeftCell="A4" workbookViewId="0">
      <selection activeCell="A17" sqref="A17"/>
    </sheetView>
  </sheetViews>
  <sheetFormatPr defaultRowHeight="14.45"/>
  <cols>
    <col min="1" max="1" width="16.7109375" bestFit="1" customWidth="1"/>
    <col min="2" max="2" width="10.28515625" bestFit="1" customWidth="1"/>
    <col min="3" max="3" width="13" bestFit="1" customWidth="1"/>
    <col min="4" max="4" width="16.7109375" bestFit="1" customWidth="1"/>
    <col min="5" max="5" width="15.85546875" bestFit="1" customWidth="1"/>
    <col min="6" max="6" width="56.85546875" bestFit="1" customWidth="1"/>
    <col min="7" max="7" width="25.85546875" bestFit="1" customWidth="1"/>
    <col min="8" max="8" width="22.42578125" bestFit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</row>
    <row r="2" spans="1:8">
      <c r="A2" t="s">
        <v>34</v>
      </c>
      <c r="B2" t="s">
        <v>35</v>
      </c>
      <c r="C2" t="s">
        <v>36</v>
      </c>
      <c r="D2" s="4">
        <v>45551</v>
      </c>
      <c r="E2" s="4">
        <v>45565</v>
      </c>
      <c r="H2" t="s">
        <v>37</v>
      </c>
    </row>
    <row r="3" spans="1:8">
      <c r="A3" t="s">
        <v>38</v>
      </c>
      <c r="B3" t="s">
        <v>39</v>
      </c>
      <c r="C3" t="s">
        <v>36</v>
      </c>
      <c r="D3" s="4">
        <v>45558</v>
      </c>
      <c r="E3" s="4">
        <v>45565</v>
      </c>
      <c r="H3" t="s">
        <v>40</v>
      </c>
    </row>
    <row r="4" spans="1:8">
      <c r="A4" s="6" t="s">
        <v>41</v>
      </c>
      <c r="B4" s="6" t="s">
        <v>42</v>
      </c>
      <c r="C4" s="6" t="s">
        <v>43</v>
      </c>
      <c r="D4" s="24">
        <v>45533</v>
      </c>
      <c r="E4" s="24">
        <v>45548</v>
      </c>
      <c r="F4" s="6"/>
      <c r="G4" s="6"/>
      <c r="H4" s="6" t="s">
        <v>44</v>
      </c>
    </row>
    <row r="5" spans="1:8">
      <c r="A5" s="6" t="s">
        <v>45</v>
      </c>
      <c r="B5" s="6" t="s">
        <v>46</v>
      </c>
      <c r="C5" s="6" t="s">
        <v>43</v>
      </c>
      <c r="D5" s="6"/>
      <c r="E5" s="6"/>
      <c r="F5" s="6"/>
      <c r="G5" s="6"/>
      <c r="H5" s="6" t="s">
        <v>47</v>
      </c>
    </row>
    <row r="6" spans="1:8">
      <c r="A6" t="s">
        <v>48</v>
      </c>
      <c r="B6" t="s">
        <v>49</v>
      </c>
      <c r="C6" t="s">
        <v>43</v>
      </c>
      <c r="D6" s="4">
        <v>45544</v>
      </c>
      <c r="E6" s="4">
        <v>45550</v>
      </c>
      <c r="F6" s="25" t="s">
        <v>50</v>
      </c>
      <c r="H6" t="s">
        <v>40</v>
      </c>
    </row>
    <row r="7" spans="1:8">
      <c r="A7" t="s">
        <v>51</v>
      </c>
      <c r="B7" t="s">
        <v>52</v>
      </c>
      <c r="C7" t="s">
        <v>53</v>
      </c>
      <c r="D7" s="24">
        <v>45558</v>
      </c>
      <c r="E7" s="24">
        <v>45573</v>
      </c>
      <c r="F7" t="s">
        <v>54</v>
      </c>
      <c r="G7" s="6"/>
      <c r="H7" s="6" t="s">
        <v>37</v>
      </c>
    </row>
    <row r="8" spans="1:8">
      <c r="A8" t="s">
        <v>28</v>
      </c>
      <c r="B8" s="3" t="s">
        <v>29</v>
      </c>
      <c r="C8" t="s">
        <v>26</v>
      </c>
      <c r="D8" s="4">
        <v>45551</v>
      </c>
      <c r="E8" s="4">
        <v>45555</v>
      </c>
      <c r="F8" s="4">
        <v>45557</v>
      </c>
      <c r="H8">
        <v>5</v>
      </c>
    </row>
    <row r="9" spans="1:8">
      <c r="A9" t="s">
        <v>55</v>
      </c>
      <c r="B9" t="s">
        <v>29</v>
      </c>
      <c r="C9" t="s">
        <v>26</v>
      </c>
      <c r="D9" s="4">
        <v>45546</v>
      </c>
      <c r="E9" s="4">
        <v>45555</v>
      </c>
      <c r="F9" s="4">
        <v>45557</v>
      </c>
      <c r="H9">
        <v>8</v>
      </c>
    </row>
    <row r="10" spans="1:8">
      <c r="A10" t="s">
        <v>56</v>
      </c>
      <c r="B10" t="s">
        <v>57</v>
      </c>
      <c r="C10" t="s">
        <v>26</v>
      </c>
      <c r="D10" s="4">
        <v>45551</v>
      </c>
      <c r="E10" s="4">
        <v>45562</v>
      </c>
      <c r="F10" s="4">
        <v>45557</v>
      </c>
      <c r="H10">
        <v>9</v>
      </c>
    </row>
    <row r="11" spans="1:8">
      <c r="A11" t="s">
        <v>58</v>
      </c>
      <c r="B11" t="s">
        <v>59</v>
      </c>
      <c r="C11" t="s">
        <v>43</v>
      </c>
      <c r="D11" s="4">
        <v>45558</v>
      </c>
      <c r="E11" s="4">
        <v>45573</v>
      </c>
      <c r="F11" s="4">
        <v>45564</v>
      </c>
      <c r="H11" t="s">
        <v>37</v>
      </c>
    </row>
    <row r="12" spans="1:8">
      <c r="A12" t="s">
        <v>60</v>
      </c>
      <c r="C12" t="s">
        <v>61</v>
      </c>
      <c r="D12" s="4">
        <v>45560</v>
      </c>
      <c r="E12" s="4">
        <v>45574</v>
      </c>
    </row>
    <row r="13" spans="1:8">
      <c r="A13" t="s">
        <v>62</v>
      </c>
      <c r="B13" s="7"/>
      <c r="C13" t="s">
        <v>36</v>
      </c>
      <c r="D13" s="4">
        <v>45561</v>
      </c>
      <c r="E13" s="4">
        <v>45565</v>
      </c>
      <c r="F13" t="s">
        <v>63</v>
      </c>
      <c r="H13" t="s">
        <v>64</v>
      </c>
    </row>
    <row r="14" spans="1:8">
      <c r="A14" t="s">
        <v>65</v>
      </c>
      <c r="B14" t="s">
        <v>66</v>
      </c>
      <c r="C14" t="s">
        <v>36</v>
      </c>
      <c r="D14" s="4">
        <v>45565</v>
      </c>
      <c r="E14" s="4">
        <v>45539</v>
      </c>
      <c r="H14" t="s">
        <v>67</v>
      </c>
    </row>
    <row r="15" spans="1:8">
      <c r="A15" t="s">
        <v>34</v>
      </c>
      <c r="B15" t="s">
        <v>35</v>
      </c>
      <c r="C15" t="s">
        <v>36</v>
      </c>
      <c r="D15" s="4">
        <v>45565</v>
      </c>
      <c r="E15" s="4">
        <v>45539</v>
      </c>
      <c r="H15" t="s">
        <v>67</v>
      </c>
    </row>
    <row r="16" spans="1:8">
      <c r="A16" t="s">
        <v>68</v>
      </c>
      <c r="C16" t="s">
        <v>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37EDF-D91D-4BE0-9692-E525B48F464B}">
  <sheetPr codeName="Sheet5"/>
  <dimension ref="A1:H17"/>
  <sheetViews>
    <sheetView workbookViewId="0">
      <selection activeCell="A9" sqref="A9"/>
    </sheetView>
  </sheetViews>
  <sheetFormatPr defaultRowHeight="14.45"/>
  <cols>
    <col min="1" max="1" width="19.7109375" customWidth="1"/>
    <col min="2" max="2" width="12.140625" customWidth="1"/>
    <col min="3" max="3" width="20" customWidth="1"/>
    <col min="4" max="4" width="16.85546875" customWidth="1"/>
    <col min="5" max="5" width="21.42578125" customWidth="1"/>
    <col min="6" max="6" width="53.42578125" bestFit="1" customWidth="1"/>
    <col min="7" max="7" width="22.85546875" customWidth="1"/>
    <col min="8" max="8" width="12.855468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</row>
    <row r="2" spans="1:8">
      <c r="A2" t="s">
        <v>68</v>
      </c>
      <c r="B2" t="s">
        <v>69</v>
      </c>
      <c r="C2" t="s">
        <v>36</v>
      </c>
      <c r="D2" s="2">
        <v>45574</v>
      </c>
      <c r="E2" t="s">
        <v>70</v>
      </c>
      <c r="F2" t="s">
        <v>71</v>
      </c>
      <c r="H2" t="s">
        <v>72</v>
      </c>
    </row>
    <row r="3" spans="1:8">
      <c r="A3" t="s">
        <v>73</v>
      </c>
      <c r="B3" t="s">
        <v>74</v>
      </c>
      <c r="C3" t="s">
        <v>75</v>
      </c>
      <c r="D3" t="s">
        <v>76</v>
      </c>
      <c r="E3" t="s">
        <v>77</v>
      </c>
      <c r="H3" t="s">
        <v>78</v>
      </c>
    </row>
    <row r="4" spans="1:8">
      <c r="A4" t="s">
        <v>58</v>
      </c>
      <c r="B4" s="8" t="s">
        <v>59</v>
      </c>
      <c r="C4" t="s">
        <v>43</v>
      </c>
      <c r="D4" s="2">
        <v>45301</v>
      </c>
      <c r="E4" s="9">
        <v>45514</v>
      </c>
      <c r="F4">
        <v>7</v>
      </c>
      <c r="H4" t="s">
        <v>79</v>
      </c>
    </row>
    <row r="5" spans="1:8">
      <c r="A5" t="s">
        <v>80</v>
      </c>
      <c r="B5" s="8" t="s">
        <v>81</v>
      </c>
      <c r="C5" t="s">
        <v>43</v>
      </c>
      <c r="D5" s="2">
        <v>45361</v>
      </c>
      <c r="E5" t="s">
        <v>82</v>
      </c>
      <c r="F5" s="11" t="s">
        <v>83</v>
      </c>
      <c r="H5" t="s">
        <v>84</v>
      </c>
    </row>
    <row r="6" spans="1:8">
      <c r="A6" t="s">
        <v>85</v>
      </c>
      <c r="B6" s="8" t="s">
        <v>86</v>
      </c>
      <c r="C6" t="s">
        <v>43</v>
      </c>
      <c r="D6" s="2">
        <v>45301</v>
      </c>
      <c r="E6" s="10" t="s">
        <v>87</v>
      </c>
      <c r="F6" s="11" t="s">
        <v>88</v>
      </c>
      <c r="H6" t="s">
        <v>89</v>
      </c>
    </row>
    <row r="7" spans="1:8">
      <c r="A7" t="s">
        <v>90</v>
      </c>
      <c r="B7" t="s">
        <v>91</v>
      </c>
      <c r="C7" t="s">
        <v>43</v>
      </c>
      <c r="D7" s="2">
        <v>45575</v>
      </c>
      <c r="E7" t="s">
        <v>92</v>
      </c>
      <c r="F7" s="11" t="s">
        <v>88</v>
      </c>
      <c r="H7" t="s">
        <v>84</v>
      </c>
    </row>
    <row r="8" spans="1:8">
      <c r="A8" t="s">
        <v>93</v>
      </c>
      <c r="B8" t="s">
        <v>94</v>
      </c>
      <c r="C8" t="s">
        <v>43</v>
      </c>
      <c r="D8" t="s">
        <v>95</v>
      </c>
      <c r="E8" s="2">
        <v>45606</v>
      </c>
      <c r="F8">
        <v>14</v>
      </c>
      <c r="H8" t="s">
        <v>84</v>
      </c>
    </row>
    <row r="9" spans="1:8">
      <c r="A9" t="s">
        <v>96</v>
      </c>
      <c r="B9" t="s">
        <v>97</v>
      </c>
      <c r="C9" t="s">
        <v>43</v>
      </c>
      <c r="D9" s="2">
        <v>45483</v>
      </c>
      <c r="E9" t="s">
        <v>98</v>
      </c>
      <c r="F9" t="s">
        <v>99</v>
      </c>
      <c r="H9" t="s">
        <v>100</v>
      </c>
    </row>
    <row r="10" spans="1:8">
      <c r="A10" t="s">
        <v>101</v>
      </c>
      <c r="B10" t="s">
        <v>102</v>
      </c>
      <c r="C10" t="s">
        <v>43</v>
      </c>
      <c r="D10" s="2">
        <v>45361</v>
      </c>
      <c r="E10" t="s">
        <v>82</v>
      </c>
      <c r="F10" s="11" t="s">
        <v>103</v>
      </c>
      <c r="H10" t="s">
        <v>84</v>
      </c>
    </row>
    <row r="11" spans="1:8">
      <c r="A11" t="s">
        <v>60</v>
      </c>
      <c r="B11" t="s">
        <v>104</v>
      </c>
      <c r="C11" t="s">
        <v>43</v>
      </c>
      <c r="D11" t="s">
        <v>105</v>
      </c>
      <c r="E11" s="2">
        <v>45392</v>
      </c>
      <c r="F11">
        <v>7</v>
      </c>
      <c r="H11" t="s">
        <v>84</v>
      </c>
    </row>
    <row r="12" spans="1:8">
      <c r="A12" t="s">
        <v>106</v>
      </c>
      <c r="B12" t="s">
        <v>107</v>
      </c>
      <c r="C12" t="s">
        <v>43</v>
      </c>
      <c r="D12" t="s">
        <v>105</v>
      </c>
      <c r="E12" s="2">
        <v>45392</v>
      </c>
      <c r="F12">
        <v>7</v>
      </c>
      <c r="H12" t="s">
        <v>78</v>
      </c>
    </row>
    <row r="13" spans="1:8">
      <c r="A13" t="s">
        <v>108</v>
      </c>
      <c r="B13" t="s">
        <v>109</v>
      </c>
      <c r="C13" t="s">
        <v>43</v>
      </c>
      <c r="D13" t="s">
        <v>110</v>
      </c>
      <c r="E13" s="2">
        <v>45607</v>
      </c>
      <c r="H13" t="s">
        <v>84</v>
      </c>
    </row>
    <row r="14" spans="1:8">
      <c r="A14" t="s">
        <v>111</v>
      </c>
      <c r="B14" t="s">
        <v>112</v>
      </c>
      <c r="C14" t="s">
        <v>43</v>
      </c>
      <c r="D14" t="s">
        <v>113</v>
      </c>
      <c r="E14" t="s">
        <v>114</v>
      </c>
      <c r="H14" t="s">
        <v>115</v>
      </c>
    </row>
    <row r="15" spans="1:8">
      <c r="A15" t="s">
        <v>116</v>
      </c>
      <c r="B15" t="s">
        <v>117</v>
      </c>
      <c r="C15" t="s">
        <v>43</v>
      </c>
      <c r="D15" s="12" t="s">
        <v>118</v>
      </c>
      <c r="E15" s="2">
        <v>45606</v>
      </c>
    </row>
    <row r="16" spans="1:8">
      <c r="A16" t="s">
        <v>119</v>
      </c>
      <c r="B16" t="s">
        <v>120</v>
      </c>
      <c r="C16" t="s">
        <v>43</v>
      </c>
      <c r="D16" t="s">
        <v>121</v>
      </c>
      <c r="E16" s="2">
        <v>45484</v>
      </c>
    </row>
    <row r="17" spans="1:8">
      <c r="A17" t="s">
        <v>122</v>
      </c>
      <c r="B17" t="s">
        <v>123</v>
      </c>
      <c r="C17" t="s">
        <v>75</v>
      </c>
      <c r="D17" t="s">
        <v>124</v>
      </c>
      <c r="E17" s="2">
        <v>45383</v>
      </c>
      <c r="H17" t="s">
        <v>125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41854-61F9-4562-A2DE-91BC2E0FE59A}">
  <sheetPr codeName="Sheet6"/>
  <dimension ref="A1:H23"/>
  <sheetViews>
    <sheetView workbookViewId="0">
      <selection activeCell="A11" sqref="A11"/>
    </sheetView>
  </sheetViews>
  <sheetFormatPr defaultRowHeight="14.45"/>
  <cols>
    <col min="1" max="1" width="18.7109375" customWidth="1"/>
    <col min="3" max="3" width="16.28515625" customWidth="1"/>
    <col min="4" max="4" width="16.7109375" bestFit="1" customWidth="1"/>
    <col min="5" max="5" width="21.7109375" customWidth="1"/>
    <col min="6" max="6" width="44.42578125" customWidth="1"/>
    <col min="8" max="8" width="34.14062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</row>
    <row r="2" spans="1:8">
      <c r="A2" t="s">
        <v>126</v>
      </c>
      <c r="B2" t="s">
        <v>127</v>
      </c>
      <c r="C2" t="s">
        <v>75</v>
      </c>
      <c r="D2" s="2">
        <v>45454</v>
      </c>
      <c r="E2" s="2">
        <v>45637</v>
      </c>
      <c r="F2" s="2">
        <v>45607</v>
      </c>
      <c r="H2" t="s">
        <v>128</v>
      </c>
    </row>
    <row r="3" spans="1:8">
      <c r="A3" t="s">
        <v>129</v>
      </c>
      <c r="B3" s="8" t="s">
        <v>130</v>
      </c>
      <c r="C3" t="s">
        <v>131</v>
      </c>
      <c r="D3" s="2">
        <v>45302</v>
      </c>
      <c r="E3" s="2">
        <v>45637</v>
      </c>
      <c r="F3" s="13">
        <v>45600</v>
      </c>
      <c r="H3" t="s">
        <v>132</v>
      </c>
    </row>
    <row r="4" spans="1:8">
      <c r="A4" t="s">
        <v>129</v>
      </c>
      <c r="B4" s="8" t="s">
        <v>130</v>
      </c>
      <c r="C4" t="s">
        <v>131</v>
      </c>
      <c r="D4" s="2">
        <v>45302</v>
      </c>
      <c r="E4" s="2">
        <v>45637</v>
      </c>
      <c r="F4" s="13">
        <v>45607</v>
      </c>
      <c r="H4" t="s">
        <v>132</v>
      </c>
    </row>
    <row r="5" spans="1:8">
      <c r="A5" t="s">
        <v>129</v>
      </c>
      <c r="B5" s="8" t="s">
        <v>130</v>
      </c>
      <c r="C5" t="s">
        <v>131</v>
      </c>
      <c r="D5" s="2">
        <v>45302</v>
      </c>
      <c r="E5" s="2">
        <v>45637</v>
      </c>
      <c r="F5" s="13">
        <v>45614</v>
      </c>
      <c r="H5" t="s">
        <v>132</v>
      </c>
    </row>
    <row r="6" spans="1:8">
      <c r="A6" t="s">
        <v>108</v>
      </c>
      <c r="B6" t="s">
        <v>109</v>
      </c>
      <c r="C6" t="s">
        <v>43</v>
      </c>
      <c r="D6" t="s">
        <v>110</v>
      </c>
      <c r="E6" s="2">
        <v>45607</v>
      </c>
      <c r="F6" s="2">
        <v>45600</v>
      </c>
      <c r="H6" t="s">
        <v>84</v>
      </c>
    </row>
    <row r="7" spans="1:8">
      <c r="A7" t="s">
        <v>108</v>
      </c>
      <c r="B7" t="s">
        <v>109</v>
      </c>
      <c r="C7" t="s">
        <v>43</v>
      </c>
      <c r="D7" t="s">
        <v>110</v>
      </c>
      <c r="E7" s="2">
        <v>45607</v>
      </c>
      <c r="F7" s="2">
        <v>45607</v>
      </c>
      <c r="H7" t="s">
        <v>84</v>
      </c>
    </row>
    <row r="8" spans="1:8">
      <c r="A8" t="s">
        <v>133</v>
      </c>
      <c r="B8" t="s">
        <v>134</v>
      </c>
      <c r="C8" t="s">
        <v>43</v>
      </c>
      <c r="D8" t="s">
        <v>135</v>
      </c>
      <c r="E8" s="2">
        <v>45334</v>
      </c>
      <c r="F8" s="4">
        <v>45621</v>
      </c>
      <c r="H8" t="s">
        <v>136</v>
      </c>
    </row>
    <row r="9" spans="1:8">
      <c r="A9" t="s">
        <v>137</v>
      </c>
      <c r="B9" t="s">
        <v>138</v>
      </c>
      <c r="C9" t="s">
        <v>139</v>
      </c>
      <c r="D9" t="s">
        <v>140</v>
      </c>
      <c r="E9" t="s">
        <v>141</v>
      </c>
      <c r="F9" s="4">
        <v>45621</v>
      </c>
      <c r="H9" t="s">
        <v>84</v>
      </c>
    </row>
    <row r="10" spans="1:8">
      <c r="A10" t="s">
        <v>137</v>
      </c>
      <c r="B10" t="s">
        <v>138</v>
      </c>
      <c r="C10" t="s">
        <v>139</v>
      </c>
      <c r="D10" t="s">
        <v>140</v>
      </c>
      <c r="E10" t="s">
        <v>141</v>
      </c>
      <c r="F10" s="2">
        <v>45628</v>
      </c>
      <c r="H10" t="s">
        <v>84</v>
      </c>
    </row>
    <row r="11" spans="1:8">
      <c r="A11" t="s">
        <v>85</v>
      </c>
      <c r="B11" s="8" t="s">
        <v>86</v>
      </c>
      <c r="C11" t="s">
        <v>139</v>
      </c>
      <c r="D11" t="s">
        <v>142</v>
      </c>
      <c r="E11" t="s">
        <v>143</v>
      </c>
      <c r="F11" s="2">
        <v>45600</v>
      </c>
      <c r="H11" t="s">
        <v>144</v>
      </c>
    </row>
    <row r="12" spans="1:8">
      <c r="A12" t="s">
        <v>85</v>
      </c>
      <c r="B12" s="8" t="s">
        <v>86</v>
      </c>
      <c r="C12" t="s">
        <v>139</v>
      </c>
      <c r="D12" t="s">
        <v>142</v>
      </c>
      <c r="E12" t="s">
        <v>143</v>
      </c>
      <c r="F12" s="2">
        <v>45607</v>
      </c>
      <c r="H12" t="s">
        <v>144</v>
      </c>
    </row>
    <row r="13" spans="1:8">
      <c r="A13" t="s">
        <v>85</v>
      </c>
      <c r="B13" s="8" t="s">
        <v>86</v>
      </c>
      <c r="C13" t="s">
        <v>139</v>
      </c>
      <c r="D13" t="s">
        <v>142</v>
      </c>
      <c r="E13" t="s">
        <v>143</v>
      </c>
      <c r="F13" s="4">
        <v>45614</v>
      </c>
      <c r="H13" t="s">
        <v>144</v>
      </c>
    </row>
    <row r="14" spans="1:8">
      <c r="A14" t="s">
        <v>85</v>
      </c>
      <c r="B14" s="8" t="s">
        <v>86</v>
      </c>
      <c r="C14" t="s">
        <v>139</v>
      </c>
      <c r="D14" t="s">
        <v>142</v>
      </c>
      <c r="E14" t="s">
        <v>143</v>
      </c>
      <c r="F14" s="4">
        <v>45621</v>
      </c>
      <c r="H14" t="s">
        <v>144</v>
      </c>
    </row>
    <row r="16" spans="1:8">
      <c r="A16" t="s">
        <v>96</v>
      </c>
      <c r="B16" t="s">
        <v>97</v>
      </c>
      <c r="C16" t="s">
        <v>43</v>
      </c>
      <c r="E16" s="2">
        <v>45810</v>
      </c>
      <c r="F16" t="s">
        <v>145</v>
      </c>
      <c r="H16" t="s">
        <v>100</v>
      </c>
    </row>
    <row r="17" spans="1:8">
      <c r="A17" t="s">
        <v>146</v>
      </c>
      <c r="B17" t="s">
        <v>147</v>
      </c>
      <c r="C17" t="s">
        <v>43</v>
      </c>
      <c r="D17" t="s">
        <v>148</v>
      </c>
      <c r="E17" s="2">
        <v>45664</v>
      </c>
      <c r="H17" t="s">
        <v>84</v>
      </c>
    </row>
    <row r="18" spans="1:8">
      <c r="A18" t="s">
        <v>149</v>
      </c>
      <c r="B18" t="s">
        <v>120</v>
      </c>
      <c r="C18" t="s">
        <v>43</v>
      </c>
      <c r="D18" t="s">
        <v>150</v>
      </c>
      <c r="E18" s="2">
        <v>45660</v>
      </c>
      <c r="H18" t="s">
        <v>84</v>
      </c>
    </row>
    <row r="19" spans="1:8">
      <c r="A19" t="s">
        <v>151</v>
      </c>
      <c r="B19" t="s">
        <v>152</v>
      </c>
      <c r="C19" t="s">
        <v>43</v>
      </c>
      <c r="D19" t="s">
        <v>153</v>
      </c>
      <c r="E19" s="2">
        <v>45660</v>
      </c>
      <c r="H19" t="s">
        <v>84</v>
      </c>
    </row>
    <row r="20" spans="1:8">
      <c r="A20" t="s">
        <v>154</v>
      </c>
      <c r="B20" s="8" t="s">
        <v>155</v>
      </c>
      <c r="C20" t="s">
        <v>43</v>
      </c>
      <c r="D20" s="9">
        <v>45334</v>
      </c>
      <c r="E20" s="11" t="s">
        <v>156</v>
      </c>
      <c r="F20" t="s">
        <v>157</v>
      </c>
      <c r="H20" t="s">
        <v>84</v>
      </c>
    </row>
    <row r="21" spans="1:8">
      <c r="A21" t="s">
        <v>158</v>
      </c>
      <c r="B21" s="8" t="s">
        <v>159</v>
      </c>
      <c r="C21" t="s">
        <v>43</v>
      </c>
      <c r="D21" s="9">
        <v>45363</v>
      </c>
      <c r="E21" s="2">
        <v>45577</v>
      </c>
      <c r="F21" s="2">
        <v>45547</v>
      </c>
      <c r="H21" t="s">
        <v>136</v>
      </c>
    </row>
    <row r="22" spans="1:8">
      <c r="A22" t="s">
        <v>85</v>
      </c>
      <c r="B22" s="8" t="s">
        <v>86</v>
      </c>
      <c r="C22" t="s">
        <v>139</v>
      </c>
      <c r="D22" t="s">
        <v>142</v>
      </c>
      <c r="E22" t="s">
        <v>143</v>
      </c>
      <c r="F22" t="s">
        <v>160</v>
      </c>
      <c r="H22" t="s">
        <v>144</v>
      </c>
    </row>
    <row r="23" spans="1:8">
      <c r="A23" s="14" t="s">
        <v>133</v>
      </c>
      <c r="C23" t="s">
        <v>43</v>
      </c>
      <c r="D23" t="s">
        <v>135</v>
      </c>
      <c r="E23" t="s">
        <v>161</v>
      </c>
      <c r="H23" t="s">
        <v>136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6B26A-1AD4-4C0C-8112-6E33E96A62A8}">
  <sheetPr codeName="Sheet7"/>
  <dimension ref="A1:H31"/>
  <sheetViews>
    <sheetView workbookViewId="0">
      <selection activeCell="A22" sqref="A22"/>
    </sheetView>
  </sheetViews>
  <sheetFormatPr defaultColWidth="9.140625" defaultRowHeight="14.45"/>
  <cols>
    <col min="1" max="1" width="21.28515625" style="14" customWidth="1"/>
    <col min="2" max="2" width="9.42578125" style="14" bestFit="1" customWidth="1"/>
    <col min="3" max="3" width="13.85546875" style="14" customWidth="1"/>
    <col min="4" max="4" width="15.42578125" style="14" bestFit="1" customWidth="1"/>
    <col min="5" max="5" width="14.85546875" style="14" bestFit="1" customWidth="1"/>
    <col min="6" max="6" width="54.5703125" style="14" bestFit="1" customWidth="1"/>
    <col min="7" max="7" width="24.85546875" style="14" bestFit="1" customWidth="1"/>
    <col min="8" max="8" width="24.7109375" style="14" customWidth="1"/>
    <col min="9" max="16384" width="9.140625" style="14"/>
  </cols>
  <sheetData>
    <row r="1" spans="1:8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4" t="s">
        <v>5</v>
      </c>
      <c r="G1" s="14" t="s">
        <v>6</v>
      </c>
      <c r="H1" s="14" t="s">
        <v>7</v>
      </c>
    </row>
    <row r="2" spans="1:8">
      <c r="A2" s="14" t="s">
        <v>162</v>
      </c>
      <c r="B2" s="14" t="s">
        <v>163</v>
      </c>
      <c r="C2" s="14" t="s">
        <v>164</v>
      </c>
      <c r="D2" s="14" t="s">
        <v>165</v>
      </c>
      <c r="E2" s="9">
        <v>45689</v>
      </c>
      <c r="F2" s="14" t="s">
        <v>166</v>
      </c>
      <c r="H2" s="14" t="s">
        <v>167</v>
      </c>
    </row>
    <row r="3" spans="1:8">
      <c r="A3" s="14" t="s">
        <v>168</v>
      </c>
      <c r="B3" s="14" t="s">
        <v>169</v>
      </c>
      <c r="C3" s="14" t="s">
        <v>36</v>
      </c>
      <c r="D3" s="9">
        <v>45334</v>
      </c>
      <c r="E3" s="14" t="s">
        <v>170</v>
      </c>
      <c r="H3" s="14" t="s">
        <v>171</v>
      </c>
    </row>
    <row r="4" spans="1:8">
      <c r="A4" s="14" t="s">
        <v>172</v>
      </c>
      <c r="C4" s="14" t="s">
        <v>36</v>
      </c>
      <c r="D4" s="14" t="s">
        <v>173</v>
      </c>
      <c r="E4" s="14" t="s">
        <v>174</v>
      </c>
      <c r="H4" s="14" t="s">
        <v>84</v>
      </c>
    </row>
    <row r="5" spans="1:8">
      <c r="A5" s="14" t="s">
        <v>175</v>
      </c>
      <c r="C5" s="14" t="s">
        <v>36</v>
      </c>
      <c r="D5" s="14" t="s">
        <v>176</v>
      </c>
      <c r="E5" s="14" t="s">
        <v>170</v>
      </c>
      <c r="H5" s="14" t="s">
        <v>84</v>
      </c>
    </row>
    <row r="6" spans="1:8">
      <c r="A6" s="14" t="s">
        <v>177</v>
      </c>
      <c r="C6" s="14" t="s">
        <v>36</v>
      </c>
      <c r="D6" s="14" t="s">
        <v>178</v>
      </c>
      <c r="E6" s="14" t="s">
        <v>150</v>
      </c>
      <c r="H6" s="14" t="s">
        <v>84</v>
      </c>
    </row>
    <row r="7" spans="1:8">
      <c r="A7" s="14" t="s">
        <v>179</v>
      </c>
      <c r="C7" s="14" t="s">
        <v>36</v>
      </c>
      <c r="D7" s="14" t="s">
        <v>150</v>
      </c>
      <c r="E7" s="9">
        <v>45931</v>
      </c>
      <c r="H7" s="14" t="s">
        <v>84</v>
      </c>
    </row>
    <row r="8" spans="1:8">
      <c r="A8" s="14" t="s">
        <v>180</v>
      </c>
      <c r="C8" s="14" t="s">
        <v>36</v>
      </c>
      <c r="D8" s="9">
        <v>45689</v>
      </c>
      <c r="E8" s="14" t="s">
        <v>181</v>
      </c>
      <c r="H8" s="14" t="s">
        <v>84</v>
      </c>
    </row>
    <row r="9" spans="1:8">
      <c r="A9" s="14" t="s">
        <v>182</v>
      </c>
      <c r="C9" s="14" t="s">
        <v>36</v>
      </c>
      <c r="D9" s="14" t="s">
        <v>153</v>
      </c>
      <c r="E9" s="9">
        <v>45839</v>
      </c>
      <c r="H9" s="14" t="s">
        <v>84</v>
      </c>
    </row>
    <row r="10" spans="1:8">
      <c r="A10" t="s">
        <v>96</v>
      </c>
      <c r="B10" t="s">
        <v>97</v>
      </c>
      <c r="C10" t="s">
        <v>43</v>
      </c>
      <c r="D10" s="9">
        <v>45480</v>
      </c>
      <c r="E10" s="9">
        <v>45810</v>
      </c>
      <c r="F10">
        <v>2.9</v>
      </c>
      <c r="G10"/>
      <c r="H10" t="s">
        <v>100</v>
      </c>
    </row>
    <row r="11" spans="1:8">
      <c r="A11" s="14" t="s">
        <v>183</v>
      </c>
      <c r="B11" s="14" t="s">
        <v>184</v>
      </c>
      <c r="C11" t="s">
        <v>43</v>
      </c>
      <c r="D11" s="9">
        <v>45303</v>
      </c>
      <c r="E11" s="14" t="s">
        <v>185</v>
      </c>
      <c r="H11" s="14" t="s">
        <v>136</v>
      </c>
    </row>
    <row r="12" spans="1:8">
      <c r="A12" s="14" t="s">
        <v>186</v>
      </c>
      <c r="B12" s="14" t="s">
        <v>187</v>
      </c>
      <c r="C12" t="s">
        <v>36</v>
      </c>
      <c r="D12" s="9">
        <v>45608</v>
      </c>
      <c r="E12" s="9">
        <v>45839</v>
      </c>
      <c r="H12" s="14" t="s">
        <v>188</v>
      </c>
    </row>
    <row r="13" spans="1:8">
      <c r="A13" s="14" t="s">
        <v>189</v>
      </c>
      <c r="B13" s="14" t="s">
        <v>190</v>
      </c>
      <c r="C13" s="14" t="s">
        <v>43</v>
      </c>
      <c r="D13" s="14" t="s">
        <v>153</v>
      </c>
      <c r="E13" s="9">
        <v>45870</v>
      </c>
      <c r="H13" s="14" t="s">
        <v>84</v>
      </c>
    </row>
    <row r="14" spans="1:8">
      <c r="A14" s="14" t="s">
        <v>191</v>
      </c>
      <c r="B14" s="14" t="s">
        <v>192</v>
      </c>
      <c r="C14" s="14" t="s">
        <v>43</v>
      </c>
      <c r="D14" s="14" t="s">
        <v>176</v>
      </c>
      <c r="E14" s="9">
        <v>45870</v>
      </c>
      <c r="H14" s="14" t="s">
        <v>84</v>
      </c>
    </row>
    <row r="15" spans="1:8">
      <c r="A15" s="14" t="s">
        <v>193</v>
      </c>
      <c r="B15" s="14" t="s">
        <v>194</v>
      </c>
      <c r="C15" s="14" t="s">
        <v>43</v>
      </c>
      <c r="D15" s="14" t="s">
        <v>195</v>
      </c>
      <c r="E15" s="9">
        <v>45870</v>
      </c>
      <c r="H15" s="14" t="s">
        <v>84</v>
      </c>
    </row>
    <row r="16" spans="1:8">
      <c r="A16" s="14" t="s">
        <v>196</v>
      </c>
      <c r="B16" s="14" t="s">
        <v>197</v>
      </c>
      <c r="C16" s="14" t="s">
        <v>43</v>
      </c>
      <c r="D16" s="14" t="s">
        <v>198</v>
      </c>
      <c r="E16" s="9">
        <v>45931</v>
      </c>
      <c r="H16" s="14" t="s">
        <v>84</v>
      </c>
    </row>
    <row r="17" spans="1:8">
      <c r="A17" s="14" t="s">
        <v>199</v>
      </c>
      <c r="B17" s="14" t="s">
        <v>200</v>
      </c>
      <c r="C17" s="14" t="s">
        <v>43</v>
      </c>
      <c r="D17" s="14" t="s">
        <v>201</v>
      </c>
      <c r="E17" s="9">
        <v>45689</v>
      </c>
      <c r="H17" s="14" t="s">
        <v>84</v>
      </c>
    </row>
    <row r="18" spans="1:8">
      <c r="A18" t="s">
        <v>154</v>
      </c>
      <c r="B18" s="8" t="s">
        <v>155</v>
      </c>
      <c r="C18" t="s">
        <v>43</v>
      </c>
      <c r="D18" s="9">
        <v>45334</v>
      </c>
      <c r="E18" s="11" t="s">
        <v>156</v>
      </c>
      <c r="F18" t="s">
        <v>157</v>
      </c>
      <c r="G18"/>
      <c r="H18" t="s">
        <v>84</v>
      </c>
    </row>
    <row r="19" spans="1:8">
      <c r="A19" t="s">
        <v>158</v>
      </c>
      <c r="B19" s="8" t="s">
        <v>159</v>
      </c>
      <c r="C19" t="s">
        <v>43</v>
      </c>
      <c r="D19" s="9">
        <v>45363</v>
      </c>
      <c r="E19" s="2">
        <v>45577</v>
      </c>
      <c r="F19" s="2">
        <v>45547</v>
      </c>
      <c r="G19"/>
      <c r="H19" t="s">
        <v>136</v>
      </c>
    </row>
    <row r="20" spans="1:8">
      <c r="A20" t="s">
        <v>85</v>
      </c>
      <c r="B20" s="8" t="s">
        <v>86</v>
      </c>
      <c r="C20" t="s">
        <v>139</v>
      </c>
      <c r="D20" t="s">
        <v>142</v>
      </c>
      <c r="E20" t="s">
        <v>143</v>
      </c>
      <c r="F20" t="s">
        <v>160</v>
      </c>
      <c r="G20"/>
      <c r="H20" t="s">
        <v>144</v>
      </c>
    </row>
    <row r="21" spans="1:8">
      <c r="A21" t="s">
        <v>146</v>
      </c>
      <c r="B21" t="s">
        <v>147</v>
      </c>
      <c r="C21" t="s">
        <v>43</v>
      </c>
      <c r="D21" t="s">
        <v>148</v>
      </c>
      <c r="E21" s="2">
        <v>45664</v>
      </c>
      <c r="F21"/>
      <c r="G21"/>
      <c r="H21" t="s">
        <v>84</v>
      </c>
    </row>
    <row r="22" spans="1:8">
      <c r="A22" t="s">
        <v>149</v>
      </c>
      <c r="B22" t="s">
        <v>120</v>
      </c>
      <c r="C22" t="s">
        <v>43</v>
      </c>
      <c r="D22" t="s">
        <v>150</v>
      </c>
      <c r="E22" s="2">
        <v>45660</v>
      </c>
      <c r="F22"/>
      <c r="G22"/>
      <c r="H22" t="s">
        <v>84</v>
      </c>
    </row>
    <row r="23" spans="1:8">
      <c r="A23" t="s">
        <v>151</v>
      </c>
      <c r="B23" t="s">
        <v>152</v>
      </c>
      <c r="C23" t="s">
        <v>43</v>
      </c>
      <c r="D23" t="s">
        <v>153</v>
      </c>
      <c r="E23" s="2">
        <v>45660</v>
      </c>
      <c r="F23"/>
      <c r="G23"/>
      <c r="H23" t="s">
        <v>84</v>
      </c>
    </row>
    <row r="24" spans="1:8">
      <c r="A24" s="14" t="s">
        <v>202</v>
      </c>
      <c r="B24" s="14" t="s">
        <v>203</v>
      </c>
      <c r="C24" s="14" t="s">
        <v>43</v>
      </c>
      <c r="D24" s="14" t="s">
        <v>178</v>
      </c>
      <c r="E24" s="9">
        <v>45839</v>
      </c>
      <c r="F24" s="14" t="s">
        <v>204</v>
      </c>
      <c r="H24" s="14" t="s">
        <v>84</v>
      </c>
    </row>
    <row r="25" spans="1:8">
      <c r="A25" s="14" t="s">
        <v>205</v>
      </c>
      <c r="B25" s="14" t="s">
        <v>206</v>
      </c>
      <c r="C25" s="14" t="s">
        <v>43</v>
      </c>
      <c r="D25" s="14" t="s">
        <v>148</v>
      </c>
      <c r="E25" s="9">
        <v>45717</v>
      </c>
      <c r="F25" s="14" t="s">
        <v>204</v>
      </c>
    </row>
    <row r="26" spans="1:8">
      <c r="A26" s="14" t="s">
        <v>38</v>
      </c>
      <c r="C26" s="14" t="s">
        <v>36</v>
      </c>
      <c r="D26" s="9">
        <v>45547</v>
      </c>
      <c r="E26" s="14" t="s">
        <v>170</v>
      </c>
      <c r="H26" s="14" t="s">
        <v>64</v>
      </c>
    </row>
    <row r="27" spans="1:8">
      <c r="A27" s="14" t="s">
        <v>207</v>
      </c>
      <c r="B27" s="14" t="s">
        <v>29</v>
      </c>
      <c r="C27" s="14" t="s">
        <v>43</v>
      </c>
      <c r="D27" s="14" t="s">
        <v>153</v>
      </c>
      <c r="E27" s="14" t="s">
        <v>150</v>
      </c>
      <c r="F27" s="14" t="s">
        <v>208</v>
      </c>
      <c r="H27" s="14" t="s">
        <v>84</v>
      </c>
    </row>
    <row r="28" spans="1:8">
      <c r="A28" s="14" t="s">
        <v>209</v>
      </c>
      <c r="B28" s="14" t="s">
        <v>25</v>
      </c>
      <c r="C28" s="14" t="s">
        <v>43</v>
      </c>
      <c r="D28" s="14" t="s">
        <v>153</v>
      </c>
      <c r="E28" s="9">
        <v>45870</v>
      </c>
      <c r="F28" s="16" t="s">
        <v>210</v>
      </c>
      <c r="H28" s="14" t="s">
        <v>84</v>
      </c>
    </row>
    <row r="29" spans="1:8">
      <c r="A29" s="14" t="s">
        <v>55</v>
      </c>
      <c r="B29" s="14" t="s">
        <v>211</v>
      </c>
      <c r="C29" s="14" t="s">
        <v>43</v>
      </c>
      <c r="D29" s="14" t="s">
        <v>173</v>
      </c>
      <c r="E29" s="9">
        <v>45778</v>
      </c>
      <c r="F29" s="14" t="s">
        <v>212</v>
      </c>
      <c r="H29" s="14" t="s">
        <v>84</v>
      </c>
    </row>
    <row r="30" spans="1:8">
      <c r="A30" s="14" t="s">
        <v>73</v>
      </c>
      <c r="B30" s="14" t="s">
        <v>74</v>
      </c>
      <c r="C30" s="14" t="s">
        <v>213</v>
      </c>
      <c r="D30" s="14" t="s">
        <v>153</v>
      </c>
      <c r="E30" s="14" t="s">
        <v>214</v>
      </c>
    </row>
    <row r="31" spans="1:8">
      <c r="A31" s="14" t="s">
        <v>158</v>
      </c>
      <c r="B31" s="8" t="s">
        <v>159</v>
      </c>
      <c r="C31" s="14" t="s">
        <v>43</v>
      </c>
      <c r="D31" s="14" t="s">
        <v>153</v>
      </c>
      <c r="E31" s="14" t="s">
        <v>170</v>
      </c>
      <c r="F31" s="14" t="s">
        <v>215</v>
      </c>
      <c r="H31" s="14" t="s">
        <v>84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59EB0-A076-40F1-BBF4-8B08C1858A73}">
  <sheetPr codeName="Sheet8"/>
  <dimension ref="A1:H37"/>
  <sheetViews>
    <sheetView topLeftCell="A4" workbookViewId="0">
      <selection activeCell="D24" sqref="D24:D25"/>
    </sheetView>
  </sheetViews>
  <sheetFormatPr defaultRowHeight="14.45"/>
  <cols>
    <col min="1" max="1" width="19" customWidth="1"/>
    <col min="2" max="2" width="16.140625" customWidth="1"/>
    <col min="3" max="3" width="16.28515625" customWidth="1"/>
    <col min="4" max="4" width="17.85546875" customWidth="1"/>
    <col min="5" max="5" width="22" customWidth="1"/>
    <col min="6" max="6" width="45.5703125" customWidth="1"/>
    <col min="7" max="7" width="27.5703125" customWidth="1"/>
    <col min="8" max="8" width="24.2851562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1" t="s">
        <v>216</v>
      </c>
      <c r="B2" s="1" t="s">
        <v>159</v>
      </c>
      <c r="C2" s="1" t="s">
        <v>43</v>
      </c>
      <c r="D2" s="17">
        <v>45363</v>
      </c>
      <c r="E2" s="17">
        <v>45809</v>
      </c>
      <c r="F2" s="18">
        <v>45663</v>
      </c>
      <c r="G2" s="1"/>
      <c r="H2" s="1" t="s">
        <v>217</v>
      </c>
    </row>
    <row r="3" spans="1:8">
      <c r="A3" s="1" t="s">
        <v>129</v>
      </c>
      <c r="B3" s="1" t="s">
        <v>130</v>
      </c>
      <c r="C3" s="1" t="s">
        <v>43</v>
      </c>
      <c r="D3" s="17">
        <v>45809</v>
      </c>
      <c r="E3" s="1" t="s">
        <v>218</v>
      </c>
      <c r="F3" s="18">
        <v>45670</v>
      </c>
      <c r="G3" s="1"/>
      <c r="H3" s="1" t="s">
        <v>217</v>
      </c>
    </row>
    <row r="4" spans="1:8">
      <c r="A4" s="1" t="s">
        <v>129</v>
      </c>
      <c r="B4" s="1" t="s">
        <v>130</v>
      </c>
      <c r="C4" s="1" t="s">
        <v>43</v>
      </c>
      <c r="D4" s="17">
        <v>45809</v>
      </c>
      <c r="E4" s="1" t="s">
        <v>218</v>
      </c>
      <c r="F4" s="18">
        <v>45677</v>
      </c>
      <c r="G4" s="1"/>
      <c r="H4" s="1" t="s">
        <v>217</v>
      </c>
    </row>
    <row r="5" spans="1:8">
      <c r="A5" s="1" t="s">
        <v>219</v>
      </c>
      <c r="B5" s="1" t="s">
        <v>220</v>
      </c>
      <c r="C5" s="1" t="s">
        <v>43</v>
      </c>
      <c r="D5" s="17">
        <v>45870</v>
      </c>
      <c r="E5" s="1" t="s">
        <v>221</v>
      </c>
      <c r="F5" s="18">
        <v>45670</v>
      </c>
      <c r="G5" s="1"/>
      <c r="H5" s="1" t="s">
        <v>84</v>
      </c>
    </row>
    <row r="6" spans="1:8">
      <c r="A6" s="1" t="s">
        <v>219</v>
      </c>
      <c r="B6" s="1" t="s">
        <v>220</v>
      </c>
      <c r="C6" s="1" t="s">
        <v>43</v>
      </c>
      <c r="D6" s="17">
        <v>45870</v>
      </c>
      <c r="E6" s="1" t="s">
        <v>221</v>
      </c>
      <c r="F6" s="18">
        <v>45677</v>
      </c>
      <c r="G6" s="1"/>
      <c r="H6" s="1" t="s">
        <v>84</v>
      </c>
    </row>
    <row r="7" spans="1:8">
      <c r="A7" s="1" t="s">
        <v>219</v>
      </c>
      <c r="B7" s="1" t="s">
        <v>220</v>
      </c>
      <c r="C7" s="1" t="s">
        <v>43</v>
      </c>
      <c r="D7" s="17">
        <v>45870</v>
      </c>
      <c r="E7" s="1" t="s">
        <v>221</v>
      </c>
      <c r="F7" s="18">
        <v>45684</v>
      </c>
      <c r="G7" s="1"/>
      <c r="H7" s="1" t="s">
        <v>84</v>
      </c>
    </row>
    <row r="8" spans="1:8">
      <c r="A8" s="1" t="s">
        <v>222</v>
      </c>
      <c r="B8" s="1" t="s">
        <v>223</v>
      </c>
      <c r="C8" s="1" t="s">
        <v>43</v>
      </c>
      <c r="D8" s="17">
        <v>45809</v>
      </c>
      <c r="E8" s="1" t="s">
        <v>224</v>
      </c>
      <c r="F8" s="18">
        <v>45670</v>
      </c>
      <c r="G8" s="1"/>
      <c r="H8" s="1" t="s">
        <v>217</v>
      </c>
    </row>
    <row r="9" spans="1:8">
      <c r="A9" s="1" t="s">
        <v>222</v>
      </c>
      <c r="B9" s="1" t="s">
        <v>223</v>
      </c>
      <c r="C9" s="1" t="s">
        <v>43</v>
      </c>
      <c r="D9" s="17">
        <v>45809</v>
      </c>
      <c r="E9" s="1" t="s">
        <v>224</v>
      </c>
      <c r="F9" s="18">
        <v>45677</v>
      </c>
      <c r="G9" s="1"/>
      <c r="H9" s="1" t="s">
        <v>217</v>
      </c>
    </row>
    <row r="10" spans="1:8">
      <c r="A10" s="1" t="s">
        <v>193</v>
      </c>
      <c r="B10" s="1" t="s">
        <v>194</v>
      </c>
      <c r="C10" s="1" t="s">
        <v>43</v>
      </c>
      <c r="D10" s="1" t="s">
        <v>195</v>
      </c>
      <c r="E10" s="17">
        <v>45870</v>
      </c>
      <c r="F10" s="18">
        <v>45663</v>
      </c>
      <c r="G10" s="1"/>
      <c r="H10" s="1" t="s">
        <v>225</v>
      </c>
    </row>
    <row r="11" spans="1:8">
      <c r="A11" s="1" t="s">
        <v>189</v>
      </c>
      <c r="B11" s="1" t="s">
        <v>190</v>
      </c>
      <c r="C11" s="1" t="s">
        <v>43</v>
      </c>
      <c r="D11" s="1" t="s">
        <v>153</v>
      </c>
      <c r="E11" s="17">
        <v>45870</v>
      </c>
      <c r="F11" s="18">
        <v>45663</v>
      </c>
      <c r="G11" s="1"/>
      <c r="H11" s="1" t="s">
        <v>225</v>
      </c>
    </row>
    <row r="12" spans="1:8">
      <c r="A12" s="1" t="s">
        <v>191</v>
      </c>
      <c r="B12" s="1" t="s">
        <v>192</v>
      </c>
      <c r="C12" s="1" t="s">
        <v>43</v>
      </c>
      <c r="D12" s="1" t="s">
        <v>176</v>
      </c>
      <c r="E12" s="17">
        <v>45870</v>
      </c>
      <c r="F12" s="18">
        <v>45663</v>
      </c>
      <c r="G12" s="1"/>
      <c r="H12" s="1" t="s">
        <v>225</v>
      </c>
    </row>
    <row r="13" spans="1:8">
      <c r="A13" s="1" t="s">
        <v>209</v>
      </c>
      <c r="B13" s="1" t="s">
        <v>25</v>
      </c>
      <c r="C13" s="1" t="s">
        <v>43</v>
      </c>
      <c r="D13" s="1" t="s">
        <v>153</v>
      </c>
      <c r="E13" s="17">
        <v>45870</v>
      </c>
      <c r="F13" s="18">
        <v>45663</v>
      </c>
      <c r="G13" s="1"/>
      <c r="H13" s="1" t="s">
        <v>225</v>
      </c>
    </row>
    <row r="14" spans="1:8">
      <c r="A14" s="1" t="s">
        <v>226</v>
      </c>
      <c r="B14" s="1" t="s">
        <v>227</v>
      </c>
      <c r="C14" s="1" t="s">
        <v>43</v>
      </c>
      <c r="D14" s="17">
        <v>45689</v>
      </c>
      <c r="E14" s="1" t="s">
        <v>224</v>
      </c>
      <c r="F14" s="18">
        <v>45663</v>
      </c>
      <c r="G14" s="1"/>
      <c r="H14" s="1" t="s">
        <v>225</v>
      </c>
    </row>
    <row r="15" spans="1:8">
      <c r="A15" s="1" t="s">
        <v>226</v>
      </c>
      <c r="B15" s="1" t="s">
        <v>227</v>
      </c>
      <c r="C15" s="1" t="s">
        <v>43</v>
      </c>
      <c r="D15" s="17">
        <v>45689</v>
      </c>
      <c r="E15" s="1" t="s">
        <v>224</v>
      </c>
      <c r="F15" s="18">
        <v>45670</v>
      </c>
      <c r="G15" s="1"/>
      <c r="H15" s="1" t="s">
        <v>225</v>
      </c>
    </row>
    <row r="16" spans="1:8">
      <c r="A16" s="1" t="s">
        <v>226</v>
      </c>
      <c r="B16" s="1" t="s">
        <v>227</v>
      </c>
      <c r="C16" s="1" t="s">
        <v>43</v>
      </c>
      <c r="D16" s="17">
        <v>45689</v>
      </c>
      <c r="E16" s="1" t="s">
        <v>224</v>
      </c>
      <c r="F16" s="18">
        <v>45677</v>
      </c>
      <c r="G16" s="1"/>
      <c r="H16" s="1" t="s">
        <v>225</v>
      </c>
    </row>
    <row r="17" spans="1:8">
      <c r="A17" s="1" t="s">
        <v>228</v>
      </c>
      <c r="B17" s="1" t="s">
        <v>229</v>
      </c>
      <c r="C17" s="1" t="s">
        <v>43</v>
      </c>
      <c r="D17" s="1" t="s">
        <v>148</v>
      </c>
      <c r="E17" s="1" t="s">
        <v>230</v>
      </c>
      <c r="F17" s="18">
        <v>45663</v>
      </c>
      <c r="G17" s="1"/>
      <c r="H17" s="1" t="s">
        <v>231</v>
      </c>
    </row>
    <row r="18" spans="1:8">
      <c r="A18" s="1" t="s">
        <v>228</v>
      </c>
      <c r="B18" s="1" t="s">
        <v>229</v>
      </c>
      <c r="C18" s="1" t="s">
        <v>43</v>
      </c>
      <c r="D18" s="1" t="s">
        <v>148</v>
      </c>
      <c r="E18" s="1" t="s">
        <v>230</v>
      </c>
      <c r="F18" s="18">
        <v>45670</v>
      </c>
      <c r="G18" s="1"/>
      <c r="H18" s="1" t="s">
        <v>231</v>
      </c>
    </row>
    <row r="19" spans="1:8">
      <c r="A19" s="1" t="s">
        <v>228</v>
      </c>
      <c r="B19" s="1" t="s">
        <v>229</v>
      </c>
      <c r="C19" s="1" t="s">
        <v>43</v>
      </c>
      <c r="D19" s="1" t="s">
        <v>148</v>
      </c>
      <c r="E19" s="1" t="s">
        <v>230</v>
      </c>
      <c r="F19" s="18">
        <v>45677</v>
      </c>
      <c r="G19" s="1"/>
      <c r="H19" s="1" t="s">
        <v>231</v>
      </c>
    </row>
    <row r="20" spans="1:8">
      <c r="A20" s="1" t="s">
        <v>228</v>
      </c>
      <c r="B20" s="1" t="s">
        <v>229</v>
      </c>
      <c r="C20" s="1" t="s">
        <v>43</v>
      </c>
      <c r="D20" s="1" t="s">
        <v>148</v>
      </c>
      <c r="E20" s="1" t="s">
        <v>230</v>
      </c>
      <c r="F20" s="18">
        <v>45684</v>
      </c>
      <c r="G20" s="1"/>
      <c r="H20" s="1" t="s">
        <v>231</v>
      </c>
    </row>
    <row r="21" spans="1:8">
      <c r="A21" s="1" t="s">
        <v>85</v>
      </c>
      <c r="B21" s="1" t="s">
        <v>86</v>
      </c>
      <c r="C21" s="1" t="s">
        <v>43</v>
      </c>
      <c r="D21" s="1" t="s">
        <v>142</v>
      </c>
      <c r="E21" s="1" t="s">
        <v>143</v>
      </c>
      <c r="F21" s="18">
        <v>45663</v>
      </c>
      <c r="G21" s="1"/>
      <c r="H21" s="1" t="s">
        <v>231</v>
      </c>
    </row>
    <row r="22" spans="1:8">
      <c r="A22" s="1" t="s">
        <v>85</v>
      </c>
      <c r="B22" s="1" t="s">
        <v>86</v>
      </c>
      <c r="C22" s="1" t="s">
        <v>43</v>
      </c>
      <c r="D22" s="1" t="s">
        <v>142</v>
      </c>
      <c r="E22" s="1" t="s">
        <v>143</v>
      </c>
      <c r="F22" s="18">
        <v>45670</v>
      </c>
      <c r="G22" s="1"/>
      <c r="H22" s="1" t="s">
        <v>231</v>
      </c>
    </row>
    <row r="23" spans="1:8">
      <c r="A23" s="1" t="s">
        <v>85</v>
      </c>
      <c r="B23" s="1" t="s">
        <v>86</v>
      </c>
      <c r="C23" s="1" t="s">
        <v>43</v>
      </c>
      <c r="D23" s="1" t="s">
        <v>142</v>
      </c>
      <c r="E23" s="1" t="s">
        <v>143</v>
      </c>
      <c r="F23" s="18">
        <v>45677</v>
      </c>
      <c r="G23" s="1"/>
      <c r="H23" s="1" t="s">
        <v>231</v>
      </c>
    </row>
    <row r="24" spans="1:8">
      <c r="A24" s="1" t="s">
        <v>85</v>
      </c>
      <c r="B24" s="1" t="s">
        <v>86</v>
      </c>
      <c r="C24" s="1" t="s">
        <v>43</v>
      </c>
      <c r="D24" s="1" t="s">
        <v>142</v>
      </c>
      <c r="E24" s="1" t="s">
        <v>143</v>
      </c>
      <c r="F24" s="18">
        <v>45684</v>
      </c>
      <c r="G24" s="1"/>
      <c r="H24" s="1" t="s">
        <v>231</v>
      </c>
    </row>
    <row r="25" spans="1:8">
      <c r="A25" s="1" t="s">
        <v>232</v>
      </c>
      <c r="B25" s="1" t="s">
        <v>233</v>
      </c>
      <c r="C25" s="1" t="s">
        <v>43</v>
      </c>
      <c r="D25" s="1" t="s">
        <v>178</v>
      </c>
      <c r="E25" s="17">
        <v>45870</v>
      </c>
      <c r="F25" s="18">
        <v>45663</v>
      </c>
      <c r="G25" s="1"/>
      <c r="H25" s="1" t="s">
        <v>217</v>
      </c>
    </row>
    <row r="26" spans="1:8">
      <c r="A26" s="1" t="s">
        <v>234</v>
      </c>
      <c r="B26" s="1" t="s">
        <v>235</v>
      </c>
      <c r="C26" s="1" t="s">
        <v>43</v>
      </c>
      <c r="D26" s="1" t="s">
        <v>178</v>
      </c>
      <c r="E26" s="1" t="s">
        <v>174</v>
      </c>
      <c r="F26" s="18">
        <v>45663</v>
      </c>
      <c r="G26" s="1"/>
      <c r="H26" s="1" t="s">
        <v>217</v>
      </c>
    </row>
    <row r="27" spans="1:8">
      <c r="A27" s="1" t="s">
        <v>234</v>
      </c>
      <c r="B27" s="1" t="s">
        <v>235</v>
      </c>
      <c r="C27" s="1" t="s">
        <v>43</v>
      </c>
      <c r="D27" s="1" t="s">
        <v>178</v>
      </c>
      <c r="E27" s="1" t="s">
        <v>174</v>
      </c>
      <c r="F27" s="18">
        <v>45670</v>
      </c>
      <c r="G27" s="1"/>
      <c r="H27" s="1" t="s">
        <v>217</v>
      </c>
    </row>
    <row r="28" spans="1:8">
      <c r="A28" s="1" t="s">
        <v>236</v>
      </c>
      <c r="B28" s="1" t="s">
        <v>237</v>
      </c>
      <c r="C28" s="1" t="s">
        <v>43</v>
      </c>
      <c r="D28" s="1" t="s">
        <v>150</v>
      </c>
      <c r="E28" s="17">
        <v>45931</v>
      </c>
      <c r="F28" s="18">
        <v>45663</v>
      </c>
      <c r="G28" s="1"/>
      <c r="H28" s="1" t="s">
        <v>217</v>
      </c>
    </row>
    <row r="29" spans="1:8">
      <c r="A29" s="1" t="s">
        <v>236</v>
      </c>
      <c r="B29" s="1" t="s">
        <v>237</v>
      </c>
      <c r="C29" s="1" t="s">
        <v>43</v>
      </c>
      <c r="D29" s="1" t="s">
        <v>150</v>
      </c>
      <c r="E29" s="17">
        <v>45931</v>
      </c>
      <c r="F29" s="18">
        <v>45670</v>
      </c>
      <c r="G29" s="1"/>
      <c r="H29" s="1" t="s">
        <v>217</v>
      </c>
    </row>
    <row r="30" spans="1:8">
      <c r="A30" s="1" t="s">
        <v>238</v>
      </c>
      <c r="B30" s="1" t="s">
        <v>239</v>
      </c>
      <c r="C30" s="1" t="s">
        <v>43</v>
      </c>
      <c r="D30" s="17">
        <v>45689</v>
      </c>
      <c r="E30" s="1" t="s">
        <v>240</v>
      </c>
      <c r="F30" s="18">
        <v>45663</v>
      </c>
      <c r="G30" s="1"/>
      <c r="H30" s="1" t="s">
        <v>217</v>
      </c>
    </row>
    <row r="31" spans="1:8">
      <c r="A31" s="1" t="s">
        <v>238</v>
      </c>
      <c r="B31" s="1" t="s">
        <v>239</v>
      </c>
      <c r="C31" s="1" t="s">
        <v>43</v>
      </c>
      <c r="D31" s="17">
        <v>45689</v>
      </c>
      <c r="E31" s="1" t="s">
        <v>240</v>
      </c>
      <c r="F31" s="18">
        <v>45670</v>
      </c>
      <c r="G31" s="1"/>
      <c r="H31" s="1" t="s">
        <v>217</v>
      </c>
    </row>
    <row r="32" spans="1:8">
      <c r="A32" s="1" t="s">
        <v>238</v>
      </c>
      <c r="B32" s="1" t="s">
        <v>239</v>
      </c>
      <c r="C32" s="1" t="s">
        <v>43</v>
      </c>
      <c r="D32" s="17">
        <v>45689</v>
      </c>
      <c r="E32" s="1" t="s">
        <v>240</v>
      </c>
      <c r="F32" s="18">
        <v>45677</v>
      </c>
      <c r="G32" s="1"/>
      <c r="H32" s="1" t="s">
        <v>217</v>
      </c>
    </row>
    <row r="33" spans="1:8">
      <c r="A33" s="1" t="s">
        <v>96</v>
      </c>
      <c r="B33" s="1" t="s">
        <v>97</v>
      </c>
      <c r="C33" s="1" t="s">
        <v>43</v>
      </c>
      <c r="D33" s="17">
        <v>45480</v>
      </c>
      <c r="E33" s="17">
        <v>45810</v>
      </c>
      <c r="F33" s="18">
        <v>45663</v>
      </c>
      <c r="G33" s="1"/>
      <c r="H33" s="1" t="s">
        <v>100</v>
      </c>
    </row>
    <row r="34" spans="1:8">
      <c r="A34" s="1" t="s">
        <v>96</v>
      </c>
      <c r="B34" s="1" t="s">
        <v>97</v>
      </c>
      <c r="C34" s="1" t="s">
        <v>43</v>
      </c>
      <c r="D34" s="17">
        <v>45480</v>
      </c>
      <c r="E34" s="17">
        <v>45810</v>
      </c>
      <c r="F34" s="18">
        <v>45670</v>
      </c>
      <c r="G34" s="1"/>
      <c r="H34" s="1" t="s">
        <v>100</v>
      </c>
    </row>
    <row r="35" spans="1:8">
      <c r="A35" s="1" t="s">
        <v>96</v>
      </c>
      <c r="B35" s="1" t="s">
        <v>97</v>
      </c>
      <c r="C35" s="1" t="s">
        <v>43</v>
      </c>
      <c r="D35" s="17">
        <v>45480</v>
      </c>
      <c r="E35" s="17">
        <v>45810</v>
      </c>
      <c r="F35" s="18">
        <v>45677</v>
      </c>
      <c r="G35" s="1"/>
      <c r="H35" s="1" t="s">
        <v>100</v>
      </c>
    </row>
    <row r="36" spans="1:8">
      <c r="A36" t="s">
        <v>241</v>
      </c>
      <c r="B36" s="7" t="s">
        <v>242</v>
      </c>
      <c r="C36" t="s">
        <v>43</v>
      </c>
      <c r="D36" t="s">
        <v>243</v>
      </c>
      <c r="E36" t="s">
        <v>244</v>
      </c>
      <c r="F36" s="4">
        <v>45677</v>
      </c>
      <c r="H36" t="s">
        <v>217</v>
      </c>
    </row>
    <row r="37" spans="1:8">
      <c r="A37" t="s">
        <v>241</v>
      </c>
      <c r="B37" s="7" t="s">
        <v>242</v>
      </c>
      <c r="C37" t="s">
        <v>43</v>
      </c>
      <c r="D37" t="s">
        <v>243</v>
      </c>
      <c r="E37" t="s">
        <v>244</v>
      </c>
      <c r="F37" s="4">
        <v>45684</v>
      </c>
      <c r="H37" t="s">
        <v>217</v>
      </c>
    </row>
  </sheetData>
  <hyperlinks>
    <hyperlink ref="B36" r:id="rId1" display="f8872453@fnb.co.za" xr:uid="{01C972FD-60F2-4E1E-8672-4830FDD38014}"/>
    <hyperlink ref="B37" r:id="rId2" display="f8872453@fnb.co.za" xr:uid="{DC32E1AA-DD99-41EC-89D3-4697C0A850E1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03174-5934-4719-8A8E-730038CA0D12}">
  <sheetPr codeName="Sheet9"/>
  <dimension ref="A1:I43"/>
  <sheetViews>
    <sheetView workbookViewId="0">
      <selection activeCell="F16" sqref="F16"/>
    </sheetView>
  </sheetViews>
  <sheetFormatPr defaultRowHeight="14.45"/>
  <cols>
    <col min="1" max="1" width="27.5703125" customWidth="1"/>
    <col min="2" max="2" width="14.42578125" customWidth="1"/>
    <col min="3" max="3" width="14.140625" customWidth="1"/>
    <col min="4" max="4" width="16.85546875" customWidth="1"/>
    <col min="5" max="5" width="23.42578125" customWidth="1"/>
    <col min="6" max="6" width="60.5703125" customWidth="1"/>
    <col min="7" max="7" width="30.85546875" customWidth="1"/>
    <col min="8" max="9" width="15.855468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</row>
    <row r="2" spans="1:9" ht="16.899999999999999">
      <c r="A2" s="19" t="s">
        <v>80</v>
      </c>
      <c r="B2" s="20" t="s">
        <v>81</v>
      </c>
      <c r="C2" t="s">
        <v>43</v>
      </c>
      <c r="D2" t="s">
        <v>245</v>
      </c>
      <c r="E2" t="s">
        <v>246</v>
      </c>
      <c r="F2" s="18">
        <v>45705</v>
      </c>
      <c r="H2" t="s">
        <v>217</v>
      </c>
    </row>
    <row r="3" spans="1:9">
      <c r="A3" s="1" t="s">
        <v>85</v>
      </c>
      <c r="B3" s="1" t="s">
        <v>86</v>
      </c>
      <c r="C3" s="1" t="s">
        <v>43</v>
      </c>
      <c r="D3" s="1" t="s">
        <v>142</v>
      </c>
      <c r="E3" s="1" t="s">
        <v>87</v>
      </c>
      <c r="F3" s="30" t="s">
        <v>247</v>
      </c>
      <c r="G3" s="1"/>
      <c r="H3" s="1" t="s">
        <v>231</v>
      </c>
      <c r="I3" s="1"/>
    </row>
    <row r="4" spans="1:9">
      <c r="A4" t="s">
        <v>248</v>
      </c>
      <c r="B4" t="s">
        <v>249</v>
      </c>
      <c r="C4" s="3" t="s">
        <v>250</v>
      </c>
      <c r="D4" s="1" t="s">
        <v>251</v>
      </c>
      <c r="E4" s="21">
        <v>45779</v>
      </c>
      <c r="F4" s="4">
        <v>45691</v>
      </c>
      <c r="H4" t="s">
        <v>252</v>
      </c>
    </row>
    <row r="5" spans="1:9">
      <c r="A5" t="s">
        <v>253</v>
      </c>
      <c r="B5" t="s">
        <v>49</v>
      </c>
      <c r="C5" t="s">
        <v>43</v>
      </c>
      <c r="D5" t="s">
        <v>218</v>
      </c>
      <c r="E5" s="2">
        <v>45906</v>
      </c>
      <c r="F5" s="18">
        <v>45691</v>
      </c>
      <c r="H5" t="s">
        <v>231</v>
      </c>
    </row>
    <row r="6" spans="1:9">
      <c r="A6" t="s">
        <v>253</v>
      </c>
      <c r="B6" t="s">
        <v>49</v>
      </c>
      <c r="C6" t="s">
        <v>43</v>
      </c>
      <c r="D6" t="s">
        <v>218</v>
      </c>
      <c r="E6" s="2">
        <v>45906</v>
      </c>
      <c r="F6" s="18">
        <v>45698</v>
      </c>
      <c r="H6" t="s">
        <v>231</v>
      </c>
    </row>
    <row r="7" spans="1:9">
      <c r="A7" t="s">
        <v>253</v>
      </c>
      <c r="B7" t="s">
        <v>49</v>
      </c>
      <c r="C7" t="s">
        <v>43</v>
      </c>
      <c r="D7" t="s">
        <v>218</v>
      </c>
      <c r="E7" s="2">
        <v>45906</v>
      </c>
      <c r="F7" s="18">
        <v>45705</v>
      </c>
      <c r="H7" t="s">
        <v>231</v>
      </c>
    </row>
    <row r="8" spans="1:9">
      <c r="A8" t="s">
        <v>253</v>
      </c>
      <c r="B8" t="s">
        <v>49</v>
      </c>
      <c r="C8" t="s">
        <v>43</v>
      </c>
      <c r="D8" t="s">
        <v>218</v>
      </c>
      <c r="E8" s="2">
        <v>45906</v>
      </c>
      <c r="F8" s="18">
        <v>45712</v>
      </c>
      <c r="H8" t="s">
        <v>231</v>
      </c>
    </row>
    <row r="9" spans="1:9" ht="15.75" customHeight="1">
      <c r="A9" t="s">
        <v>191</v>
      </c>
      <c r="B9" t="s">
        <v>192</v>
      </c>
      <c r="C9" t="s">
        <v>43</v>
      </c>
      <c r="D9" s="2">
        <v>45932</v>
      </c>
      <c r="E9" t="s">
        <v>254</v>
      </c>
      <c r="F9" s="18">
        <v>45705</v>
      </c>
      <c r="H9" s="3" t="s">
        <v>255</v>
      </c>
      <c r="I9" s="3"/>
    </row>
    <row r="10" spans="1:9" ht="15" customHeight="1">
      <c r="A10" t="s">
        <v>191</v>
      </c>
      <c r="B10" t="s">
        <v>192</v>
      </c>
      <c r="C10" t="s">
        <v>43</v>
      </c>
      <c r="D10" s="2">
        <v>45932</v>
      </c>
      <c r="E10" t="s">
        <v>254</v>
      </c>
      <c r="F10" s="18">
        <v>45712</v>
      </c>
      <c r="H10" s="3" t="s">
        <v>255</v>
      </c>
      <c r="I10" s="3"/>
    </row>
    <row r="11" spans="1:9" ht="15.75" customHeight="1">
      <c r="A11" t="s">
        <v>256</v>
      </c>
      <c r="B11" t="s">
        <v>257</v>
      </c>
      <c r="C11" s="3" t="s">
        <v>250</v>
      </c>
      <c r="D11" s="2">
        <v>45932</v>
      </c>
      <c r="E11" t="s">
        <v>258</v>
      </c>
      <c r="F11" s="18">
        <v>45705</v>
      </c>
      <c r="H11" t="s">
        <v>231</v>
      </c>
    </row>
    <row r="12" spans="1:9" ht="14.25" customHeight="1">
      <c r="A12" t="s">
        <v>256</v>
      </c>
      <c r="B12" t="s">
        <v>257</v>
      </c>
      <c r="C12" s="3" t="s">
        <v>250</v>
      </c>
      <c r="D12" s="2">
        <v>45932</v>
      </c>
      <c r="E12" t="s">
        <v>258</v>
      </c>
      <c r="F12" s="18">
        <v>45712</v>
      </c>
      <c r="H12" t="s">
        <v>231</v>
      </c>
    </row>
    <row r="13" spans="1:9">
      <c r="A13" t="s">
        <v>259</v>
      </c>
      <c r="B13" t="s">
        <v>260</v>
      </c>
      <c r="C13" t="s">
        <v>43</v>
      </c>
      <c r="D13" t="s">
        <v>261</v>
      </c>
      <c r="E13" s="12" t="s">
        <v>262</v>
      </c>
      <c r="F13" s="18">
        <v>45691</v>
      </c>
      <c r="H13" t="s">
        <v>217</v>
      </c>
    </row>
    <row r="14" spans="1:9">
      <c r="A14" t="s">
        <v>259</v>
      </c>
      <c r="B14" t="s">
        <v>260</v>
      </c>
      <c r="C14" t="s">
        <v>43</v>
      </c>
      <c r="D14" t="s">
        <v>261</v>
      </c>
      <c r="E14" s="12" t="s">
        <v>262</v>
      </c>
      <c r="F14" s="18">
        <v>45698</v>
      </c>
      <c r="H14" t="s">
        <v>217</v>
      </c>
    </row>
    <row r="15" spans="1:9">
      <c r="A15" t="s">
        <v>263</v>
      </c>
      <c r="B15" t="s">
        <v>264</v>
      </c>
      <c r="C15" t="s">
        <v>43</v>
      </c>
      <c r="D15" t="s">
        <v>265</v>
      </c>
      <c r="E15" s="22" t="s">
        <v>266</v>
      </c>
      <c r="F15" s="18">
        <v>45691</v>
      </c>
      <c r="H15" t="s">
        <v>217</v>
      </c>
    </row>
    <row r="16" spans="1:9">
      <c r="A16" t="s">
        <v>263</v>
      </c>
      <c r="B16" t="s">
        <v>264</v>
      </c>
      <c r="C16" t="s">
        <v>43</v>
      </c>
      <c r="D16" t="s">
        <v>265</v>
      </c>
      <c r="E16" s="22" t="s">
        <v>266</v>
      </c>
      <c r="F16" s="18">
        <v>45698</v>
      </c>
      <c r="H16" t="s">
        <v>217</v>
      </c>
    </row>
    <row r="17" spans="1:9">
      <c r="A17" t="s">
        <v>267</v>
      </c>
      <c r="B17" t="s">
        <v>268</v>
      </c>
      <c r="C17" t="s">
        <v>43</v>
      </c>
      <c r="D17" s="2">
        <v>45901</v>
      </c>
      <c r="E17" t="s">
        <v>269</v>
      </c>
      <c r="F17" s="18">
        <v>45691</v>
      </c>
      <c r="H17" t="s">
        <v>231</v>
      </c>
    </row>
    <row r="18" spans="1:9">
      <c r="A18" t="s">
        <v>267</v>
      </c>
      <c r="B18" t="s">
        <v>268</v>
      </c>
      <c r="C18" t="s">
        <v>43</v>
      </c>
      <c r="D18" s="2">
        <v>45901</v>
      </c>
      <c r="E18" t="s">
        <v>269</v>
      </c>
      <c r="F18" s="18">
        <v>45698</v>
      </c>
      <c r="H18" t="s">
        <v>231</v>
      </c>
    </row>
    <row r="19" spans="1:9">
      <c r="A19" t="s">
        <v>267</v>
      </c>
      <c r="B19" t="s">
        <v>268</v>
      </c>
      <c r="C19" t="s">
        <v>43</v>
      </c>
      <c r="D19" s="2">
        <v>45901</v>
      </c>
      <c r="E19" t="s">
        <v>269</v>
      </c>
      <c r="F19" s="18">
        <v>45705</v>
      </c>
      <c r="H19" t="s">
        <v>231</v>
      </c>
    </row>
    <row r="20" spans="1:9">
      <c r="A20" t="s">
        <v>267</v>
      </c>
      <c r="B20" t="s">
        <v>268</v>
      </c>
      <c r="C20" t="s">
        <v>43</v>
      </c>
      <c r="D20" s="2">
        <v>45901</v>
      </c>
      <c r="E20" t="s">
        <v>269</v>
      </c>
      <c r="F20" s="18">
        <v>45712</v>
      </c>
      <c r="H20" t="s">
        <v>231</v>
      </c>
    </row>
    <row r="21" spans="1:9">
      <c r="A21" t="s">
        <v>116</v>
      </c>
      <c r="B21" t="s">
        <v>117</v>
      </c>
      <c r="C21" t="s">
        <v>43</v>
      </c>
      <c r="D21" s="2">
        <v>45963</v>
      </c>
      <c r="E21" t="s">
        <v>270</v>
      </c>
      <c r="F21" s="18">
        <v>45712</v>
      </c>
      <c r="H21" t="s">
        <v>271</v>
      </c>
    </row>
    <row r="22" spans="1:9">
      <c r="A22" t="s">
        <v>129</v>
      </c>
      <c r="B22" s="23" t="s">
        <v>130</v>
      </c>
      <c r="C22" t="s">
        <v>43</v>
      </c>
      <c r="D22" t="s">
        <v>272</v>
      </c>
      <c r="E22" s="9">
        <v>45719</v>
      </c>
      <c r="F22" s="18">
        <v>45712</v>
      </c>
      <c r="H22" t="s">
        <v>271</v>
      </c>
    </row>
    <row r="23" spans="1:9">
      <c r="A23" t="s">
        <v>168</v>
      </c>
      <c r="B23" t="s">
        <v>169</v>
      </c>
      <c r="C23" t="s">
        <v>36</v>
      </c>
      <c r="D23" s="2">
        <v>45659</v>
      </c>
      <c r="E23" t="s">
        <v>270</v>
      </c>
      <c r="F23" s="18">
        <v>45691</v>
      </c>
      <c r="H23" t="s">
        <v>252</v>
      </c>
    </row>
    <row r="24" spans="1:9">
      <c r="A24" t="s">
        <v>168</v>
      </c>
      <c r="B24" t="s">
        <v>169</v>
      </c>
      <c r="C24" t="s">
        <v>36</v>
      </c>
      <c r="D24" s="2">
        <v>45659</v>
      </c>
      <c r="E24" t="s">
        <v>270</v>
      </c>
      <c r="F24" s="18">
        <v>45698</v>
      </c>
      <c r="H24" t="s">
        <v>252</v>
      </c>
    </row>
    <row r="25" spans="1:9">
      <c r="A25" t="s">
        <v>168</v>
      </c>
      <c r="B25" t="s">
        <v>169</v>
      </c>
      <c r="C25" t="s">
        <v>36</v>
      </c>
      <c r="D25" s="2">
        <v>45659</v>
      </c>
      <c r="E25" t="s">
        <v>270</v>
      </c>
      <c r="F25" s="18">
        <v>45705</v>
      </c>
      <c r="H25" t="s">
        <v>252</v>
      </c>
    </row>
    <row r="26" spans="1:9">
      <c r="A26" t="s">
        <v>168</v>
      </c>
      <c r="B26" t="s">
        <v>169</v>
      </c>
      <c r="C26" t="s">
        <v>36</v>
      </c>
      <c r="D26" s="2">
        <v>45659</v>
      </c>
      <c r="E26" t="s">
        <v>270</v>
      </c>
      <c r="F26" s="18">
        <v>45712</v>
      </c>
      <c r="H26" t="s">
        <v>252</v>
      </c>
    </row>
    <row r="27" spans="1:9">
      <c r="A27" t="s">
        <v>273</v>
      </c>
      <c r="B27" t="s">
        <v>274</v>
      </c>
      <c r="C27" t="s">
        <v>36</v>
      </c>
      <c r="D27" s="2">
        <v>45932</v>
      </c>
      <c r="E27" t="s">
        <v>246</v>
      </c>
      <c r="F27" s="18">
        <v>45705</v>
      </c>
      <c r="H27" t="s">
        <v>275</v>
      </c>
    </row>
    <row r="28" spans="1:9">
      <c r="A28" t="s">
        <v>273</v>
      </c>
      <c r="B28" t="s">
        <v>274</v>
      </c>
      <c r="C28" t="s">
        <v>36</v>
      </c>
      <c r="D28" s="2">
        <v>45932</v>
      </c>
      <c r="E28" t="s">
        <v>246</v>
      </c>
      <c r="F28" s="18">
        <v>45712</v>
      </c>
      <c r="H28" t="s">
        <v>275</v>
      </c>
    </row>
    <row r="29" spans="1:9">
      <c r="A29" t="s">
        <v>276</v>
      </c>
      <c r="B29" t="s">
        <v>277</v>
      </c>
      <c r="C29" t="s">
        <v>36</v>
      </c>
      <c r="D29" t="s">
        <v>245</v>
      </c>
      <c r="E29" t="s">
        <v>270</v>
      </c>
      <c r="F29" s="18">
        <v>45712</v>
      </c>
      <c r="H29" t="s">
        <v>271</v>
      </c>
    </row>
    <row r="30" spans="1:9" ht="15" customHeight="1">
      <c r="A30" t="s">
        <v>34</v>
      </c>
      <c r="B30" s="3" t="s">
        <v>35</v>
      </c>
      <c r="C30" t="s">
        <v>36</v>
      </c>
      <c r="D30" t="s">
        <v>245</v>
      </c>
      <c r="E30" t="s">
        <v>246</v>
      </c>
      <c r="F30" s="18">
        <v>45712</v>
      </c>
      <c r="H30" t="s">
        <v>271</v>
      </c>
    </row>
    <row r="31" spans="1:9">
      <c r="A31" s="1" t="s">
        <v>96</v>
      </c>
      <c r="B31" s="1" t="s">
        <v>97</v>
      </c>
      <c r="C31" s="1" t="s">
        <v>43</v>
      </c>
      <c r="D31" s="17">
        <v>45480</v>
      </c>
      <c r="E31" s="17" t="s">
        <v>246</v>
      </c>
      <c r="F31" s="18">
        <v>45691</v>
      </c>
      <c r="G31" s="1"/>
      <c r="H31" s="1" t="s">
        <v>100</v>
      </c>
      <c r="I31" s="1"/>
    </row>
    <row r="32" spans="1:9">
      <c r="A32" s="1" t="s">
        <v>96</v>
      </c>
      <c r="B32" s="1" t="s">
        <v>97</v>
      </c>
      <c r="C32" s="1" t="s">
        <v>43</v>
      </c>
      <c r="D32" s="17">
        <v>45480</v>
      </c>
      <c r="E32" s="17" t="s">
        <v>246</v>
      </c>
      <c r="F32" s="18">
        <v>45698</v>
      </c>
      <c r="G32" s="1"/>
      <c r="H32" s="1" t="s">
        <v>100</v>
      </c>
      <c r="I32" s="1"/>
    </row>
    <row r="33" spans="1:9">
      <c r="A33" s="1" t="s">
        <v>96</v>
      </c>
      <c r="B33" s="1" t="s">
        <v>97</v>
      </c>
      <c r="C33" s="1" t="s">
        <v>43</v>
      </c>
      <c r="D33" s="17">
        <v>45480</v>
      </c>
      <c r="E33" s="17" t="s">
        <v>246</v>
      </c>
      <c r="F33" s="18">
        <v>45705</v>
      </c>
      <c r="G33" s="1"/>
      <c r="H33" s="1" t="s">
        <v>100</v>
      </c>
      <c r="I33" s="1"/>
    </row>
    <row r="34" spans="1:9">
      <c r="A34" s="1" t="s">
        <v>96</v>
      </c>
      <c r="B34" s="1" t="s">
        <v>97</v>
      </c>
      <c r="C34" s="1" t="s">
        <v>43</v>
      </c>
      <c r="D34" s="17">
        <v>45480</v>
      </c>
      <c r="E34" s="17" t="s">
        <v>246</v>
      </c>
      <c r="F34" s="18">
        <v>45712</v>
      </c>
      <c r="G34" s="1"/>
      <c r="H34" s="1" t="s">
        <v>100</v>
      </c>
      <c r="I34" s="1"/>
    </row>
    <row r="35" spans="1:9" s="27" customFormat="1">
      <c r="A35" s="27" t="s">
        <v>278</v>
      </c>
      <c r="B35" s="27" t="s">
        <v>46</v>
      </c>
      <c r="C35" s="27" t="s">
        <v>43</v>
      </c>
      <c r="D35" s="28">
        <v>45719</v>
      </c>
      <c r="E35" s="27" t="s">
        <v>279</v>
      </c>
      <c r="F35" s="18">
        <v>45698</v>
      </c>
      <c r="H35" s="27" t="s">
        <v>217</v>
      </c>
    </row>
    <row r="36" spans="1:9" s="27" customFormat="1">
      <c r="A36" s="27" t="s">
        <v>278</v>
      </c>
      <c r="B36" s="27" t="s">
        <v>46</v>
      </c>
      <c r="C36" s="27" t="s">
        <v>43</v>
      </c>
      <c r="D36" s="28">
        <v>45719</v>
      </c>
      <c r="E36" s="27" t="s">
        <v>279</v>
      </c>
      <c r="F36" s="18"/>
    </row>
    <row r="37" spans="1:9" s="27" customFormat="1">
      <c r="A37" s="27" t="s">
        <v>228</v>
      </c>
      <c r="B37" s="29" t="s">
        <v>229</v>
      </c>
      <c r="C37" s="27" t="s">
        <v>43</v>
      </c>
      <c r="D37" s="28" t="s">
        <v>156</v>
      </c>
      <c r="E37" s="28" t="s">
        <v>230</v>
      </c>
      <c r="F37" s="32" t="s">
        <v>247</v>
      </c>
      <c r="H37" s="27" t="s">
        <v>231</v>
      </c>
    </row>
    <row r="38" spans="1:9" s="27" customFormat="1">
      <c r="D38" s="28"/>
      <c r="E38" s="28"/>
    </row>
    <row r="39" spans="1:9" s="27" customFormat="1">
      <c r="D39" s="28"/>
      <c r="E39" s="28"/>
    </row>
    <row r="41" spans="1:9">
      <c r="F41" t="s">
        <v>280</v>
      </c>
      <c r="H41" t="s">
        <v>217</v>
      </c>
    </row>
    <row r="42" spans="1:9" ht="28.9">
      <c r="A42" t="s">
        <v>281</v>
      </c>
      <c r="B42" t="s">
        <v>282</v>
      </c>
      <c r="C42" s="3" t="s">
        <v>250</v>
      </c>
      <c r="D42" s="2">
        <v>45994</v>
      </c>
      <c r="E42" s="2">
        <v>45842</v>
      </c>
      <c r="H42" s="3" t="s">
        <v>283</v>
      </c>
      <c r="I42" s="3"/>
    </row>
    <row r="43" spans="1:9">
      <c r="D43" s="2"/>
      <c r="E43" s="2"/>
    </row>
  </sheetData>
  <hyperlinks>
    <hyperlink ref="B2" r:id="rId1" display="f5687772@fnb.co.za" xr:uid="{59D64C21-D075-46C6-BFB4-0A3F4B4FB7A1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A09A2-31A5-44F3-92A1-646B4438B5BC}">
  <sheetPr codeName="Sheet10"/>
  <dimension ref="A1:H62"/>
  <sheetViews>
    <sheetView topLeftCell="A11" workbookViewId="0">
      <selection activeCell="A24" sqref="A24:C24"/>
    </sheetView>
  </sheetViews>
  <sheetFormatPr defaultRowHeight="14.45"/>
  <cols>
    <col min="1" max="1" width="36.5703125" bestFit="1" customWidth="1"/>
    <col min="2" max="2" width="10.140625" bestFit="1" customWidth="1"/>
    <col min="3" max="3" width="18.28515625" customWidth="1"/>
    <col min="4" max="4" width="11.5703125" customWidth="1"/>
    <col min="5" max="5" width="21" customWidth="1"/>
    <col min="6" max="6" width="24.5703125" customWidth="1"/>
    <col min="7" max="7" width="21.28515625" customWidth="1"/>
    <col min="8" max="8" width="30.42578125" customWidth="1"/>
  </cols>
  <sheetData>
    <row r="1" spans="1:8">
      <c r="A1" s="34" t="s">
        <v>0</v>
      </c>
      <c r="B1" s="34" t="s">
        <v>1</v>
      </c>
      <c r="C1" s="34" t="s">
        <v>2</v>
      </c>
      <c r="D1" s="34" t="s">
        <v>3</v>
      </c>
      <c r="E1" s="34" t="s">
        <v>4</v>
      </c>
      <c r="F1" s="34" t="s">
        <v>5</v>
      </c>
      <c r="G1" s="34" t="s">
        <v>6</v>
      </c>
      <c r="H1" s="34" t="s">
        <v>7</v>
      </c>
    </row>
    <row r="2" spans="1:8">
      <c r="A2" s="27" t="s">
        <v>284</v>
      </c>
      <c r="B2" s="27" t="s">
        <v>285</v>
      </c>
      <c r="C2" s="27" t="s">
        <v>43</v>
      </c>
      <c r="D2" s="27" t="s">
        <v>286</v>
      </c>
      <c r="E2" s="28">
        <v>45841</v>
      </c>
      <c r="F2" s="38">
        <v>45719</v>
      </c>
      <c r="H2" s="26" t="s">
        <v>217</v>
      </c>
    </row>
    <row r="3" spans="1:8">
      <c r="A3" s="27" t="s">
        <v>284</v>
      </c>
      <c r="B3" s="27" t="s">
        <v>285</v>
      </c>
      <c r="C3" s="27" t="s">
        <v>43</v>
      </c>
      <c r="D3" s="27" t="s">
        <v>286</v>
      </c>
      <c r="E3" s="28">
        <v>45841</v>
      </c>
      <c r="F3" s="38">
        <v>45726</v>
      </c>
      <c r="H3" s="26" t="s">
        <v>217</v>
      </c>
    </row>
    <row r="4" spans="1:8">
      <c r="A4" t="s">
        <v>129</v>
      </c>
      <c r="B4" s="31" t="s">
        <v>130</v>
      </c>
      <c r="C4" t="s">
        <v>43</v>
      </c>
      <c r="D4" s="2">
        <v>45720</v>
      </c>
      <c r="E4" s="2">
        <v>45726</v>
      </c>
      <c r="F4" s="38">
        <v>45719</v>
      </c>
      <c r="H4" t="s">
        <v>252</v>
      </c>
    </row>
    <row r="5" spans="1:8">
      <c r="A5" t="s">
        <v>129</v>
      </c>
      <c r="B5" s="31" t="s">
        <v>130</v>
      </c>
      <c r="C5" t="s">
        <v>43</v>
      </c>
      <c r="D5" s="2">
        <v>45720</v>
      </c>
      <c r="E5" s="2">
        <v>45726</v>
      </c>
      <c r="F5" s="38">
        <v>45726</v>
      </c>
      <c r="H5" t="s">
        <v>271</v>
      </c>
    </row>
    <row r="6" spans="1:8">
      <c r="A6" t="s">
        <v>85</v>
      </c>
      <c r="B6" s="1" t="s">
        <v>86</v>
      </c>
      <c r="C6" t="s">
        <v>43</v>
      </c>
      <c r="D6" s="1" t="s">
        <v>142</v>
      </c>
      <c r="E6" s="1" t="s">
        <v>87</v>
      </c>
      <c r="F6" s="4">
        <v>45719</v>
      </c>
      <c r="H6" t="s">
        <v>144</v>
      </c>
    </row>
    <row r="7" spans="1:8">
      <c r="A7" t="s">
        <v>85</v>
      </c>
      <c r="B7" s="1" t="s">
        <v>86</v>
      </c>
      <c r="C7" t="s">
        <v>43</v>
      </c>
      <c r="D7" s="1" t="s">
        <v>142</v>
      </c>
      <c r="E7" s="1" t="s">
        <v>87</v>
      </c>
      <c r="F7" s="4">
        <v>45726</v>
      </c>
      <c r="H7" t="s">
        <v>144</v>
      </c>
    </row>
    <row r="8" spans="1:8">
      <c r="A8" t="s">
        <v>85</v>
      </c>
      <c r="B8" s="1" t="s">
        <v>86</v>
      </c>
      <c r="C8" t="s">
        <v>43</v>
      </c>
      <c r="D8" s="1" t="s">
        <v>142</v>
      </c>
      <c r="E8" s="1" t="s">
        <v>87</v>
      </c>
      <c r="F8" s="4">
        <v>45733</v>
      </c>
      <c r="H8" t="s">
        <v>144</v>
      </c>
    </row>
    <row r="9" spans="1:8">
      <c r="A9" t="s">
        <v>85</v>
      </c>
      <c r="B9" s="1" t="s">
        <v>86</v>
      </c>
      <c r="C9" t="s">
        <v>43</v>
      </c>
      <c r="D9" s="1" t="s">
        <v>142</v>
      </c>
      <c r="E9" s="1" t="s">
        <v>87</v>
      </c>
      <c r="F9" s="4">
        <v>45740</v>
      </c>
      <c r="H9" t="s">
        <v>144</v>
      </c>
    </row>
    <row r="10" spans="1:8">
      <c r="A10" t="s">
        <v>85</v>
      </c>
      <c r="B10" t="s">
        <v>49</v>
      </c>
      <c r="C10" t="s">
        <v>43</v>
      </c>
      <c r="D10" t="s">
        <v>218</v>
      </c>
      <c r="E10" s="2">
        <v>45906</v>
      </c>
      <c r="F10" s="4">
        <v>45747</v>
      </c>
      <c r="H10" t="s">
        <v>144</v>
      </c>
    </row>
    <row r="11" spans="1:8">
      <c r="A11" t="s">
        <v>253</v>
      </c>
      <c r="B11" t="s">
        <v>49</v>
      </c>
      <c r="C11" t="s">
        <v>43</v>
      </c>
      <c r="D11" t="s">
        <v>218</v>
      </c>
      <c r="E11" s="2">
        <v>45906</v>
      </c>
      <c r="F11" s="4">
        <v>45726</v>
      </c>
      <c r="H11" t="s">
        <v>144</v>
      </c>
    </row>
    <row r="12" spans="1:8">
      <c r="A12" t="s">
        <v>253</v>
      </c>
      <c r="B12" t="s">
        <v>49</v>
      </c>
      <c r="C12" t="s">
        <v>43</v>
      </c>
      <c r="D12" t="s">
        <v>218</v>
      </c>
      <c r="E12" s="2">
        <v>45906</v>
      </c>
      <c r="F12" s="4">
        <v>45733</v>
      </c>
      <c r="H12" t="s">
        <v>144</v>
      </c>
    </row>
    <row r="13" spans="1:8">
      <c r="A13" t="s">
        <v>253</v>
      </c>
      <c r="B13" t="s">
        <v>49</v>
      </c>
      <c r="C13" t="s">
        <v>43</v>
      </c>
      <c r="D13" t="s">
        <v>218</v>
      </c>
      <c r="E13" s="2">
        <v>45906</v>
      </c>
      <c r="F13" s="4">
        <v>45740</v>
      </c>
      <c r="H13" t="s">
        <v>144</v>
      </c>
    </row>
    <row r="14" spans="1:8">
      <c r="A14" t="s">
        <v>253</v>
      </c>
      <c r="B14" t="s">
        <v>49</v>
      </c>
      <c r="C14" t="s">
        <v>43</v>
      </c>
      <c r="D14" t="s">
        <v>218</v>
      </c>
      <c r="E14" s="2">
        <v>45906</v>
      </c>
      <c r="F14" s="4">
        <v>45747</v>
      </c>
      <c r="H14" t="s">
        <v>144</v>
      </c>
    </row>
    <row r="15" spans="1:8">
      <c r="A15" t="s">
        <v>253</v>
      </c>
      <c r="B15" t="s">
        <v>192</v>
      </c>
      <c r="C15" t="s">
        <v>43</v>
      </c>
      <c r="D15" s="4">
        <v>45719</v>
      </c>
      <c r="E15" s="2">
        <v>45964</v>
      </c>
      <c r="F15" s="2">
        <v>45933</v>
      </c>
      <c r="H15" t="s">
        <v>217</v>
      </c>
    </row>
    <row r="16" spans="1:8">
      <c r="A16" t="s">
        <v>191</v>
      </c>
      <c r="B16" t="s">
        <v>192</v>
      </c>
      <c r="C16" t="s">
        <v>43</v>
      </c>
      <c r="D16" s="2">
        <v>45719</v>
      </c>
      <c r="E16" s="2">
        <v>45964</v>
      </c>
      <c r="F16" t="s">
        <v>287</v>
      </c>
      <c r="H16" t="s">
        <v>217</v>
      </c>
    </row>
    <row r="17" spans="1:8">
      <c r="A17" t="s">
        <v>191</v>
      </c>
      <c r="B17" t="s">
        <v>285</v>
      </c>
      <c r="C17" s="27" t="s">
        <v>43</v>
      </c>
      <c r="D17" t="s">
        <v>288</v>
      </c>
      <c r="E17" s="2">
        <v>45841</v>
      </c>
      <c r="F17" t="s">
        <v>289</v>
      </c>
      <c r="H17" t="s">
        <v>217</v>
      </c>
    </row>
    <row r="18" spans="1:8">
      <c r="A18" t="s">
        <v>290</v>
      </c>
      <c r="B18" t="s">
        <v>268</v>
      </c>
      <c r="C18" t="s">
        <v>43</v>
      </c>
      <c r="D18" s="2">
        <v>45901</v>
      </c>
      <c r="E18" t="s">
        <v>269</v>
      </c>
      <c r="F18" s="4">
        <v>45719</v>
      </c>
      <c r="H18" t="s">
        <v>144</v>
      </c>
    </row>
    <row r="19" spans="1:8">
      <c r="A19" t="s">
        <v>267</v>
      </c>
      <c r="B19" t="s">
        <v>268</v>
      </c>
      <c r="C19" t="s">
        <v>43</v>
      </c>
      <c r="D19" s="2">
        <v>45901</v>
      </c>
      <c r="E19" t="s">
        <v>269</v>
      </c>
      <c r="F19" s="4">
        <v>45726</v>
      </c>
      <c r="H19" t="s">
        <v>144</v>
      </c>
    </row>
    <row r="20" spans="1:8">
      <c r="A20" t="s">
        <v>267</v>
      </c>
      <c r="B20" t="s">
        <v>268</v>
      </c>
      <c r="C20" t="s">
        <v>43</v>
      </c>
      <c r="D20" s="2">
        <v>45901</v>
      </c>
      <c r="E20" t="s">
        <v>269</v>
      </c>
      <c r="F20" s="4">
        <v>45733</v>
      </c>
      <c r="H20" t="s">
        <v>144</v>
      </c>
    </row>
    <row r="21" spans="1:8">
      <c r="A21" t="s">
        <v>267</v>
      </c>
      <c r="B21" t="s">
        <v>268</v>
      </c>
      <c r="C21" t="s">
        <v>43</v>
      </c>
      <c r="D21" s="2">
        <v>45901</v>
      </c>
      <c r="E21" t="s">
        <v>269</v>
      </c>
      <c r="F21" s="4">
        <v>45740</v>
      </c>
      <c r="H21" t="s">
        <v>144</v>
      </c>
    </row>
    <row r="22" spans="1:8">
      <c r="A22" t="s">
        <v>267</v>
      </c>
      <c r="B22" t="s">
        <v>268</v>
      </c>
      <c r="C22" t="s">
        <v>43</v>
      </c>
      <c r="D22" s="2">
        <v>45901</v>
      </c>
      <c r="E22" t="s">
        <v>269</v>
      </c>
      <c r="F22" s="4">
        <v>45747</v>
      </c>
      <c r="H22" t="s">
        <v>144</v>
      </c>
    </row>
    <row r="23" spans="1:8">
      <c r="A23" t="s">
        <v>267</v>
      </c>
      <c r="B23" t="s">
        <v>117</v>
      </c>
      <c r="C23" t="s">
        <v>43</v>
      </c>
      <c r="D23" s="2">
        <v>45963</v>
      </c>
      <c r="E23" t="s">
        <v>291</v>
      </c>
      <c r="F23" s="4">
        <v>45719</v>
      </c>
      <c r="H23" t="s">
        <v>271</v>
      </c>
    </row>
    <row r="24" spans="1:8">
      <c r="A24" t="s">
        <v>116</v>
      </c>
      <c r="B24" t="s">
        <v>117</v>
      </c>
      <c r="C24" t="s">
        <v>43</v>
      </c>
      <c r="D24" s="2">
        <v>45963</v>
      </c>
      <c r="E24" t="s">
        <v>292</v>
      </c>
      <c r="F24" s="4">
        <v>45726</v>
      </c>
      <c r="H24" t="s">
        <v>252</v>
      </c>
    </row>
    <row r="25" spans="1:8">
      <c r="A25" t="s">
        <v>116</v>
      </c>
      <c r="B25" t="s">
        <v>117</v>
      </c>
      <c r="C25" t="s">
        <v>43</v>
      </c>
      <c r="D25" s="2">
        <v>45963</v>
      </c>
      <c r="E25" t="s">
        <v>292</v>
      </c>
      <c r="F25" s="4">
        <v>45733</v>
      </c>
      <c r="H25" t="s">
        <v>252</v>
      </c>
    </row>
    <row r="26" spans="1:8">
      <c r="A26" t="s">
        <v>116</v>
      </c>
      <c r="B26" t="s">
        <v>117</v>
      </c>
      <c r="C26" t="s">
        <v>43</v>
      </c>
      <c r="D26" s="2">
        <v>45963</v>
      </c>
      <c r="E26" t="s">
        <v>292</v>
      </c>
      <c r="F26" s="4">
        <v>45740</v>
      </c>
      <c r="H26" t="s">
        <v>252</v>
      </c>
    </row>
    <row r="27" spans="1:8">
      <c r="A27" t="s">
        <v>116</v>
      </c>
      <c r="B27" t="s">
        <v>117</v>
      </c>
      <c r="C27" t="s">
        <v>43</v>
      </c>
      <c r="D27" s="2">
        <v>45963</v>
      </c>
      <c r="E27" t="s">
        <v>292</v>
      </c>
      <c r="F27" s="4">
        <v>45747</v>
      </c>
    </row>
    <row r="28" spans="1:8">
      <c r="A28" t="s">
        <v>116</v>
      </c>
      <c r="B28" t="s">
        <v>120</v>
      </c>
      <c r="C28" t="s">
        <v>43</v>
      </c>
      <c r="D28" t="s">
        <v>293</v>
      </c>
      <c r="E28" t="s">
        <v>294</v>
      </c>
      <c r="F28" s="4">
        <v>45733</v>
      </c>
      <c r="H28" t="s">
        <v>84</v>
      </c>
    </row>
    <row r="29" spans="1:8">
      <c r="A29" t="s">
        <v>149</v>
      </c>
      <c r="B29" t="s">
        <v>120</v>
      </c>
      <c r="C29" t="s">
        <v>43</v>
      </c>
      <c r="D29" t="s">
        <v>293</v>
      </c>
      <c r="E29" t="s">
        <v>294</v>
      </c>
      <c r="F29" s="4">
        <v>45740</v>
      </c>
      <c r="H29" t="s">
        <v>217</v>
      </c>
    </row>
    <row r="30" spans="1:8">
      <c r="A30" t="s">
        <v>149</v>
      </c>
      <c r="B30" t="s">
        <v>295</v>
      </c>
      <c r="C30" t="s">
        <v>75</v>
      </c>
      <c r="D30" s="2">
        <v>45415</v>
      </c>
      <c r="E30" s="2">
        <v>45873</v>
      </c>
      <c r="F30" s="4">
        <v>45726</v>
      </c>
      <c r="G30" s="3"/>
      <c r="H30" t="s">
        <v>296</v>
      </c>
    </row>
    <row r="31" spans="1:8">
      <c r="A31" t="s">
        <v>297</v>
      </c>
      <c r="B31" t="s">
        <v>295</v>
      </c>
      <c r="C31" t="s">
        <v>75</v>
      </c>
      <c r="D31" s="2">
        <v>45415</v>
      </c>
      <c r="E31" s="2">
        <v>45873</v>
      </c>
      <c r="F31" s="4">
        <v>45733</v>
      </c>
      <c r="G31" s="3"/>
      <c r="H31" t="s">
        <v>296</v>
      </c>
    </row>
    <row r="32" spans="1:8">
      <c r="A32" t="s">
        <v>297</v>
      </c>
      <c r="B32" t="s">
        <v>295</v>
      </c>
      <c r="C32" t="s">
        <v>75</v>
      </c>
      <c r="D32" s="2">
        <v>45415</v>
      </c>
      <c r="E32" s="2">
        <v>45873</v>
      </c>
      <c r="F32" s="4">
        <v>45740</v>
      </c>
      <c r="G32" s="3"/>
      <c r="H32" t="s">
        <v>296</v>
      </c>
    </row>
    <row r="33" spans="1:8">
      <c r="A33" t="s">
        <v>297</v>
      </c>
      <c r="B33" t="s">
        <v>295</v>
      </c>
      <c r="C33" t="s">
        <v>75</v>
      </c>
      <c r="D33" s="2">
        <v>45415</v>
      </c>
      <c r="E33" s="2">
        <v>45873</v>
      </c>
      <c r="F33" s="4">
        <v>45747</v>
      </c>
      <c r="G33" s="3"/>
      <c r="H33" t="s">
        <v>296</v>
      </c>
    </row>
    <row r="34" spans="1:8">
      <c r="A34" t="s">
        <v>297</v>
      </c>
      <c r="B34" t="s">
        <v>282</v>
      </c>
      <c r="C34" t="s">
        <v>75</v>
      </c>
      <c r="D34" s="2">
        <v>45415</v>
      </c>
      <c r="E34" s="2">
        <v>45964</v>
      </c>
      <c r="F34" s="4">
        <v>45726</v>
      </c>
      <c r="H34" t="s">
        <v>298</v>
      </c>
    </row>
    <row r="35" spans="1:8">
      <c r="A35" t="s">
        <v>281</v>
      </c>
      <c r="B35" t="s">
        <v>282</v>
      </c>
      <c r="C35" t="s">
        <v>75</v>
      </c>
      <c r="D35" s="2">
        <v>45629</v>
      </c>
      <c r="E35" s="2">
        <v>45873</v>
      </c>
      <c r="F35" s="4">
        <v>45733</v>
      </c>
      <c r="H35" t="s">
        <v>299</v>
      </c>
    </row>
    <row r="36" spans="1:8">
      <c r="A36" t="s">
        <v>281</v>
      </c>
      <c r="B36" t="s">
        <v>282</v>
      </c>
      <c r="C36" t="s">
        <v>75</v>
      </c>
      <c r="D36" s="2">
        <v>45629</v>
      </c>
      <c r="E36" s="2">
        <v>45873</v>
      </c>
      <c r="F36" s="4">
        <v>45740</v>
      </c>
      <c r="H36" t="s">
        <v>299</v>
      </c>
    </row>
    <row r="37" spans="1:8">
      <c r="A37" t="s">
        <v>281</v>
      </c>
      <c r="B37" t="s">
        <v>282</v>
      </c>
      <c r="C37" t="s">
        <v>75</v>
      </c>
      <c r="D37" s="2">
        <v>45629</v>
      </c>
      <c r="E37" s="2">
        <v>45873</v>
      </c>
      <c r="F37" s="4">
        <v>45747</v>
      </c>
      <c r="H37" t="s">
        <v>299</v>
      </c>
    </row>
    <row r="38" spans="1:8">
      <c r="A38" t="s">
        <v>281</v>
      </c>
      <c r="B38" t="s">
        <v>264</v>
      </c>
      <c r="C38" t="s">
        <v>43</v>
      </c>
      <c r="D38" t="s">
        <v>287</v>
      </c>
      <c r="E38" t="s">
        <v>300</v>
      </c>
      <c r="F38" s="2">
        <v>45733</v>
      </c>
      <c r="H38" t="s">
        <v>271</v>
      </c>
    </row>
    <row r="39" spans="1:8">
      <c r="A39" t="s">
        <v>263</v>
      </c>
      <c r="B39" t="s">
        <v>194</v>
      </c>
      <c r="C39" t="s">
        <v>43</v>
      </c>
      <c r="D39" s="2">
        <v>45933</v>
      </c>
      <c r="E39" t="s">
        <v>301</v>
      </c>
      <c r="F39" s="4">
        <v>45740</v>
      </c>
      <c r="H39" t="s">
        <v>302</v>
      </c>
    </row>
    <row r="40" spans="1:8" ht="43.15">
      <c r="A40" t="s">
        <v>303</v>
      </c>
      <c r="B40" s="29" t="s">
        <v>229</v>
      </c>
      <c r="C40" s="27" t="s">
        <v>43</v>
      </c>
      <c r="D40" s="28" t="s">
        <v>156</v>
      </c>
      <c r="E40" s="28" t="s">
        <v>230</v>
      </c>
      <c r="F40" s="33" t="s">
        <v>304</v>
      </c>
      <c r="G40" s="27"/>
      <c r="H40" s="27" t="s">
        <v>231</v>
      </c>
    </row>
    <row r="41" spans="1:8">
      <c r="A41" s="27" t="s">
        <v>228</v>
      </c>
      <c r="B41" t="s">
        <v>257</v>
      </c>
      <c r="C41" t="s">
        <v>250</v>
      </c>
      <c r="D41" s="2">
        <v>45932</v>
      </c>
      <c r="E41" t="s">
        <v>258</v>
      </c>
      <c r="H41" t="s">
        <v>231</v>
      </c>
    </row>
    <row r="42" spans="1:8">
      <c r="A42" t="s">
        <v>256</v>
      </c>
      <c r="B42" s="31" t="s">
        <v>220</v>
      </c>
      <c r="C42" t="s">
        <v>43</v>
      </c>
      <c r="D42" t="s">
        <v>305</v>
      </c>
      <c r="E42" s="2">
        <v>45661</v>
      </c>
      <c r="F42" t="s">
        <v>292</v>
      </c>
      <c r="H42" t="s">
        <v>84</v>
      </c>
    </row>
    <row r="43" spans="1:8">
      <c r="A43" t="s">
        <v>219</v>
      </c>
      <c r="B43" t="s">
        <v>169</v>
      </c>
      <c r="C43" t="s">
        <v>36</v>
      </c>
      <c r="D43" s="2">
        <v>45660</v>
      </c>
      <c r="E43" t="s">
        <v>292</v>
      </c>
      <c r="F43" s="35">
        <v>45719</v>
      </c>
      <c r="H43" t="s">
        <v>271</v>
      </c>
    </row>
    <row r="44" spans="1:8">
      <c r="A44" t="s">
        <v>168</v>
      </c>
      <c r="B44" t="s">
        <v>169</v>
      </c>
      <c r="C44" t="s">
        <v>36</v>
      </c>
      <c r="D44" s="2">
        <v>45660</v>
      </c>
      <c r="E44" t="s">
        <v>292</v>
      </c>
      <c r="F44" s="35">
        <v>45726</v>
      </c>
      <c r="H44" t="s">
        <v>271</v>
      </c>
    </row>
    <row r="45" spans="1:8">
      <c r="A45" t="s">
        <v>168</v>
      </c>
      <c r="B45" t="s">
        <v>169</v>
      </c>
      <c r="C45" t="s">
        <v>36</v>
      </c>
      <c r="D45" s="2">
        <v>45660</v>
      </c>
      <c r="E45" t="s">
        <v>292</v>
      </c>
      <c r="F45" s="35">
        <v>45733</v>
      </c>
      <c r="H45" t="s">
        <v>271</v>
      </c>
    </row>
    <row r="46" spans="1:8">
      <c r="A46" t="s">
        <v>168</v>
      </c>
      <c r="B46" t="s">
        <v>169</v>
      </c>
      <c r="C46" t="s">
        <v>36</v>
      </c>
      <c r="D46" s="2">
        <v>45660</v>
      </c>
      <c r="E46" t="s">
        <v>292</v>
      </c>
      <c r="F46" s="35">
        <v>45740</v>
      </c>
      <c r="H46" t="s">
        <v>271</v>
      </c>
    </row>
    <row r="47" spans="1:8" ht="17.25" customHeight="1">
      <c r="A47" t="s">
        <v>168</v>
      </c>
      <c r="B47" t="s">
        <v>277</v>
      </c>
      <c r="C47" t="s">
        <v>36</v>
      </c>
      <c r="D47" s="2">
        <v>45660</v>
      </c>
      <c r="E47" t="s">
        <v>300</v>
      </c>
      <c r="F47" s="35">
        <v>45719</v>
      </c>
      <c r="H47" t="s">
        <v>271</v>
      </c>
    </row>
    <row r="48" spans="1:8">
      <c r="A48" s="3" t="s">
        <v>306</v>
      </c>
      <c r="B48" t="s">
        <v>277</v>
      </c>
      <c r="C48" t="s">
        <v>36</v>
      </c>
      <c r="D48" s="2">
        <v>45660</v>
      </c>
      <c r="E48" t="s">
        <v>300</v>
      </c>
      <c r="F48" s="35">
        <v>45726</v>
      </c>
      <c r="H48" t="s">
        <v>271</v>
      </c>
    </row>
    <row r="49" spans="1:8">
      <c r="A49" s="3" t="s">
        <v>306</v>
      </c>
      <c r="B49" t="s">
        <v>277</v>
      </c>
      <c r="C49" t="s">
        <v>36</v>
      </c>
      <c r="D49" s="2">
        <v>45660</v>
      </c>
      <c r="E49" t="s">
        <v>300</v>
      </c>
      <c r="F49" s="35">
        <v>45733</v>
      </c>
      <c r="H49" t="s">
        <v>271</v>
      </c>
    </row>
    <row r="50" spans="1:8">
      <c r="A50" s="3" t="s">
        <v>306</v>
      </c>
    </row>
    <row r="51" spans="1:8">
      <c r="B51" s="29" t="s">
        <v>229</v>
      </c>
      <c r="C51" s="27" t="s">
        <v>43</v>
      </c>
      <c r="D51" s="2">
        <v>45719</v>
      </c>
      <c r="E51" t="s">
        <v>307</v>
      </c>
      <c r="F51" s="2">
        <v>45719</v>
      </c>
      <c r="H51" t="s">
        <v>144</v>
      </c>
    </row>
    <row r="52" spans="1:8">
      <c r="A52" t="s">
        <v>228</v>
      </c>
      <c r="B52" s="29" t="s">
        <v>229</v>
      </c>
      <c r="C52" s="27" t="s">
        <v>43</v>
      </c>
      <c r="D52" s="2">
        <v>45933</v>
      </c>
      <c r="E52" t="s">
        <v>307</v>
      </c>
      <c r="F52" s="2">
        <v>45933</v>
      </c>
      <c r="H52" t="s">
        <v>144</v>
      </c>
    </row>
    <row r="53" spans="1:8">
      <c r="A53" t="s">
        <v>228</v>
      </c>
      <c r="B53" s="29" t="s">
        <v>229</v>
      </c>
      <c r="C53" s="27" t="s">
        <v>43</v>
      </c>
      <c r="D53" t="s">
        <v>308</v>
      </c>
      <c r="E53" t="s">
        <v>307</v>
      </c>
      <c r="F53" t="s">
        <v>308</v>
      </c>
      <c r="H53" t="s">
        <v>144</v>
      </c>
    </row>
    <row r="54" spans="1:8">
      <c r="A54" t="s">
        <v>228</v>
      </c>
      <c r="B54" s="29" t="s">
        <v>229</v>
      </c>
      <c r="C54" s="27" t="s">
        <v>43</v>
      </c>
      <c r="D54" t="s">
        <v>309</v>
      </c>
      <c r="E54" t="s">
        <v>307</v>
      </c>
      <c r="F54" t="s">
        <v>309</v>
      </c>
      <c r="H54" t="s">
        <v>144</v>
      </c>
    </row>
    <row r="55" spans="1:8">
      <c r="A55" t="s">
        <v>228</v>
      </c>
      <c r="B55" s="29" t="s">
        <v>229</v>
      </c>
      <c r="C55" s="27" t="s">
        <v>43</v>
      </c>
      <c r="D55" t="s">
        <v>292</v>
      </c>
      <c r="E55" t="s">
        <v>307</v>
      </c>
      <c r="F55" t="s">
        <v>292</v>
      </c>
      <c r="H55" t="s">
        <v>144</v>
      </c>
    </row>
    <row r="56" spans="1:8">
      <c r="A56" t="s">
        <v>228</v>
      </c>
      <c r="B56" t="s">
        <v>310</v>
      </c>
      <c r="C56" t="s">
        <v>36</v>
      </c>
      <c r="D56" t="s">
        <v>311</v>
      </c>
      <c r="E56" t="s">
        <v>292</v>
      </c>
      <c r="F56" t="s">
        <v>305</v>
      </c>
      <c r="H56" t="s">
        <v>312</v>
      </c>
    </row>
    <row r="57" spans="1:8">
      <c r="A57" t="s">
        <v>180</v>
      </c>
      <c r="B57" t="s">
        <v>107</v>
      </c>
      <c r="C57" t="s">
        <v>43</v>
      </c>
      <c r="D57" t="s">
        <v>313</v>
      </c>
      <c r="E57" t="s">
        <v>314</v>
      </c>
      <c r="F57" t="s">
        <v>292</v>
      </c>
      <c r="H57" t="s">
        <v>144</v>
      </c>
    </row>
    <row r="58" spans="1:8">
      <c r="A58" t="s">
        <v>315</v>
      </c>
      <c r="B58" t="s">
        <v>316</v>
      </c>
      <c r="C58" t="s">
        <v>43</v>
      </c>
      <c r="F58" s="35">
        <v>45719</v>
      </c>
    </row>
    <row r="59" spans="1:8">
      <c r="A59" t="s">
        <v>317</v>
      </c>
      <c r="B59" s="37" t="s">
        <v>316</v>
      </c>
      <c r="C59" t="s">
        <v>43</v>
      </c>
      <c r="F59" s="35">
        <v>45726</v>
      </c>
    </row>
    <row r="60" spans="1:8">
      <c r="A60" s="37" t="s">
        <v>317</v>
      </c>
      <c r="B60" s="37" t="s">
        <v>316</v>
      </c>
      <c r="C60" t="s">
        <v>43</v>
      </c>
      <c r="F60" s="35">
        <v>45733</v>
      </c>
    </row>
    <row r="61" spans="1:8">
      <c r="A61" s="37" t="s">
        <v>317</v>
      </c>
      <c r="B61" s="37" t="s">
        <v>316</v>
      </c>
      <c r="C61" t="s">
        <v>43</v>
      </c>
      <c r="F61" s="35">
        <v>45740</v>
      </c>
    </row>
    <row r="62" spans="1:8">
      <c r="A62" s="37" t="s">
        <v>317</v>
      </c>
      <c r="B62" s="37" t="s">
        <v>316</v>
      </c>
      <c r="C62" t="s">
        <v>43</v>
      </c>
      <c r="F62" t="s">
        <v>292</v>
      </c>
    </row>
  </sheetData>
  <hyperlinks>
    <hyperlink ref="B4" r:id="rId1" display="f5569087@fnb.co.za" xr:uid="{945D9380-81E5-4B71-8DC7-92ECCC40AE77}"/>
    <hyperlink ref="B42" r:id="rId2" display="f5377862@fnb.co.za" xr:uid="{79B23D02-3C8A-44E9-AF80-97D5FB772E79}"/>
    <hyperlink ref="B5" r:id="rId3" display="f5569087@fnb.co.za" xr:uid="{4158C4C6-1938-493C-A9C7-39C117EB3A4F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5F6BD-2DD9-4068-BEB8-829E96F78247}">
  <sheetPr codeName="Sheet11"/>
  <dimension ref="A1:H12"/>
  <sheetViews>
    <sheetView workbookViewId="0">
      <selection activeCell="B12" sqref="B12"/>
    </sheetView>
  </sheetViews>
  <sheetFormatPr defaultRowHeight="14.45"/>
  <cols>
    <col min="1" max="1" width="32.7109375" customWidth="1"/>
    <col min="2" max="2" width="20.85546875" customWidth="1"/>
    <col min="3" max="3" width="24.140625" customWidth="1"/>
    <col min="4" max="4" width="15" customWidth="1"/>
    <col min="5" max="5" width="17.85546875" customWidth="1"/>
    <col min="6" max="7" width="20.42578125" customWidth="1"/>
    <col min="8" max="8" width="39.85546875" customWidth="1"/>
    <col min="9" max="9" width="22" customWidth="1"/>
  </cols>
  <sheetData>
    <row r="1" spans="1:8">
      <c r="A1" s="34" t="s">
        <v>0</v>
      </c>
      <c r="B1" s="34" t="s">
        <v>1</v>
      </c>
      <c r="C1" s="34" t="s">
        <v>2</v>
      </c>
      <c r="D1" s="34" t="s">
        <v>3</v>
      </c>
      <c r="E1" s="34" t="s">
        <v>4</v>
      </c>
      <c r="F1" s="34" t="s">
        <v>5</v>
      </c>
      <c r="G1" s="34" t="s">
        <v>6</v>
      </c>
      <c r="H1" s="34" t="s">
        <v>7</v>
      </c>
    </row>
    <row r="2" spans="1:8">
      <c r="A2" t="s">
        <v>297</v>
      </c>
      <c r="B2" t="s">
        <v>295</v>
      </c>
      <c r="C2" t="s">
        <v>75</v>
      </c>
      <c r="D2" s="2">
        <v>45415</v>
      </c>
      <c r="E2" s="2">
        <v>45873</v>
      </c>
      <c r="F2" s="4">
        <v>45754</v>
      </c>
      <c r="G2" s="3"/>
      <c r="H2" t="s">
        <v>296</v>
      </c>
    </row>
    <row r="3" spans="1:8">
      <c r="A3" t="s">
        <v>281</v>
      </c>
      <c r="B3" t="s">
        <v>282</v>
      </c>
      <c r="C3" t="s">
        <v>75</v>
      </c>
      <c r="D3" s="2">
        <v>45629</v>
      </c>
      <c r="E3" s="2">
        <v>45873</v>
      </c>
      <c r="F3" s="4">
        <v>45754</v>
      </c>
      <c r="H3" t="s">
        <v>84</v>
      </c>
    </row>
    <row r="4" spans="1:8">
      <c r="A4" t="s">
        <v>297</v>
      </c>
      <c r="B4" t="s">
        <v>295</v>
      </c>
      <c r="C4" t="s">
        <v>75</v>
      </c>
      <c r="D4" s="2" t="s">
        <v>318</v>
      </c>
      <c r="E4" s="2">
        <v>45693</v>
      </c>
      <c r="F4" s="4">
        <v>45768</v>
      </c>
      <c r="H4" t="s">
        <v>84</v>
      </c>
    </row>
    <row r="5" spans="1:8">
      <c r="A5" t="s">
        <v>297</v>
      </c>
      <c r="B5" t="s">
        <v>295</v>
      </c>
      <c r="C5" t="s">
        <v>75</v>
      </c>
      <c r="D5" s="2" t="s">
        <v>318</v>
      </c>
      <c r="E5" s="2">
        <v>45693</v>
      </c>
      <c r="F5" s="4">
        <v>45775</v>
      </c>
      <c r="H5" t="s">
        <v>84</v>
      </c>
    </row>
    <row r="6" spans="1:8">
      <c r="A6" s="36" t="s">
        <v>319</v>
      </c>
      <c r="B6" t="s">
        <v>320</v>
      </c>
      <c r="C6" t="s">
        <v>75</v>
      </c>
      <c r="D6" s="2" t="s">
        <v>321</v>
      </c>
      <c r="E6" s="2">
        <v>45905</v>
      </c>
      <c r="F6" s="4">
        <v>45775</v>
      </c>
      <c r="H6" t="s">
        <v>84</v>
      </c>
    </row>
    <row r="7" spans="1:8">
      <c r="A7" s="36" t="s">
        <v>209</v>
      </c>
      <c r="B7" t="s">
        <v>25</v>
      </c>
      <c r="C7" t="s">
        <v>43</v>
      </c>
      <c r="D7" s="2" t="s">
        <v>309</v>
      </c>
      <c r="E7" s="2" t="s">
        <v>322</v>
      </c>
      <c r="F7" s="4" t="s">
        <v>323</v>
      </c>
      <c r="H7" t="s">
        <v>252</v>
      </c>
    </row>
    <row r="8" spans="1:8">
      <c r="A8" t="s">
        <v>324</v>
      </c>
      <c r="B8" t="s">
        <v>325</v>
      </c>
      <c r="C8" t="s">
        <v>43</v>
      </c>
      <c r="D8" t="s">
        <v>326</v>
      </c>
      <c r="E8" t="s">
        <v>327</v>
      </c>
      <c r="F8" s="4">
        <v>45754</v>
      </c>
      <c r="H8" t="s">
        <v>84</v>
      </c>
    </row>
    <row r="9" spans="1:8">
      <c r="A9" t="s">
        <v>324</v>
      </c>
      <c r="B9" t="s">
        <v>325</v>
      </c>
      <c r="C9" t="s">
        <v>43</v>
      </c>
      <c r="D9" t="s">
        <v>326</v>
      </c>
      <c r="E9" t="s">
        <v>328</v>
      </c>
      <c r="F9" s="4">
        <v>45761</v>
      </c>
      <c r="H9" t="s">
        <v>84</v>
      </c>
    </row>
    <row r="10" spans="1:8">
      <c r="A10" t="s">
        <v>199</v>
      </c>
      <c r="B10" t="s">
        <v>200</v>
      </c>
      <c r="C10" t="s">
        <v>43</v>
      </c>
      <c r="D10" s="9">
        <v>45842</v>
      </c>
      <c r="E10" t="s">
        <v>329</v>
      </c>
      <c r="F10" s="4">
        <v>45761</v>
      </c>
      <c r="H10" t="s">
        <v>84</v>
      </c>
    </row>
    <row r="11" spans="1:8">
      <c r="A11" t="s">
        <v>199</v>
      </c>
      <c r="B11" t="s">
        <v>200</v>
      </c>
      <c r="C11" t="s">
        <v>43</v>
      </c>
      <c r="D11" s="9">
        <v>45842</v>
      </c>
      <c r="E11" t="s">
        <v>329</v>
      </c>
      <c r="F11" s="4">
        <v>45768</v>
      </c>
      <c r="H11" t="s">
        <v>84</v>
      </c>
    </row>
    <row r="12" spans="1:8">
      <c r="A12" t="s">
        <v>330</v>
      </c>
      <c r="B12" s="20" t="s">
        <v>331</v>
      </c>
      <c r="C12" t="s">
        <v>43</v>
      </c>
      <c r="D12" t="s">
        <v>332</v>
      </c>
      <c r="E12" t="s">
        <v>333</v>
      </c>
      <c r="F12" t="s">
        <v>334</v>
      </c>
      <c r="H12" t="s">
        <v>64</v>
      </c>
    </row>
  </sheetData>
  <hyperlinks>
    <hyperlink ref="B12" r:id="rId1" display="f8876877@fnb.co.za" xr:uid="{7B5B04F5-06CC-4720-AE91-F0348DA62411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84617-2148-42FA-863A-213378F9A03E}">
  <sheetPr codeName="Sheet12">
    <tabColor theme="4" tint="0.79998168889431442"/>
  </sheetPr>
  <dimension ref="A1:H14"/>
  <sheetViews>
    <sheetView workbookViewId="0">
      <selection activeCell="E16" sqref="E16"/>
    </sheetView>
  </sheetViews>
  <sheetFormatPr defaultRowHeight="14.45"/>
  <cols>
    <col min="1" max="1" width="22.7109375" bestFit="1" customWidth="1"/>
    <col min="2" max="2" width="9.5703125" bestFit="1" customWidth="1"/>
    <col min="3" max="3" width="17.85546875" bestFit="1" customWidth="1"/>
    <col min="4" max="4" width="15.42578125" style="2" bestFit="1" customWidth="1"/>
    <col min="5" max="5" width="14.7109375" style="2" bestFit="1" customWidth="1"/>
    <col min="6" max="6" width="54.5703125" style="2" bestFit="1" customWidth="1"/>
    <col min="7" max="7" width="24.85546875" bestFit="1" customWidth="1"/>
    <col min="8" max="8" width="10" bestFit="1" customWidth="1"/>
  </cols>
  <sheetData>
    <row r="1" spans="1:8">
      <c r="A1" s="34" t="s">
        <v>0</v>
      </c>
      <c r="B1" s="34" t="s">
        <v>1</v>
      </c>
      <c r="C1" s="34" t="s">
        <v>2</v>
      </c>
      <c r="D1" s="40" t="s">
        <v>3</v>
      </c>
      <c r="E1" s="40" t="s">
        <v>4</v>
      </c>
      <c r="F1" s="40" t="s">
        <v>5</v>
      </c>
      <c r="G1" s="34" t="s">
        <v>335</v>
      </c>
      <c r="H1" s="34" t="s">
        <v>7</v>
      </c>
    </row>
    <row r="2" spans="1:8">
      <c r="A2" t="s">
        <v>330</v>
      </c>
      <c r="B2" t="str">
        <f>VLOOKUP(A2,OBR_Employees[#All],2,0)</f>
        <v>F8876877</v>
      </c>
      <c r="C2" t="str">
        <f>VLOOKUP(A2,OBR_Employees[#All],3,0)</f>
        <v>Team 3 LOC Advisors</v>
      </c>
      <c r="D2" s="2">
        <v>45751</v>
      </c>
      <c r="E2" s="2">
        <v>45771</v>
      </c>
      <c r="F2" s="2">
        <v>45761</v>
      </c>
      <c r="G2" t="s">
        <v>217</v>
      </c>
      <c r="H2">
        <f>E2-D2</f>
        <v>20</v>
      </c>
    </row>
    <row r="3" spans="1:8">
      <c r="A3" t="s">
        <v>336</v>
      </c>
      <c r="B3" t="str">
        <f>VLOOKUP(A3,OBR_Employees[#All],2,0)</f>
        <v>F5447887</v>
      </c>
      <c r="C3" t="str">
        <f>VLOOKUP(A3,OBR_Employees[#All],3,0)</f>
        <v>Team 2 LOC Advisors</v>
      </c>
      <c r="D3" s="2">
        <v>45760</v>
      </c>
      <c r="E3" s="2">
        <v>45768</v>
      </c>
      <c r="F3" s="2">
        <v>45768</v>
      </c>
      <c r="G3" t="s">
        <v>64</v>
      </c>
      <c r="H3">
        <f t="shared" ref="H3:H13" si="0">E3-D3</f>
        <v>8</v>
      </c>
    </row>
    <row r="4" spans="1:8">
      <c r="A4" t="s">
        <v>337</v>
      </c>
      <c r="B4" t="str">
        <f>VLOOKUP(A4,OBR_Employees[#All],2,0)</f>
        <v>F8878465</v>
      </c>
      <c r="C4" t="str">
        <f>VLOOKUP(A4,OBR_Employees[#All],3,0)</f>
        <v>Team 3 LOC Advisors</v>
      </c>
      <c r="H4">
        <f t="shared" si="0"/>
        <v>0</v>
      </c>
    </row>
    <row r="5" spans="1:8">
      <c r="A5" t="s">
        <v>338</v>
      </c>
      <c r="B5" t="str">
        <f>VLOOKUP(A5,OBR_Employees[#All],2,0)</f>
        <v>F5560624</v>
      </c>
      <c r="C5" t="str">
        <f>VLOOKUP(A5,OBR_Employees[#All],3,0)</f>
        <v>Team 1 LOC Advisors</v>
      </c>
      <c r="H5">
        <f t="shared" si="0"/>
        <v>0</v>
      </c>
    </row>
    <row r="6" spans="1:8">
      <c r="A6" t="s">
        <v>172</v>
      </c>
      <c r="B6" t="str">
        <f>VLOOKUP(A6,OBR_Employees[#All],2,0)</f>
        <v>F4961935</v>
      </c>
      <c r="C6" t="str">
        <f>VLOOKUP(A6,OBR_Employees[#All],3,0)</f>
        <v>LOC 2</v>
      </c>
      <c r="D6" s="2">
        <v>45661</v>
      </c>
      <c r="E6" s="2">
        <v>45662</v>
      </c>
      <c r="F6" s="2">
        <v>45663</v>
      </c>
      <c r="G6" t="s">
        <v>231</v>
      </c>
      <c r="H6">
        <f t="shared" si="0"/>
        <v>1</v>
      </c>
    </row>
    <row r="7" spans="1:8">
      <c r="A7" t="s">
        <v>238</v>
      </c>
      <c r="B7" t="str">
        <f>VLOOKUP(A7,OBR_Employees[#All],2,0)</f>
        <v>F5694744</v>
      </c>
      <c r="C7" t="str">
        <f>VLOOKUP(A7,OBR_Employees[#All],3,0)</f>
        <v>Team 1 Paralegals</v>
      </c>
      <c r="D7" s="2">
        <v>45666</v>
      </c>
      <c r="E7" s="2">
        <v>45677</v>
      </c>
      <c r="F7" s="2">
        <v>45670</v>
      </c>
      <c r="G7" t="s">
        <v>64</v>
      </c>
      <c r="H7">
        <f t="shared" si="0"/>
        <v>11</v>
      </c>
    </row>
    <row r="8" spans="1:8">
      <c r="A8" t="s">
        <v>238</v>
      </c>
      <c r="B8" t="str">
        <f>VLOOKUP(A8,OBR_Employees[#All],2,0)</f>
        <v>F5694744</v>
      </c>
      <c r="C8" t="str">
        <f>VLOOKUP(A8,OBR_Employees[#All],3,0)</f>
        <v>Team 1 Paralegals</v>
      </c>
      <c r="D8" s="2">
        <v>45666</v>
      </c>
      <c r="E8" s="2">
        <v>45677</v>
      </c>
      <c r="F8" s="2">
        <v>45677</v>
      </c>
      <c r="G8" t="s">
        <v>64</v>
      </c>
      <c r="H8">
        <f t="shared" si="0"/>
        <v>11</v>
      </c>
    </row>
    <row r="9" spans="1:8">
      <c r="A9" t="s">
        <v>55</v>
      </c>
      <c r="B9" t="str">
        <f>VLOOKUP(A9,OBR_Employees[#All],2,0)</f>
        <v>F5459788</v>
      </c>
      <c r="C9" t="str">
        <f>VLOOKUP(A9,OBR_Employees[#All],3,0)</f>
        <v>BLOC</v>
      </c>
      <c r="D9" s="2">
        <v>45751</v>
      </c>
      <c r="E9" s="2">
        <v>45764</v>
      </c>
      <c r="F9" s="2">
        <v>45761</v>
      </c>
      <c r="G9" t="s">
        <v>217</v>
      </c>
      <c r="H9">
        <f t="shared" si="0"/>
        <v>13</v>
      </c>
    </row>
    <row r="10" spans="1:8">
      <c r="A10" t="s">
        <v>55</v>
      </c>
      <c r="B10" t="str">
        <f>VLOOKUP(A10,OBR_Employees[#All],2,0)</f>
        <v>F5459788</v>
      </c>
      <c r="C10" t="str">
        <f>VLOOKUP(A10,OBR_Employees[#All],3,0)</f>
        <v>BLOC</v>
      </c>
      <c r="E10" s="2">
        <v>45764</v>
      </c>
      <c r="F10" s="2">
        <v>45768</v>
      </c>
      <c r="G10" t="s">
        <v>217</v>
      </c>
      <c r="H10">
        <f t="shared" si="0"/>
        <v>45764</v>
      </c>
    </row>
    <row r="11" spans="1:8">
      <c r="A11" t="s">
        <v>337</v>
      </c>
      <c r="B11" t="str">
        <f>VLOOKUP(A11,OBR_Employees[#All],2,0)</f>
        <v>F8878465</v>
      </c>
      <c r="C11" t="str">
        <f>VLOOKUP(A11,OBR_Employees[#All],3,0)</f>
        <v>Team 3 LOC Advisors</v>
      </c>
      <c r="H11">
        <f t="shared" si="0"/>
        <v>0</v>
      </c>
    </row>
    <row r="12" spans="1:8">
      <c r="A12" t="s">
        <v>216</v>
      </c>
      <c r="B12" t="str">
        <f>VLOOKUP(A12,OBR_Employees[#All],2,0)</f>
        <v>F5437954</v>
      </c>
      <c r="C12" t="str">
        <f>VLOOKUP(A12,OBR_Employees[#All],3,0)</f>
        <v>Team 3 LOC Advisors</v>
      </c>
      <c r="H12">
        <f t="shared" si="0"/>
        <v>0</v>
      </c>
    </row>
    <row r="13" spans="1:8">
      <c r="A13" t="s">
        <v>199</v>
      </c>
      <c r="B13" t="str">
        <f>VLOOKUP(A13,OBR_Employees[#All],2,0)</f>
        <v>F5595398</v>
      </c>
      <c r="C13" t="str">
        <f>VLOOKUP(A13,OBR_Employees[#All],3,0)</f>
        <v>Team 1 LOC Advisors</v>
      </c>
      <c r="D13" s="2">
        <v>45659</v>
      </c>
      <c r="E13" s="2">
        <v>45665</v>
      </c>
      <c r="F13" s="2">
        <v>45691</v>
      </c>
      <c r="G13" t="s">
        <v>217</v>
      </c>
      <c r="H13">
        <f t="shared" si="0"/>
        <v>6</v>
      </c>
    </row>
    <row r="14" spans="1:8">
      <c r="A14" t="s">
        <v>324</v>
      </c>
      <c r="B14" t="str">
        <f>VLOOKUP(A14,OBR_Employees[#All],2,0)</f>
        <v>F8872468</v>
      </c>
      <c r="C14" t="str">
        <f>VLOOKUP(A14,OBR_Employees[#All],3,0)</f>
        <v>Team 1 LOC Advisors</v>
      </c>
    </row>
  </sheetData>
  <dataValidations count="1">
    <dataValidation type="list" allowBlank="1" showInputMessage="1" showErrorMessage="1" errorTitle="Wrong Information Displayed" promptTitle="Select Leave reason" prompt="Please select leave reason from the list, for system issues, please send through the IT ticket number via email." sqref="G2:G1048576" xr:uid="{EC427216-FA63-4263-AE00-03BE504EA002}">
      <formula1>"Annual Leave, Sick Leave, Maternity Leave, Week Duration System Issues, Other"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promptTitle="Select Leave End date" prompt="Please select the last leave date" xr:uid="{4604D665-79F5-4C01-88C7-718B3727C4A5}">
          <x14:formula1>
            <xm:f>'Date list'!$A$2:$A$732</xm:f>
          </x14:formula1>
          <xm:sqref>E2:E1048576</xm:sqref>
        </x14:dataValidation>
        <x14:dataValidation type="list" allowBlank="1" showInputMessage="1" showErrorMessage="1" promptTitle="Monday Affected" prompt="Please select which Monday scorecard was/is affected, if more than one scorecard, please insert in the next row." xr:uid="{E2D20F60-A8D7-4829-8126-23058F6C3B57}">
          <x14:formula1>
            <xm:f>'Date list'!$D$2:$D$105</xm:f>
          </x14:formula1>
          <xm:sqref>F2:F1048576</xm:sqref>
        </x14:dataValidation>
        <x14:dataValidation type="list" allowBlank="1" showInputMessage="1" showErrorMessage="1" promptTitle="Select Individual" prompt="Please select an individual for the list, their F_Number and Team will automatically populate if you double click on the right upper corner of cell B and C respectively_x000a_" xr:uid="{2E490AFF-317E-4925-81D1-CDDC5C0AD9CC}">
          <x14:formula1>
            <xm:f>Employees!$A$2:$A$101</xm:f>
          </x14:formula1>
          <xm:sqref>A2:A1048576</xm:sqref>
        </x14:dataValidation>
        <x14:dataValidation type="list" allowBlank="1" showInputMessage="1" showErrorMessage="1" promptTitle="Select Leave start date" prompt="Please select from the list the leave start date" xr:uid="{701C7EE6-F5E6-4DA0-89FD-3F8B39524668}">
          <x14:formula1>
            <xm:f>'Date list'!$A$2:$A$732</xm:f>
          </x14:formula1>
          <xm:sqref>D2:D9 D12:D1048576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467E9-2F42-4D1A-996C-11C32D63A32A}">
  <dimension ref="A1"/>
  <sheetViews>
    <sheetView workbookViewId="0"/>
  </sheetViews>
  <sheetFormatPr defaultRowHeight="14.4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7CA11-1FC1-49C9-9F6E-DFCDF11530CF}">
  <sheetPr codeName="Sheet15"/>
  <dimension ref="A1:H10"/>
  <sheetViews>
    <sheetView workbookViewId="0">
      <selection activeCell="C17" sqref="C17"/>
    </sheetView>
  </sheetViews>
  <sheetFormatPr defaultRowHeight="14.45"/>
  <cols>
    <col min="1" max="1" width="16.140625" customWidth="1"/>
    <col min="2" max="2" width="13.5703125" customWidth="1"/>
    <col min="3" max="4" width="17.5703125" customWidth="1"/>
    <col min="5" max="5" width="25.42578125" customWidth="1"/>
    <col min="6" max="6" width="27.28515625" customWidth="1"/>
    <col min="7" max="7" width="16.5703125" customWidth="1"/>
    <col min="8" max="8" width="27" customWidth="1"/>
  </cols>
  <sheetData>
    <row r="1" spans="1:8">
      <c r="A1" s="34" t="s">
        <v>0</v>
      </c>
      <c r="B1" s="34" t="s">
        <v>1</v>
      </c>
      <c r="C1" s="34" t="s">
        <v>2</v>
      </c>
      <c r="D1" s="34" t="s">
        <v>3</v>
      </c>
      <c r="E1" s="34" t="s">
        <v>4</v>
      </c>
      <c r="F1" s="34" t="s">
        <v>5</v>
      </c>
      <c r="G1" s="34" t="s">
        <v>6</v>
      </c>
      <c r="H1" s="34" t="s">
        <v>7</v>
      </c>
    </row>
    <row r="2" spans="1:8">
      <c r="A2" t="s">
        <v>297</v>
      </c>
      <c r="B2" t="s">
        <v>295</v>
      </c>
      <c r="C2" t="s">
        <v>75</v>
      </c>
      <c r="D2" s="2" t="s">
        <v>318</v>
      </c>
      <c r="E2" s="2">
        <v>45693</v>
      </c>
      <c r="F2" s="4">
        <v>45782</v>
      </c>
      <c r="H2" t="s">
        <v>84</v>
      </c>
    </row>
    <row r="3" spans="1:8">
      <c r="A3" s="36" t="s">
        <v>319</v>
      </c>
      <c r="B3" t="s">
        <v>320</v>
      </c>
      <c r="C3" t="s">
        <v>75</v>
      </c>
      <c r="D3" s="2" t="s">
        <v>321</v>
      </c>
      <c r="E3" s="2">
        <v>45905</v>
      </c>
      <c r="F3" s="4">
        <v>45782</v>
      </c>
      <c r="H3" t="s">
        <v>84</v>
      </c>
    </row>
    <row r="4" spans="1:8">
      <c r="A4" s="36" t="s">
        <v>319</v>
      </c>
      <c r="B4" t="s">
        <v>320</v>
      </c>
      <c r="C4" t="s">
        <v>75</v>
      </c>
      <c r="D4" s="2" t="s">
        <v>321</v>
      </c>
      <c r="E4" s="2">
        <v>45905</v>
      </c>
      <c r="F4" s="4">
        <v>45789</v>
      </c>
      <c r="H4" t="s">
        <v>84</v>
      </c>
    </row>
    <row r="5" spans="1:8">
      <c r="A5" t="s">
        <v>339</v>
      </c>
      <c r="B5" t="s">
        <v>75</v>
      </c>
      <c r="C5" t="s">
        <v>75</v>
      </c>
      <c r="D5" t="s">
        <v>340</v>
      </c>
      <c r="E5" s="35">
        <v>45807</v>
      </c>
      <c r="F5" s="4">
        <v>45796</v>
      </c>
      <c r="H5" t="s">
        <v>84</v>
      </c>
    </row>
    <row r="6" spans="1:8">
      <c r="A6" t="s">
        <v>339</v>
      </c>
      <c r="B6" t="s">
        <v>75</v>
      </c>
      <c r="C6" t="s">
        <v>75</v>
      </c>
      <c r="D6" t="s">
        <v>340</v>
      </c>
      <c r="E6" s="35">
        <v>45807</v>
      </c>
      <c r="F6" s="35">
        <v>45803</v>
      </c>
      <c r="H6" t="s">
        <v>84</v>
      </c>
    </row>
    <row r="7" spans="1:8">
      <c r="A7" t="s">
        <v>267</v>
      </c>
      <c r="B7" t="s">
        <v>268</v>
      </c>
      <c r="C7" t="s">
        <v>43</v>
      </c>
      <c r="D7" s="2">
        <v>45901</v>
      </c>
      <c r="E7" t="s">
        <v>269</v>
      </c>
      <c r="F7" s="4">
        <v>45782</v>
      </c>
      <c r="H7" t="s">
        <v>341</v>
      </c>
    </row>
    <row r="8" spans="1:8">
      <c r="A8" t="s">
        <v>267</v>
      </c>
      <c r="B8" t="s">
        <v>268</v>
      </c>
      <c r="C8" t="s">
        <v>43</v>
      </c>
      <c r="D8" s="2">
        <v>45901</v>
      </c>
      <c r="E8" t="s">
        <v>269</v>
      </c>
      <c r="F8" s="4">
        <v>45789</v>
      </c>
      <c r="H8" t="s">
        <v>341</v>
      </c>
    </row>
    <row r="9" spans="1:8">
      <c r="A9" t="s">
        <v>267</v>
      </c>
      <c r="B9" t="s">
        <v>268</v>
      </c>
      <c r="C9" t="s">
        <v>43</v>
      </c>
      <c r="D9" s="2">
        <v>45901</v>
      </c>
      <c r="E9" t="s">
        <v>269</v>
      </c>
      <c r="F9" s="4">
        <v>45796</v>
      </c>
      <c r="H9" t="s">
        <v>341</v>
      </c>
    </row>
    <row r="10" spans="1:8">
      <c r="A10" t="s">
        <v>267</v>
      </c>
      <c r="B10" t="s">
        <v>268</v>
      </c>
      <c r="C10" t="s">
        <v>43</v>
      </c>
      <c r="D10" s="2">
        <v>45901</v>
      </c>
      <c r="E10" t="s">
        <v>269</v>
      </c>
      <c r="F10" s="35">
        <v>45803</v>
      </c>
      <c r="H10" t="s">
        <v>341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19C5A-C544-4C9B-9365-44444DE3FF7E}">
  <sheetPr codeName="Sheet13">
    <tabColor theme="4" tint="0.79998168889431442"/>
  </sheetPr>
  <dimension ref="A1:I45"/>
  <sheetViews>
    <sheetView topLeftCell="A32" workbookViewId="0">
      <selection activeCell="G30" sqref="G30"/>
    </sheetView>
  </sheetViews>
  <sheetFormatPr defaultRowHeight="14.45"/>
  <cols>
    <col min="1" max="1" width="21.5703125" bestFit="1" customWidth="1"/>
    <col min="2" max="2" width="9.5703125" bestFit="1" customWidth="1"/>
    <col min="3" max="3" width="17.85546875" bestFit="1" customWidth="1"/>
    <col min="4" max="4" width="15.42578125" style="2" bestFit="1" customWidth="1"/>
    <col min="5" max="5" width="14.7109375" style="2" bestFit="1" customWidth="1"/>
    <col min="6" max="6" width="54.5703125" style="2" bestFit="1" customWidth="1"/>
    <col min="7" max="7" width="24.85546875" bestFit="1" customWidth="1"/>
    <col min="8" max="8" width="14.28515625" customWidth="1"/>
  </cols>
  <sheetData>
    <row r="1" spans="1:9">
      <c r="A1" s="34" t="s">
        <v>0</v>
      </c>
      <c r="B1" s="34" t="s">
        <v>1</v>
      </c>
      <c r="C1" s="34" t="s">
        <v>2</v>
      </c>
      <c r="D1" s="40" t="s">
        <v>3</v>
      </c>
      <c r="E1" s="40" t="s">
        <v>4</v>
      </c>
      <c r="F1" s="40" t="s">
        <v>5</v>
      </c>
      <c r="G1" s="34" t="s">
        <v>335</v>
      </c>
      <c r="H1" s="34" t="s">
        <v>7</v>
      </c>
    </row>
    <row r="2" spans="1:9">
      <c r="A2" t="s">
        <v>324</v>
      </c>
      <c r="B2" t="str">
        <f>VLOOKUP(A2,OBR_Employees[#All],2,0)</f>
        <v>F8872468</v>
      </c>
      <c r="C2" t="str">
        <f>VLOOKUP(A2,OBR_Employees[#All],3,0)</f>
        <v>Team 1 LOC Advisors</v>
      </c>
      <c r="D2" s="2">
        <v>45743</v>
      </c>
      <c r="E2" s="2">
        <v>45760</v>
      </c>
      <c r="F2" s="2">
        <v>45754</v>
      </c>
      <c r="G2" t="s">
        <v>217</v>
      </c>
      <c r="H2" s="34">
        <f>E2-D2</f>
        <v>17</v>
      </c>
    </row>
    <row r="3" spans="1:9">
      <c r="A3" t="s">
        <v>324</v>
      </c>
      <c r="B3" t="str">
        <f>VLOOKUP(A3,OBR_Employees[#All],2,0)</f>
        <v>F8872468</v>
      </c>
      <c r="C3" t="str">
        <f>VLOOKUP(A3,OBR_Employees[#All],3,0)</f>
        <v>Team 1 LOC Advisors</v>
      </c>
      <c r="D3" s="2">
        <v>45743</v>
      </c>
      <c r="E3" s="2">
        <v>45760</v>
      </c>
      <c r="F3" s="2">
        <v>45761</v>
      </c>
      <c r="G3" t="s">
        <v>217</v>
      </c>
      <c r="H3" s="34">
        <f t="shared" ref="H3" si="0">E3-D3</f>
        <v>17</v>
      </c>
    </row>
    <row r="4" spans="1:9">
      <c r="A4" t="s">
        <v>199</v>
      </c>
      <c r="B4" t="str">
        <f>VLOOKUP(A4,OBR_Employees[#All],2,0)</f>
        <v>F5595398</v>
      </c>
      <c r="C4" t="str">
        <f>VLOOKUP(A4,OBR_Employees[#All],3,0)</f>
        <v>Team 1 LOC Advisors</v>
      </c>
      <c r="D4" s="2">
        <v>45751</v>
      </c>
      <c r="E4" s="2">
        <v>45764</v>
      </c>
      <c r="F4" s="2">
        <v>45761</v>
      </c>
      <c r="G4" t="s">
        <v>217</v>
      </c>
      <c r="H4" s="34">
        <v>10</v>
      </c>
    </row>
    <row r="5" spans="1:9">
      <c r="A5" t="s">
        <v>199</v>
      </c>
      <c r="B5" t="str">
        <f>VLOOKUP(A5,OBR_Employees[#All],2,0)</f>
        <v>F5595398</v>
      </c>
      <c r="C5" t="str">
        <f>VLOOKUP(A5,OBR_Employees[#All],3,0)</f>
        <v>Team 1 LOC Advisors</v>
      </c>
      <c r="D5" s="2">
        <v>45751</v>
      </c>
      <c r="E5" s="2">
        <v>45764</v>
      </c>
      <c r="F5" s="2">
        <v>45768</v>
      </c>
      <c r="G5" t="s">
        <v>217</v>
      </c>
      <c r="H5" s="34">
        <v>10</v>
      </c>
      <c r="I5" s="34"/>
    </row>
    <row r="6" spans="1:9">
      <c r="A6" t="s">
        <v>267</v>
      </c>
      <c r="B6" t="s">
        <v>268</v>
      </c>
      <c r="C6" t="s">
        <v>43</v>
      </c>
      <c r="D6" s="2">
        <v>45901</v>
      </c>
      <c r="E6" t="s">
        <v>269</v>
      </c>
      <c r="F6" s="2">
        <v>45747</v>
      </c>
      <c r="G6" t="s">
        <v>231</v>
      </c>
      <c r="H6" s="34"/>
    </row>
    <row r="7" spans="1:9">
      <c r="A7" t="s">
        <v>267</v>
      </c>
      <c r="B7" t="s">
        <v>268</v>
      </c>
      <c r="C7" t="s">
        <v>43</v>
      </c>
      <c r="D7" s="2">
        <v>45901</v>
      </c>
      <c r="E7" t="s">
        <v>269</v>
      </c>
      <c r="F7" s="2">
        <v>45754</v>
      </c>
      <c r="G7" t="s">
        <v>231</v>
      </c>
      <c r="H7" s="34"/>
    </row>
    <row r="8" spans="1:9">
      <c r="A8" t="s">
        <v>267</v>
      </c>
      <c r="B8" t="s">
        <v>268</v>
      </c>
      <c r="C8" t="s">
        <v>43</v>
      </c>
      <c r="D8" s="2">
        <v>45901</v>
      </c>
      <c r="E8" t="s">
        <v>269</v>
      </c>
      <c r="F8" s="2">
        <v>45761</v>
      </c>
      <c r="G8" t="s">
        <v>231</v>
      </c>
      <c r="H8" s="34"/>
    </row>
    <row r="9" spans="1:9">
      <c r="A9" t="s">
        <v>267</v>
      </c>
      <c r="B9" t="s">
        <v>268</v>
      </c>
      <c r="C9" t="s">
        <v>43</v>
      </c>
      <c r="D9" s="2">
        <v>45901</v>
      </c>
      <c r="E9" t="s">
        <v>269</v>
      </c>
      <c r="F9" s="2">
        <v>45768</v>
      </c>
      <c r="G9" t="s">
        <v>231</v>
      </c>
      <c r="H9" s="34"/>
    </row>
    <row r="10" spans="1:9">
      <c r="A10" t="s">
        <v>116</v>
      </c>
      <c r="B10" t="s">
        <v>117</v>
      </c>
      <c r="C10" t="s">
        <v>43</v>
      </c>
      <c r="D10" s="2">
        <v>45963</v>
      </c>
      <c r="E10" s="2">
        <v>45693</v>
      </c>
      <c r="F10" s="2">
        <v>45747</v>
      </c>
      <c r="G10" t="s">
        <v>64</v>
      </c>
      <c r="H10" s="34"/>
    </row>
    <row r="11" spans="1:9">
      <c r="A11" t="s">
        <v>116</v>
      </c>
      <c r="B11" t="s">
        <v>117</v>
      </c>
      <c r="C11" t="s">
        <v>43</v>
      </c>
      <c r="D11" s="2">
        <v>45963</v>
      </c>
      <c r="E11" s="2">
        <v>45693</v>
      </c>
      <c r="F11" s="2">
        <v>45754</v>
      </c>
      <c r="G11" t="s">
        <v>64</v>
      </c>
      <c r="H11" s="34"/>
    </row>
    <row r="12" spans="1:9">
      <c r="A12" t="s">
        <v>116</v>
      </c>
      <c r="B12" t="s">
        <v>117</v>
      </c>
      <c r="C12" t="s">
        <v>43</v>
      </c>
      <c r="D12" s="2">
        <v>45963</v>
      </c>
      <c r="E12" s="2">
        <v>45693</v>
      </c>
      <c r="F12" s="2">
        <v>45761</v>
      </c>
      <c r="G12" t="s">
        <v>64</v>
      </c>
      <c r="H12" s="34"/>
    </row>
    <row r="13" spans="1:9">
      <c r="A13" t="s">
        <v>116</v>
      </c>
      <c r="B13" t="s">
        <v>117</v>
      </c>
      <c r="C13" t="s">
        <v>43</v>
      </c>
      <c r="D13" s="2">
        <v>45963</v>
      </c>
      <c r="E13" s="2">
        <v>45693</v>
      </c>
      <c r="F13" s="2">
        <v>45768</v>
      </c>
      <c r="G13" t="s">
        <v>64</v>
      </c>
      <c r="H13" s="34"/>
    </row>
    <row r="14" spans="1:9">
      <c r="A14" t="s">
        <v>228</v>
      </c>
      <c r="B14" s="29" t="s">
        <v>229</v>
      </c>
      <c r="C14" s="27" t="s">
        <v>43</v>
      </c>
      <c r="D14" s="2">
        <v>45748</v>
      </c>
      <c r="E14" t="s">
        <v>307</v>
      </c>
      <c r="F14" s="2">
        <v>45754</v>
      </c>
      <c r="G14" s="41" t="s">
        <v>144</v>
      </c>
      <c r="H14" s="34"/>
    </row>
    <row r="15" spans="1:9">
      <c r="A15" t="s">
        <v>228</v>
      </c>
      <c r="B15" s="29" t="s">
        <v>229</v>
      </c>
      <c r="C15" s="27" t="s">
        <v>43</v>
      </c>
      <c r="D15" s="2">
        <v>45748</v>
      </c>
      <c r="E15">
        <v>45825</v>
      </c>
      <c r="F15" s="2">
        <v>45761</v>
      </c>
      <c r="G15" s="41" t="s">
        <v>144</v>
      </c>
      <c r="H15" s="34"/>
    </row>
    <row r="16" spans="1:9">
      <c r="A16" t="s">
        <v>228</v>
      </c>
      <c r="B16" s="29" t="s">
        <v>229</v>
      </c>
      <c r="C16" s="27" t="s">
        <v>43</v>
      </c>
      <c r="D16" s="2">
        <v>45748</v>
      </c>
      <c r="E16" t="s">
        <v>342</v>
      </c>
      <c r="F16" s="2">
        <v>45768</v>
      </c>
      <c r="G16" s="41" t="s">
        <v>144</v>
      </c>
      <c r="H16" s="34"/>
    </row>
    <row r="17" spans="1:8">
      <c r="A17" t="s">
        <v>228</v>
      </c>
      <c r="B17" s="29" t="s">
        <v>229</v>
      </c>
      <c r="C17" t="s">
        <v>43</v>
      </c>
      <c r="D17" s="2">
        <v>45748</v>
      </c>
      <c r="E17" t="s">
        <v>343</v>
      </c>
      <c r="F17" s="2">
        <v>45775</v>
      </c>
      <c r="G17" s="41" t="s">
        <v>144</v>
      </c>
      <c r="H17" s="34"/>
    </row>
    <row r="18" spans="1:8">
      <c r="A18" t="s">
        <v>56</v>
      </c>
      <c r="B18" t="s">
        <v>57</v>
      </c>
      <c r="C18" t="s">
        <v>43</v>
      </c>
      <c r="D18" s="2">
        <v>45769</v>
      </c>
      <c r="E18" s="2">
        <v>45784</v>
      </c>
      <c r="F18" s="2">
        <v>45775</v>
      </c>
      <c r="G18" t="s">
        <v>217</v>
      </c>
      <c r="H18" s="34"/>
    </row>
    <row r="19" spans="1:8">
      <c r="A19" t="s">
        <v>56</v>
      </c>
      <c r="B19" t="s">
        <v>57</v>
      </c>
      <c r="C19" t="s">
        <v>43</v>
      </c>
      <c r="D19" s="2">
        <v>45769</v>
      </c>
      <c r="E19" s="2">
        <v>45784</v>
      </c>
      <c r="F19" s="2">
        <v>45782</v>
      </c>
      <c r="G19" t="s">
        <v>217</v>
      </c>
      <c r="H19" s="34"/>
    </row>
    <row r="20" spans="1:8">
      <c r="A20" t="s">
        <v>56</v>
      </c>
      <c r="B20" t="s">
        <v>57</v>
      </c>
      <c r="C20" t="s">
        <v>43</v>
      </c>
      <c r="D20" s="2">
        <v>45769</v>
      </c>
      <c r="E20" s="2">
        <v>45784</v>
      </c>
      <c r="F20" s="2">
        <v>45789</v>
      </c>
      <c r="G20" t="s">
        <v>217</v>
      </c>
      <c r="H20" s="34"/>
    </row>
    <row r="21" spans="1:8">
      <c r="A21" t="s">
        <v>177</v>
      </c>
      <c r="B21" t="s">
        <v>344</v>
      </c>
      <c r="C21" t="s">
        <v>345</v>
      </c>
      <c r="D21" s="2">
        <v>45749</v>
      </c>
      <c r="E21" s="2">
        <v>45755</v>
      </c>
      <c r="F21" s="2">
        <v>45754</v>
      </c>
      <c r="G21" t="s">
        <v>217</v>
      </c>
      <c r="H21" s="34"/>
    </row>
    <row r="22" spans="1:8">
      <c r="A22" t="s">
        <v>177</v>
      </c>
      <c r="B22" t="s">
        <v>344</v>
      </c>
      <c r="C22" t="s">
        <v>345</v>
      </c>
      <c r="D22" s="2">
        <v>45749</v>
      </c>
      <c r="E22" s="2">
        <v>45755</v>
      </c>
      <c r="F22" s="2">
        <v>45761</v>
      </c>
      <c r="G22" t="s">
        <v>217</v>
      </c>
    </row>
    <row r="23" spans="1:8">
      <c r="A23" t="s">
        <v>179</v>
      </c>
      <c r="B23" t="s">
        <v>346</v>
      </c>
      <c r="C23" t="s">
        <v>345</v>
      </c>
      <c r="D23" s="2">
        <v>45748</v>
      </c>
      <c r="E23" s="2">
        <v>45757</v>
      </c>
      <c r="F23" s="2">
        <v>45754</v>
      </c>
      <c r="G23" t="s">
        <v>347</v>
      </c>
      <c r="H23" s="42" t="s">
        <v>348</v>
      </c>
    </row>
    <row r="24" spans="1:8">
      <c r="A24" t="s">
        <v>179</v>
      </c>
      <c r="B24" t="s">
        <v>346</v>
      </c>
      <c r="C24" t="s">
        <v>345</v>
      </c>
      <c r="D24" s="2">
        <v>45748</v>
      </c>
      <c r="E24" s="2">
        <v>45757</v>
      </c>
      <c r="F24" s="2">
        <v>45761</v>
      </c>
      <c r="G24" t="s">
        <v>217</v>
      </c>
      <c r="H24" s="42" t="s">
        <v>349</v>
      </c>
    </row>
    <row r="25" spans="1:8">
      <c r="A25" t="s">
        <v>350</v>
      </c>
      <c r="B25" t="s">
        <v>69</v>
      </c>
      <c r="C25" t="s">
        <v>345</v>
      </c>
      <c r="D25" s="2">
        <v>45761</v>
      </c>
      <c r="E25" s="2">
        <v>45779</v>
      </c>
      <c r="F25" s="2">
        <v>45768</v>
      </c>
      <c r="G25" t="s">
        <v>64</v>
      </c>
    </row>
    <row r="26" spans="1:8">
      <c r="A26" t="s">
        <v>350</v>
      </c>
      <c r="B26" t="s">
        <v>69</v>
      </c>
      <c r="C26" t="s">
        <v>345</v>
      </c>
      <c r="D26" s="2">
        <v>45761</v>
      </c>
      <c r="E26" s="2">
        <v>45779</v>
      </c>
      <c r="F26" s="2">
        <v>45775</v>
      </c>
      <c r="G26" t="s">
        <v>64</v>
      </c>
    </row>
    <row r="27" spans="1:8">
      <c r="A27" t="s">
        <v>34</v>
      </c>
      <c r="B27" t="s">
        <v>35</v>
      </c>
      <c r="C27" t="s">
        <v>345</v>
      </c>
      <c r="D27" s="2">
        <v>45748</v>
      </c>
      <c r="E27" s="2">
        <v>45751</v>
      </c>
      <c r="F27" s="2">
        <v>45754</v>
      </c>
      <c r="G27" t="s">
        <v>64</v>
      </c>
    </row>
    <row r="28" spans="1:8">
      <c r="A28" t="s">
        <v>315</v>
      </c>
      <c r="B28" t="s">
        <v>316</v>
      </c>
      <c r="C28" t="s">
        <v>43</v>
      </c>
      <c r="D28"/>
      <c r="E28"/>
      <c r="F28" s="2">
        <v>45754</v>
      </c>
      <c r="G28" t="s">
        <v>231</v>
      </c>
    </row>
    <row r="29" spans="1:8">
      <c r="A29" t="s">
        <v>315</v>
      </c>
      <c r="B29" t="s">
        <v>316</v>
      </c>
      <c r="C29" t="s">
        <v>43</v>
      </c>
      <c r="F29" s="2">
        <v>45761</v>
      </c>
      <c r="G29" t="s">
        <v>231</v>
      </c>
    </row>
    <row r="30" spans="1:8">
      <c r="A30" t="s">
        <v>315</v>
      </c>
      <c r="B30" t="s">
        <v>316</v>
      </c>
      <c r="C30" t="s">
        <v>43</v>
      </c>
      <c r="F30" s="2">
        <v>45768</v>
      </c>
      <c r="G30" t="s">
        <v>231</v>
      </c>
    </row>
    <row r="31" spans="1:8">
      <c r="A31" t="s">
        <v>315</v>
      </c>
      <c r="B31" t="s">
        <v>316</v>
      </c>
      <c r="C31" t="s">
        <v>43</v>
      </c>
      <c r="F31" s="2">
        <v>45775</v>
      </c>
      <c r="G31" t="s">
        <v>231</v>
      </c>
    </row>
    <row r="32" spans="1:8">
      <c r="A32" t="s">
        <v>38</v>
      </c>
      <c r="B32" t="s">
        <v>351</v>
      </c>
      <c r="C32" t="s">
        <v>345</v>
      </c>
      <c r="D32" s="2">
        <v>45776</v>
      </c>
      <c r="E32" s="2">
        <v>45779</v>
      </c>
      <c r="F32" s="2">
        <v>45782</v>
      </c>
      <c r="G32" t="s">
        <v>217</v>
      </c>
    </row>
    <row r="33" spans="1:7">
      <c r="A33" t="s">
        <v>172</v>
      </c>
      <c r="B33" t="s">
        <v>352</v>
      </c>
      <c r="C33" t="s">
        <v>345</v>
      </c>
      <c r="D33" s="2">
        <v>45776</v>
      </c>
      <c r="E33" s="2">
        <v>45779</v>
      </c>
      <c r="F33" s="2">
        <v>45782</v>
      </c>
      <c r="G33" t="s">
        <v>217</v>
      </c>
    </row>
    <row r="34" spans="1:7">
      <c r="A34" t="s">
        <v>297</v>
      </c>
      <c r="B34" t="s">
        <v>295</v>
      </c>
      <c r="C34" t="s">
        <v>75</v>
      </c>
      <c r="D34" s="2">
        <v>45415</v>
      </c>
      <c r="E34" s="2">
        <v>45873</v>
      </c>
      <c r="F34" s="4">
        <v>45754</v>
      </c>
      <c r="G34" t="s">
        <v>296</v>
      </c>
    </row>
    <row r="35" spans="1:7">
      <c r="A35" t="s">
        <v>281</v>
      </c>
      <c r="B35" t="s">
        <v>282</v>
      </c>
      <c r="C35" t="s">
        <v>75</v>
      </c>
      <c r="D35" s="2">
        <v>45629</v>
      </c>
      <c r="E35" s="2">
        <v>45873</v>
      </c>
      <c r="F35" s="4">
        <v>45754</v>
      </c>
      <c r="G35" t="s">
        <v>84</v>
      </c>
    </row>
    <row r="36" spans="1:7">
      <c r="A36" t="s">
        <v>297</v>
      </c>
      <c r="B36" t="s">
        <v>295</v>
      </c>
      <c r="C36" t="s">
        <v>75</v>
      </c>
      <c r="D36" s="2" t="s">
        <v>318</v>
      </c>
      <c r="E36" s="2">
        <v>45693</v>
      </c>
      <c r="F36" s="4">
        <v>45768</v>
      </c>
      <c r="G36" t="s">
        <v>84</v>
      </c>
    </row>
    <row r="37" spans="1:7">
      <c r="A37" t="s">
        <v>297</v>
      </c>
      <c r="B37" t="s">
        <v>295</v>
      </c>
      <c r="C37" t="s">
        <v>75</v>
      </c>
      <c r="D37" s="2" t="s">
        <v>318</v>
      </c>
      <c r="E37" s="2">
        <v>45693</v>
      </c>
      <c r="F37" s="4">
        <v>45775</v>
      </c>
      <c r="G37" t="s">
        <v>84</v>
      </c>
    </row>
    <row r="38" spans="1:7">
      <c r="A38" s="36" t="s">
        <v>319</v>
      </c>
      <c r="B38" t="s">
        <v>320</v>
      </c>
      <c r="C38" t="s">
        <v>75</v>
      </c>
      <c r="D38" s="2" t="s">
        <v>321</v>
      </c>
      <c r="E38" s="2">
        <v>45905</v>
      </c>
      <c r="F38" s="4">
        <v>45775</v>
      </c>
      <c r="G38" t="s">
        <v>84</v>
      </c>
    </row>
    <row r="39" spans="1:7">
      <c r="A39" t="s">
        <v>353</v>
      </c>
      <c r="B39" t="s">
        <v>354</v>
      </c>
      <c r="C39" t="s">
        <v>43</v>
      </c>
      <c r="D39" s="2">
        <v>45768</v>
      </c>
      <c r="E39" s="2">
        <v>45772</v>
      </c>
      <c r="F39" s="2">
        <v>45775</v>
      </c>
      <c r="G39" t="s">
        <v>217</v>
      </c>
    </row>
    <row r="40" spans="1:7">
      <c r="A40" t="s">
        <v>154</v>
      </c>
      <c r="B40" t="s">
        <v>355</v>
      </c>
      <c r="C40" t="s">
        <v>43</v>
      </c>
      <c r="D40" s="2">
        <v>45768</v>
      </c>
      <c r="E40" s="2">
        <v>45772</v>
      </c>
      <c r="F40" s="2">
        <v>45775</v>
      </c>
      <c r="G40" t="s">
        <v>64</v>
      </c>
    </row>
    <row r="41" spans="1:7">
      <c r="A41" t="s">
        <v>330</v>
      </c>
      <c r="B41" t="s">
        <v>331</v>
      </c>
      <c r="C41" t="s">
        <v>43</v>
      </c>
      <c r="D41" s="2">
        <v>45768</v>
      </c>
      <c r="E41" s="2">
        <v>45772</v>
      </c>
      <c r="F41" s="2">
        <v>45775</v>
      </c>
      <c r="G41" t="s">
        <v>64</v>
      </c>
    </row>
    <row r="42" spans="1:7">
      <c r="A42" t="s">
        <v>85</v>
      </c>
      <c r="B42" t="s">
        <v>86</v>
      </c>
      <c r="C42" t="s">
        <v>43</v>
      </c>
      <c r="D42" s="2">
        <v>45761</v>
      </c>
      <c r="E42" s="2">
        <v>45765</v>
      </c>
      <c r="F42" s="2">
        <v>45768</v>
      </c>
      <c r="G42" t="s">
        <v>64</v>
      </c>
    </row>
    <row r="43" spans="1:7">
      <c r="A43" t="s">
        <v>93</v>
      </c>
      <c r="B43" t="s">
        <v>94</v>
      </c>
      <c r="C43" t="s">
        <v>43</v>
      </c>
      <c r="D43" s="2">
        <v>45769</v>
      </c>
      <c r="E43" s="2">
        <v>45772</v>
      </c>
      <c r="F43" s="2">
        <v>45775</v>
      </c>
      <c r="G43" t="s">
        <v>217</v>
      </c>
    </row>
    <row r="45" spans="1:7">
      <c r="A45" t="s">
        <v>356</v>
      </c>
    </row>
  </sheetData>
  <dataValidations count="1">
    <dataValidation type="list" allowBlank="1" showInputMessage="1" showErrorMessage="1" errorTitle="Wrong Information Displayed" promptTitle="Select Leave reason" prompt="Please select leave reason from the list, for system issues, please send through the IT ticket number via email." sqref="G2:G13 G18:G46 G52:G1048576" xr:uid="{265EDB6D-FC5D-49DA-8A06-A48DE14E299F}">
      <formula1>"Annual Leave, Sick Leave, Maternity Leave, Week Duration System Issues, Other"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promptTitle="Select Leave start date" prompt="Please select from the list the leave start date" xr:uid="{2A413A42-9C45-455F-815C-6331E31217BB}">
          <x14:formula1>
            <xm:f>'Date list'!$A$2:$A$732</xm:f>
          </x14:formula1>
          <xm:sqref>D2:D46 D52:D1048576</xm:sqref>
        </x14:dataValidation>
        <x14:dataValidation type="list" allowBlank="1" showInputMessage="1" showErrorMessage="1" promptTitle="Select Individual" prompt="Please select an individual for the list, their F_Number and Team will automatically populate if you double click on the right upper corner of cell B and C respectively_x000a_" xr:uid="{CCA64774-9558-40A1-8B3B-92FC3ECC2E09}">
          <x14:formula1>
            <xm:f>Employees!$A$2:$A$101</xm:f>
          </x14:formula1>
          <xm:sqref>A2:A46 A52:A1048576</xm:sqref>
        </x14:dataValidation>
        <x14:dataValidation type="list" allowBlank="1" showInputMessage="1" showErrorMessage="1" promptTitle="Monday Affected" prompt="Please select which Monday scorecard was/is affected, if more than one scorecard, please insert in the next row." xr:uid="{D0B42B0C-DBD1-4674-B95F-4F599553A8F7}">
          <x14:formula1>
            <xm:f>'Date list'!$D$2:$D$105</xm:f>
          </x14:formula1>
          <xm:sqref>F2:F46 F52:F1048576</xm:sqref>
        </x14:dataValidation>
        <x14:dataValidation type="list" allowBlank="1" showInputMessage="1" showErrorMessage="1" promptTitle="Select Leave End date" prompt="Please select the last leave date" xr:uid="{873B1EBB-A513-4DC7-A413-C0513D8C1A64}">
          <x14:formula1>
            <xm:f>'Date list'!$A$2:$A$732</xm:f>
          </x14:formula1>
          <xm:sqref>E2:E46 E52:E1048576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9786B-FB55-4DBF-A45E-10E5D494A715}">
  <dimension ref="A1"/>
  <sheetViews>
    <sheetView workbookViewId="0"/>
  </sheetViews>
  <sheetFormatPr defaultRowHeight="14.4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63BD7-6D55-4732-9B6F-48DD940676D9}">
  <dimension ref="A1"/>
  <sheetViews>
    <sheetView workbookViewId="0"/>
  </sheetViews>
  <sheetFormatPr defaultRowHeight="14.4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43576-E213-433C-8DFF-D3E84ADA1832}">
  <dimension ref="A1"/>
  <sheetViews>
    <sheetView workbookViewId="0"/>
  </sheetViews>
  <sheetFormatPr defaultRowHeight="14.4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0CC1A-B91F-4F47-869F-58CEA35AF76A}">
  <dimension ref="A1"/>
  <sheetViews>
    <sheetView workbookViewId="0"/>
  </sheetViews>
  <sheetFormatPr defaultRowHeight="14.4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CBBC6-69AB-4FED-9639-821E1F9046E1}">
  <dimension ref="A1"/>
  <sheetViews>
    <sheetView workbookViewId="0"/>
  </sheetViews>
  <sheetFormatPr defaultRowHeight="14.4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A9288-4111-4357-AC35-23ABF65EFF5B}">
  <dimension ref="A1"/>
  <sheetViews>
    <sheetView workbookViewId="0"/>
  </sheetViews>
  <sheetFormatPr defaultRowHeight="14.4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12BF1-F027-4B83-8004-38B5AC1FCBD7}">
  <dimension ref="A1"/>
  <sheetViews>
    <sheetView topLeftCell="A46" workbookViewId="0"/>
  </sheetViews>
  <sheetFormatPr defaultRowHeight="14.4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F9524-C857-40F7-BE74-63785EB75845}">
  <dimension ref="A1"/>
  <sheetViews>
    <sheetView workbookViewId="0"/>
  </sheetViews>
  <sheetFormatPr defaultRowHeight="14.4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9DE44-DFC4-4999-B8D6-FEE05714A855}">
  <sheetPr codeName="Sheet14">
    <tabColor theme="4" tint="0.79998168889431442"/>
  </sheetPr>
  <dimension ref="A1:H64"/>
  <sheetViews>
    <sheetView workbookViewId="0">
      <selection activeCell="F19" sqref="F19"/>
    </sheetView>
  </sheetViews>
  <sheetFormatPr defaultRowHeight="14.45"/>
  <cols>
    <col min="1" max="1" width="21.5703125" bestFit="1" customWidth="1"/>
    <col min="2" max="2" width="10.7109375" customWidth="1"/>
    <col min="3" max="3" width="20.42578125" customWidth="1"/>
    <col min="4" max="4" width="15.42578125" style="2" bestFit="1" customWidth="1"/>
    <col min="5" max="5" width="14.7109375" style="2" bestFit="1" customWidth="1"/>
    <col min="6" max="6" width="54.5703125" style="2" bestFit="1" customWidth="1"/>
    <col min="7" max="7" width="24.85546875" bestFit="1" customWidth="1"/>
    <col min="8" max="8" width="10" bestFit="1" customWidth="1"/>
  </cols>
  <sheetData>
    <row r="1" spans="1:8">
      <c r="A1" s="34" t="s">
        <v>0</v>
      </c>
      <c r="B1" s="34" t="s">
        <v>1</v>
      </c>
      <c r="C1" s="34" t="s">
        <v>2</v>
      </c>
      <c r="D1" s="40" t="s">
        <v>3</v>
      </c>
      <c r="E1" s="40" t="s">
        <v>4</v>
      </c>
      <c r="F1" s="40" t="s">
        <v>5</v>
      </c>
      <c r="G1" s="34" t="s">
        <v>335</v>
      </c>
      <c r="H1" s="34" t="s">
        <v>7</v>
      </c>
    </row>
    <row r="2" spans="1:8">
      <c r="A2" t="s">
        <v>19</v>
      </c>
      <c r="B2" t="str">
        <f>VLOOKUP(A2,OBR_Employees[#All],2,0)</f>
        <v>F5383323</v>
      </c>
      <c r="C2" t="str">
        <f>VLOOKUP(A2,OBR_Employees[#All],3,0)</f>
        <v>Rejections</v>
      </c>
      <c r="D2" s="2">
        <v>45782</v>
      </c>
      <c r="F2" s="2">
        <v>45789</v>
      </c>
      <c r="G2" t="s">
        <v>347</v>
      </c>
      <c r="H2">
        <f>E2-D2</f>
        <v>-45782</v>
      </c>
    </row>
    <row r="3" spans="1:8">
      <c r="A3" t="s">
        <v>19</v>
      </c>
      <c r="B3" t="str">
        <f>VLOOKUP(A3,OBR_Employees[#All],2,0)</f>
        <v>F5383323</v>
      </c>
      <c r="C3" t="str">
        <f>VLOOKUP(A3,OBR_Employees[#All],3,0)</f>
        <v>Rejections</v>
      </c>
      <c r="D3" s="2">
        <v>45782</v>
      </c>
      <c r="F3" s="2">
        <v>45796</v>
      </c>
      <c r="G3" t="s">
        <v>347</v>
      </c>
    </row>
    <row r="4" spans="1:8">
      <c r="A4" t="s">
        <v>149</v>
      </c>
      <c r="B4" t="str">
        <f>VLOOKUP(A4,OBR_Employees[#All],2,0)</f>
        <v>F5485908</v>
      </c>
      <c r="C4" t="str">
        <f>VLOOKUP(A4,OBR_Employees[#All],3,0)</f>
        <v>Team 2 LOC Advisors</v>
      </c>
      <c r="D4" s="2">
        <v>45789</v>
      </c>
      <c r="F4" s="2">
        <v>45796</v>
      </c>
      <c r="G4" t="s">
        <v>347</v>
      </c>
    </row>
    <row r="5" spans="1:8">
      <c r="A5" t="s">
        <v>357</v>
      </c>
      <c r="B5" t="str">
        <f>VLOOKUP(A5,OBR_Employees[#All],2,0)</f>
        <v>F8877177</v>
      </c>
      <c r="C5" t="str">
        <f>VLOOKUP(A5,OBR_Employees[#All],3,0)</f>
        <v>Comp 2</v>
      </c>
      <c r="D5" s="2">
        <v>45782</v>
      </c>
      <c r="E5" s="2">
        <v>45786</v>
      </c>
      <c r="F5" s="2">
        <v>45782</v>
      </c>
      <c r="G5" t="s">
        <v>217</v>
      </c>
      <c r="H5">
        <v>5</v>
      </c>
    </row>
    <row r="6" spans="1:8">
      <c r="A6" t="s">
        <v>58</v>
      </c>
      <c r="B6" t="str">
        <f>VLOOKUP(A6,OBR_Employees[#All],2,0)</f>
        <v>F5589932</v>
      </c>
      <c r="C6" t="str">
        <f>VLOOKUP(A6,OBR_Employees[#All],3,0)</f>
        <v>Team 3 LOC Advisors</v>
      </c>
      <c r="D6" s="2">
        <v>45693</v>
      </c>
      <c r="E6" s="2">
        <v>45792</v>
      </c>
      <c r="F6" s="2">
        <v>45782</v>
      </c>
      <c r="G6" t="s">
        <v>217</v>
      </c>
      <c r="H6">
        <v>10</v>
      </c>
    </row>
    <row r="7" spans="1:8">
      <c r="A7" t="s">
        <v>58</v>
      </c>
      <c r="B7" t="str">
        <f>VLOOKUP(A7,OBR_Employees[#All],2,0)</f>
        <v>F5589932</v>
      </c>
      <c r="C7" t="str">
        <f>VLOOKUP(A7,OBR_Employees[#All],3,0)</f>
        <v>Team 3 LOC Advisors</v>
      </c>
      <c r="D7" s="2">
        <v>45693</v>
      </c>
      <c r="E7" s="2">
        <v>45792</v>
      </c>
      <c r="F7" s="2">
        <v>45789</v>
      </c>
      <c r="G7" t="s">
        <v>217</v>
      </c>
      <c r="H7">
        <v>10</v>
      </c>
    </row>
    <row r="8" spans="1:8">
      <c r="A8" t="s">
        <v>358</v>
      </c>
      <c r="B8" t="str">
        <f>VLOOKUP(A8,OBR_Employees[#All],2,0)</f>
        <v>F5298261</v>
      </c>
      <c r="C8" t="str">
        <f>VLOOKUP(A8,OBR_Employees[#All],3,0)</f>
        <v>Rejections</v>
      </c>
      <c r="D8" s="2">
        <v>45778</v>
      </c>
      <c r="E8" s="2">
        <v>45808</v>
      </c>
      <c r="G8" t="s">
        <v>359</v>
      </c>
      <c r="H8">
        <v>31</v>
      </c>
    </row>
    <row r="9" spans="1:8">
      <c r="A9" t="s">
        <v>330</v>
      </c>
      <c r="B9" t="str">
        <f>VLOOKUP(A9,OBR_Employees[#All],2,0)</f>
        <v>F8876877</v>
      </c>
      <c r="C9" t="str">
        <f>VLOOKUP(A9,OBR_Employees[#All],3,0)</f>
        <v>Team 3 LOC Advisors</v>
      </c>
      <c r="D9" s="2">
        <v>45782</v>
      </c>
      <c r="E9" s="2">
        <v>45905</v>
      </c>
      <c r="F9" s="2">
        <v>45996</v>
      </c>
      <c r="G9" t="s">
        <v>217</v>
      </c>
      <c r="H9">
        <v>5</v>
      </c>
    </row>
    <row r="10" spans="1:8">
      <c r="A10" s="26" t="s">
        <v>216</v>
      </c>
      <c r="B10" s="26" t="str">
        <f>VLOOKUP(A10,OBR_Employees[#All],2,0)</f>
        <v>F5437954</v>
      </c>
      <c r="C10" s="26" t="str">
        <f>VLOOKUP(A10,OBR_Employees[#All],3,0)</f>
        <v>Team 3 LOC Advisors</v>
      </c>
      <c r="D10" s="44">
        <v>45996</v>
      </c>
      <c r="E10" s="44">
        <v>45945</v>
      </c>
      <c r="F10" s="44">
        <v>45796</v>
      </c>
      <c r="G10" s="26" t="s">
        <v>231</v>
      </c>
      <c r="H10">
        <v>163</v>
      </c>
    </row>
    <row r="11" spans="1:8">
      <c r="A11" s="26" t="s">
        <v>216</v>
      </c>
      <c r="B11" s="26" t="str">
        <f>VLOOKUP(A11,OBR_Employees[#All],2,0)</f>
        <v>F5437954</v>
      </c>
      <c r="C11" s="26" t="str">
        <f>VLOOKUP(A11,OBR_Employees[#All],3,0)</f>
        <v>Team 3 LOC Advisors</v>
      </c>
      <c r="D11" s="44">
        <v>45996</v>
      </c>
      <c r="E11" s="44">
        <v>45945</v>
      </c>
      <c r="F11" s="44">
        <v>45803</v>
      </c>
      <c r="G11" s="26" t="s">
        <v>231</v>
      </c>
      <c r="H11">
        <v>163</v>
      </c>
    </row>
    <row r="12" spans="1:8">
      <c r="A12" t="s">
        <v>56</v>
      </c>
      <c r="B12" t="str">
        <f>VLOOKUP(A12,OBR_Employees[#All],2,0)</f>
        <v>F5586143</v>
      </c>
      <c r="C12" t="str">
        <f>VLOOKUP(A12,OBR_Employees[#All],3,0)</f>
        <v>Team 1 BLOC Paralegals</v>
      </c>
      <c r="D12" s="2">
        <v>45769</v>
      </c>
      <c r="E12" s="2">
        <v>45784</v>
      </c>
      <c r="F12" s="2">
        <v>45782</v>
      </c>
      <c r="G12" t="s">
        <v>217</v>
      </c>
      <c r="H12" s="34">
        <v>10</v>
      </c>
    </row>
    <row r="13" spans="1:8">
      <c r="A13" t="s">
        <v>56</v>
      </c>
      <c r="B13" t="str">
        <f>VLOOKUP(A13,OBR_Employees[#All],2,0)</f>
        <v>F5586143</v>
      </c>
      <c r="C13" t="str">
        <f>VLOOKUP(A13,OBR_Employees[#All],3,0)</f>
        <v>Team 1 BLOC Paralegals</v>
      </c>
      <c r="D13" s="2">
        <v>45769</v>
      </c>
      <c r="E13" s="2">
        <v>45784</v>
      </c>
      <c r="F13" s="2">
        <v>45789</v>
      </c>
      <c r="G13" t="s">
        <v>217</v>
      </c>
      <c r="H13" s="34">
        <v>10</v>
      </c>
    </row>
    <row r="14" spans="1:8">
      <c r="A14" t="s">
        <v>183</v>
      </c>
      <c r="B14" t="str">
        <f>VLOOKUP(A14,OBR_Employees[#All],2,0)</f>
        <v>F8876531</v>
      </c>
      <c r="C14" t="str">
        <f>VLOOKUP(A14,OBR_Employees[#All],3,0)</f>
        <v>Team 1 LOC Advisors</v>
      </c>
      <c r="D14" s="2">
        <v>45775</v>
      </c>
      <c r="E14" s="2">
        <v>45789</v>
      </c>
      <c r="F14" s="2">
        <v>45782</v>
      </c>
      <c r="G14" t="s">
        <v>217</v>
      </c>
      <c r="H14" s="34">
        <v>10</v>
      </c>
    </row>
    <row r="15" spans="1:8">
      <c r="A15" t="s">
        <v>183</v>
      </c>
      <c r="B15" t="str">
        <f>VLOOKUP(A15,OBR_Employees[#All],2,0)</f>
        <v>F8876531</v>
      </c>
      <c r="C15" t="str">
        <f>VLOOKUP(A15,OBR_Employees[#All],3,0)</f>
        <v>Team 1 LOC Advisors</v>
      </c>
      <c r="D15" s="2">
        <v>45775</v>
      </c>
      <c r="E15" s="2">
        <v>45789</v>
      </c>
      <c r="F15" s="2">
        <v>45789</v>
      </c>
      <c r="G15" t="s">
        <v>217</v>
      </c>
      <c r="H15" s="34">
        <v>10</v>
      </c>
    </row>
    <row r="16" spans="1:8">
      <c r="A16" t="s">
        <v>253</v>
      </c>
      <c r="B16" t="str">
        <f>VLOOKUP(A16,OBR_Employees[#All],2,0)</f>
        <v>F5390052</v>
      </c>
      <c r="C16" t="str">
        <f>VLOOKUP(A16,OBR_Employees[#All],3,0)</f>
        <v>Team 1 LOC Advisors</v>
      </c>
      <c r="D16" s="11" t="s">
        <v>218</v>
      </c>
      <c r="E16" s="2">
        <v>45817</v>
      </c>
      <c r="F16" s="2">
        <v>45782</v>
      </c>
      <c r="G16" t="s">
        <v>231</v>
      </c>
      <c r="H16" s="34">
        <v>10</v>
      </c>
    </row>
    <row r="17" spans="1:8">
      <c r="A17" t="s">
        <v>253</v>
      </c>
      <c r="B17" t="str">
        <f>VLOOKUP(A17,OBR_Employees[#All],2,0)</f>
        <v>F5390052</v>
      </c>
      <c r="C17" t="str">
        <f>VLOOKUP(A17,OBR_Employees[#All],3,0)</f>
        <v>Team 1 LOC Advisors</v>
      </c>
      <c r="D17" s="11" t="s">
        <v>218</v>
      </c>
      <c r="E17" s="2">
        <v>45817</v>
      </c>
      <c r="F17" s="2">
        <v>45789</v>
      </c>
      <c r="G17" t="s">
        <v>231</v>
      </c>
      <c r="H17" s="34">
        <v>10</v>
      </c>
    </row>
    <row r="18" spans="1:8">
      <c r="A18" t="s">
        <v>253</v>
      </c>
      <c r="B18" t="str">
        <f>VLOOKUP(A18,OBR_Employees[#All],2,0)</f>
        <v>F5390052</v>
      </c>
      <c r="C18" t="str">
        <f>VLOOKUP(A18,OBR_Employees[#All],3,0)</f>
        <v>Team 1 LOC Advisors</v>
      </c>
      <c r="D18" s="11" t="s">
        <v>218</v>
      </c>
      <c r="E18" s="2">
        <v>45817</v>
      </c>
      <c r="F18" s="2">
        <v>45796</v>
      </c>
      <c r="G18" t="s">
        <v>231</v>
      </c>
      <c r="H18" s="34">
        <v>10</v>
      </c>
    </row>
    <row r="19" spans="1:8">
      <c r="A19" t="s">
        <v>253</v>
      </c>
      <c r="B19" t="str">
        <f>VLOOKUP(A19,OBR_Employees[#All],2,0)</f>
        <v>F5390052</v>
      </c>
      <c r="C19" t="str">
        <f>VLOOKUP(A19,OBR_Employees[#All],3,0)</f>
        <v>Team 1 LOC Advisors</v>
      </c>
      <c r="D19" s="11" t="s">
        <v>218</v>
      </c>
      <c r="E19" s="2">
        <v>45817</v>
      </c>
      <c r="F19" s="2">
        <v>45803</v>
      </c>
      <c r="G19" t="s">
        <v>231</v>
      </c>
      <c r="H19" s="34">
        <v>10</v>
      </c>
    </row>
    <row r="20" spans="1:8">
      <c r="A20" t="s">
        <v>65</v>
      </c>
      <c r="B20" t="s">
        <v>66</v>
      </c>
      <c r="C20" t="s">
        <v>36</v>
      </c>
      <c r="D20" s="2">
        <v>45791</v>
      </c>
      <c r="E20" s="2">
        <v>45793</v>
      </c>
      <c r="F20" s="2">
        <v>45789</v>
      </c>
      <c r="G20" t="s">
        <v>359</v>
      </c>
      <c r="H20">
        <v>3</v>
      </c>
    </row>
    <row r="21" spans="1:8">
      <c r="A21" t="s">
        <v>65</v>
      </c>
      <c r="B21" t="s">
        <v>66</v>
      </c>
      <c r="C21" t="s">
        <v>36</v>
      </c>
      <c r="D21" s="2">
        <v>45796</v>
      </c>
      <c r="E21" s="2">
        <v>45800</v>
      </c>
      <c r="F21" s="2">
        <v>45796</v>
      </c>
      <c r="G21" t="s">
        <v>359</v>
      </c>
      <c r="H21">
        <v>5</v>
      </c>
    </row>
    <row r="22" spans="1:8">
      <c r="A22" t="s">
        <v>65</v>
      </c>
      <c r="B22" t="s">
        <v>66</v>
      </c>
      <c r="C22" t="s">
        <v>36</v>
      </c>
      <c r="D22" s="2">
        <v>45803</v>
      </c>
      <c r="E22" s="2">
        <v>45807</v>
      </c>
      <c r="F22" s="2">
        <v>45803</v>
      </c>
      <c r="G22" t="s">
        <v>359</v>
      </c>
      <c r="H22">
        <v>5</v>
      </c>
    </row>
    <row r="23" spans="1:8">
      <c r="A23" t="s">
        <v>273</v>
      </c>
      <c r="B23" t="s">
        <v>274</v>
      </c>
      <c r="C23" t="s">
        <v>36</v>
      </c>
      <c r="D23" s="2">
        <v>45789</v>
      </c>
      <c r="E23" s="2">
        <v>45793</v>
      </c>
      <c r="F23" s="2">
        <v>45789</v>
      </c>
      <c r="G23" t="s">
        <v>359</v>
      </c>
      <c r="H23">
        <v>5</v>
      </c>
    </row>
    <row r="24" spans="1:8">
      <c r="A24" t="s">
        <v>273</v>
      </c>
      <c r="B24" t="s">
        <v>274</v>
      </c>
      <c r="C24" t="s">
        <v>36</v>
      </c>
      <c r="D24" s="2">
        <v>45796</v>
      </c>
      <c r="E24" s="2">
        <v>45800</v>
      </c>
      <c r="F24" s="2">
        <v>45796</v>
      </c>
      <c r="G24" t="s">
        <v>359</v>
      </c>
      <c r="H24">
        <v>5</v>
      </c>
    </row>
    <row r="25" spans="1:8">
      <c r="A25" t="s">
        <v>273</v>
      </c>
      <c r="B25" t="s">
        <v>274</v>
      </c>
      <c r="C25" t="s">
        <v>36</v>
      </c>
      <c r="D25" s="2">
        <v>45803</v>
      </c>
      <c r="E25" s="2">
        <v>45807</v>
      </c>
      <c r="F25" s="2">
        <v>45803</v>
      </c>
      <c r="G25" t="s">
        <v>359</v>
      </c>
      <c r="H25">
        <v>5</v>
      </c>
    </row>
    <row r="26" spans="1:8">
      <c r="A26" t="s">
        <v>360</v>
      </c>
      <c r="B26" t="s">
        <v>361</v>
      </c>
      <c r="C26" t="s">
        <v>36</v>
      </c>
      <c r="D26" s="2">
        <v>45784</v>
      </c>
      <c r="E26" s="2">
        <v>45786</v>
      </c>
      <c r="F26" s="2">
        <v>45782</v>
      </c>
      <c r="G26" t="s">
        <v>217</v>
      </c>
      <c r="H26">
        <v>2</v>
      </c>
    </row>
    <row r="27" spans="1:8">
      <c r="A27" t="s">
        <v>360</v>
      </c>
      <c r="B27" t="s">
        <v>361</v>
      </c>
      <c r="C27" t="s">
        <v>36</v>
      </c>
      <c r="D27" s="2">
        <v>45789</v>
      </c>
      <c r="E27" s="2">
        <v>45793</v>
      </c>
      <c r="F27" s="2">
        <v>45789</v>
      </c>
      <c r="G27" t="s">
        <v>217</v>
      </c>
      <c r="H27">
        <v>5</v>
      </c>
    </row>
    <row r="28" spans="1:8">
      <c r="A28" t="s">
        <v>360</v>
      </c>
      <c r="B28" t="s">
        <v>361</v>
      </c>
      <c r="C28" t="s">
        <v>36</v>
      </c>
      <c r="D28" s="2">
        <v>45796</v>
      </c>
      <c r="E28" s="2">
        <v>45798</v>
      </c>
      <c r="F28" s="2">
        <v>45796</v>
      </c>
      <c r="G28" t="s">
        <v>217</v>
      </c>
      <c r="H28">
        <v>3</v>
      </c>
    </row>
    <row r="29" spans="1:8">
      <c r="A29" t="s">
        <v>179</v>
      </c>
      <c r="B29" t="s">
        <v>362</v>
      </c>
      <c r="C29" t="s">
        <v>36</v>
      </c>
      <c r="D29" s="2">
        <v>45799</v>
      </c>
      <c r="E29" s="2">
        <v>45800</v>
      </c>
      <c r="F29" s="2">
        <v>45796</v>
      </c>
      <c r="G29" t="s">
        <v>359</v>
      </c>
      <c r="H29">
        <v>2</v>
      </c>
    </row>
    <row r="30" spans="1:8">
      <c r="A30" t="s">
        <v>38</v>
      </c>
      <c r="B30" t="s">
        <v>39</v>
      </c>
      <c r="C30" t="s">
        <v>36</v>
      </c>
      <c r="D30" s="2">
        <v>45775</v>
      </c>
      <c r="E30" s="2">
        <v>45779</v>
      </c>
      <c r="F30" s="2">
        <v>45775</v>
      </c>
      <c r="G30" t="s">
        <v>217</v>
      </c>
      <c r="H30">
        <v>5</v>
      </c>
    </row>
    <row r="31" spans="1:8">
      <c r="A31" t="s">
        <v>85</v>
      </c>
      <c r="B31" s="31" t="s">
        <v>86</v>
      </c>
      <c r="C31" t="str">
        <f>VLOOKUP(A31,OBR_Employees[#All],3,0)</f>
        <v>Team 3 LOC Advisors</v>
      </c>
      <c r="D31" s="2">
        <v>45793</v>
      </c>
      <c r="E31" s="2">
        <v>45800</v>
      </c>
      <c r="F31" s="2">
        <v>45796</v>
      </c>
      <c r="G31" t="s">
        <v>217</v>
      </c>
      <c r="H31">
        <v>1</v>
      </c>
    </row>
    <row r="32" spans="1:8">
      <c r="A32" t="s">
        <v>85</v>
      </c>
      <c r="B32" s="31" t="s">
        <v>86</v>
      </c>
      <c r="C32" t="str">
        <f>VLOOKUP(A32,OBR_Employees[#All],3,0)</f>
        <v>Team 3 LOC Advisors</v>
      </c>
      <c r="D32" s="2">
        <v>45793</v>
      </c>
      <c r="E32" s="2">
        <v>45800</v>
      </c>
      <c r="F32" s="2">
        <v>45803</v>
      </c>
      <c r="G32" t="s">
        <v>217</v>
      </c>
      <c r="H32">
        <v>5</v>
      </c>
    </row>
    <row r="33" spans="1:8">
      <c r="A33" t="s">
        <v>297</v>
      </c>
      <c r="B33" t="s">
        <v>295</v>
      </c>
      <c r="C33" t="s">
        <v>75</v>
      </c>
      <c r="D33" s="2" t="s">
        <v>318</v>
      </c>
      <c r="E33" s="2">
        <v>45693</v>
      </c>
      <c r="F33" s="4">
        <v>45782</v>
      </c>
      <c r="G33" t="s">
        <v>84</v>
      </c>
      <c r="H33">
        <v>5</v>
      </c>
    </row>
    <row r="34" spans="1:8">
      <c r="A34" s="36" t="s">
        <v>319</v>
      </c>
      <c r="B34" t="s">
        <v>320</v>
      </c>
      <c r="C34" t="s">
        <v>75</v>
      </c>
      <c r="D34" s="2" t="s">
        <v>321</v>
      </c>
      <c r="E34" s="2">
        <v>45905</v>
      </c>
      <c r="F34" s="4">
        <v>45782</v>
      </c>
      <c r="G34" t="s">
        <v>84</v>
      </c>
      <c r="H34">
        <v>5</v>
      </c>
    </row>
    <row r="35" spans="1:8">
      <c r="A35" s="36" t="s">
        <v>319</v>
      </c>
      <c r="B35" t="s">
        <v>320</v>
      </c>
      <c r="C35" t="s">
        <v>75</v>
      </c>
      <c r="D35" s="2" t="s">
        <v>321</v>
      </c>
      <c r="E35" s="2">
        <v>45905</v>
      </c>
      <c r="F35" s="4">
        <v>45789</v>
      </c>
      <c r="G35" t="s">
        <v>84</v>
      </c>
      <c r="H35">
        <v>5</v>
      </c>
    </row>
    <row r="36" spans="1:8">
      <c r="A36" t="s">
        <v>339</v>
      </c>
      <c r="B36" t="s">
        <v>74</v>
      </c>
      <c r="C36" t="s">
        <v>75</v>
      </c>
      <c r="D36" t="s">
        <v>340</v>
      </c>
      <c r="E36" s="35">
        <v>45807</v>
      </c>
      <c r="F36" s="4">
        <v>45796</v>
      </c>
      <c r="G36" t="s">
        <v>84</v>
      </c>
      <c r="H36">
        <v>5</v>
      </c>
    </row>
    <row r="37" spans="1:8">
      <c r="A37" t="s">
        <v>339</v>
      </c>
      <c r="B37" t="s">
        <v>74</v>
      </c>
      <c r="C37" t="s">
        <v>75</v>
      </c>
      <c r="D37" t="s">
        <v>340</v>
      </c>
      <c r="E37" s="35">
        <v>45807</v>
      </c>
      <c r="F37" s="35">
        <v>45803</v>
      </c>
      <c r="G37" t="s">
        <v>84</v>
      </c>
      <c r="H37">
        <v>5</v>
      </c>
    </row>
    <row r="38" spans="1:8">
      <c r="A38" t="s">
        <v>315</v>
      </c>
      <c r="B38" t="s">
        <v>316</v>
      </c>
      <c r="C38" t="s">
        <v>43</v>
      </c>
      <c r="D38"/>
      <c r="E38"/>
      <c r="F38" s="35">
        <v>45782</v>
      </c>
      <c r="G38" t="s">
        <v>231</v>
      </c>
    </row>
    <row r="39" spans="1:8">
      <c r="A39" t="s">
        <v>363</v>
      </c>
      <c r="B39" t="s">
        <v>257</v>
      </c>
      <c r="C39" t="s">
        <v>75</v>
      </c>
      <c r="D39" s="2">
        <v>45698</v>
      </c>
      <c r="E39" s="2">
        <v>45862</v>
      </c>
      <c r="F39" s="2">
        <v>45782</v>
      </c>
      <c r="G39" t="s">
        <v>231</v>
      </c>
      <c r="H39">
        <v>112</v>
      </c>
    </row>
    <row r="40" spans="1:8">
      <c r="A40" t="s">
        <v>363</v>
      </c>
      <c r="B40" t="s">
        <v>257</v>
      </c>
      <c r="C40" t="s">
        <v>75</v>
      </c>
      <c r="D40" s="2">
        <v>45698</v>
      </c>
      <c r="E40" s="2">
        <v>45862</v>
      </c>
      <c r="F40" s="2">
        <v>45789</v>
      </c>
      <c r="G40" t="s">
        <v>231</v>
      </c>
      <c r="H40">
        <v>112</v>
      </c>
    </row>
    <row r="41" spans="1:8">
      <c r="A41" t="s">
        <v>363</v>
      </c>
      <c r="B41" t="s">
        <v>257</v>
      </c>
      <c r="C41" t="s">
        <v>75</v>
      </c>
      <c r="D41" s="2">
        <v>45698</v>
      </c>
      <c r="E41" s="2">
        <v>45862</v>
      </c>
      <c r="F41" s="2">
        <v>45796</v>
      </c>
      <c r="G41" t="s">
        <v>231</v>
      </c>
      <c r="H41">
        <v>112</v>
      </c>
    </row>
    <row r="42" spans="1:8">
      <c r="A42" t="s">
        <v>363</v>
      </c>
      <c r="B42" t="s">
        <v>257</v>
      </c>
      <c r="C42" t="s">
        <v>75</v>
      </c>
      <c r="D42" s="2">
        <v>45698</v>
      </c>
      <c r="E42" s="2">
        <v>45862</v>
      </c>
      <c r="F42" s="2">
        <v>45803</v>
      </c>
      <c r="G42" t="s">
        <v>231</v>
      </c>
      <c r="H42">
        <v>112</v>
      </c>
    </row>
    <row r="43" spans="1:8">
      <c r="A43" t="s">
        <v>315</v>
      </c>
      <c r="B43" t="s">
        <v>316</v>
      </c>
      <c r="C43" t="s">
        <v>43</v>
      </c>
      <c r="D43"/>
      <c r="E43"/>
      <c r="F43" s="35">
        <v>45789</v>
      </c>
      <c r="G43" t="s">
        <v>231</v>
      </c>
    </row>
    <row r="44" spans="1:8">
      <c r="A44" t="s">
        <v>315</v>
      </c>
      <c r="B44" t="s">
        <v>316</v>
      </c>
      <c r="C44" t="s">
        <v>43</v>
      </c>
      <c r="D44"/>
      <c r="E44"/>
      <c r="F44" s="35">
        <v>45796</v>
      </c>
      <c r="G44" t="s">
        <v>231</v>
      </c>
    </row>
    <row r="45" spans="1:8">
      <c r="A45" t="s">
        <v>315</v>
      </c>
      <c r="B45" t="s">
        <v>316</v>
      </c>
      <c r="C45" t="s">
        <v>43</v>
      </c>
      <c r="D45"/>
      <c r="E45"/>
      <c r="F45" s="35">
        <v>45803</v>
      </c>
      <c r="G45" t="s">
        <v>231</v>
      </c>
    </row>
    <row r="46" spans="1:8">
      <c r="A46" t="s">
        <v>55</v>
      </c>
      <c r="B46" t="s">
        <v>211</v>
      </c>
      <c r="C46" t="s">
        <v>43</v>
      </c>
      <c r="D46" s="2">
        <v>45803</v>
      </c>
      <c r="E46" s="2">
        <v>45807</v>
      </c>
      <c r="F46" s="2">
        <v>45810</v>
      </c>
      <c r="G46" t="s">
        <v>217</v>
      </c>
      <c r="H46">
        <v>10</v>
      </c>
    </row>
    <row r="47" spans="1:8">
      <c r="A47" t="s">
        <v>55</v>
      </c>
      <c r="B47" t="s">
        <v>211</v>
      </c>
      <c r="C47" t="s">
        <v>43</v>
      </c>
      <c r="D47" s="2">
        <v>45810</v>
      </c>
      <c r="E47" s="2">
        <v>45814</v>
      </c>
      <c r="F47" s="2">
        <v>45817</v>
      </c>
      <c r="H47">
        <v>10</v>
      </c>
    </row>
    <row r="48" spans="1:8">
      <c r="A48" t="s">
        <v>228</v>
      </c>
      <c r="B48" s="29" t="s">
        <v>229</v>
      </c>
      <c r="C48" s="27" t="s">
        <v>43</v>
      </c>
      <c r="D48" s="2">
        <v>45778</v>
      </c>
      <c r="E48" t="s">
        <v>307</v>
      </c>
      <c r="F48" s="2">
        <v>45782</v>
      </c>
      <c r="G48" s="41" t="s">
        <v>144</v>
      </c>
    </row>
    <row r="49" spans="1:7">
      <c r="A49" t="s">
        <v>228</v>
      </c>
      <c r="B49" s="29" t="s">
        <v>229</v>
      </c>
      <c r="C49" s="27" t="s">
        <v>43</v>
      </c>
      <c r="D49" s="2">
        <v>45778</v>
      </c>
      <c r="E49">
        <v>45825</v>
      </c>
      <c r="F49" s="2">
        <v>45789</v>
      </c>
      <c r="G49" s="41" t="s">
        <v>144</v>
      </c>
    </row>
    <row r="50" spans="1:7">
      <c r="A50" t="s">
        <v>228</v>
      </c>
      <c r="B50" s="29" t="s">
        <v>229</v>
      </c>
      <c r="C50" s="27" t="s">
        <v>43</v>
      </c>
      <c r="D50" s="2">
        <v>45778</v>
      </c>
      <c r="E50" t="s">
        <v>342</v>
      </c>
      <c r="F50" s="2">
        <v>45796</v>
      </c>
      <c r="G50" s="41" t="s">
        <v>144</v>
      </c>
    </row>
    <row r="51" spans="1:7">
      <c r="A51" t="s">
        <v>228</v>
      </c>
      <c r="B51" s="29" t="s">
        <v>229</v>
      </c>
      <c r="C51" t="s">
        <v>43</v>
      </c>
      <c r="D51" s="2">
        <v>45778</v>
      </c>
      <c r="E51" t="s">
        <v>343</v>
      </c>
      <c r="F51" s="2">
        <v>45803</v>
      </c>
      <c r="G51" s="41" t="s">
        <v>144</v>
      </c>
    </row>
    <row r="52" spans="1:7">
      <c r="A52" t="s">
        <v>228</v>
      </c>
      <c r="B52" s="29" t="s">
        <v>229</v>
      </c>
      <c r="C52" t="s">
        <v>43</v>
      </c>
      <c r="D52" s="2">
        <v>45778</v>
      </c>
      <c r="E52" s="2">
        <v>45825</v>
      </c>
      <c r="F52" s="2">
        <v>45810</v>
      </c>
      <c r="G52" t="s">
        <v>231</v>
      </c>
    </row>
    <row r="53" spans="1:7">
      <c r="A53" t="s">
        <v>317</v>
      </c>
      <c r="B53" s="37" t="s">
        <v>316</v>
      </c>
      <c r="C53" t="s">
        <v>43</v>
      </c>
      <c r="D53"/>
      <c r="E53"/>
      <c r="F53" s="2">
        <v>45782</v>
      </c>
      <c r="G53" t="s">
        <v>359</v>
      </c>
    </row>
    <row r="54" spans="1:7">
      <c r="A54" s="37" t="s">
        <v>317</v>
      </c>
      <c r="B54" s="37" t="s">
        <v>316</v>
      </c>
      <c r="C54" t="s">
        <v>43</v>
      </c>
      <c r="D54"/>
      <c r="E54"/>
      <c r="F54" s="2">
        <v>45789</v>
      </c>
      <c r="G54" t="s">
        <v>359</v>
      </c>
    </row>
    <row r="55" spans="1:7">
      <c r="A55" s="37" t="s">
        <v>317</v>
      </c>
      <c r="B55" s="37" t="s">
        <v>316</v>
      </c>
      <c r="C55" t="s">
        <v>43</v>
      </c>
      <c r="D55"/>
      <c r="E55"/>
      <c r="F55" s="2">
        <v>45796</v>
      </c>
      <c r="G55" t="s">
        <v>359</v>
      </c>
    </row>
    <row r="56" spans="1:7">
      <c r="A56" s="37" t="s">
        <v>317</v>
      </c>
      <c r="B56" s="37" t="s">
        <v>316</v>
      </c>
      <c r="C56" t="s">
        <v>43</v>
      </c>
      <c r="D56"/>
      <c r="E56"/>
      <c r="F56" s="2">
        <v>45803</v>
      </c>
      <c r="G56" t="s">
        <v>359</v>
      </c>
    </row>
    <row r="57" spans="1:7">
      <c r="A57" t="s">
        <v>253</v>
      </c>
      <c r="B57" t="s">
        <v>49</v>
      </c>
      <c r="C57" t="s">
        <v>43</v>
      </c>
      <c r="D57" t="s">
        <v>218</v>
      </c>
      <c r="E57" s="2">
        <v>45906</v>
      </c>
      <c r="F57" s="2">
        <v>45782</v>
      </c>
      <c r="G57" s="41" t="s">
        <v>144</v>
      </c>
    </row>
    <row r="58" spans="1:7">
      <c r="A58" t="s">
        <v>253</v>
      </c>
      <c r="B58" t="s">
        <v>49</v>
      </c>
      <c r="C58" t="s">
        <v>43</v>
      </c>
      <c r="D58" t="s">
        <v>218</v>
      </c>
      <c r="E58" s="2">
        <v>45906</v>
      </c>
      <c r="F58" s="2">
        <v>45789</v>
      </c>
      <c r="G58" s="41" t="s">
        <v>144</v>
      </c>
    </row>
    <row r="59" spans="1:7">
      <c r="A59" t="s">
        <v>253</v>
      </c>
      <c r="B59" t="s">
        <v>49</v>
      </c>
      <c r="C59" t="s">
        <v>43</v>
      </c>
      <c r="D59" t="s">
        <v>218</v>
      </c>
      <c r="E59" s="2">
        <v>45906</v>
      </c>
      <c r="F59" s="2">
        <v>45796</v>
      </c>
      <c r="G59" s="41" t="s">
        <v>144</v>
      </c>
    </row>
    <row r="60" spans="1:7">
      <c r="A60" t="s">
        <v>253</v>
      </c>
      <c r="B60" t="s">
        <v>49</v>
      </c>
      <c r="C60" t="s">
        <v>43</v>
      </c>
      <c r="D60" t="s">
        <v>218</v>
      </c>
      <c r="E60" s="2">
        <v>45906</v>
      </c>
      <c r="F60" s="2">
        <v>45803</v>
      </c>
      <c r="G60" s="41" t="s">
        <v>144</v>
      </c>
    </row>
    <row r="61" spans="1:7">
      <c r="A61" t="s">
        <v>267</v>
      </c>
      <c r="B61" t="s">
        <v>268</v>
      </c>
      <c r="C61" t="s">
        <v>43</v>
      </c>
      <c r="D61" s="2">
        <v>45901</v>
      </c>
      <c r="E61" t="s">
        <v>269</v>
      </c>
      <c r="F61" s="2">
        <v>45782</v>
      </c>
      <c r="G61" s="41" t="s">
        <v>144</v>
      </c>
    </row>
    <row r="62" spans="1:7">
      <c r="A62" t="s">
        <v>267</v>
      </c>
      <c r="B62" t="s">
        <v>268</v>
      </c>
      <c r="C62" t="s">
        <v>43</v>
      </c>
      <c r="D62" s="2">
        <v>45901</v>
      </c>
      <c r="E62" t="s">
        <v>269</v>
      </c>
      <c r="F62" s="2">
        <v>45789</v>
      </c>
      <c r="G62" s="41" t="s">
        <v>144</v>
      </c>
    </row>
    <row r="63" spans="1:7">
      <c r="A63" t="s">
        <v>267</v>
      </c>
      <c r="B63" t="s">
        <v>268</v>
      </c>
      <c r="C63" t="s">
        <v>43</v>
      </c>
      <c r="D63" s="2">
        <v>45901</v>
      </c>
      <c r="E63" t="s">
        <v>269</v>
      </c>
      <c r="F63" s="2">
        <v>45796</v>
      </c>
      <c r="G63" s="41" t="s">
        <v>144</v>
      </c>
    </row>
    <row r="64" spans="1:7">
      <c r="A64" t="s">
        <v>267</v>
      </c>
      <c r="B64" t="s">
        <v>268</v>
      </c>
      <c r="C64" t="s">
        <v>43</v>
      </c>
      <c r="D64" s="2">
        <v>45901</v>
      </c>
      <c r="E64" t="s">
        <v>269</v>
      </c>
      <c r="F64" s="2">
        <v>45803</v>
      </c>
      <c r="G64" s="41" t="s">
        <v>144</v>
      </c>
    </row>
  </sheetData>
  <dataValidations count="1">
    <dataValidation type="list" allowBlank="1" showInputMessage="1" showErrorMessage="1" errorTitle="Wrong Information Displayed" promptTitle="Select Leave reason" prompt="Please select leave reason from the list, for system issues, please send through the IT ticket number via email." sqref="G52:G56 G2:G47 G65:G1048576" xr:uid="{51A2B0EC-8158-4A73-B6E1-B98C8041A6F4}">
      <formula1>"Annual Leave, Sick Leave, Maternity Leave, Week Duration System Issues, Other"</formula1>
    </dataValidation>
  </dataValidations>
  <hyperlinks>
    <hyperlink ref="B32" r:id="rId1" display="f5485843@fnb.co.za" xr:uid="{1C7950EA-846F-41A0-9D46-C4E0A1C6716E}"/>
    <hyperlink ref="B31" r:id="rId2" display="f5485843@fnb.co.za" xr:uid="{94C8993B-0D6B-413E-B2F3-F934FF76C0A5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promptTitle="Select Leave start date" prompt="Please select from the list the leave start date" xr:uid="{4F4CB3D2-CDD3-4BB5-A307-1F57E5BA7EBC}">
          <x14:formula1>
            <xm:f>'Date list'!$A$2:$A$732</xm:f>
          </x14:formula1>
          <xm:sqref>F9 D2:D1048576</xm:sqref>
        </x14:dataValidation>
        <x14:dataValidation type="list" allowBlank="1" showInputMessage="1" showErrorMessage="1" promptTitle="Monday Affected" prompt="Please select which Monday scorecard was/is affected, if more than one scorecard, please insert in the next row." xr:uid="{944F4BD4-F40C-45E1-A18B-357DFCBDCCBE}">
          <x14:formula1>
            <xm:f>'Date list'!$D$2:$D$105</xm:f>
          </x14:formula1>
          <xm:sqref>F2:F8 F10:F1048576</xm:sqref>
        </x14:dataValidation>
        <x14:dataValidation type="list" allowBlank="1" showInputMessage="1" showErrorMessage="1" promptTitle="Select Individual" prompt="Please select an individual for the list, their F_Number and Team will automatically populate if you double click on the right upper corner of cell B and C respectively_x000a_" xr:uid="{D5D1BD7A-311B-431C-AEDE-2773BF75634F}">
          <x14:formula1>
            <xm:f>Employees!$A$2:$A$101</xm:f>
          </x14:formula1>
          <xm:sqref>B65:C65 A2:A1048576</xm:sqref>
        </x14:dataValidation>
        <x14:dataValidation type="list" allowBlank="1" showInputMessage="1" showErrorMessage="1" promptTitle="Select Leave End date" prompt="Please select the last leave date" xr:uid="{C9B55DD7-8A88-4DF2-AA2C-658702FDAA45}">
          <x14:formula1>
            <xm:f>'Date list'!$A$2:$A$732</xm:f>
          </x14:formula1>
          <xm:sqref>E2:E1048576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20F44-0A1D-486B-A381-23B21D13D4E1}">
  <dimension ref="A1:H17"/>
  <sheetViews>
    <sheetView workbookViewId="0">
      <selection activeCell="H20" sqref="H20"/>
    </sheetView>
  </sheetViews>
  <sheetFormatPr defaultRowHeight="14.45"/>
  <cols>
    <col min="1" max="1" width="18" customWidth="1"/>
    <col min="2" max="2" width="21.140625" customWidth="1"/>
    <col min="3" max="3" width="19.28515625" customWidth="1"/>
    <col min="4" max="4" width="20" customWidth="1"/>
    <col min="5" max="5" width="21" customWidth="1"/>
    <col min="6" max="6" width="14.140625" customWidth="1"/>
    <col min="7" max="7" width="14.7109375" bestFit="1" customWidth="1"/>
  </cols>
  <sheetData>
    <row r="1" spans="1:8">
      <c r="A1" s="34" t="s">
        <v>0</v>
      </c>
      <c r="B1" s="34" t="s">
        <v>1</v>
      </c>
      <c r="C1" s="34" t="s">
        <v>2</v>
      </c>
      <c r="D1" s="40" t="s">
        <v>3</v>
      </c>
      <c r="E1" s="40" t="s">
        <v>4</v>
      </c>
      <c r="F1" s="40" t="s">
        <v>5</v>
      </c>
      <c r="G1" s="34" t="s">
        <v>335</v>
      </c>
      <c r="H1" s="34" t="s">
        <v>7</v>
      </c>
    </row>
    <row r="2" spans="1:8">
      <c r="A2" t="s">
        <v>364</v>
      </c>
      <c r="B2" t="s">
        <v>365</v>
      </c>
      <c r="C2" t="s">
        <v>75</v>
      </c>
      <c r="D2" s="2">
        <v>45810</v>
      </c>
      <c r="E2" s="2">
        <v>45821</v>
      </c>
      <c r="F2" s="2">
        <v>46188</v>
      </c>
      <c r="G2" t="s">
        <v>217</v>
      </c>
      <c r="H2" t="s">
        <v>366</v>
      </c>
    </row>
    <row r="3" spans="1:8">
      <c r="A3" t="s">
        <v>363</v>
      </c>
      <c r="B3" t="s">
        <v>257</v>
      </c>
      <c r="C3" t="s">
        <v>75</v>
      </c>
      <c r="D3" s="2">
        <v>45698</v>
      </c>
      <c r="E3" s="2">
        <v>45862</v>
      </c>
      <c r="F3" s="2">
        <v>45845</v>
      </c>
      <c r="G3" t="s">
        <v>231</v>
      </c>
      <c r="H3">
        <v>112</v>
      </c>
    </row>
    <row r="4" spans="1:8">
      <c r="A4" t="s">
        <v>363</v>
      </c>
      <c r="B4" t="s">
        <v>257</v>
      </c>
      <c r="C4" t="s">
        <v>75</v>
      </c>
      <c r="D4" s="2">
        <v>45698</v>
      </c>
      <c r="E4" s="2">
        <v>45862</v>
      </c>
      <c r="F4" s="2">
        <v>45852</v>
      </c>
      <c r="G4" t="s">
        <v>231</v>
      </c>
      <c r="H4">
        <v>112</v>
      </c>
    </row>
    <row r="5" spans="1:8">
      <c r="A5" t="s">
        <v>363</v>
      </c>
      <c r="B5" t="s">
        <v>257</v>
      </c>
      <c r="C5" t="s">
        <v>75</v>
      </c>
      <c r="D5" s="2">
        <v>45698</v>
      </c>
      <c r="E5" s="2">
        <v>45862</v>
      </c>
      <c r="F5" s="2">
        <v>45859</v>
      </c>
      <c r="G5" t="s">
        <v>231</v>
      </c>
      <c r="H5">
        <v>112</v>
      </c>
    </row>
    <row r="6" spans="1:8">
      <c r="A6" t="s">
        <v>363</v>
      </c>
      <c r="B6" t="s">
        <v>257</v>
      </c>
      <c r="C6" t="s">
        <v>75</v>
      </c>
      <c r="D6" s="2">
        <v>45698</v>
      </c>
      <c r="E6" s="2">
        <v>45862</v>
      </c>
      <c r="F6" s="2">
        <v>45866</v>
      </c>
      <c r="G6" t="s">
        <v>231</v>
      </c>
      <c r="H6">
        <v>112</v>
      </c>
    </row>
    <row r="7" spans="1:8">
      <c r="A7" t="s">
        <v>367</v>
      </c>
      <c r="B7" s="7" t="s">
        <v>123</v>
      </c>
      <c r="C7" t="s">
        <v>75</v>
      </c>
      <c r="D7" s="2">
        <v>45838</v>
      </c>
      <c r="E7" s="2">
        <v>45842</v>
      </c>
      <c r="F7" s="2">
        <v>46209</v>
      </c>
      <c r="G7" t="s">
        <v>359</v>
      </c>
      <c r="H7">
        <v>5</v>
      </c>
    </row>
    <row r="8" spans="1:8">
      <c r="A8" t="s">
        <v>330</v>
      </c>
      <c r="B8" s="31" t="s">
        <v>331</v>
      </c>
      <c r="C8" t="s">
        <v>368</v>
      </c>
      <c r="D8" s="2">
        <v>45838</v>
      </c>
      <c r="E8" s="2">
        <v>45842</v>
      </c>
      <c r="F8" s="2">
        <v>45845</v>
      </c>
      <c r="G8" t="s">
        <v>217</v>
      </c>
      <c r="H8">
        <v>5</v>
      </c>
    </row>
    <row r="9" spans="1:8">
      <c r="A9" t="s">
        <v>216</v>
      </c>
      <c r="B9" t="str">
        <f>VLOOKUP(A9,OBR_Employees[#All],2,0)</f>
        <v>F5437954</v>
      </c>
      <c r="C9" t="str">
        <f>VLOOKUP(A9,OBR_Employees[#All],3,0)</f>
        <v>Team 3 LOC Advisors</v>
      </c>
      <c r="D9" s="2">
        <v>45996</v>
      </c>
      <c r="E9" s="2">
        <v>45945</v>
      </c>
      <c r="F9" s="2">
        <v>45845</v>
      </c>
      <c r="G9" t="s">
        <v>231</v>
      </c>
      <c r="H9">
        <v>163</v>
      </c>
    </row>
    <row r="10" spans="1:8">
      <c r="A10" t="s">
        <v>216</v>
      </c>
      <c r="B10" t="str">
        <f>VLOOKUP(A10,OBR_Employees[#All],2,0)</f>
        <v>F5437954</v>
      </c>
      <c r="C10" t="str">
        <f>VLOOKUP(A10,OBR_Employees[#All],3,0)</f>
        <v>Team 3 LOC Advisors</v>
      </c>
      <c r="D10" s="2">
        <v>45996</v>
      </c>
      <c r="E10" s="2">
        <v>45945</v>
      </c>
      <c r="F10" s="2">
        <v>45852</v>
      </c>
      <c r="G10" t="s">
        <v>231</v>
      </c>
      <c r="H10">
        <v>163</v>
      </c>
    </row>
    <row r="11" spans="1:8">
      <c r="A11" t="s">
        <v>216</v>
      </c>
      <c r="B11" t="s">
        <v>159</v>
      </c>
      <c r="C11" t="s">
        <v>368</v>
      </c>
      <c r="D11" s="2">
        <v>45996</v>
      </c>
      <c r="E11" s="2">
        <v>45945</v>
      </c>
      <c r="F11" s="2">
        <v>45859</v>
      </c>
      <c r="G11" t="s">
        <v>231</v>
      </c>
      <c r="H11">
        <v>163</v>
      </c>
    </row>
    <row r="12" spans="1:8">
      <c r="A12" t="s">
        <v>216</v>
      </c>
      <c r="B12" t="s">
        <v>159</v>
      </c>
      <c r="C12" t="s">
        <v>368</v>
      </c>
      <c r="D12" s="2">
        <v>45996</v>
      </c>
      <c r="E12" s="2">
        <v>45945</v>
      </c>
      <c r="F12" s="2">
        <v>45866</v>
      </c>
      <c r="G12" t="s">
        <v>231</v>
      </c>
      <c r="H12">
        <v>163</v>
      </c>
    </row>
    <row r="13" spans="1:8">
      <c r="A13" t="s">
        <v>369</v>
      </c>
      <c r="B13" s="31" t="s">
        <v>370</v>
      </c>
      <c r="C13" t="s">
        <v>368</v>
      </c>
      <c r="D13" s="2">
        <v>45852</v>
      </c>
      <c r="E13" s="2">
        <v>45860</v>
      </c>
      <c r="F13" s="2">
        <v>45859</v>
      </c>
      <c r="G13" t="s">
        <v>217</v>
      </c>
      <c r="H13">
        <v>7</v>
      </c>
    </row>
    <row r="14" spans="1:8">
      <c r="A14" t="s">
        <v>369</v>
      </c>
      <c r="B14" s="31" t="s">
        <v>370</v>
      </c>
      <c r="C14" t="s">
        <v>368</v>
      </c>
      <c r="D14" s="2">
        <v>45852</v>
      </c>
      <c r="E14" s="2">
        <v>45860</v>
      </c>
      <c r="F14" s="2">
        <v>45866</v>
      </c>
      <c r="G14" t="s">
        <v>217</v>
      </c>
      <c r="H14">
        <v>7</v>
      </c>
    </row>
    <row r="15" spans="1:8">
      <c r="A15" t="s">
        <v>19</v>
      </c>
      <c r="B15" t="s">
        <v>20</v>
      </c>
      <c r="C15" t="s">
        <v>371</v>
      </c>
      <c r="D15" s="2">
        <v>45840</v>
      </c>
      <c r="E15" s="2">
        <v>45853</v>
      </c>
      <c r="G15" t="s">
        <v>252</v>
      </c>
      <c r="H15">
        <v>10</v>
      </c>
    </row>
    <row r="16" spans="1:8">
      <c r="A16" t="s">
        <v>363</v>
      </c>
      <c r="B16" t="s">
        <v>257</v>
      </c>
      <c r="C16" t="s">
        <v>75</v>
      </c>
      <c r="D16" s="2">
        <v>45698</v>
      </c>
      <c r="E16" s="2">
        <v>45877</v>
      </c>
      <c r="F16" s="2">
        <v>45873</v>
      </c>
      <c r="G16" t="s">
        <v>231</v>
      </c>
      <c r="H16">
        <v>124</v>
      </c>
    </row>
    <row r="17" spans="1:8">
      <c r="A17" t="s">
        <v>236</v>
      </c>
      <c r="B17" s="31" t="s">
        <v>237</v>
      </c>
      <c r="C17" t="s">
        <v>372</v>
      </c>
      <c r="D17" t="s">
        <v>373</v>
      </c>
      <c r="E17" s="11" t="s">
        <v>374</v>
      </c>
      <c r="F17" s="11" t="s">
        <v>375</v>
      </c>
      <c r="G17" t="s">
        <v>217</v>
      </c>
      <c r="H17">
        <v>10</v>
      </c>
    </row>
  </sheetData>
  <dataValidations count="1">
    <dataValidation type="list" allowBlank="1" showInputMessage="1" showErrorMessage="1" errorTitle="Wrong Information Displayed" promptTitle="Select Leave reason" prompt="Please select leave reason from the list, for system issues, please send through the IT ticket number via email." sqref="G2:G12 G16" xr:uid="{F8F31676-A8AF-4988-9078-FCF47880C925}">
      <formula1>"Annual Leave, Sick Leave, Maternity Leave, Week Duration System Issues, Other"</formula1>
    </dataValidation>
  </dataValidations>
  <hyperlinks>
    <hyperlink ref="B7" r:id="rId1" display="f5632595@fnb.co.za" xr:uid="{97B43145-6BA1-43AC-93B7-1E566BDC3219}"/>
    <hyperlink ref="B8" r:id="rId2" display="f8876877@fnb.co.za" xr:uid="{11748071-5652-4C1F-BC50-95FC4C174727}"/>
    <hyperlink ref="B13" r:id="rId3" display="f8875629@fnb.co.za" xr:uid="{A5326A7E-89E9-4C6F-98D5-71A38DB3B762}"/>
    <hyperlink ref="B14" r:id="rId4" display="f8875629@fnb.co.za" xr:uid="{A23000DB-393D-479B-9D6D-E4DE706F2A52}"/>
    <hyperlink ref="B17" r:id="rId5" display="f5632595@fnb.co.za" xr:uid="{60BB26DA-B275-4E3D-AECB-00B6F3C85D55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promptTitle="Select Leave start date" prompt="Please select from the list the leave start date" xr:uid="{5F52E4FE-0545-4313-B417-7D1706CC9C61}">
          <x14:formula1>
            <xm:f>'Date list'!$A$2:$A$732</xm:f>
          </x14:formula1>
          <xm:sqref>D2:D12 D16</xm:sqref>
        </x14:dataValidation>
        <x14:dataValidation type="list" allowBlank="1" showInputMessage="1" showErrorMessage="1" promptTitle="Monday Affected" prompt="Please select which Monday scorecard was/is affected, if more than one scorecard, please insert in the next row." xr:uid="{277F9BA0-E7E8-4D79-AF37-2C89ED7E9B04}">
          <x14:formula1>
            <xm:f>'Date list'!$D$2:$D$105</xm:f>
          </x14:formula1>
          <xm:sqref>F2:F12 F16</xm:sqref>
        </x14:dataValidation>
        <x14:dataValidation type="list" allowBlank="1" showInputMessage="1" showErrorMessage="1" promptTitle="Select Leave End date" prompt="Please select the last leave date" xr:uid="{582C0FDD-31C6-4BDE-BB3B-F949521272A9}">
          <x14:formula1>
            <xm:f>'Date list'!$A$2:$A$732</xm:f>
          </x14:formula1>
          <xm:sqref>E2:E12</xm:sqref>
        </x14:dataValidation>
        <x14:dataValidation type="list" allowBlank="1" showInputMessage="1" showErrorMessage="1" promptTitle="Select Individual" prompt="Please select an individual for the list, their F_Number and Team will automatically populate if you double click on the right upper corner of cell B and C respectively_x000a_" xr:uid="{56FB922D-1A35-41C5-9A08-00A7F4552DB9}">
          <x14:formula1>
            <xm:f>Employees!$A$2:$A$101</xm:f>
          </x14:formula1>
          <xm:sqref>A3:A12 A15:A16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51F00-2A2D-42E2-B7FE-BB0C16B4B7F1}">
  <dimension ref="A1"/>
  <sheetViews>
    <sheetView workbookViewId="0"/>
  </sheetViews>
  <sheetFormatPr defaultRowHeight="14.4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65039-8BC1-49DF-B601-6560B137E5A4}">
  <dimension ref="A1"/>
  <sheetViews>
    <sheetView workbookViewId="0"/>
  </sheetViews>
  <sheetFormatPr defaultRowHeight="14.4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693D0-9FA7-43EE-8A7F-28327ADA0FEB}">
  <sheetPr codeName="Sheet16">
    <tabColor theme="4" tint="0.79998168889431442"/>
  </sheetPr>
  <dimension ref="A1:I66"/>
  <sheetViews>
    <sheetView topLeftCell="B41" zoomScale="80" zoomScaleNormal="80" workbookViewId="0">
      <selection activeCell="B41" sqref="B41"/>
    </sheetView>
  </sheetViews>
  <sheetFormatPr defaultRowHeight="14.45"/>
  <cols>
    <col min="1" max="1" width="22.7109375" customWidth="1"/>
    <col min="2" max="2" width="18.140625" customWidth="1"/>
    <col min="3" max="3" width="17.85546875" bestFit="1" customWidth="1"/>
    <col min="4" max="4" width="15.42578125" style="2" bestFit="1" customWidth="1"/>
    <col min="5" max="5" width="14.7109375" style="2" bestFit="1" customWidth="1"/>
    <col min="6" max="6" width="28" style="2" customWidth="1"/>
    <col min="7" max="7" width="24.85546875" bestFit="1" customWidth="1"/>
    <col min="8" max="8" width="10" bestFit="1" customWidth="1"/>
  </cols>
  <sheetData>
    <row r="1" spans="1:9">
      <c r="A1" s="34" t="s">
        <v>0</v>
      </c>
      <c r="B1" s="34" t="s">
        <v>1</v>
      </c>
      <c r="C1" s="34" t="s">
        <v>2</v>
      </c>
      <c r="D1" s="40" t="s">
        <v>3</v>
      </c>
      <c r="E1" s="40" t="s">
        <v>4</v>
      </c>
      <c r="F1" s="40" t="s">
        <v>5</v>
      </c>
      <c r="G1" s="34" t="s">
        <v>335</v>
      </c>
      <c r="H1" s="34" t="s">
        <v>7</v>
      </c>
    </row>
    <row r="2" spans="1:9">
      <c r="H2">
        <f>E2-D2</f>
        <v>0</v>
      </c>
    </row>
    <row r="3" spans="1:9">
      <c r="A3" t="s">
        <v>364</v>
      </c>
      <c r="B3" t="s">
        <v>365</v>
      </c>
      <c r="C3" t="s">
        <v>75</v>
      </c>
      <c r="D3" s="2">
        <v>45810</v>
      </c>
      <c r="E3" s="2">
        <v>45821</v>
      </c>
      <c r="F3" s="2">
        <v>46181</v>
      </c>
      <c r="G3" t="s">
        <v>217</v>
      </c>
      <c r="H3" t="s">
        <v>366</v>
      </c>
    </row>
    <row r="4" spans="1:9">
      <c r="A4" t="s">
        <v>253</v>
      </c>
      <c r="B4" t="s">
        <v>49</v>
      </c>
      <c r="C4" t="str">
        <f>VLOOKUP(A4,OBR_Employees[#All],3,0)</f>
        <v>Team 1 LOC Advisors</v>
      </c>
      <c r="D4" s="11" t="s">
        <v>218</v>
      </c>
      <c r="E4" s="2">
        <v>45817</v>
      </c>
      <c r="G4" t="s">
        <v>231</v>
      </c>
    </row>
    <row r="5" spans="1:9">
      <c r="A5" t="s">
        <v>253</v>
      </c>
      <c r="B5" t="s">
        <v>49</v>
      </c>
      <c r="C5" t="str">
        <f>VLOOKUP(A5,OBR_Employees[#All],3,0)</f>
        <v>Team 1 LOC Advisors</v>
      </c>
      <c r="D5" s="11" t="s">
        <v>218</v>
      </c>
      <c r="E5" s="2">
        <v>45817</v>
      </c>
      <c r="G5" t="s">
        <v>231</v>
      </c>
    </row>
    <row r="6" spans="1:9">
      <c r="A6" t="s">
        <v>253</v>
      </c>
      <c r="B6" t="s">
        <v>49</v>
      </c>
      <c r="C6" t="str">
        <f>VLOOKUP(A6,OBR_Employees[#All],3,0)</f>
        <v>Team 1 LOC Advisors</v>
      </c>
      <c r="D6" s="11" t="s">
        <v>218</v>
      </c>
      <c r="E6" s="2">
        <v>45817</v>
      </c>
      <c r="G6" t="s">
        <v>231</v>
      </c>
    </row>
    <row r="7" spans="1:9">
      <c r="A7" t="s">
        <v>253</v>
      </c>
      <c r="B7" t="s">
        <v>49</v>
      </c>
      <c r="C7" t="str">
        <f>VLOOKUP(A7,OBR_Employees[#All],3,0)</f>
        <v>Team 1 LOC Advisors</v>
      </c>
      <c r="D7" s="11" t="s">
        <v>218</v>
      </c>
      <c r="E7" s="2">
        <v>45817</v>
      </c>
      <c r="G7" t="s">
        <v>231</v>
      </c>
    </row>
    <row r="8" spans="1:9">
      <c r="A8" t="s">
        <v>363</v>
      </c>
      <c r="B8" t="s">
        <v>257</v>
      </c>
      <c r="C8" t="s">
        <v>75</v>
      </c>
      <c r="D8" s="2">
        <v>45698</v>
      </c>
      <c r="E8" s="2">
        <v>45862</v>
      </c>
      <c r="F8" s="2">
        <v>45810</v>
      </c>
      <c r="G8" t="s">
        <v>231</v>
      </c>
      <c r="H8">
        <v>112</v>
      </c>
    </row>
    <row r="9" spans="1:9">
      <c r="A9" t="s">
        <v>363</v>
      </c>
      <c r="B9" t="s">
        <v>257</v>
      </c>
      <c r="C9" t="s">
        <v>75</v>
      </c>
      <c r="D9" s="2">
        <v>45698</v>
      </c>
      <c r="E9" s="2">
        <v>45862</v>
      </c>
      <c r="F9" s="2">
        <v>45817</v>
      </c>
      <c r="G9" t="s">
        <v>231</v>
      </c>
      <c r="H9">
        <v>112</v>
      </c>
    </row>
    <row r="10" spans="1:9">
      <c r="A10" t="s">
        <v>363</v>
      </c>
      <c r="B10" t="s">
        <v>257</v>
      </c>
      <c r="C10" t="s">
        <v>75</v>
      </c>
      <c r="D10" s="2">
        <v>45698</v>
      </c>
      <c r="E10" s="2">
        <v>45862</v>
      </c>
      <c r="F10" s="2">
        <v>45824</v>
      </c>
      <c r="G10" t="s">
        <v>231</v>
      </c>
      <c r="H10">
        <v>112</v>
      </c>
    </row>
    <row r="11" spans="1:9">
      <c r="A11" t="s">
        <v>363</v>
      </c>
      <c r="B11" t="s">
        <v>257</v>
      </c>
      <c r="C11" t="s">
        <v>75</v>
      </c>
      <c r="D11" s="2">
        <v>45698</v>
      </c>
      <c r="E11" s="2">
        <v>45862</v>
      </c>
      <c r="F11" s="2">
        <v>45831</v>
      </c>
      <c r="G11" t="s">
        <v>231</v>
      </c>
      <c r="H11">
        <v>112</v>
      </c>
    </row>
    <row r="12" spans="1:9">
      <c r="A12" t="s">
        <v>363</v>
      </c>
      <c r="B12" t="s">
        <v>257</v>
      </c>
      <c r="C12" t="s">
        <v>75</v>
      </c>
      <c r="D12" s="2">
        <v>45698</v>
      </c>
      <c r="E12" s="2">
        <v>45862</v>
      </c>
      <c r="F12" s="2">
        <v>45838</v>
      </c>
      <c r="G12" t="s">
        <v>231</v>
      </c>
      <c r="H12">
        <v>112</v>
      </c>
    </row>
    <row r="13" spans="1:9">
      <c r="A13" t="s">
        <v>55</v>
      </c>
      <c r="B13" t="s">
        <v>211</v>
      </c>
      <c r="C13" t="s">
        <v>43</v>
      </c>
      <c r="D13" s="2">
        <v>45803</v>
      </c>
      <c r="E13" s="2">
        <v>45807</v>
      </c>
      <c r="F13" s="2">
        <v>45810</v>
      </c>
      <c r="G13" t="s">
        <v>217</v>
      </c>
      <c r="H13">
        <v>5</v>
      </c>
    </row>
    <row r="14" spans="1:9">
      <c r="A14" t="s">
        <v>55</v>
      </c>
      <c r="B14" t="s">
        <v>211</v>
      </c>
      <c r="C14" t="s">
        <v>43</v>
      </c>
      <c r="D14" s="2">
        <v>45810</v>
      </c>
      <c r="E14" s="2">
        <v>45814</v>
      </c>
      <c r="F14" s="2">
        <v>45817</v>
      </c>
      <c r="H14">
        <v>5</v>
      </c>
    </row>
    <row r="15" spans="1:9">
      <c r="A15" t="s">
        <v>179</v>
      </c>
      <c r="B15" t="s">
        <v>362</v>
      </c>
      <c r="C15" t="s">
        <v>36</v>
      </c>
      <c r="D15" s="2">
        <v>45803</v>
      </c>
      <c r="E15" s="2">
        <v>45807</v>
      </c>
      <c r="F15" s="2">
        <v>45803</v>
      </c>
      <c r="G15" t="s">
        <v>359</v>
      </c>
      <c r="H15">
        <v>5</v>
      </c>
      <c r="I15" t="s">
        <v>376</v>
      </c>
    </row>
    <row r="16" spans="1:9">
      <c r="A16" t="s">
        <v>179</v>
      </c>
      <c r="B16" t="s">
        <v>362</v>
      </c>
      <c r="C16" t="s">
        <v>36</v>
      </c>
      <c r="D16" s="2">
        <v>45810</v>
      </c>
      <c r="E16" s="2">
        <v>45814</v>
      </c>
      <c r="F16" s="2">
        <v>45817</v>
      </c>
      <c r="G16" t="s">
        <v>359</v>
      </c>
      <c r="H16">
        <v>5</v>
      </c>
      <c r="I16" t="s">
        <v>376</v>
      </c>
    </row>
    <row r="17" spans="1:8">
      <c r="A17" t="s">
        <v>315</v>
      </c>
      <c r="B17" t="s">
        <v>316</v>
      </c>
      <c r="C17" t="s">
        <v>43</v>
      </c>
      <c r="D17"/>
      <c r="E17"/>
      <c r="F17" s="35">
        <v>45810</v>
      </c>
      <c r="G17" t="s">
        <v>231</v>
      </c>
    </row>
    <row r="18" spans="1:8">
      <c r="A18" t="s">
        <v>315</v>
      </c>
      <c r="B18" t="s">
        <v>316</v>
      </c>
      <c r="C18" t="s">
        <v>43</v>
      </c>
      <c r="D18"/>
      <c r="E18"/>
      <c r="F18" s="35">
        <v>45817</v>
      </c>
      <c r="G18" t="s">
        <v>231</v>
      </c>
    </row>
    <row r="19" spans="1:8">
      <c r="A19" t="s">
        <v>315</v>
      </c>
      <c r="B19" t="s">
        <v>316</v>
      </c>
      <c r="C19" t="s">
        <v>43</v>
      </c>
      <c r="D19"/>
      <c r="E19"/>
      <c r="F19" s="35">
        <v>45824</v>
      </c>
      <c r="G19" t="s">
        <v>231</v>
      </c>
    </row>
    <row r="20" spans="1:8">
      <c r="A20" t="s">
        <v>315</v>
      </c>
      <c r="B20" t="s">
        <v>316</v>
      </c>
      <c r="C20" t="s">
        <v>43</v>
      </c>
      <c r="D20"/>
      <c r="E20"/>
      <c r="F20" s="35">
        <v>45831</v>
      </c>
      <c r="G20" t="s">
        <v>231</v>
      </c>
    </row>
    <row r="21" spans="1:8">
      <c r="A21" t="s">
        <v>315</v>
      </c>
      <c r="B21" t="s">
        <v>316</v>
      </c>
      <c r="C21" t="s">
        <v>43</v>
      </c>
      <c r="D21"/>
      <c r="E21"/>
      <c r="F21" s="35">
        <v>45838</v>
      </c>
      <c r="G21" t="s">
        <v>231</v>
      </c>
    </row>
    <row r="22" spans="1:8">
      <c r="A22" t="s">
        <v>80</v>
      </c>
      <c r="B22" s="20" t="s">
        <v>81</v>
      </c>
      <c r="C22" t="s">
        <v>368</v>
      </c>
      <c r="D22" s="2">
        <v>45799</v>
      </c>
      <c r="E22" s="2">
        <v>45810</v>
      </c>
      <c r="F22" s="2">
        <v>45810</v>
      </c>
      <c r="G22" t="s">
        <v>217</v>
      </c>
      <c r="H22">
        <v>8</v>
      </c>
    </row>
    <row r="23" spans="1:8">
      <c r="A23" t="s">
        <v>216</v>
      </c>
      <c r="B23" t="str">
        <f>VLOOKUP(A23,OBR_Employees[#All],2,0)</f>
        <v>F5437954</v>
      </c>
      <c r="C23" t="str">
        <f>VLOOKUP(A23,OBR_Employees[#All],3,0)</f>
        <v>Team 3 LOC Advisors</v>
      </c>
      <c r="D23" s="2">
        <v>45996</v>
      </c>
      <c r="E23" s="2">
        <v>45945</v>
      </c>
      <c r="F23" s="2">
        <v>45810</v>
      </c>
      <c r="G23" t="s">
        <v>231</v>
      </c>
      <c r="H23">
        <v>163</v>
      </c>
    </row>
    <row r="24" spans="1:8">
      <c r="A24" t="s">
        <v>216</v>
      </c>
      <c r="B24" t="str">
        <f>VLOOKUP(A24,OBR_Employees[#All],2,0)</f>
        <v>F5437954</v>
      </c>
      <c r="C24" t="str">
        <f>VLOOKUP(A24,OBR_Employees[#All],3,0)</f>
        <v>Team 3 LOC Advisors</v>
      </c>
      <c r="D24" s="2">
        <v>45996</v>
      </c>
      <c r="E24" s="2">
        <v>45945</v>
      </c>
      <c r="F24" s="2">
        <v>45817</v>
      </c>
      <c r="G24" t="s">
        <v>231</v>
      </c>
      <c r="H24">
        <v>163</v>
      </c>
    </row>
    <row r="25" spans="1:8">
      <c r="A25" t="s">
        <v>216</v>
      </c>
      <c r="B25" t="s">
        <v>159</v>
      </c>
      <c r="C25" t="s">
        <v>368</v>
      </c>
      <c r="D25" s="2">
        <v>45996</v>
      </c>
      <c r="E25" s="2">
        <v>45945</v>
      </c>
      <c r="F25" s="2">
        <v>45824</v>
      </c>
      <c r="G25" t="s">
        <v>231</v>
      </c>
      <c r="H25">
        <v>163</v>
      </c>
    </row>
    <row r="26" spans="1:8">
      <c r="A26" t="s">
        <v>216</v>
      </c>
      <c r="B26" t="s">
        <v>159</v>
      </c>
      <c r="C26" t="s">
        <v>368</v>
      </c>
      <c r="D26" s="2">
        <v>45996</v>
      </c>
      <c r="E26" s="2">
        <v>45945</v>
      </c>
      <c r="F26" s="2">
        <v>45831</v>
      </c>
      <c r="G26" t="s">
        <v>231</v>
      </c>
      <c r="H26">
        <v>163</v>
      </c>
    </row>
    <row r="27" spans="1:8">
      <c r="A27" t="s">
        <v>216</v>
      </c>
      <c r="B27" t="s">
        <v>159</v>
      </c>
      <c r="C27" t="s">
        <v>368</v>
      </c>
      <c r="D27" s="2">
        <v>45996</v>
      </c>
      <c r="E27" s="2">
        <v>45945</v>
      </c>
      <c r="F27" s="2">
        <v>45838</v>
      </c>
      <c r="G27" t="s">
        <v>231</v>
      </c>
      <c r="H27">
        <v>163</v>
      </c>
    </row>
    <row r="28" spans="1:8">
      <c r="A28" t="s">
        <v>377</v>
      </c>
      <c r="B28" s="31" t="s">
        <v>378</v>
      </c>
      <c r="C28" t="s">
        <v>368</v>
      </c>
      <c r="D28" s="2">
        <v>45825</v>
      </c>
      <c r="E28" s="2">
        <v>45831</v>
      </c>
      <c r="F28" s="2">
        <v>45831</v>
      </c>
      <c r="G28" t="s">
        <v>217</v>
      </c>
      <c r="H28">
        <v>5</v>
      </c>
    </row>
    <row r="29" spans="1:8">
      <c r="A29" t="s">
        <v>90</v>
      </c>
      <c r="B29">
        <v>5549159</v>
      </c>
      <c r="C29" t="s">
        <v>43</v>
      </c>
      <c r="D29" s="2">
        <v>45817</v>
      </c>
      <c r="E29" s="2">
        <v>45821</v>
      </c>
      <c r="F29" s="2">
        <v>45824</v>
      </c>
      <c r="G29" t="s">
        <v>217</v>
      </c>
      <c r="H29">
        <v>5</v>
      </c>
    </row>
    <row r="30" spans="1:8">
      <c r="A30" t="s">
        <v>90</v>
      </c>
      <c r="B30">
        <v>5549159</v>
      </c>
      <c r="C30" t="s">
        <v>43</v>
      </c>
      <c r="D30" s="2">
        <v>45824</v>
      </c>
      <c r="E30" s="2">
        <v>45831</v>
      </c>
      <c r="F30" s="2">
        <v>45831</v>
      </c>
      <c r="G30" t="s">
        <v>217</v>
      </c>
      <c r="H30">
        <v>5</v>
      </c>
    </row>
    <row r="31" spans="1:8">
      <c r="A31" t="s">
        <v>58</v>
      </c>
      <c r="B31" s="31" t="s">
        <v>59</v>
      </c>
      <c r="C31" t="s">
        <v>368</v>
      </c>
      <c r="D31" s="2">
        <v>45831</v>
      </c>
      <c r="E31" s="2">
        <v>45838</v>
      </c>
      <c r="F31" s="2">
        <v>45838</v>
      </c>
      <c r="G31" t="s">
        <v>217</v>
      </c>
      <c r="H31">
        <v>6</v>
      </c>
    </row>
    <row r="32" spans="1:8">
      <c r="A32" t="s">
        <v>65</v>
      </c>
      <c r="B32" t="s">
        <v>66</v>
      </c>
      <c r="C32" t="s">
        <v>36</v>
      </c>
      <c r="D32" s="2">
        <v>45810</v>
      </c>
      <c r="E32" s="2">
        <v>45814</v>
      </c>
      <c r="F32" s="2">
        <v>45824</v>
      </c>
      <c r="G32" t="s">
        <v>359</v>
      </c>
      <c r="H32">
        <v>5</v>
      </c>
    </row>
    <row r="33" spans="1:8">
      <c r="A33" t="s">
        <v>65</v>
      </c>
      <c r="B33" t="s">
        <v>66</v>
      </c>
      <c r="C33" t="s">
        <v>36</v>
      </c>
      <c r="D33" s="2">
        <v>45817</v>
      </c>
      <c r="E33" s="2">
        <v>45821</v>
      </c>
      <c r="F33" s="2">
        <v>45831</v>
      </c>
      <c r="G33" t="s">
        <v>359</v>
      </c>
      <c r="H33">
        <v>5</v>
      </c>
    </row>
    <row r="34" spans="1:8">
      <c r="A34" t="s">
        <v>65</v>
      </c>
      <c r="B34" t="s">
        <v>66</v>
      </c>
      <c r="C34" t="s">
        <v>36</v>
      </c>
      <c r="D34" s="2">
        <v>45824</v>
      </c>
      <c r="E34" s="2">
        <v>45828</v>
      </c>
      <c r="F34" s="2">
        <v>45838</v>
      </c>
      <c r="G34" t="s">
        <v>359</v>
      </c>
      <c r="H34">
        <v>5</v>
      </c>
    </row>
    <row r="35" spans="1:8">
      <c r="A35" t="s">
        <v>273</v>
      </c>
      <c r="B35" t="s">
        <v>274</v>
      </c>
      <c r="C35" t="s">
        <v>36</v>
      </c>
      <c r="D35" s="2">
        <v>45803</v>
      </c>
      <c r="E35" s="2">
        <v>45807</v>
      </c>
      <c r="F35" s="2">
        <v>45803</v>
      </c>
      <c r="G35" t="s">
        <v>359</v>
      </c>
      <c r="H35">
        <v>5</v>
      </c>
    </row>
    <row r="36" spans="1:8">
      <c r="A36" t="s">
        <v>273</v>
      </c>
      <c r="B36" t="s">
        <v>274</v>
      </c>
      <c r="C36" t="s">
        <v>36</v>
      </c>
      <c r="D36" s="2">
        <v>45810</v>
      </c>
      <c r="E36" s="2">
        <v>45814</v>
      </c>
      <c r="F36" s="2">
        <v>45817</v>
      </c>
      <c r="G36" t="s">
        <v>359</v>
      </c>
      <c r="H36">
        <v>5</v>
      </c>
    </row>
    <row r="37" spans="1:8">
      <c r="A37" t="s">
        <v>273</v>
      </c>
      <c r="B37" t="s">
        <v>274</v>
      </c>
      <c r="C37" t="s">
        <v>36</v>
      </c>
      <c r="D37" s="2">
        <v>45817</v>
      </c>
      <c r="E37" s="2">
        <v>45821</v>
      </c>
      <c r="F37" s="2">
        <v>45824</v>
      </c>
      <c r="G37" t="s">
        <v>359</v>
      </c>
      <c r="H37">
        <v>5</v>
      </c>
    </row>
    <row r="38" spans="1:8">
      <c r="A38" t="s">
        <v>273</v>
      </c>
      <c r="B38" t="s">
        <v>274</v>
      </c>
      <c r="C38" t="s">
        <v>36</v>
      </c>
      <c r="D38" s="2">
        <v>45824</v>
      </c>
      <c r="E38" s="2">
        <v>45828</v>
      </c>
      <c r="F38" s="2">
        <v>45831</v>
      </c>
      <c r="G38" t="s">
        <v>359</v>
      </c>
      <c r="H38">
        <v>5</v>
      </c>
    </row>
    <row r="39" spans="1:8">
      <c r="A39" t="s">
        <v>273</v>
      </c>
      <c r="B39" t="s">
        <v>274</v>
      </c>
      <c r="C39" t="s">
        <v>36</v>
      </c>
      <c r="D39" s="2">
        <v>45831</v>
      </c>
      <c r="E39" s="2">
        <v>45835</v>
      </c>
      <c r="F39" s="2">
        <v>45838</v>
      </c>
      <c r="G39" t="s">
        <v>359</v>
      </c>
      <c r="H39">
        <v>5</v>
      </c>
    </row>
    <row r="40" spans="1:8">
      <c r="A40" t="s">
        <v>65</v>
      </c>
      <c r="B40" t="s">
        <v>66</v>
      </c>
      <c r="C40" t="s">
        <v>36</v>
      </c>
      <c r="D40" s="2">
        <v>45803</v>
      </c>
      <c r="E40" s="2">
        <v>45807</v>
      </c>
      <c r="F40" s="2">
        <v>45803</v>
      </c>
      <c r="G40" t="s">
        <v>359</v>
      </c>
      <c r="H40">
        <v>5</v>
      </c>
    </row>
    <row r="41" spans="1:8">
      <c r="A41" t="s">
        <v>34</v>
      </c>
      <c r="B41" t="s">
        <v>35</v>
      </c>
      <c r="C41" t="s">
        <v>36</v>
      </c>
      <c r="D41" s="2">
        <v>45813</v>
      </c>
      <c r="E41" s="2">
        <v>45814</v>
      </c>
      <c r="F41" s="2">
        <v>45817</v>
      </c>
      <c r="G41" t="s">
        <v>64</v>
      </c>
      <c r="H41">
        <v>2</v>
      </c>
    </row>
    <row r="42" spans="1:8">
      <c r="A42" t="s">
        <v>34</v>
      </c>
      <c r="B42" t="s">
        <v>35</v>
      </c>
      <c r="C42" t="s">
        <v>36</v>
      </c>
      <c r="D42" s="2">
        <v>45817</v>
      </c>
      <c r="E42" s="2">
        <v>45821</v>
      </c>
      <c r="F42" s="2">
        <v>45824</v>
      </c>
      <c r="G42" t="s">
        <v>64</v>
      </c>
      <c r="H42">
        <v>5</v>
      </c>
    </row>
    <row r="43" spans="1:8">
      <c r="A43" t="s">
        <v>34</v>
      </c>
      <c r="B43" t="s">
        <v>35</v>
      </c>
      <c r="C43" t="s">
        <v>36</v>
      </c>
      <c r="D43" s="2">
        <v>45825</v>
      </c>
      <c r="E43" s="2">
        <v>45828</v>
      </c>
      <c r="F43" s="2">
        <v>45831</v>
      </c>
      <c r="G43" t="s">
        <v>64</v>
      </c>
      <c r="H43">
        <v>4</v>
      </c>
    </row>
    <row r="44" spans="1:8">
      <c r="A44" t="s">
        <v>379</v>
      </c>
      <c r="B44" t="s">
        <v>169</v>
      </c>
      <c r="C44" t="s">
        <v>36</v>
      </c>
      <c r="D44" s="2">
        <v>45834</v>
      </c>
      <c r="E44" s="2">
        <v>45835</v>
      </c>
      <c r="G44" t="s">
        <v>217</v>
      </c>
      <c r="H44">
        <v>2</v>
      </c>
    </row>
    <row r="45" spans="1:8">
      <c r="A45" t="s">
        <v>253</v>
      </c>
      <c r="B45" t="s">
        <v>49</v>
      </c>
      <c r="C45" t="s">
        <v>43</v>
      </c>
      <c r="D45" t="s">
        <v>218</v>
      </c>
      <c r="E45" s="2">
        <v>45906</v>
      </c>
      <c r="F45" s="2">
        <v>45810</v>
      </c>
      <c r="G45" s="41" t="s">
        <v>144</v>
      </c>
    </row>
    <row r="46" spans="1:8">
      <c r="A46" t="s">
        <v>253</v>
      </c>
      <c r="B46" t="s">
        <v>49</v>
      </c>
      <c r="C46" t="s">
        <v>43</v>
      </c>
      <c r="D46" t="s">
        <v>218</v>
      </c>
      <c r="E46" s="2">
        <v>45906</v>
      </c>
      <c r="F46" s="2">
        <v>45817</v>
      </c>
      <c r="G46" s="41" t="s">
        <v>144</v>
      </c>
    </row>
    <row r="47" spans="1:8">
      <c r="A47" t="s">
        <v>253</v>
      </c>
      <c r="B47" t="s">
        <v>49</v>
      </c>
      <c r="C47" t="s">
        <v>43</v>
      </c>
      <c r="D47" t="s">
        <v>218</v>
      </c>
      <c r="E47" s="2">
        <v>45906</v>
      </c>
      <c r="F47" s="2">
        <v>45824</v>
      </c>
      <c r="G47" s="41" t="s">
        <v>359</v>
      </c>
    </row>
    <row r="48" spans="1:8">
      <c r="A48" t="s">
        <v>253</v>
      </c>
      <c r="B48" t="s">
        <v>49</v>
      </c>
      <c r="C48" t="s">
        <v>43</v>
      </c>
      <c r="D48" t="s">
        <v>218</v>
      </c>
      <c r="E48" s="2">
        <v>45906</v>
      </c>
      <c r="F48" s="2">
        <v>45831</v>
      </c>
      <c r="G48" s="41" t="s">
        <v>64</v>
      </c>
    </row>
    <row r="49" spans="1:7">
      <c r="A49" t="s">
        <v>380</v>
      </c>
      <c r="B49" t="s">
        <v>134</v>
      </c>
      <c r="C49" t="s">
        <v>43</v>
      </c>
      <c r="D49" s="2">
        <v>45817</v>
      </c>
      <c r="E49" s="2">
        <v>45831</v>
      </c>
      <c r="F49" s="2">
        <v>45824</v>
      </c>
      <c r="G49" t="s">
        <v>64</v>
      </c>
    </row>
    <row r="50" spans="1:7">
      <c r="A50" t="s">
        <v>380</v>
      </c>
      <c r="B50" t="s">
        <v>134</v>
      </c>
      <c r="C50" t="s">
        <v>43</v>
      </c>
      <c r="D50" s="2">
        <v>45817</v>
      </c>
      <c r="E50" s="2">
        <v>45831</v>
      </c>
      <c r="F50" s="2">
        <v>45831</v>
      </c>
      <c r="G50" t="s">
        <v>64</v>
      </c>
    </row>
    <row r="52" spans="1:7">
      <c r="A52" t="s">
        <v>228</v>
      </c>
      <c r="B52" s="29" t="s">
        <v>229</v>
      </c>
      <c r="C52" s="27" t="s">
        <v>43</v>
      </c>
      <c r="D52" s="2">
        <v>45748</v>
      </c>
      <c r="E52">
        <v>45825</v>
      </c>
      <c r="F52" s="2">
        <v>45810</v>
      </c>
      <c r="G52" s="41" t="s">
        <v>144</v>
      </c>
    </row>
    <row r="53" spans="1:7">
      <c r="A53" t="s">
        <v>228</v>
      </c>
      <c r="B53" s="29" t="s">
        <v>229</v>
      </c>
      <c r="C53" s="27" t="s">
        <v>43</v>
      </c>
      <c r="D53" s="2">
        <v>45749</v>
      </c>
      <c r="E53">
        <v>45825</v>
      </c>
      <c r="F53" s="2">
        <v>45817</v>
      </c>
      <c r="G53" s="41" t="s">
        <v>144</v>
      </c>
    </row>
    <row r="54" spans="1:7">
      <c r="A54" t="s">
        <v>228</v>
      </c>
      <c r="B54" s="29" t="s">
        <v>229</v>
      </c>
      <c r="C54" s="27" t="s">
        <v>43</v>
      </c>
      <c r="D54" s="2">
        <v>45750</v>
      </c>
      <c r="E54">
        <v>45825</v>
      </c>
      <c r="F54" s="2">
        <v>45824</v>
      </c>
      <c r="G54" s="41" t="s">
        <v>144</v>
      </c>
    </row>
    <row r="55" spans="1:7">
      <c r="A55" t="s">
        <v>228</v>
      </c>
      <c r="B55" s="29" t="s">
        <v>229</v>
      </c>
      <c r="C55" s="27" t="s">
        <v>43</v>
      </c>
      <c r="D55" s="2">
        <v>45751</v>
      </c>
      <c r="E55">
        <v>45825</v>
      </c>
      <c r="F55" s="2">
        <v>45831</v>
      </c>
      <c r="G55" s="41" t="s">
        <v>144</v>
      </c>
    </row>
    <row r="56" spans="1:7">
      <c r="A56" t="s">
        <v>228</v>
      </c>
      <c r="B56" s="29" t="s">
        <v>229</v>
      </c>
      <c r="C56" s="27" t="s">
        <v>43</v>
      </c>
      <c r="D56" s="2">
        <v>45752</v>
      </c>
      <c r="E56">
        <v>45825</v>
      </c>
      <c r="F56" s="2">
        <v>45838</v>
      </c>
      <c r="G56" t="s">
        <v>231</v>
      </c>
    </row>
    <row r="57" spans="1:7">
      <c r="A57" t="s">
        <v>236</v>
      </c>
      <c r="B57" s="7" t="s">
        <v>237</v>
      </c>
      <c r="C57" t="s">
        <v>43</v>
      </c>
      <c r="D57" s="2">
        <v>45810</v>
      </c>
      <c r="E57" s="2">
        <v>45831</v>
      </c>
      <c r="F57" s="2">
        <v>45817</v>
      </c>
      <c r="G57" t="s">
        <v>359</v>
      </c>
    </row>
    <row r="58" spans="1:7">
      <c r="A58" t="s">
        <v>236</v>
      </c>
      <c r="B58" s="7" t="s">
        <v>381</v>
      </c>
      <c r="C58" t="s">
        <v>43</v>
      </c>
      <c r="D58" s="2">
        <v>45810</v>
      </c>
      <c r="E58" s="2">
        <v>45831</v>
      </c>
      <c r="F58" s="2">
        <v>45824</v>
      </c>
      <c r="G58" t="s">
        <v>359</v>
      </c>
    </row>
    <row r="59" spans="1:7">
      <c r="A59" t="s">
        <v>236</v>
      </c>
      <c r="B59" s="7" t="s">
        <v>382</v>
      </c>
      <c r="C59" t="s">
        <v>43</v>
      </c>
      <c r="D59" s="2">
        <v>45810</v>
      </c>
      <c r="E59" s="2">
        <v>45831</v>
      </c>
      <c r="F59" s="2">
        <v>45831</v>
      </c>
      <c r="G59" t="s">
        <v>359</v>
      </c>
    </row>
    <row r="60" spans="1:7">
      <c r="A60" t="s">
        <v>236</v>
      </c>
      <c r="B60" s="7" t="s">
        <v>383</v>
      </c>
      <c r="C60" t="s">
        <v>43</v>
      </c>
      <c r="D60" s="2">
        <v>45810</v>
      </c>
      <c r="E60" s="2">
        <v>45831</v>
      </c>
      <c r="F60" s="2">
        <v>45838</v>
      </c>
      <c r="G60" t="s">
        <v>359</v>
      </c>
    </row>
    <row r="61" spans="1:7">
      <c r="A61" t="s">
        <v>367</v>
      </c>
      <c r="B61" s="7" t="s">
        <v>123</v>
      </c>
      <c r="C61" t="s">
        <v>75</v>
      </c>
      <c r="D61" s="2">
        <v>45838</v>
      </c>
      <c r="E61" s="2">
        <v>45842</v>
      </c>
      <c r="F61" s="2">
        <v>46209</v>
      </c>
      <c r="G61" t="s">
        <v>359</v>
      </c>
    </row>
    <row r="62" spans="1:7">
      <c r="A62" t="s">
        <v>337</v>
      </c>
      <c r="B62" s="31" t="s">
        <v>384</v>
      </c>
      <c r="C62" t="s">
        <v>368</v>
      </c>
      <c r="D62" s="2">
        <v>45832</v>
      </c>
      <c r="E62" s="2">
        <v>45833</v>
      </c>
      <c r="F62" s="2">
        <v>45838</v>
      </c>
      <c r="G62" t="s">
        <v>217</v>
      </c>
    </row>
    <row r="63" spans="1:7">
      <c r="A63" t="s">
        <v>337</v>
      </c>
      <c r="B63" s="31" t="s">
        <v>384</v>
      </c>
      <c r="C63" t="s">
        <v>368</v>
      </c>
      <c r="D63" s="2">
        <v>45834</v>
      </c>
      <c r="E63" s="2">
        <v>45840</v>
      </c>
      <c r="F63" s="2">
        <v>45838</v>
      </c>
      <c r="G63" t="s">
        <v>64</v>
      </c>
    </row>
    <row r="64" spans="1:7">
      <c r="A64" t="s">
        <v>151</v>
      </c>
      <c r="B64" t="s">
        <v>152</v>
      </c>
      <c r="C64" t="s">
        <v>43</v>
      </c>
      <c r="D64" s="2">
        <v>45803</v>
      </c>
      <c r="E64" s="2">
        <v>45807</v>
      </c>
      <c r="F64" s="2">
        <v>45810</v>
      </c>
      <c r="G64" t="s">
        <v>359</v>
      </c>
    </row>
    <row r="65" spans="1:8">
      <c r="A65" t="s">
        <v>154</v>
      </c>
      <c r="B65" s="31" t="s">
        <v>155</v>
      </c>
      <c r="C65" t="s">
        <v>368</v>
      </c>
      <c r="D65" s="2">
        <v>45825</v>
      </c>
      <c r="E65" s="2">
        <v>45828</v>
      </c>
      <c r="F65" s="2">
        <v>45831</v>
      </c>
      <c r="G65" t="s">
        <v>217</v>
      </c>
      <c r="H65">
        <v>4</v>
      </c>
    </row>
    <row r="66" spans="1:8">
      <c r="A66" t="s">
        <v>149</v>
      </c>
      <c r="B66" t="str">
        <f>VLOOKUP(A66,OBR_Employees[#All],2,0)</f>
        <v>F5485908</v>
      </c>
      <c r="C66" t="s">
        <v>43</v>
      </c>
      <c r="D66" s="2">
        <v>45803</v>
      </c>
      <c r="E66" s="2">
        <v>45807</v>
      </c>
      <c r="F66" s="2">
        <v>45810</v>
      </c>
      <c r="G66" t="s">
        <v>64</v>
      </c>
    </row>
  </sheetData>
  <dataValidations count="1">
    <dataValidation type="list" allowBlank="1" showInputMessage="1" showErrorMessage="1" errorTitle="Wrong Information Displayed" promptTitle="Select Leave reason" prompt="Please select leave reason from the list, for system issues, please send through the IT ticket number via email." sqref="G49:G51 G56:G1048576 G2:G44" xr:uid="{CF15AFF3-CD34-4C6D-AC77-8E772677DAC0}">
      <formula1>"Annual Leave, Sick Leave, Maternity Leave, Week Duration System Issues, Other"</formula1>
    </dataValidation>
  </dataValidations>
  <hyperlinks>
    <hyperlink ref="B22" r:id="rId1" display="f5687772@fnb.co.za" xr:uid="{E88091C7-20B1-44BA-9BE8-72334BBA8A2C}"/>
    <hyperlink ref="B28" r:id="rId2" display="f8876068@fnb.co.za" xr:uid="{5F5D9A5F-9492-451B-A999-5D226FC75B33}"/>
    <hyperlink ref="B31" r:id="rId3" display="f5589932@fnb.co.za" xr:uid="{138FC835-63A0-4E69-8B7A-055C5A98E839}"/>
    <hyperlink ref="B57" r:id="rId4" display="f5632595@fnb.co.za" xr:uid="{60A4A7FF-0C84-4097-857C-9678D33C6A91}"/>
    <hyperlink ref="B61" r:id="rId5" display="f5632595@fnb.co.za" xr:uid="{3B135F8C-6B0E-444F-BBA7-66114E685091}"/>
    <hyperlink ref="B62" r:id="rId6" display="f8878465@fnb.co.za" xr:uid="{A2D9C4E3-FB7B-472C-BDE7-011842D61A9E}"/>
    <hyperlink ref="B63" r:id="rId7" display="f8878465@fnb.co.za" xr:uid="{DFFA2A31-6058-448E-8736-B035F2096525}"/>
    <hyperlink ref="B65" r:id="rId8" display="f8873573@fnb.co.za" xr:uid="{A84D12FF-4ACB-4C92-A0E7-B98FDCBAA501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promptTitle="Select Individual" prompt="Please select an individual for the list, their F_Number and Team will automatically populate if you double click on the right upper corner of cell B and C respectively_x000a_" xr:uid="{B47A719A-28B6-4A08-A360-F59F24463A37}">
          <x14:formula1>
            <xm:f>Employees!$A$2:$A$101</xm:f>
          </x14:formula1>
          <xm:sqref>A2:B2 A4:A1048576</xm:sqref>
        </x14:dataValidation>
        <x14:dataValidation type="list" allowBlank="1" showInputMessage="1" showErrorMessage="1" promptTitle="Select Leave End date" prompt="Please select the last leave date" xr:uid="{3EC2CFB8-D6C3-4E3C-A9FF-7A406DB5DF48}">
          <x14:formula1>
            <xm:f>'Date list'!$A$2:$A$732</xm:f>
          </x14:formula1>
          <xm:sqref>E2:E1048576</xm:sqref>
        </x14:dataValidation>
        <x14:dataValidation type="list" allowBlank="1" showInputMessage="1" showErrorMessage="1" promptTitle="Select Leave start date" prompt="Please select from the list the leave start date" xr:uid="{A4948321-BCA5-4791-A2CC-A4FF3072B514}">
          <x14:formula1>
            <xm:f>'Date list'!$A$2:$A$732</xm:f>
          </x14:formula1>
          <xm:sqref>D2:D1048576</xm:sqref>
        </x14:dataValidation>
        <x14:dataValidation type="list" allowBlank="1" showInputMessage="1" showErrorMessage="1" promptTitle="Monday Affected" prompt="Please select which Monday scorecard was/is affected, if more than one scorecard, please insert in the next row." xr:uid="{7FB51FFE-726C-4A81-BAE6-34862837907B}">
          <x14:formula1>
            <xm:f>'Date list'!$D$2:$D$105</xm:f>
          </x14:formula1>
          <xm:sqref>F2:F1048576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4A7AE-BE6C-4174-8A47-D594BBC97139}">
  <sheetPr codeName="Sheet17">
    <tabColor theme="4" tint="0.79998168889431442"/>
  </sheetPr>
  <dimension ref="A1:H22"/>
  <sheetViews>
    <sheetView topLeftCell="H21" workbookViewId="0">
      <selection activeCell="F28" sqref="F28"/>
    </sheetView>
  </sheetViews>
  <sheetFormatPr defaultRowHeight="14.45"/>
  <cols>
    <col min="1" max="1" width="24.28515625" customWidth="1"/>
    <col min="2" max="2" width="9.5703125" bestFit="1" customWidth="1"/>
    <col min="3" max="3" width="17.85546875" bestFit="1" customWidth="1"/>
    <col min="4" max="4" width="15.42578125" style="2" bestFit="1" customWidth="1"/>
    <col min="5" max="5" width="14.7109375" style="2" bestFit="1" customWidth="1"/>
    <col min="6" max="6" width="29.140625" style="2" customWidth="1"/>
    <col min="7" max="7" width="16.7109375" customWidth="1"/>
    <col min="8" max="8" width="10" bestFit="1" customWidth="1"/>
  </cols>
  <sheetData>
    <row r="1" spans="1:8">
      <c r="A1" s="34" t="s">
        <v>0</v>
      </c>
      <c r="B1" s="34" t="s">
        <v>1</v>
      </c>
      <c r="C1" s="34" t="s">
        <v>2</v>
      </c>
      <c r="D1" s="40" t="s">
        <v>3</v>
      </c>
      <c r="E1" s="40" t="s">
        <v>4</v>
      </c>
      <c r="F1" s="40" t="s">
        <v>5</v>
      </c>
      <c r="G1" s="34" t="s">
        <v>335</v>
      </c>
      <c r="H1" s="34" t="s">
        <v>7</v>
      </c>
    </row>
    <row r="2" spans="1:8">
      <c r="B2" t="e">
        <f>VLOOKUP(A2,OBR_Employees[#All],2,0)</f>
        <v>#N/A</v>
      </c>
      <c r="C2" t="e">
        <f>VLOOKUP(A2,OBR_Employees[#All],3,0)</f>
        <v>#N/A</v>
      </c>
      <c r="H2">
        <f>E2-D2</f>
        <v>0</v>
      </c>
    </row>
    <row r="3" spans="1:8" ht="15.6">
      <c r="A3" s="43" t="s">
        <v>385</v>
      </c>
      <c r="B3" t="s">
        <v>365</v>
      </c>
      <c r="C3" t="s">
        <v>386</v>
      </c>
      <c r="D3" s="2">
        <v>45833</v>
      </c>
      <c r="E3" s="2">
        <v>45846</v>
      </c>
      <c r="F3" s="2">
        <v>45845</v>
      </c>
      <c r="G3" t="s">
        <v>217</v>
      </c>
    </row>
    <row r="4" spans="1:8">
      <c r="A4" t="s">
        <v>315</v>
      </c>
      <c r="B4" t="s">
        <v>316</v>
      </c>
      <c r="C4" t="s">
        <v>43</v>
      </c>
      <c r="D4"/>
      <c r="E4"/>
      <c r="F4" s="35"/>
      <c r="G4" t="s">
        <v>231</v>
      </c>
    </row>
    <row r="5" spans="1:8">
      <c r="A5" t="s">
        <v>315</v>
      </c>
      <c r="B5" t="s">
        <v>316</v>
      </c>
      <c r="C5" t="s">
        <v>43</v>
      </c>
      <c r="D5"/>
      <c r="E5"/>
      <c r="F5" s="35"/>
      <c r="G5" t="s">
        <v>231</v>
      </c>
    </row>
    <row r="6" spans="1:8">
      <c r="A6" t="s">
        <v>315</v>
      </c>
      <c r="B6" t="s">
        <v>316</v>
      </c>
      <c r="C6" t="s">
        <v>43</v>
      </c>
      <c r="D6"/>
      <c r="E6"/>
      <c r="F6" s="35"/>
      <c r="G6" t="s">
        <v>231</v>
      </c>
    </row>
    <row r="7" spans="1:8">
      <c r="A7" t="s">
        <v>315</v>
      </c>
      <c r="B7" t="s">
        <v>316</v>
      </c>
      <c r="C7" t="s">
        <v>43</v>
      </c>
      <c r="D7"/>
      <c r="E7"/>
      <c r="F7" s="35"/>
      <c r="G7" t="s">
        <v>231</v>
      </c>
    </row>
    <row r="8" spans="1:8">
      <c r="A8" t="s">
        <v>315</v>
      </c>
      <c r="B8" t="s">
        <v>316</v>
      </c>
      <c r="C8" t="s">
        <v>43</v>
      </c>
      <c r="D8"/>
      <c r="E8"/>
      <c r="G8" t="s">
        <v>231</v>
      </c>
    </row>
    <row r="9" spans="1:8">
      <c r="A9" s="37"/>
      <c r="B9" s="37"/>
      <c r="D9"/>
      <c r="E9"/>
    </row>
    <row r="10" spans="1:8">
      <c r="A10" s="37"/>
      <c r="B10" s="37"/>
      <c r="D10"/>
      <c r="E10"/>
    </row>
    <row r="11" spans="1:8">
      <c r="A11" s="37"/>
      <c r="B11" s="37"/>
      <c r="D11"/>
      <c r="E11"/>
    </row>
    <row r="12" spans="1:8">
      <c r="A12" t="s">
        <v>367</v>
      </c>
      <c r="B12" s="7" t="s">
        <v>123</v>
      </c>
      <c r="C12" t="s">
        <v>75</v>
      </c>
      <c r="D12" s="2">
        <v>45852</v>
      </c>
      <c r="E12" s="2">
        <v>45866</v>
      </c>
      <c r="F12" s="2">
        <v>46223</v>
      </c>
      <c r="G12" t="s">
        <v>217</v>
      </c>
      <c r="H12">
        <v>10</v>
      </c>
    </row>
    <row r="13" spans="1:8">
      <c r="A13" t="s">
        <v>367</v>
      </c>
      <c r="B13" s="7" t="s">
        <v>123</v>
      </c>
      <c r="C13" t="s">
        <v>75</v>
      </c>
      <c r="D13" s="2">
        <v>45852</v>
      </c>
      <c r="E13" s="2">
        <v>45866</v>
      </c>
      <c r="F13" s="2">
        <v>46230</v>
      </c>
      <c r="G13" t="s">
        <v>217</v>
      </c>
      <c r="H13">
        <v>10</v>
      </c>
    </row>
    <row r="14" spans="1:8">
      <c r="A14" t="s">
        <v>387</v>
      </c>
      <c r="B14" t="s">
        <v>388</v>
      </c>
      <c r="C14" t="s">
        <v>75</v>
      </c>
      <c r="D14" s="2">
        <v>45867</v>
      </c>
      <c r="E14" s="2">
        <v>45881</v>
      </c>
      <c r="F14" s="2">
        <v>45873</v>
      </c>
      <c r="G14" t="s">
        <v>217</v>
      </c>
      <c r="H14">
        <v>10</v>
      </c>
    </row>
    <row r="16" spans="1:8">
      <c r="A16" t="s">
        <v>389</v>
      </c>
      <c r="B16" t="s">
        <v>390</v>
      </c>
      <c r="C16" t="s">
        <v>43</v>
      </c>
      <c r="D16" s="2">
        <v>45838</v>
      </c>
      <c r="E16" s="2">
        <v>45849</v>
      </c>
      <c r="F16" s="2">
        <v>45845</v>
      </c>
      <c r="G16" t="s">
        <v>217</v>
      </c>
      <c r="H16">
        <v>10</v>
      </c>
    </row>
    <row r="17" spans="1:8">
      <c r="A17" t="s">
        <v>389</v>
      </c>
      <c r="B17" t="s">
        <v>390</v>
      </c>
      <c r="C17" t="s">
        <v>43</v>
      </c>
      <c r="D17" s="2">
        <v>45838</v>
      </c>
      <c r="E17" s="2">
        <v>45849</v>
      </c>
      <c r="F17" s="2">
        <v>45852</v>
      </c>
      <c r="G17" t="s">
        <v>217</v>
      </c>
      <c r="H17">
        <v>10</v>
      </c>
    </row>
    <row r="18" spans="1:8">
      <c r="A18" t="s">
        <v>19</v>
      </c>
      <c r="B18" t="s">
        <v>20</v>
      </c>
      <c r="C18" t="s">
        <v>43</v>
      </c>
      <c r="D18" s="2">
        <v>45840</v>
      </c>
      <c r="E18" s="2">
        <v>45853</v>
      </c>
      <c r="G18" t="s">
        <v>64</v>
      </c>
      <c r="H18">
        <v>10</v>
      </c>
    </row>
    <row r="19" spans="1:8">
      <c r="A19" t="s">
        <v>339</v>
      </c>
      <c r="B19" t="s">
        <v>74</v>
      </c>
      <c r="C19" t="s">
        <v>75</v>
      </c>
      <c r="D19" s="2">
        <v>45852</v>
      </c>
      <c r="E19" s="2">
        <v>45855</v>
      </c>
      <c r="F19" s="2">
        <v>45852</v>
      </c>
      <c r="G19" t="s">
        <v>64</v>
      </c>
      <c r="H19">
        <v>5</v>
      </c>
    </row>
    <row r="20" spans="1:8">
      <c r="A20" t="s">
        <v>339</v>
      </c>
      <c r="B20" t="s">
        <v>74</v>
      </c>
      <c r="C20" t="s">
        <v>75</v>
      </c>
      <c r="D20" s="2">
        <v>45859</v>
      </c>
      <c r="E20" s="2">
        <v>45869</v>
      </c>
      <c r="F20" s="2">
        <v>45852</v>
      </c>
      <c r="G20" t="s">
        <v>64</v>
      </c>
      <c r="H20">
        <v>10</v>
      </c>
    </row>
    <row r="21" spans="1:8">
      <c r="A21" t="s">
        <v>339</v>
      </c>
      <c r="B21" t="s">
        <v>74</v>
      </c>
      <c r="C21" t="s">
        <v>75</v>
      </c>
      <c r="D21" s="2">
        <v>45859</v>
      </c>
      <c r="E21" s="2">
        <v>45869</v>
      </c>
      <c r="F21" s="2">
        <v>45852</v>
      </c>
      <c r="G21" t="s">
        <v>64</v>
      </c>
      <c r="H21">
        <v>10</v>
      </c>
    </row>
    <row r="22" spans="1:8">
      <c r="A22" t="s">
        <v>263</v>
      </c>
      <c r="B22" t="s">
        <v>264</v>
      </c>
      <c r="C22" t="s">
        <v>43</v>
      </c>
      <c r="D22" s="2">
        <v>45839</v>
      </c>
      <c r="E22" s="2">
        <v>45845</v>
      </c>
      <c r="F22" s="2">
        <v>45845</v>
      </c>
      <c r="G22" t="s">
        <v>217</v>
      </c>
      <c r="H22" s="12" t="s">
        <v>391</v>
      </c>
    </row>
  </sheetData>
  <dataValidations count="1">
    <dataValidation type="list" allowBlank="1" showInputMessage="1" showErrorMessage="1" errorTitle="Wrong Information Displayed" promptTitle="Select Leave reason" prompt="Please select leave reason from the list, for system issues, please send through the IT ticket number via email." sqref="G2:G1048576" xr:uid="{0109117C-CD37-471A-83E9-3C67F0D04B91}">
      <formula1>"Annual Leave, Sick Leave, Maternity Leave, Week Duration System Issues, Other"</formula1>
    </dataValidation>
  </dataValidations>
  <hyperlinks>
    <hyperlink ref="B12" r:id="rId1" display="f5632595@fnb.co.za" xr:uid="{E7CC3945-8C48-454B-BD88-FFF040422C42}"/>
    <hyperlink ref="B13" r:id="rId2" display="f5632595@fnb.co.za" xr:uid="{E96FE597-B37A-4E30-BF8D-B3AC0B591183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promptTitle="Select Leave start date" prompt="Please select from the list the leave start date" xr:uid="{935D6331-19FC-4223-8FCE-9AACE1004E7D}">
          <x14:formula1>
            <xm:f>'Date list'!$A$2:$A$732</xm:f>
          </x14:formula1>
          <xm:sqref>D2:D1048576</xm:sqref>
        </x14:dataValidation>
        <x14:dataValidation type="list" allowBlank="1" showInputMessage="1" showErrorMessage="1" promptTitle="Select Individual" prompt="Please select an individual for the list, their F_Number and Team will automatically populate if you double click on the right upper corner of cell B and C respectively_x000a_" xr:uid="{C32F3049-D3CE-40EA-9034-B68F40278B65}">
          <x14:formula1>
            <xm:f>Employees!$A$2:$A$101</xm:f>
          </x14:formula1>
          <xm:sqref>A2 A4:A1048576</xm:sqref>
        </x14:dataValidation>
        <x14:dataValidation type="list" allowBlank="1" showInputMessage="1" showErrorMessage="1" promptTitle="Monday Affected" prompt="Please select which Monday scorecard was/is affected, if more than one scorecard, please insert in the next row." xr:uid="{FACA5C53-D791-444F-AE6D-62D09FC81700}">
          <x14:formula1>
            <xm:f>'Date list'!$D$2:$D$105</xm:f>
          </x14:formula1>
          <xm:sqref>F2:F1048576</xm:sqref>
        </x14:dataValidation>
        <x14:dataValidation type="list" allowBlank="1" showInputMessage="1" showErrorMessage="1" promptTitle="Select Leave End date" prompt="Please select the last leave date" xr:uid="{6A05F60D-92F2-4712-8953-A7EA80C0AC13}">
          <x14:formula1>
            <xm:f>'Date list'!$A$2:$A$732</xm:f>
          </x14:formula1>
          <xm:sqref>E2:E1048576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C68E0-9F28-4B9B-855F-1530C4675EC6}">
  <sheetPr codeName="Sheet18">
    <tabColor theme="4" tint="0.79998168889431442"/>
  </sheetPr>
  <dimension ref="A1:H30"/>
  <sheetViews>
    <sheetView workbookViewId="0">
      <selection activeCell="A28" sqref="A28:H29"/>
    </sheetView>
  </sheetViews>
  <sheetFormatPr defaultRowHeight="14.45"/>
  <cols>
    <col min="1" max="1" width="21.5703125" bestFit="1" customWidth="1"/>
    <col min="2" max="2" width="9.5703125" bestFit="1" customWidth="1"/>
    <col min="3" max="3" width="17.85546875" bestFit="1" customWidth="1"/>
    <col min="4" max="4" width="15.42578125" style="2" bestFit="1" customWidth="1"/>
    <col min="5" max="5" width="17.42578125" style="2" customWidth="1"/>
    <col min="6" max="6" width="54.5703125" style="2" bestFit="1" customWidth="1"/>
    <col min="7" max="7" width="24.85546875" bestFit="1" customWidth="1"/>
    <col min="8" max="8" width="10" bestFit="1" customWidth="1"/>
  </cols>
  <sheetData>
    <row r="1" spans="1:8">
      <c r="A1" s="34" t="s">
        <v>0</v>
      </c>
      <c r="B1" s="34" t="s">
        <v>1</v>
      </c>
      <c r="C1" s="34" t="s">
        <v>2</v>
      </c>
      <c r="D1" s="40" t="s">
        <v>3</v>
      </c>
      <c r="E1" s="40" t="s">
        <v>4</v>
      </c>
      <c r="F1" s="40" t="s">
        <v>5</v>
      </c>
      <c r="G1" s="34" t="s">
        <v>335</v>
      </c>
      <c r="H1" s="34" t="s">
        <v>7</v>
      </c>
    </row>
    <row r="2" spans="1:8">
      <c r="A2" t="s">
        <v>387</v>
      </c>
      <c r="B2" t="s">
        <v>388</v>
      </c>
      <c r="C2" t="s">
        <v>75</v>
      </c>
      <c r="D2" s="2">
        <v>45867</v>
      </c>
      <c r="E2" s="2">
        <v>45881</v>
      </c>
      <c r="F2" s="2">
        <v>45880</v>
      </c>
      <c r="G2" t="s">
        <v>217</v>
      </c>
      <c r="H2">
        <v>10</v>
      </c>
    </row>
    <row r="3" spans="1:8">
      <c r="A3" t="s">
        <v>387</v>
      </c>
      <c r="B3" t="s">
        <v>388</v>
      </c>
      <c r="C3" t="s">
        <v>75</v>
      </c>
      <c r="D3" s="2">
        <v>45867</v>
      </c>
      <c r="E3" s="2">
        <v>45881</v>
      </c>
      <c r="F3" s="2">
        <v>45887</v>
      </c>
      <c r="G3" t="s">
        <v>217</v>
      </c>
      <c r="H3">
        <v>10</v>
      </c>
    </row>
    <row r="4" spans="1:8">
      <c r="A4" t="s">
        <v>363</v>
      </c>
      <c r="B4" t="s">
        <v>257</v>
      </c>
      <c r="C4" t="s">
        <v>75</v>
      </c>
      <c r="D4" s="2">
        <v>45698</v>
      </c>
      <c r="E4" s="2">
        <v>45877</v>
      </c>
      <c r="F4" s="2">
        <v>45880</v>
      </c>
      <c r="G4" t="s">
        <v>231</v>
      </c>
      <c r="H4">
        <v>124</v>
      </c>
    </row>
    <row r="5" spans="1:8">
      <c r="A5" t="s">
        <v>236</v>
      </c>
      <c r="B5" s="31" t="s">
        <v>237</v>
      </c>
      <c r="C5" t="s">
        <v>372</v>
      </c>
      <c r="D5" t="s">
        <v>373</v>
      </c>
      <c r="E5" s="11" t="s">
        <v>374</v>
      </c>
      <c r="F5" s="45">
        <v>45755</v>
      </c>
      <c r="G5" t="s">
        <v>217</v>
      </c>
      <c r="H5">
        <v>2</v>
      </c>
    </row>
    <row r="6" spans="1:8">
      <c r="A6" t="s">
        <v>392</v>
      </c>
      <c r="B6" t="s">
        <v>74</v>
      </c>
      <c r="C6" t="s">
        <v>75</v>
      </c>
      <c r="D6" s="2">
        <v>45867</v>
      </c>
      <c r="E6" s="11" t="s">
        <v>374</v>
      </c>
      <c r="G6" t="s">
        <v>64</v>
      </c>
    </row>
    <row r="7" spans="1:8">
      <c r="A7" t="s">
        <v>216</v>
      </c>
      <c r="B7" t="str">
        <f>VLOOKUP(A7,OBR_Employees[#All],2,0)</f>
        <v>F5437954</v>
      </c>
      <c r="C7" t="str">
        <f>VLOOKUP(A7,OBR_Employees[#All],3,0)</f>
        <v>Team 3 LOC Advisors</v>
      </c>
      <c r="D7" s="2">
        <v>45996</v>
      </c>
      <c r="E7" s="2">
        <v>45945</v>
      </c>
      <c r="F7" s="2">
        <v>45873</v>
      </c>
      <c r="G7" t="s">
        <v>231</v>
      </c>
      <c r="H7">
        <v>163</v>
      </c>
    </row>
    <row r="8" spans="1:8">
      <c r="A8" t="s">
        <v>216</v>
      </c>
      <c r="B8" t="str">
        <f>VLOOKUP(A8,OBR_Employees[#All],2,0)</f>
        <v>F5437954</v>
      </c>
      <c r="C8" t="str">
        <f>VLOOKUP(A8,OBR_Employees[#All],3,0)</f>
        <v>Team 3 LOC Advisors</v>
      </c>
      <c r="D8" s="2">
        <v>45996</v>
      </c>
      <c r="E8" s="2">
        <v>45945</v>
      </c>
      <c r="F8" s="2">
        <v>45880</v>
      </c>
      <c r="G8" t="s">
        <v>231</v>
      </c>
      <c r="H8">
        <v>163</v>
      </c>
    </row>
    <row r="9" spans="1:8">
      <c r="A9" t="s">
        <v>216</v>
      </c>
      <c r="B9" t="s">
        <v>159</v>
      </c>
      <c r="C9" t="s">
        <v>368</v>
      </c>
      <c r="D9" s="2">
        <v>45996</v>
      </c>
      <c r="E9" s="2">
        <v>45945</v>
      </c>
      <c r="F9" s="2">
        <v>45887</v>
      </c>
      <c r="G9" t="s">
        <v>231</v>
      </c>
      <c r="H9">
        <v>163</v>
      </c>
    </row>
    <row r="10" spans="1:8">
      <c r="A10" t="s">
        <v>216</v>
      </c>
      <c r="B10" t="s">
        <v>159</v>
      </c>
      <c r="C10" t="s">
        <v>368</v>
      </c>
      <c r="D10" s="2">
        <v>45996</v>
      </c>
      <c r="E10" s="2">
        <v>45945</v>
      </c>
      <c r="F10" s="2">
        <v>45894</v>
      </c>
      <c r="G10" t="s">
        <v>231</v>
      </c>
      <c r="H10">
        <v>163</v>
      </c>
    </row>
    <row r="11" spans="1:8">
      <c r="A11" t="s">
        <v>179</v>
      </c>
      <c r="B11" t="s">
        <v>346</v>
      </c>
      <c r="C11" t="s">
        <v>36</v>
      </c>
      <c r="D11" s="2">
        <v>45867</v>
      </c>
      <c r="E11" s="2">
        <v>45873</v>
      </c>
      <c r="F11" s="2">
        <v>45873</v>
      </c>
      <c r="G11" t="s">
        <v>64</v>
      </c>
      <c r="H11">
        <v>4</v>
      </c>
    </row>
    <row r="12" spans="1:8">
      <c r="A12" t="s">
        <v>393</v>
      </c>
      <c r="B12" t="s">
        <v>394</v>
      </c>
      <c r="C12" t="s">
        <v>36</v>
      </c>
      <c r="D12" s="2">
        <v>45875</v>
      </c>
      <c r="E12" s="2">
        <v>45877</v>
      </c>
      <c r="F12" s="2">
        <v>45880</v>
      </c>
      <c r="G12" t="s">
        <v>64</v>
      </c>
      <c r="H12">
        <v>3</v>
      </c>
    </row>
    <row r="13" spans="1:8">
      <c r="A13" t="s">
        <v>179</v>
      </c>
      <c r="B13" t="s">
        <v>346</v>
      </c>
      <c r="C13" t="s">
        <v>36</v>
      </c>
      <c r="D13" s="2">
        <v>45882</v>
      </c>
      <c r="E13" s="2">
        <v>45884</v>
      </c>
      <c r="F13" s="2">
        <v>45887</v>
      </c>
      <c r="G13" t="s">
        <v>64</v>
      </c>
      <c r="H13">
        <v>3</v>
      </c>
    </row>
    <row r="14" spans="1:8">
      <c r="A14" t="s">
        <v>276</v>
      </c>
      <c r="B14" t="s">
        <v>277</v>
      </c>
      <c r="C14" t="s">
        <v>36</v>
      </c>
      <c r="D14" s="2">
        <v>45877</v>
      </c>
      <c r="E14" s="2">
        <v>45891</v>
      </c>
      <c r="F14" s="2">
        <v>45887</v>
      </c>
      <c r="G14" t="s">
        <v>217</v>
      </c>
      <c r="H14">
        <v>5</v>
      </c>
    </row>
    <row r="15" spans="1:8">
      <c r="A15" t="s">
        <v>276</v>
      </c>
      <c r="B15" t="s">
        <v>277</v>
      </c>
      <c r="C15" t="s">
        <v>36</v>
      </c>
      <c r="D15" s="2">
        <v>45877</v>
      </c>
      <c r="E15" s="2">
        <v>45891</v>
      </c>
      <c r="F15" s="2">
        <v>45894</v>
      </c>
      <c r="G15" t="s">
        <v>217</v>
      </c>
      <c r="H15">
        <v>5</v>
      </c>
    </row>
    <row r="16" spans="1:8">
      <c r="A16" t="s">
        <v>65</v>
      </c>
      <c r="B16" t="s">
        <v>66</v>
      </c>
      <c r="C16" t="s">
        <v>36</v>
      </c>
      <c r="D16" s="2">
        <v>45882</v>
      </c>
      <c r="E16" s="2">
        <v>45884</v>
      </c>
      <c r="F16" s="2">
        <v>45887</v>
      </c>
      <c r="G16" t="s">
        <v>217</v>
      </c>
      <c r="H16">
        <v>3</v>
      </c>
    </row>
    <row r="17" spans="1:8">
      <c r="A17" t="s">
        <v>65</v>
      </c>
      <c r="B17" t="s">
        <v>66</v>
      </c>
      <c r="C17" t="s">
        <v>36</v>
      </c>
      <c r="D17" s="2">
        <v>45887</v>
      </c>
      <c r="E17" s="2">
        <v>45891</v>
      </c>
      <c r="F17" s="2">
        <v>45894</v>
      </c>
      <c r="G17" t="s">
        <v>217</v>
      </c>
      <c r="H17">
        <v>5</v>
      </c>
    </row>
    <row r="18" spans="1:8">
      <c r="A18" t="s">
        <v>65</v>
      </c>
      <c r="B18" t="s">
        <v>66</v>
      </c>
      <c r="C18" t="s">
        <v>36</v>
      </c>
      <c r="D18" s="2">
        <v>45894</v>
      </c>
      <c r="E18" s="2">
        <v>45895</v>
      </c>
      <c r="F18" s="2">
        <v>45901</v>
      </c>
      <c r="G18" t="s">
        <v>217</v>
      </c>
      <c r="H18">
        <v>2</v>
      </c>
    </row>
    <row r="19" spans="1:8">
      <c r="A19" t="s">
        <v>85</v>
      </c>
      <c r="B19" s="31" t="s">
        <v>86</v>
      </c>
      <c r="C19" t="str">
        <f>VLOOKUP(A19,OBR_Employees[#All],3,0)</f>
        <v>Team 3 LOC Advisors</v>
      </c>
      <c r="D19" s="2">
        <v>45875</v>
      </c>
      <c r="E19" s="2">
        <v>45876</v>
      </c>
      <c r="F19" s="2">
        <v>45880</v>
      </c>
      <c r="G19" t="s">
        <v>359</v>
      </c>
      <c r="H19">
        <v>2</v>
      </c>
    </row>
    <row r="20" spans="1:8">
      <c r="A20" t="s">
        <v>85</v>
      </c>
      <c r="B20" s="31" t="s">
        <v>86</v>
      </c>
      <c r="C20" t="s">
        <v>368</v>
      </c>
      <c r="D20" s="2">
        <v>45877</v>
      </c>
      <c r="E20" s="2">
        <v>45881</v>
      </c>
      <c r="F20" s="2">
        <v>45887</v>
      </c>
      <c r="G20" t="s">
        <v>217</v>
      </c>
      <c r="H20">
        <v>3</v>
      </c>
    </row>
    <row r="21" spans="1:8">
      <c r="A21" t="s">
        <v>179</v>
      </c>
      <c r="B21" t="s">
        <v>346</v>
      </c>
      <c r="C21" t="s">
        <v>36</v>
      </c>
      <c r="D21" s="2">
        <v>45887</v>
      </c>
      <c r="E21" s="2">
        <v>45891</v>
      </c>
      <c r="F21" s="2">
        <v>45894</v>
      </c>
      <c r="G21" t="s">
        <v>64</v>
      </c>
      <c r="H21">
        <v>5</v>
      </c>
    </row>
    <row r="22" spans="1:8">
      <c r="A22" t="s">
        <v>179</v>
      </c>
      <c r="B22" t="s">
        <v>346</v>
      </c>
      <c r="C22" t="s">
        <v>36</v>
      </c>
      <c r="D22" s="2">
        <v>45894</v>
      </c>
      <c r="E22" s="2">
        <v>45898</v>
      </c>
      <c r="F22" s="2">
        <v>45901</v>
      </c>
      <c r="G22" t="s">
        <v>64</v>
      </c>
      <c r="H22">
        <v>5</v>
      </c>
    </row>
    <row r="23" spans="1:8">
      <c r="B23" t="s">
        <v>197</v>
      </c>
      <c r="C23" t="s">
        <v>395</v>
      </c>
      <c r="D23" s="2">
        <v>45889</v>
      </c>
      <c r="E23" s="2">
        <v>45897</v>
      </c>
      <c r="F23" s="2">
        <v>45894</v>
      </c>
      <c r="G23" t="s">
        <v>217</v>
      </c>
      <c r="H23">
        <v>8</v>
      </c>
    </row>
    <row r="24" spans="1:8">
      <c r="B24" t="s">
        <v>197</v>
      </c>
      <c r="C24" t="s">
        <v>395</v>
      </c>
      <c r="D24" s="2">
        <v>45889</v>
      </c>
      <c r="E24" s="2">
        <v>45897</v>
      </c>
      <c r="F24" s="2">
        <v>45901</v>
      </c>
      <c r="G24" t="s">
        <v>217</v>
      </c>
      <c r="H24">
        <v>8</v>
      </c>
    </row>
    <row r="25" spans="1:8">
      <c r="A25" t="s">
        <v>396</v>
      </c>
      <c r="B25" t="s">
        <v>29</v>
      </c>
      <c r="C25" t="s">
        <v>397</v>
      </c>
      <c r="D25" s="2">
        <v>45894</v>
      </c>
      <c r="E25" s="2">
        <v>45898</v>
      </c>
      <c r="F25" s="2">
        <v>45901</v>
      </c>
      <c r="G25" t="s">
        <v>217</v>
      </c>
      <c r="H25">
        <v>5</v>
      </c>
    </row>
    <row r="27" spans="1:8">
      <c r="A27" t="s">
        <v>398</v>
      </c>
      <c r="B27" t="s">
        <v>399</v>
      </c>
      <c r="C27" t="s">
        <v>400</v>
      </c>
      <c r="D27" s="2">
        <v>45929</v>
      </c>
      <c r="E27" s="2">
        <v>45933</v>
      </c>
      <c r="F27" s="2">
        <v>45936</v>
      </c>
      <c r="G27" t="s">
        <v>217</v>
      </c>
      <c r="H27">
        <v>5</v>
      </c>
    </row>
    <row r="28" spans="1:8">
      <c r="A28" t="s">
        <v>339</v>
      </c>
      <c r="B28" t="s">
        <v>74</v>
      </c>
      <c r="C28" t="s">
        <v>75</v>
      </c>
      <c r="D28" s="2">
        <v>45870</v>
      </c>
      <c r="E28" s="2">
        <v>45887</v>
      </c>
      <c r="F28" s="2">
        <v>45876</v>
      </c>
      <c r="G28" t="s">
        <v>64</v>
      </c>
      <c r="H28">
        <v>18</v>
      </c>
    </row>
    <row r="29" spans="1:8">
      <c r="A29" t="s">
        <v>339</v>
      </c>
      <c r="B29" t="s">
        <v>74</v>
      </c>
      <c r="C29" t="s">
        <v>75</v>
      </c>
      <c r="D29" s="2">
        <v>45870</v>
      </c>
      <c r="E29" s="2">
        <v>45887</v>
      </c>
      <c r="F29" s="2">
        <v>45883</v>
      </c>
      <c r="G29" t="s">
        <v>64</v>
      </c>
    </row>
    <row r="30" spans="1:8">
      <c r="A30" t="s">
        <v>339</v>
      </c>
      <c r="B30" t="s">
        <v>74</v>
      </c>
      <c r="C30" t="s">
        <v>75</v>
      </c>
      <c r="D30" s="2">
        <v>45896</v>
      </c>
      <c r="E30" s="2">
        <v>45902</v>
      </c>
      <c r="F30" s="2">
        <v>45901</v>
      </c>
      <c r="G30" t="s">
        <v>217</v>
      </c>
      <c r="H30">
        <v>5</v>
      </c>
    </row>
  </sheetData>
  <dataValidations count="1">
    <dataValidation type="list" allowBlank="1" showInputMessage="1" showErrorMessage="1" errorTitle="Wrong Information Displayed" promptTitle="Select Leave reason" prompt="Please select leave reason from the list, for system issues, please send through the IT ticket number via email." sqref="G2:G4 G6:G1048576" xr:uid="{48C9945B-8077-478B-8065-0647D2B6DF3A}">
      <formula1>"Annual Leave, Sick Leave, Maternity Leave, Week Duration System Issues, Other"</formula1>
    </dataValidation>
  </dataValidations>
  <hyperlinks>
    <hyperlink ref="B5" r:id="rId1" display="f5632595@fnb.co.za" xr:uid="{45FA93FC-D52C-4F4D-8D05-E54BA0BC3298}"/>
    <hyperlink ref="B19" r:id="rId2" display="f5485843@fnb.co.za" xr:uid="{3F3838A6-EAEE-4711-9DFF-E975E89F7AAF}"/>
    <hyperlink ref="B20" r:id="rId3" display="f5485843@fnb.co.za" xr:uid="{8EF80966-C17A-493D-B8EB-692127596D04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promptTitle="Select Leave End date" prompt="Please select the last leave date" xr:uid="{DF547A7B-8712-4CCD-BC2E-1A06228FC9B1}">
          <x14:formula1>
            <xm:f>'Date list'!$A$2:$A$732</xm:f>
          </x14:formula1>
          <xm:sqref>E2:E4 E7:E27 E31:E1048576</xm:sqref>
        </x14:dataValidation>
        <x14:dataValidation type="list" allowBlank="1" showInputMessage="1" showErrorMessage="1" promptTitle="Monday Affected" prompt="Please select which Monday scorecard was/is affected, if more than one scorecard, please insert in the next row." xr:uid="{852B00C1-B030-406D-8C97-5A7E7299CCA3}">
          <x14:formula1>
            <xm:f>'Date list'!$D$2:$D$105</xm:f>
          </x14:formula1>
          <xm:sqref>F2:F4 F6:F27 F31:F1048576</xm:sqref>
        </x14:dataValidation>
        <x14:dataValidation type="list" allowBlank="1" showInputMessage="1" showErrorMessage="1" promptTitle="Select Individual" prompt="Please select an individual for the list, their F_Number and Team will automatically populate if you double click on the right upper corner of cell B and C respectively_x000a_" xr:uid="{F61602B8-1246-4C5A-8BB5-C1CA35E01B31}">
          <x14:formula1>
            <xm:f>Employees!$A$2:$A$101</xm:f>
          </x14:formula1>
          <xm:sqref>A2:A4 A6:A1048576</xm:sqref>
        </x14:dataValidation>
        <x14:dataValidation type="list" allowBlank="1" showInputMessage="1" showErrorMessage="1" promptTitle="Select Leave start date" prompt="Please select from the list the leave start date" xr:uid="{2A28F298-B13C-4102-955E-9DC54715F403}">
          <x14:formula1>
            <xm:f>'Date list'!$A$2:$A$732</xm:f>
          </x14:formula1>
          <xm:sqref>D2:D4 E28:F30 D6:D1048576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DFC3B-E69A-409E-8096-B5886CFF6AFC}">
  <sheetPr codeName="Sheet19">
    <tabColor theme="4" tint="0.79998168889431442"/>
  </sheetPr>
  <dimension ref="A1:H32"/>
  <sheetViews>
    <sheetView topLeftCell="A22" workbookViewId="0">
      <selection activeCell="G35" sqref="G35"/>
    </sheetView>
  </sheetViews>
  <sheetFormatPr defaultRowHeight="14.45"/>
  <cols>
    <col min="1" max="1" width="21.5703125" bestFit="1" customWidth="1"/>
    <col min="2" max="2" width="9.5703125" bestFit="1" customWidth="1"/>
    <col min="3" max="3" width="17.85546875" bestFit="1" customWidth="1"/>
    <col min="4" max="4" width="15.42578125" style="2" bestFit="1" customWidth="1"/>
    <col min="5" max="5" width="14.7109375" style="2" bestFit="1" customWidth="1"/>
    <col min="6" max="6" width="54.5703125" style="2" bestFit="1" customWidth="1"/>
    <col min="7" max="7" width="24.85546875" bestFit="1" customWidth="1"/>
    <col min="8" max="8" width="10" bestFit="1" customWidth="1"/>
  </cols>
  <sheetData>
    <row r="1" spans="1:8" s="48" customFormat="1">
      <c r="A1" s="46" t="s">
        <v>0</v>
      </c>
      <c r="B1" s="46" t="s">
        <v>1</v>
      </c>
      <c r="C1" s="46" t="s">
        <v>2</v>
      </c>
      <c r="D1" s="47" t="s">
        <v>3</v>
      </c>
      <c r="E1" s="47" t="s">
        <v>4</v>
      </c>
      <c r="F1" s="47" t="s">
        <v>5</v>
      </c>
      <c r="G1" s="46" t="s">
        <v>335</v>
      </c>
      <c r="H1" s="46" t="s">
        <v>7</v>
      </c>
    </row>
    <row r="2" spans="1:8">
      <c r="A2" t="s">
        <v>179</v>
      </c>
      <c r="B2" t="s">
        <v>346</v>
      </c>
      <c r="C2" t="s">
        <v>36</v>
      </c>
      <c r="D2" s="2">
        <v>45901</v>
      </c>
      <c r="E2" s="2">
        <v>45905</v>
      </c>
      <c r="F2" s="2">
        <v>45908</v>
      </c>
      <c r="G2" t="s">
        <v>64</v>
      </c>
      <c r="H2">
        <v>5</v>
      </c>
    </row>
    <row r="3" spans="1:8">
      <c r="A3" t="s">
        <v>216</v>
      </c>
      <c r="B3" t="str">
        <f>VLOOKUP(A3,OBR_Employees[#All],2,0)</f>
        <v>F5437954</v>
      </c>
      <c r="C3" t="str">
        <f>VLOOKUP(A3,OBR_Employees[#All],3,0)</f>
        <v>Team 3 LOC Advisors</v>
      </c>
      <c r="D3" s="2">
        <v>45996</v>
      </c>
      <c r="E3" s="2">
        <v>45945</v>
      </c>
      <c r="F3" s="2">
        <v>45901</v>
      </c>
      <c r="G3" t="s">
        <v>231</v>
      </c>
      <c r="H3">
        <v>163</v>
      </c>
    </row>
    <row r="4" spans="1:8">
      <c r="A4" t="s">
        <v>216</v>
      </c>
      <c r="B4" t="str">
        <f>VLOOKUP(A4,OBR_Employees[#All],2,0)</f>
        <v>F5437954</v>
      </c>
      <c r="C4" t="str">
        <f>VLOOKUP(A4,OBR_Employees[#All],3,0)</f>
        <v>Team 3 LOC Advisors</v>
      </c>
      <c r="D4" s="2">
        <v>45996</v>
      </c>
      <c r="E4" s="2">
        <v>45945</v>
      </c>
      <c r="F4" s="2">
        <v>45908</v>
      </c>
      <c r="G4" t="s">
        <v>231</v>
      </c>
      <c r="H4">
        <v>163</v>
      </c>
    </row>
    <row r="5" spans="1:8">
      <c r="A5" t="s">
        <v>216</v>
      </c>
      <c r="B5" t="s">
        <v>159</v>
      </c>
      <c r="C5" t="s">
        <v>368</v>
      </c>
      <c r="D5" s="2">
        <v>45996</v>
      </c>
      <c r="E5" s="2">
        <v>45945</v>
      </c>
      <c r="F5" s="2">
        <v>45915</v>
      </c>
      <c r="G5" t="s">
        <v>231</v>
      </c>
      <c r="H5">
        <v>163</v>
      </c>
    </row>
    <row r="6" spans="1:8">
      <c r="A6" t="s">
        <v>216</v>
      </c>
      <c r="B6" t="s">
        <v>159</v>
      </c>
      <c r="C6" t="s">
        <v>368</v>
      </c>
      <c r="D6" s="2">
        <v>45996</v>
      </c>
      <c r="E6" s="2">
        <v>45945</v>
      </c>
      <c r="F6" s="2">
        <v>45922</v>
      </c>
      <c r="G6" t="s">
        <v>231</v>
      </c>
      <c r="H6">
        <v>163</v>
      </c>
    </row>
    <row r="7" spans="1:8">
      <c r="A7" t="s">
        <v>216</v>
      </c>
      <c r="B7" t="s">
        <v>159</v>
      </c>
      <c r="C7" t="s">
        <v>368</v>
      </c>
      <c r="D7" s="2">
        <v>45996</v>
      </c>
      <c r="E7" s="2">
        <v>45945</v>
      </c>
      <c r="F7" s="2">
        <v>45929</v>
      </c>
      <c r="G7" t="s">
        <v>231</v>
      </c>
      <c r="H7">
        <v>163</v>
      </c>
    </row>
    <row r="8" spans="1:8">
      <c r="A8" t="s">
        <v>377</v>
      </c>
      <c r="B8" s="31" t="s">
        <v>378</v>
      </c>
      <c r="C8" t="s">
        <v>368</v>
      </c>
      <c r="D8" s="2">
        <v>45908</v>
      </c>
      <c r="E8" s="2">
        <v>45912</v>
      </c>
      <c r="F8" s="2">
        <v>45915</v>
      </c>
      <c r="G8" t="s">
        <v>64</v>
      </c>
      <c r="H8">
        <v>5</v>
      </c>
    </row>
    <row r="9" spans="1:8">
      <c r="A9" t="s">
        <v>379</v>
      </c>
      <c r="B9" t="s">
        <v>169</v>
      </c>
      <c r="C9" t="s">
        <v>36</v>
      </c>
      <c r="D9" s="2">
        <v>45916</v>
      </c>
      <c r="E9" s="2">
        <v>45919</v>
      </c>
      <c r="F9" s="2">
        <v>45922</v>
      </c>
      <c r="G9" t="s">
        <v>64</v>
      </c>
      <c r="H9">
        <v>3</v>
      </c>
    </row>
    <row r="10" spans="1:8">
      <c r="A10" t="s">
        <v>379</v>
      </c>
      <c r="B10" t="s">
        <v>169</v>
      </c>
      <c r="C10" t="s">
        <v>36</v>
      </c>
      <c r="D10" s="2">
        <v>45922</v>
      </c>
      <c r="E10" s="2">
        <v>45926</v>
      </c>
      <c r="F10" s="2">
        <v>45929</v>
      </c>
      <c r="G10" t="s">
        <v>64</v>
      </c>
      <c r="H10">
        <v>4</v>
      </c>
    </row>
    <row r="11" spans="1:8">
      <c r="A11" t="s">
        <v>338</v>
      </c>
      <c r="B11" t="s">
        <v>194</v>
      </c>
      <c r="C11" t="s">
        <v>401</v>
      </c>
      <c r="D11" s="2">
        <v>45908</v>
      </c>
      <c r="E11" s="2">
        <v>45917</v>
      </c>
      <c r="F11" s="2">
        <v>45915</v>
      </c>
      <c r="G11" t="s">
        <v>217</v>
      </c>
    </row>
    <row r="12" spans="1:8">
      <c r="A12" t="s">
        <v>338</v>
      </c>
      <c r="B12" t="s">
        <v>194</v>
      </c>
      <c r="C12" t="s">
        <v>401</v>
      </c>
      <c r="D12" s="2">
        <v>45908</v>
      </c>
      <c r="E12" s="2">
        <v>45917</v>
      </c>
      <c r="F12" s="2">
        <v>45922</v>
      </c>
      <c r="G12" t="s">
        <v>217</v>
      </c>
    </row>
    <row r="13" spans="1:8">
      <c r="A13" t="s">
        <v>402</v>
      </c>
      <c r="B13" t="s">
        <v>403</v>
      </c>
      <c r="C13" t="s">
        <v>401</v>
      </c>
      <c r="D13" s="2">
        <v>45922</v>
      </c>
      <c r="E13" s="2">
        <v>45933</v>
      </c>
      <c r="F13" s="2">
        <v>45929</v>
      </c>
      <c r="G13" t="s">
        <v>217</v>
      </c>
    </row>
    <row r="14" spans="1:8">
      <c r="A14" t="s">
        <v>402</v>
      </c>
      <c r="B14" t="s">
        <v>403</v>
      </c>
      <c r="C14" t="s">
        <v>401</v>
      </c>
      <c r="D14" s="2">
        <v>45922</v>
      </c>
      <c r="E14" s="2">
        <v>45933</v>
      </c>
      <c r="F14" s="2">
        <v>45936</v>
      </c>
      <c r="G14" t="s">
        <v>217</v>
      </c>
    </row>
    <row r="15" spans="1:8">
      <c r="A15" t="s">
        <v>177</v>
      </c>
      <c r="B15" t="s">
        <v>344</v>
      </c>
      <c r="C15" t="s">
        <v>36</v>
      </c>
      <c r="D15" s="2">
        <v>45772</v>
      </c>
      <c r="E15" s="2">
        <v>45926</v>
      </c>
      <c r="F15" s="2">
        <v>45929</v>
      </c>
      <c r="G15" t="s">
        <v>217</v>
      </c>
      <c r="H15">
        <v>2</v>
      </c>
    </row>
    <row r="16" spans="1:8">
      <c r="A16" t="s">
        <v>177</v>
      </c>
      <c r="B16" t="s">
        <v>344</v>
      </c>
      <c r="C16" t="s">
        <v>36</v>
      </c>
      <c r="D16" s="2">
        <v>45929</v>
      </c>
      <c r="E16" s="2">
        <v>45933</v>
      </c>
      <c r="F16" s="2">
        <v>45936</v>
      </c>
      <c r="G16" t="s">
        <v>217</v>
      </c>
      <c r="H16">
        <v>5</v>
      </c>
    </row>
    <row r="17" spans="1:8">
      <c r="A17" t="s">
        <v>336</v>
      </c>
      <c r="B17" t="s">
        <v>147</v>
      </c>
      <c r="C17" t="s">
        <v>404</v>
      </c>
      <c r="D17" s="2">
        <v>45915</v>
      </c>
      <c r="E17" s="2">
        <v>45929</v>
      </c>
      <c r="F17" s="2">
        <v>45915</v>
      </c>
      <c r="G17" t="s">
        <v>217</v>
      </c>
    </row>
    <row r="18" spans="1:8">
      <c r="A18" t="s">
        <v>336</v>
      </c>
      <c r="B18" t="s">
        <v>147</v>
      </c>
      <c r="C18" t="s">
        <v>404</v>
      </c>
      <c r="D18" s="2">
        <v>45915</v>
      </c>
      <c r="E18" s="2">
        <v>45929</v>
      </c>
      <c r="F18" s="2">
        <v>45922</v>
      </c>
      <c r="G18" t="s">
        <v>217</v>
      </c>
    </row>
    <row r="19" spans="1:8">
      <c r="A19" t="s">
        <v>336</v>
      </c>
      <c r="B19" t="s">
        <v>147</v>
      </c>
      <c r="C19" t="s">
        <v>404</v>
      </c>
      <c r="D19" s="2">
        <v>45915</v>
      </c>
      <c r="E19" s="2">
        <v>45929</v>
      </c>
      <c r="F19" s="2">
        <v>45929</v>
      </c>
      <c r="G19" t="s">
        <v>217</v>
      </c>
    </row>
    <row r="20" spans="1:8">
      <c r="A20" t="s">
        <v>151</v>
      </c>
      <c r="B20" t="s">
        <v>152</v>
      </c>
      <c r="C20" t="s">
        <v>404</v>
      </c>
      <c r="D20" s="2">
        <v>45894</v>
      </c>
      <c r="E20" s="2">
        <v>46081</v>
      </c>
      <c r="F20" s="2">
        <v>45901</v>
      </c>
      <c r="G20" t="s">
        <v>217</v>
      </c>
    </row>
    <row r="21" spans="1:8">
      <c r="A21" t="s">
        <v>151</v>
      </c>
      <c r="B21" t="s">
        <v>152</v>
      </c>
      <c r="C21" t="s">
        <v>404</v>
      </c>
      <c r="D21" s="2">
        <v>45894</v>
      </c>
      <c r="E21" s="2">
        <v>46081</v>
      </c>
      <c r="F21" s="2">
        <v>45908</v>
      </c>
      <c r="G21" t="s">
        <v>217</v>
      </c>
    </row>
    <row r="22" spans="1:8">
      <c r="A22" t="s">
        <v>151</v>
      </c>
      <c r="B22" t="s">
        <v>152</v>
      </c>
      <c r="C22" t="s">
        <v>404</v>
      </c>
      <c r="D22" s="2">
        <v>45894</v>
      </c>
      <c r="E22" s="2">
        <v>46081</v>
      </c>
      <c r="F22" s="2">
        <v>45915</v>
      </c>
      <c r="G22" t="s">
        <v>217</v>
      </c>
    </row>
    <row r="23" spans="1:8">
      <c r="A23" t="s">
        <v>151</v>
      </c>
      <c r="B23" t="s">
        <v>152</v>
      </c>
      <c r="C23" t="s">
        <v>404</v>
      </c>
      <c r="D23" s="2">
        <v>45894</v>
      </c>
      <c r="E23" s="2">
        <v>46081</v>
      </c>
      <c r="F23" s="2">
        <v>45922</v>
      </c>
      <c r="G23" t="s">
        <v>217</v>
      </c>
    </row>
    <row r="24" spans="1:8">
      <c r="A24" t="s">
        <v>357</v>
      </c>
      <c r="B24" t="s">
        <v>405</v>
      </c>
      <c r="C24" t="s">
        <v>16</v>
      </c>
      <c r="D24" s="2">
        <v>45897</v>
      </c>
      <c r="E24" s="2">
        <v>45923</v>
      </c>
      <c r="F24" s="2">
        <v>45901</v>
      </c>
      <c r="G24" t="s">
        <v>64</v>
      </c>
      <c r="H24">
        <v>19</v>
      </c>
    </row>
    <row r="25" spans="1:8">
      <c r="A25" t="s">
        <v>357</v>
      </c>
      <c r="B25" t="s">
        <v>405</v>
      </c>
      <c r="C25" t="s">
        <v>16</v>
      </c>
      <c r="D25" s="2">
        <v>45897</v>
      </c>
      <c r="E25" s="2">
        <v>45923</v>
      </c>
      <c r="F25" s="2">
        <v>45908</v>
      </c>
      <c r="G25" t="s">
        <v>64</v>
      </c>
      <c r="H25">
        <v>19</v>
      </c>
    </row>
    <row r="26" spans="1:8">
      <c r="A26" t="s">
        <v>357</v>
      </c>
      <c r="B26" t="s">
        <v>405</v>
      </c>
      <c r="C26" t="s">
        <v>16</v>
      </c>
      <c r="D26" s="2">
        <v>45897</v>
      </c>
      <c r="E26" s="2">
        <v>45923</v>
      </c>
      <c r="F26" s="2">
        <v>45915</v>
      </c>
      <c r="G26" t="s">
        <v>64</v>
      </c>
      <c r="H26">
        <v>19</v>
      </c>
    </row>
    <row r="27" spans="1:8">
      <c r="A27" t="s">
        <v>357</v>
      </c>
      <c r="B27" t="s">
        <v>405</v>
      </c>
      <c r="C27" t="s">
        <v>16</v>
      </c>
      <c r="D27" s="2">
        <v>45897</v>
      </c>
      <c r="E27" s="2">
        <v>45923</v>
      </c>
      <c r="F27" s="2">
        <v>45922</v>
      </c>
      <c r="G27" t="s">
        <v>64</v>
      </c>
      <c r="H27">
        <v>19</v>
      </c>
    </row>
    <row r="28" spans="1:8">
      <c r="A28" t="s">
        <v>209</v>
      </c>
      <c r="B28" t="s">
        <v>25</v>
      </c>
      <c r="C28" t="s">
        <v>397</v>
      </c>
      <c r="D28" s="2">
        <v>45918</v>
      </c>
      <c r="E28" s="2">
        <v>45919</v>
      </c>
      <c r="F28" s="2">
        <v>45929</v>
      </c>
      <c r="G28" t="s">
        <v>217</v>
      </c>
      <c r="H28">
        <v>2</v>
      </c>
    </row>
    <row r="29" spans="1:8">
      <c r="A29" t="s">
        <v>209</v>
      </c>
      <c r="B29" t="s">
        <v>25</v>
      </c>
      <c r="C29" t="s">
        <v>397</v>
      </c>
      <c r="D29" s="2">
        <v>45922</v>
      </c>
      <c r="E29" s="2">
        <v>45926</v>
      </c>
      <c r="F29" s="2">
        <v>45929</v>
      </c>
      <c r="G29" t="s">
        <v>217</v>
      </c>
      <c r="H29">
        <v>5</v>
      </c>
    </row>
    <row r="30" spans="1:8">
      <c r="A30" t="s">
        <v>339</v>
      </c>
      <c r="B30" t="s">
        <v>74</v>
      </c>
      <c r="C30" t="s">
        <v>75</v>
      </c>
      <c r="D30" s="2">
        <v>45896</v>
      </c>
      <c r="E30" s="2">
        <v>45902</v>
      </c>
      <c r="F30" s="2">
        <v>45901</v>
      </c>
      <c r="G30" t="s">
        <v>217</v>
      </c>
      <c r="H30">
        <v>5</v>
      </c>
    </row>
    <row r="31" spans="1:8">
      <c r="A31" t="s">
        <v>183</v>
      </c>
      <c r="B31" t="s">
        <v>184</v>
      </c>
      <c r="C31" t="s">
        <v>401</v>
      </c>
      <c r="D31" s="2">
        <v>45929</v>
      </c>
      <c r="E31" s="2">
        <v>45933</v>
      </c>
      <c r="F31" s="2">
        <v>45936</v>
      </c>
      <c r="G31" t="s">
        <v>64</v>
      </c>
      <c r="H31">
        <v>5</v>
      </c>
    </row>
    <row r="32" spans="1:8">
      <c r="A32" t="s">
        <v>338</v>
      </c>
      <c r="B32" t="s">
        <v>194</v>
      </c>
      <c r="C32" t="s">
        <v>401</v>
      </c>
      <c r="D32" s="2">
        <v>45936</v>
      </c>
      <c r="E32" s="2">
        <v>45942</v>
      </c>
      <c r="F32" s="2">
        <v>45943</v>
      </c>
      <c r="G32" t="s">
        <v>217</v>
      </c>
      <c r="H32">
        <v>5</v>
      </c>
    </row>
  </sheetData>
  <dataValidations count="1">
    <dataValidation type="list" allowBlank="1" showInputMessage="1" showErrorMessage="1" errorTitle="Wrong Information Displayed" promptTitle="Select Leave reason" prompt="Please select leave reason from the list, for system issues, please send through the IT ticket number via email." sqref="G2:G1048576" xr:uid="{B80AFCA1-A033-4F0A-84C6-5A7CBA15B67A}">
      <formula1>"Annual Leave, Sick Leave, Maternity Leave, Week Duration System Issues, Other"</formula1>
    </dataValidation>
  </dataValidations>
  <hyperlinks>
    <hyperlink ref="B8" r:id="rId1" display="f8876068@fnb.co.za" xr:uid="{9995B000-8DCC-4D7E-97F4-BFD22447E639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promptTitle="Select Leave start date" prompt="Please select from the list the leave start date" xr:uid="{3471D144-5443-4E20-9EC8-EF17293CB85B}">
          <x14:formula1>
            <xm:f>'Date list'!$A$2:$A$732</xm:f>
          </x14:formula1>
          <xm:sqref>D2:D1048576 E30:F30</xm:sqref>
        </x14:dataValidation>
        <x14:dataValidation type="list" allowBlank="1" showInputMessage="1" showErrorMessage="1" promptTitle="Select Individual" prompt="Please select an individual for the list, their F_Number and Team will automatically populate if you double click on the right upper corner of cell B and C respectively_x000a_" xr:uid="{BE21F6E5-AF7B-4B63-8538-588ADC823E2C}">
          <x14:formula1>
            <xm:f>Employees!$A$2:$A$101</xm:f>
          </x14:formula1>
          <xm:sqref>A2:A1048576</xm:sqref>
        </x14:dataValidation>
        <x14:dataValidation type="list" allowBlank="1" showInputMessage="1" showErrorMessage="1" promptTitle="Monday Affected" prompt="Please select which Monday scorecard was/is affected, if more than one scorecard, please insert in the next row." xr:uid="{DEE89376-4D08-47E0-AC7F-AE468548334F}">
          <x14:formula1>
            <xm:f>'Date list'!$D$2:$D$105</xm:f>
          </x14:formula1>
          <xm:sqref>F2:F29 F31:F1048576</xm:sqref>
        </x14:dataValidation>
        <x14:dataValidation type="list" allowBlank="1" showInputMessage="1" showErrorMessage="1" promptTitle="Select Leave End date" prompt="Please select the last leave date" xr:uid="{FA34EF8A-9E63-41BE-A989-15EACC790CFF}">
          <x14:formula1>
            <xm:f>'Date list'!$A$2:$A$732</xm:f>
          </x14:formula1>
          <xm:sqref>E2:E29 E31:E1048576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647E8-E8B6-492D-A759-C7A57F76B67D}">
  <sheetPr codeName="Sheet23">
    <tabColor theme="4" tint="0.79998168889431442"/>
  </sheetPr>
  <dimension ref="A1:H23"/>
  <sheetViews>
    <sheetView workbookViewId="0">
      <selection activeCell="F16" sqref="F16"/>
    </sheetView>
  </sheetViews>
  <sheetFormatPr defaultRowHeight="14.45"/>
  <cols>
    <col min="1" max="1" width="21.5703125" bestFit="1" customWidth="1"/>
    <col min="2" max="2" width="21.42578125" customWidth="1"/>
    <col min="3" max="3" width="18.85546875" customWidth="1"/>
    <col min="4" max="4" width="21.140625" style="2" customWidth="1"/>
    <col min="5" max="5" width="14.7109375" style="2" bestFit="1" customWidth="1"/>
    <col min="6" max="6" width="54.5703125" style="2" bestFit="1" customWidth="1"/>
    <col min="7" max="7" width="24.85546875" bestFit="1" customWidth="1"/>
    <col min="8" max="8" width="10" bestFit="1" customWidth="1"/>
  </cols>
  <sheetData>
    <row r="1" spans="1:8">
      <c r="A1" s="34" t="s">
        <v>0</v>
      </c>
      <c r="B1" s="34" t="s">
        <v>1</v>
      </c>
      <c r="C1" s="34" t="s">
        <v>2</v>
      </c>
      <c r="D1" s="40" t="s">
        <v>3</v>
      </c>
      <c r="E1" s="40" t="s">
        <v>4</v>
      </c>
      <c r="F1" s="40" t="s">
        <v>5</v>
      </c>
      <c r="G1" s="34" t="s">
        <v>335</v>
      </c>
      <c r="H1" s="34" t="s">
        <v>7</v>
      </c>
    </row>
    <row r="2" spans="1:8">
      <c r="A2" t="s">
        <v>85</v>
      </c>
      <c r="B2" t="str">
        <f>VLOOKUP(A2,OBR_Employees[#All],2,0)</f>
        <v>F5485843</v>
      </c>
      <c r="C2" t="str">
        <f>VLOOKUP(A2,OBR_Employees[#All],3,0)</f>
        <v>Team 3 LOC Advisors</v>
      </c>
      <c r="D2" s="2">
        <v>45962</v>
      </c>
      <c r="E2" s="2">
        <v>46142</v>
      </c>
      <c r="F2" s="9">
        <v>45964</v>
      </c>
      <c r="G2" t="s">
        <v>231</v>
      </c>
      <c r="H2">
        <v>181</v>
      </c>
    </row>
    <row r="3" spans="1:8">
      <c r="A3" t="s">
        <v>85</v>
      </c>
      <c r="B3" t="str">
        <f>VLOOKUP(A3,OBR_Employees[#All],2,0)</f>
        <v>F5485843</v>
      </c>
      <c r="C3" t="s">
        <v>368</v>
      </c>
      <c r="D3" s="2">
        <v>45962</v>
      </c>
      <c r="E3" s="2">
        <v>46142</v>
      </c>
      <c r="F3" s="9">
        <v>45971</v>
      </c>
      <c r="G3" t="s">
        <v>231</v>
      </c>
      <c r="H3">
        <v>181</v>
      </c>
    </row>
    <row r="4" spans="1:8">
      <c r="A4" t="s">
        <v>85</v>
      </c>
      <c r="B4" t="s">
        <v>86</v>
      </c>
      <c r="C4" t="s">
        <v>368</v>
      </c>
      <c r="D4" s="2">
        <v>45962</v>
      </c>
      <c r="E4" s="2">
        <v>46142</v>
      </c>
      <c r="F4" s="9">
        <v>45978</v>
      </c>
      <c r="G4" t="s">
        <v>231</v>
      </c>
      <c r="H4">
        <v>181</v>
      </c>
    </row>
    <row r="5" spans="1:8">
      <c r="A5" t="s">
        <v>85</v>
      </c>
      <c r="B5" t="s">
        <v>86</v>
      </c>
      <c r="C5" t="s">
        <v>368</v>
      </c>
      <c r="D5" s="2">
        <v>45962</v>
      </c>
      <c r="E5" s="2">
        <v>46142</v>
      </c>
      <c r="F5" s="9">
        <v>45985</v>
      </c>
      <c r="G5" t="s">
        <v>231</v>
      </c>
      <c r="H5">
        <v>181</v>
      </c>
    </row>
    <row r="6" spans="1:8">
      <c r="A6" t="s">
        <v>339</v>
      </c>
      <c r="B6" t="s">
        <v>74</v>
      </c>
      <c r="C6" t="s">
        <v>75</v>
      </c>
      <c r="D6" s="2">
        <v>45973</v>
      </c>
      <c r="E6" s="2">
        <v>45975</v>
      </c>
      <c r="F6" s="2">
        <v>45978</v>
      </c>
      <c r="G6" t="s">
        <v>64</v>
      </c>
      <c r="H6">
        <v>17</v>
      </c>
    </row>
    <row r="7" spans="1:8">
      <c r="A7" t="s">
        <v>339</v>
      </c>
      <c r="B7" t="s">
        <v>74</v>
      </c>
      <c r="C7" t="s">
        <v>75</v>
      </c>
      <c r="D7" s="2">
        <v>45978</v>
      </c>
      <c r="E7" s="2">
        <v>45982</v>
      </c>
      <c r="F7" s="2">
        <v>45985</v>
      </c>
      <c r="G7" t="s">
        <v>64</v>
      </c>
      <c r="H7">
        <v>17</v>
      </c>
    </row>
    <row r="8" spans="1:8">
      <c r="A8" t="s">
        <v>339</v>
      </c>
      <c r="B8" t="s">
        <v>74</v>
      </c>
      <c r="C8" t="s">
        <v>75</v>
      </c>
      <c r="D8" s="2">
        <v>45985</v>
      </c>
      <c r="E8" s="2">
        <v>45989</v>
      </c>
      <c r="F8" s="2">
        <v>45992</v>
      </c>
      <c r="G8" t="s">
        <v>64</v>
      </c>
      <c r="H8">
        <v>17</v>
      </c>
    </row>
    <row r="9" spans="1:8">
      <c r="B9" t="s">
        <v>152</v>
      </c>
      <c r="C9" t="s">
        <v>404</v>
      </c>
      <c r="D9" s="2">
        <v>45894</v>
      </c>
      <c r="E9" s="2">
        <v>46081</v>
      </c>
      <c r="F9" s="9">
        <v>45964</v>
      </c>
      <c r="G9" t="s">
        <v>231</v>
      </c>
    </row>
    <row r="10" spans="1:8">
      <c r="B10" t="s">
        <v>152</v>
      </c>
      <c r="C10" t="s">
        <v>404</v>
      </c>
      <c r="D10" s="2">
        <v>45894</v>
      </c>
      <c r="E10" s="2">
        <v>46081</v>
      </c>
      <c r="F10" s="9">
        <v>45971</v>
      </c>
      <c r="G10" t="s">
        <v>231</v>
      </c>
    </row>
    <row r="11" spans="1:8">
      <c r="B11" t="s">
        <v>152</v>
      </c>
      <c r="C11" t="s">
        <v>404</v>
      </c>
      <c r="D11" s="2">
        <v>45894</v>
      </c>
      <c r="E11" s="2">
        <v>46081</v>
      </c>
      <c r="F11" s="9">
        <v>45978</v>
      </c>
      <c r="G11" t="s">
        <v>231</v>
      </c>
    </row>
    <row r="12" spans="1:8">
      <c r="B12" t="s">
        <v>152</v>
      </c>
      <c r="C12" t="s">
        <v>404</v>
      </c>
      <c r="D12" s="2">
        <v>45894</v>
      </c>
      <c r="E12" s="2">
        <v>46081</v>
      </c>
      <c r="F12" s="9">
        <v>45985</v>
      </c>
      <c r="G12" t="s">
        <v>231</v>
      </c>
    </row>
    <row r="13" spans="1:8">
      <c r="A13" t="s">
        <v>380</v>
      </c>
      <c r="B13" t="s">
        <v>134</v>
      </c>
      <c r="C13" t="s">
        <v>395</v>
      </c>
      <c r="D13" s="2">
        <v>45964</v>
      </c>
      <c r="E13" s="2">
        <v>45975</v>
      </c>
      <c r="F13" s="2">
        <v>45971</v>
      </c>
      <c r="G13" t="s">
        <v>217</v>
      </c>
      <c r="H13">
        <v>10</v>
      </c>
    </row>
    <row r="14" spans="1:8">
      <c r="A14" t="s">
        <v>380</v>
      </c>
      <c r="B14" t="s">
        <v>134</v>
      </c>
      <c r="C14" t="s">
        <v>395</v>
      </c>
      <c r="D14" s="2">
        <v>45964</v>
      </c>
      <c r="E14" s="2">
        <v>45975</v>
      </c>
      <c r="F14" s="2">
        <v>45978</v>
      </c>
      <c r="G14" t="s">
        <v>217</v>
      </c>
      <c r="H14">
        <v>10</v>
      </c>
    </row>
    <row r="15" spans="1:8" s="48" customFormat="1">
      <c r="A15" s="48" t="s">
        <v>175</v>
      </c>
      <c r="B15" s="48" t="s">
        <v>406</v>
      </c>
      <c r="C15" s="48" t="s">
        <v>36</v>
      </c>
      <c r="D15" s="51">
        <v>45964</v>
      </c>
      <c r="E15" s="51">
        <v>45968</v>
      </c>
      <c r="F15" s="51">
        <v>45971</v>
      </c>
      <c r="G15" s="48" t="s">
        <v>217</v>
      </c>
      <c r="H15" s="48">
        <v>5</v>
      </c>
    </row>
    <row r="16" spans="1:8">
      <c r="A16" t="s">
        <v>179</v>
      </c>
      <c r="B16" t="s">
        <v>346</v>
      </c>
      <c r="C16" t="s">
        <v>36</v>
      </c>
      <c r="D16" s="2">
        <v>45971</v>
      </c>
      <c r="E16" s="2">
        <v>45975</v>
      </c>
      <c r="F16" s="2">
        <v>45978</v>
      </c>
      <c r="G16" t="s">
        <v>359</v>
      </c>
      <c r="H16">
        <v>5</v>
      </c>
    </row>
    <row r="17" spans="1:8">
      <c r="A17" t="s">
        <v>38</v>
      </c>
      <c r="B17" t="s">
        <v>39</v>
      </c>
      <c r="C17" t="s">
        <v>36</v>
      </c>
      <c r="D17" s="2">
        <v>45973</v>
      </c>
      <c r="E17" s="2">
        <v>45975</v>
      </c>
      <c r="F17" s="2">
        <v>45978</v>
      </c>
      <c r="G17" t="s">
        <v>64</v>
      </c>
      <c r="H17">
        <v>3</v>
      </c>
    </row>
    <row r="18" spans="1:8">
      <c r="A18" t="s">
        <v>276</v>
      </c>
      <c r="B18" t="s">
        <v>277</v>
      </c>
      <c r="C18" t="s">
        <v>36</v>
      </c>
      <c r="D18" s="2">
        <v>45971</v>
      </c>
      <c r="E18" s="2">
        <v>45975</v>
      </c>
      <c r="F18" s="2">
        <v>45978</v>
      </c>
      <c r="G18" t="s">
        <v>359</v>
      </c>
      <c r="H18">
        <v>5</v>
      </c>
    </row>
    <row r="19" spans="1:8">
      <c r="A19" t="s">
        <v>276</v>
      </c>
      <c r="B19" t="s">
        <v>277</v>
      </c>
      <c r="C19" t="s">
        <v>36</v>
      </c>
      <c r="D19" s="2">
        <v>45978</v>
      </c>
      <c r="E19" s="2">
        <v>45985</v>
      </c>
      <c r="F19" s="2">
        <v>45985</v>
      </c>
      <c r="G19" t="s">
        <v>359</v>
      </c>
      <c r="H19">
        <v>5</v>
      </c>
    </row>
    <row r="20" spans="1:8">
      <c r="A20" t="s">
        <v>177</v>
      </c>
      <c r="B20" t="s">
        <v>344</v>
      </c>
      <c r="C20" t="s">
        <v>36</v>
      </c>
      <c r="D20" s="2">
        <v>45978</v>
      </c>
      <c r="E20" s="2">
        <v>45982</v>
      </c>
      <c r="F20" s="2">
        <v>45985</v>
      </c>
      <c r="G20" t="s">
        <v>359</v>
      </c>
      <c r="H20">
        <v>5</v>
      </c>
    </row>
    <row r="22" spans="1:8">
      <c r="A22" t="s">
        <v>238</v>
      </c>
      <c r="B22" t="s">
        <v>239</v>
      </c>
      <c r="C22" t="s">
        <v>407</v>
      </c>
      <c r="D22" s="2">
        <v>45978</v>
      </c>
      <c r="E22" s="2">
        <v>45989</v>
      </c>
      <c r="F22" s="2">
        <v>45985</v>
      </c>
      <c r="G22" t="s">
        <v>217</v>
      </c>
      <c r="H22">
        <v>5</v>
      </c>
    </row>
    <row r="23" spans="1:8">
      <c r="A23" t="s">
        <v>238</v>
      </c>
      <c r="B23" t="s">
        <v>239</v>
      </c>
      <c r="C23" t="s">
        <v>407</v>
      </c>
      <c r="D23" s="2">
        <v>45978</v>
      </c>
      <c r="E23" s="2">
        <v>45989</v>
      </c>
      <c r="F23" s="2">
        <v>45992</v>
      </c>
      <c r="G23" t="s">
        <v>217</v>
      </c>
      <c r="H23">
        <v>5</v>
      </c>
    </row>
  </sheetData>
  <dataValidations count="1">
    <dataValidation type="list" allowBlank="1" showInputMessage="1" showErrorMessage="1" errorTitle="Wrong Information Displayed" promptTitle="Select Leave reason" prompt="Please select leave reason from the list, for system issues, please send through the IT ticket number via email." sqref="G2:G19 G21:G1048576" xr:uid="{1A208DBF-29C3-4BFA-9418-1C92B97AA45E}">
      <formula1>"Annual Leave, Sick Leave, Maternity Leave, Week Duration System Issues, Other"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promptTitle="Select Leave start date" prompt="Please select from the list the leave start date" xr:uid="{42B32B6C-ED75-41D6-B543-9B92A11CD388}">
          <x14:formula1>
            <xm:f>'Date list'!$A$2:$A$732</xm:f>
          </x14:formula1>
          <xm:sqref>E6:F8 D2:D19 D21:D1048576</xm:sqref>
        </x14:dataValidation>
        <x14:dataValidation type="list" allowBlank="1" showInputMessage="1" showErrorMessage="1" promptTitle="Monday Affected" prompt="Please select which Monday scorecard was/is affected, if more than one scorecard, please insert in the next row." xr:uid="{68A64702-CE4C-4BBE-A2D2-9A74E544A22F}">
          <x14:formula1>
            <xm:f>'Date list'!$D$2:$D$105</xm:f>
          </x14:formula1>
          <xm:sqref>F2:F5 F9:F19 F21:F1048576</xm:sqref>
        </x14:dataValidation>
        <x14:dataValidation type="list" allowBlank="1" showInputMessage="1" showErrorMessage="1" promptTitle="Select Leave End date" prompt="Please select the last leave date" xr:uid="{5F6EC8C3-7F97-44BC-82DA-89B09565A292}">
          <x14:formula1>
            <xm:f>'Date list'!$A$2:$A$732</xm:f>
          </x14:formula1>
          <xm:sqref>E21:E1048576 E9:E19 E2:E5</xm:sqref>
        </x14:dataValidation>
        <x14:dataValidation type="list" allowBlank="1" showInputMessage="1" showErrorMessage="1" promptTitle="Select Individual" prompt="Please select an individual for the list, their F_Number and Team will automatically populate if you double click on the right upper corner of cell B and C respectively_x000a_" xr:uid="{0AA41503-5762-425A-8D86-780EEFA9E20F}">
          <x14:formula1>
            <xm:f>Employees!$A$2:$A$101</xm:f>
          </x14:formula1>
          <xm:sqref>A2:A1048576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3B2A3-D0C3-4543-BC6B-A57D4EE81D0C}">
  <sheetPr codeName="Sheet22">
    <tabColor theme="4" tint="0.79998168889431442"/>
  </sheetPr>
  <dimension ref="A1:H26"/>
  <sheetViews>
    <sheetView workbookViewId="0">
      <selection activeCell="F8" sqref="F8"/>
    </sheetView>
  </sheetViews>
  <sheetFormatPr defaultRowHeight="14.45"/>
  <cols>
    <col min="1" max="1" width="21.5703125" bestFit="1" customWidth="1"/>
    <col min="2" max="2" width="9.5703125" bestFit="1" customWidth="1"/>
    <col min="3" max="3" width="17.85546875" bestFit="1" customWidth="1"/>
    <col min="4" max="4" width="15.42578125" style="2" bestFit="1" customWidth="1"/>
    <col min="5" max="5" width="14.7109375" style="2" bestFit="1" customWidth="1"/>
    <col min="6" max="6" width="54.5703125" style="2" bestFit="1" customWidth="1"/>
    <col min="7" max="7" width="24.85546875" bestFit="1" customWidth="1"/>
    <col min="8" max="8" width="10.42578125" bestFit="1" customWidth="1"/>
  </cols>
  <sheetData>
    <row r="1" spans="1:8">
      <c r="A1" s="34" t="s">
        <v>0</v>
      </c>
      <c r="B1" s="34" t="s">
        <v>1</v>
      </c>
      <c r="C1" s="34" t="s">
        <v>2</v>
      </c>
      <c r="D1" s="40" t="s">
        <v>3</v>
      </c>
      <c r="E1" s="40" t="s">
        <v>4</v>
      </c>
      <c r="F1" s="40" t="s">
        <v>5</v>
      </c>
      <c r="G1" s="34" t="s">
        <v>335</v>
      </c>
      <c r="H1" s="34" t="s">
        <v>7</v>
      </c>
    </row>
    <row r="2" spans="1:8">
      <c r="A2" t="s">
        <v>183</v>
      </c>
      <c r="B2" t="s">
        <v>184</v>
      </c>
      <c r="C2" t="s">
        <v>401</v>
      </c>
      <c r="D2" s="2">
        <v>45929</v>
      </c>
      <c r="E2" s="2">
        <v>45933</v>
      </c>
      <c r="F2" s="2">
        <v>45936</v>
      </c>
      <c r="G2" t="s">
        <v>64</v>
      </c>
      <c r="H2">
        <v>5</v>
      </c>
    </row>
    <row r="3" spans="1:8">
      <c r="A3" t="s">
        <v>338</v>
      </c>
      <c r="B3" t="s">
        <v>194</v>
      </c>
      <c r="C3" t="s">
        <v>401</v>
      </c>
      <c r="D3" s="2">
        <v>45936</v>
      </c>
      <c r="E3" s="2">
        <v>45942</v>
      </c>
      <c r="F3" s="2">
        <v>45943</v>
      </c>
      <c r="G3" t="s">
        <v>217</v>
      </c>
      <c r="H3">
        <v>5</v>
      </c>
    </row>
    <row r="4" spans="1:8">
      <c r="A4" t="s">
        <v>177</v>
      </c>
      <c r="B4" t="s">
        <v>344</v>
      </c>
      <c r="C4" t="s">
        <v>36</v>
      </c>
      <c r="D4" s="2">
        <v>45929</v>
      </c>
      <c r="E4" s="2">
        <v>45933</v>
      </c>
      <c r="F4" s="2">
        <v>45936</v>
      </c>
      <c r="G4" t="s">
        <v>217</v>
      </c>
      <c r="H4">
        <v>5</v>
      </c>
    </row>
    <row r="5" spans="1:8">
      <c r="A5" t="s">
        <v>177</v>
      </c>
      <c r="B5" t="s">
        <v>344</v>
      </c>
      <c r="C5" t="s">
        <v>36</v>
      </c>
      <c r="D5" s="2">
        <v>45938</v>
      </c>
      <c r="E5" s="2">
        <v>45940</v>
      </c>
      <c r="F5" s="2">
        <v>45943</v>
      </c>
      <c r="G5" t="s">
        <v>64</v>
      </c>
      <c r="H5">
        <v>3</v>
      </c>
    </row>
    <row r="6" spans="1:8">
      <c r="A6" t="s">
        <v>177</v>
      </c>
      <c r="B6" t="s">
        <v>344</v>
      </c>
      <c r="C6" t="s">
        <v>36</v>
      </c>
      <c r="D6" s="2">
        <v>45943</v>
      </c>
      <c r="E6" s="2">
        <v>45947</v>
      </c>
      <c r="F6" s="2">
        <v>45950</v>
      </c>
      <c r="G6" t="s">
        <v>217</v>
      </c>
      <c r="H6">
        <v>5</v>
      </c>
    </row>
    <row r="7" spans="1:8">
      <c r="A7" t="s">
        <v>177</v>
      </c>
      <c r="B7" t="s">
        <v>344</v>
      </c>
      <c r="C7" t="s">
        <v>36</v>
      </c>
      <c r="D7" s="2">
        <v>45950</v>
      </c>
      <c r="E7" s="2">
        <v>45954</v>
      </c>
      <c r="F7" s="2">
        <v>45957</v>
      </c>
      <c r="G7" t="s">
        <v>217</v>
      </c>
      <c r="H7">
        <v>5</v>
      </c>
    </row>
    <row r="8" spans="1:8" s="48" customFormat="1">
      <c r="A8" s="48" t="s">
        <v>177</v>
      </c>
      <c r="B8" s="48" t="s">
        <v>344</v>
      </c>
      <c r="C8" s="48" t="s">
        <v>36</v>
      </c>
      <c r="D8" s="51">
        <v>45957</v>
      </c>
      <c r="E8" s="51">
        <v>45959</v>
      </c>
      <c r="F8" s="51">
        <v>45964</v>
      </c>
      <c r="G8" s="48" t="s">
        <v>217</v>
      </c>
      <c r="H8" s="48">
        <v>3</v>
      </c>
    </row>
    <row r="9" spans="1:8">
      <c r="A9" t="s">
        <v>38</v>
      </c>
      <c r="B9" t="s">
        <v>39</v>
      </c>
      <c r="C9" t="s">
        <v>36</v>
      </c>
      <c r="D9" s="2">
        <v>45929</v>
      </c>
      <c r="E9" s="2">
        <v>45933</v>
      </c>
      <c r="F9" s="2">
        <v>45936</v>
      </c>
      <c r="G9" t="s">
        <v>217</v>
      </c>
      <c r="H9">
        <v>5</v>
      </c>
    </row>
    <row r="10" spans="1:8">
      <c r="A10" t="s">
        <v>38</v>
      </c>
      <c r="B10" t="s">
        <v>39</v>
      </c>
      <c r="C10" t="s">
        <v>36</v>
      </c>
      <c r="D10" s="2">
        <v>45936</v>
      </c>
      <c r="E10" s="2">
        <v>45940</v>
      </c>
      <c r="F10" s="2">
        <v>45943</v>
      </c>
      <c r="G10" t="s">
        <v>217</v>
      </c>
      <c r="H10">
        <v>5</v>
      </c>
    </row>
    <row r="11" spans="1:8">
      <c r="A11" t="s">
        <v>34</v>
      </c>
      <c r="B11" t="s">
        <v>35</v>
      </c>
      <c r="C11" t="s">
        <v>36</v>
      </c>
      <c r="D11" s="2">
        <v>45931</v>
      </c>
      <c r="E11" s="2">
        <v>45933</v>
      </c>
      <c r="F11" s="2">
        <v>45936</v>
      </c>
      <c r="G11" t="s">
        <v>217</v>
      </c>
      <c r="H11">
        <v>3</v>
      </c>
    </row>
    <row r="12" spans="1:8">
      <c r="A12" t="s">
        <v>34</v>
      </c>
      <c r="B12" t="s">
        <v>35</v>
      </c>
      <c r="C12" t="s">
        <v>36</v>
      </c>
      <c r="D12" s="2">
        <v>45943</v>
      </c>
      <c r="E12" s="2">
        <v>45945</v>
      </c>
      <c r="F12" s="2">
        <v>45950</v>
      </c>
      <c r="G12" t="s">
        <v>64</v>
      </c>
      <c r="H12">
        <v>3</v>
      </c>
    </row>
    <row r="13" spans="1:8">
      <c r="A13" t="s">
        <v>379</v>
      </c>
      <c r="B13" t="s">
        <v>169</v>
      </c>
      <c r="C13" t="s">
        <v>36</v>
      </c>
      <c r="D13" s="2">
        <v>45950</v>
      </c>
      <c r="E13" s="2">
        <v>45953</v>
      </c>
      <c r="F13" s="2">
        <v>45957</v>
      </c>
      <c r="G13" t="s">
        <v>64</v>
      </c>
      <c r="H13">
        <v>4</v>
      </c>
    </row>
    <row r="14" spans="1:8">
      <c r="A14" t="s">
        <v>350</v>
      </c>
      <c r="B14" s="49" t="s">
        <v>69</v>
      </c>
      <c r="C14" t="s">
        <v>36</v>
      </c>
      <c r="D14" s="2">
        <v>45950</v>
      </c>
      <c r="E14" s="2">
        <v>45954</v>
      </c>
      <c r="F14" s="2">
        <v>45957</v>
      </c>
      <c r="G14" t="s">
        <v>217</v>
      </c>
      <c r="H14">
        <v>5</v>
      </c>
    </row>
    <row r="15" spans="1:8" s="48" customFormat="1">
      <c r="A15" s="48" t="s">
        <v>350</v>
      </c>
      <c r="B15" s="52" t="s">
        <v>69</v>
      </c>
      <c r="C15" s="48" t="s">
        <v>36</v>
      </c>
      <c r="D15" s="51">
        <v>45957</v>
      </c>
      <c r="E15" s="51">
        <v>45961</v>
      </c>
      <c r="F15" s="51">
        <v>45964</v>
      </c>
      <c r="G15" s="48" t="s">
        <v>217</v>
      </c>
      <c r="H15" s="48">
        <v>5</v>
      </c>
    </row>
    <row r="16" spans="1:8">
      <c r="A16" t="s">
        <v>398</v>
      </c>
      <c r="B16" t="s">
        <v>399</v>
      </c>
      <c r="C16" t="s">
        <v>400</v>
      </c>
      <c r="D16" s="2">
        <v>45929</v>
      </c>
      <c r="E16" s="2">
        <v>45933</v>
      </c>
      <c r="F16" s="2">
        <v>45936</v>
      </c>
      <c r="G16" t="s">
        <v>217</v>
      </c>
      <c r="H16">
        <v>5</v>
      </c>
    </row>
    <row r="17" spans="1:8">
      <c r="A17" t="s">
        <v>93</v>
      </c>
      <c r="B17" t="s">
        <v>94</v>
      </c>
      <c r="C17" t="s">
        <v>408</v>
      </c>
      <c r="D17" s="2">
        <v>45936</v>
      </c>
      <c r="E17" s="2">
        <v>45940</v>
      </c>
      <c r="F17" s="2">
        <v>45943</v>
      </c>
      <c r="G17" t="s">
        <v>64</v>
      </c>
      <c r="H17">
        <v>5</v>
      </c>
    </row>
    <row r="18" spans="1:8">
      <c r="A18" t="s">
        <v>93</v>
      </c>
      <c r="B18" t="s">
        <v>94</v>
      </c>
      <c r="C18" t="s">
        <v>408</v>
      </c>
      <c r="D18" s="2">
        <v>45943</v>
      </c>
      <c r="E18" s="2">
        <v>45945</v>
      </c>
      <c r="F18" s="2">
        <v>45950</v>
      </c>
      <c r="G18" t="s">
        <v>64</v>
      </c>
      <c r="H18">
        <v>3</v>
      </c>
    </row>
    <row r="19" spans="1:8">
      <c r="A19" t="s">
        <v>216</v>
      </c>
      <c r="B19" t="str">
        <f>VLOOKUP(A19,OBR_Employees[#All],2,0)</f>
        <v>F5437954</v>
      </c>
      <c r="C19" t="str">
        <f>VLOOKUP(A19,OBR_Employees[#All],3,0)</f>
        <v>Team 3 LOC Advisors</v>
      </c>
      <c r="D19" s="2">
        <v>45759</v>
      </c>
      <c r="E19" s="2">
        <v>45945</v>
      </c>
      <c r="F19" s="2">
        <v>45936</v>
      </c>
      <c r="G19" t="s">
        <v>231</v>
      </c>
      <c r="H19">
        <v>163</v>
      </c>
    </row>
    <row r="20" spans="1:8">
      <c r="A20" t="s">
        <v>216</v>
      </c>
      <c r="B20" t="str">
        <f>VLOOKUP(A20,OBR_Employees[#All],2,0)</f>
        <v>F5437954</v>
      </c>
      <c r="C20" t="str">
        <f>VLOOKUP(A20,OBR_Employees[#All],3,0)</f>
        <v>Team 3 LOC Advisors</v>
      </c>
      <c r="D20" s="2">
        <v>45759</v>
      </c>
      <c r="E20" s="2">
        <v>45945</v>
      </c>
      <c r="F20" s="2">
        <v>45943</v>
      </c>
      <c r="G20" t="s">
        <v>231</v>
      </c>
      <c r="H20">
        <v>163</v>
      </c>
    </row>
    <row r="21" spans="1:8">
      <c r="A21" t="s">
        <v>151</v>
      </c>
      <c r="B21" t="s">
        <v>152</v>
      </c>
      <c r="C21" t="s">
        <v>404</v>
      </c>
      <c r="D21" s="2">
        <v>45894</v>
      </c>
      <c r="E21" s="2">
        <v>46081</v>
      </c>
      <c r="F21" s="2">
        <v>45929</v>
      </c>
      <c r="G21" t="s">
        <v>231</v>
      </c>
    </row>
    <row r="22" spans="1:8">
      <c r="A22" t="s">
        <v>151</v>
      </c>
      <c r="B22" t="s">
        <v>152</v>
      </c>
      <c r="C22" t="s">
        <v>404</v>
      </c>
      <c r="D22" s="2">
        <v>45894</v>
      </c>
      <c r="E22" s="2">
        <v>46081</v>
      </c>
      <c r="F22" s="2">
        <v>45936</v>
      </c>
      <c r="G22" t="s">
        <v>231</v>
      </c>
    </row>
    <row r="23" spans="1:8">
      <c r="A23" t="s">
        <v>151</v>
      </c>
      <c r="B23" t="s">
        <v>152</v>
      </c>
      <c r="C23" t="s">
        <v>404</v>
      </c>
      <c r="D23" s="2">
        <v>45894</v>
      </c>
      <c r="E23" s="2">
        <v>46081</v>
      </c>
      <c r="F23" s="2">
        <v>45943</v>
      </c>
      <c r="G23" t="s">
        <v>231</v>
      </c>
    </row>
    <row r="24" spans="1:8">
      <c r="A24" t="s">
        <v>151</v>
      </c>
      <c r="B24" t="s">
        <v>152</v>
      </c>
      <c r="C24" t="s">
        <v>404</v>
      </c>
      <c r="D24" s="2">
        <v>45894</v>
      </c>
      <c r="E24" s="2">
        <v>46081</v>
      </c>
      <c r="F24" s="2">
        <v>45950</v>
      </c>
      <c r="G24" t="s">
        <v>231</v>
      </c>
    </row>
    <row r="25" spans="1:8">
      <c r="A25" t="s">
        <v>116</v>
      </c>
      <c r="B25" t="s">
        <v>117</v>
      </c>
      <c r="C25" t="s">
        <v>43</v>
      </c>
      <c r="D25" s="2">
        <v>45936</v>
      </c>
      <c r="E25" s="2">
        <v>45945</v>
      </c>
      <c r="F25" s="2">
        <v>45936</v>
      </c>
      <c r="G25" t="s">
        <v>217</v>
      </c>
    </row>
    <row r="26" spans="1:8">
      <c r="A26" t="s">
        <v>116</v>
      </c>
      <c r="B26" t="s">
        <v>117</v>
      </c>
      <c r="C26" t="s">
        <v>43</v>
      </c>
      <c r="D26" s="2">
        <v>45936</v>
      </c>
      <c r="E26" s="2">
        <v>45945</v>
      </c>
      <c r="F26" s="2">
        <v>45943</v>
      </c>
      <c r="G26" t="s">
        <v>217</v>
      </c>
    </row>
  </sheetData>
  <dataValidations count="1">
    <dataValidation type="list" allowBlank="1" showInputMessage="1" showErrorMessage="1" errorTitle="Wrong Information Displayed" promptTitle="Select Leave reason" prompt="Please select leave reason from the list, for system issues, please send through the IT ticket number via email." sqref="G2:G1048576" xr:uid="{FF8919D4-3F7E-4FB7-B56B-027A0E6D8441}">
      <formula1>"Annual Leave, Sick Leave, Maternity Leave, Week Duration System Issues, Other"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promptTitle="Select Leave End date" prompt="Please select the last leave date" xr:uid="{8B6BAFCE-0A60-4C77-8FA9-42B2CD6FBA06}">
          <x14:formula1>
            <xm:f>'Date list'!$A$2:$A$732</xm:f>
          </x14:formula1>
          <xm:sqref>E2:E1048576</xm:sqref>
        </x14:dataValidation>
        <x14:dataValidation type="list" allowBlank="1" showInputMessage="1" showErrorMessage="1" promptTitle="Monday Affected" prompt="Please select which Monday scorecard was/is affected, if more than one scorecard, please insert in the next row." xr:uid="{D5350E58-21C8-47AA-A6FD-EAA444659A31}">
          <x14:formula1>
            <xm:f>'Date list'!$D$2:$D$105</xm:f>
          </x14:formula1>
          <xm:sqref>F2:F1048576</xm:sqref>
        </x14:dataValidation>
        <x14:dataValidation type="list" allowBlank="1" showInputMessage="1" showErrorMessage="1" promptTitle="Select Individual" prompt="Please select an individual for the list, their F_Number and Team will automatically populate if you double click on the right upper corner of cell B and C respectively_x000a_" xr:uid="{A743A26A-FF75-42D2-925A-216E2B672D41}">
          <x14:formula1>
            <xm:f>Employees!$A$2:$A$101</xm:f>
          </x14:formula1>
          <xm:sqref>A2:A1048576</xm:sqref>
        </x14:dataValidation>
        <x14:dataValidation type="list" allowBlank="1" showInputMessage="1" showErrorMessage="1" promptTitle="Select Leave start date" prompt="Please select from the list the leave start date" xr:uid="{56F2C9EF-8B15-46BE-8E8D-BA476CD4D26F}">
          <x14:formula1>
            <xm:f>'Date list'!$A$2:$A$732</xm:f>
          </x14:formula1>
          <xm:sqref>D2:D1048576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4694D-56BF-40B6-9FB8-2088A365BECE}">
  <sheetPr codeName="Sheet24">
    <tabColor theme="4" tint="0.79998168889431442"/>
  </sheetPr>
  <dimension ref="A1:H38"/>
  <sheetViews>
    <sheetView workbookViewId="0">
      <selection activeCell="H7" sqref="H7"/>
    </sheetView>
  </sheetViews>
  <sheetFormatPr defaultRowHeight="14.45"/>
  <cols>
    <col min="1" max="1" width="21.5703125" bestFit="1" customWidth="1"/>
    <col min="2" max="2" width="9.5703125" bestFit="1" customWidth="1"/>
    <col min="3" max="3" width="17.85546875" bestFit="1" customWidth="1"/>
    <col min="4" max="4" width="15.42578125" style="2" bestFit="1" customWidth="1"/>
    <col min="5" max="5" width="14.7109375" style="2" bestFit="1" customWidth="1"/>
    <col min="6" max="6" width="54.5703125" style="2" bestFit="1" customWidth="1"/>
    <col min="7" max="7" width="24.85546875" bestFit="1" customWidth="1"/>
    <col min="8" max="8" width="10" bestFit="1" customWidth="1"/>
  </cols>
  <sheetData>
    <row r="1" spans="1:8">
      <c r="A1" s="34" t="s">
        <v>0</v>
      </c>
      <c r="B1" s="34" t="s">
        <v>1</v>
      </c>
      <c r="C1" s="34" t="s">
        <v>2</v>
      </c>
      <c r="D1" s="40" t="s">
        <v>3</v>
      </c>
      <c r="E1" s="40" t="s">
        <v>4</v>
      </c>
      <c r="F1" s="40" t="s">
        <v>5</v>
      </c>
      <c r="G1" s="34" t="s">
        <v>335</v>
      </c>
      <c r="H1" s="34" t="s">
        <v>7</v>
      </c>
    </row>
    <row r="2" spans="1:8">
      <c r="A2" t="s">
        <v>276</v>
      </c>
      <c r="B2" t="s">
        <v>277</v>
      </c>
      <c r="C2" t="s">
        <v>36</v>
      </c>
      <c r="D2" s="2">
        <v>45985</v>
      </c>
      <c r="E2" s="2">
        <v>45989</v>
      </c>
      <c r="F2" s="2">
        <v>45992</v>
      </c>
      <c r="G2" t="s">
        <v>359</v>
      </c>
      <c r="H2">
        <v>5</v>
      </c>
    </row>
    <row r="3" spans="1:8">
      <c r="A3" t="s">
        <v>85</v>
      </c>
      <c r="B3" t="str">
        <f>VLOOKUP(A3,OBR_Employees[#All],2,0)</f>
        <v>F5485843</v>
      </c>
      <c r="C3" t="str">
        <f>VLOOKUP(A3,OBR_Employees[#All],3,0)</f>
        <v>Team 3 LOC Advisors</v>
      </c>
      <c r="D3" s="2">
        <v>45962</v>
      </c>
      <c r="E3" s="2">
        <v>46142</v>
      </c>
      <c r="F3" s="2">
        <v>45992</v>
      </c>
      <c r="G3" t="s">
        <v>231</v>
      </c>
      <c r="H3">
        <v>181</v>
      </c>
    </row>
    <row r="4" spans="1:8">
      <c r="A4" t="s">
        <v>85</v>
      </c>
      <c r="B4" t="str">
        <f>VLOOKUP(A4,OBR_Employees[#All],2,0)</f>
        <v>F5485843</v>
      </c>
      <c r="C4" t="s">
        <v>368</v>
      </c>
      <c r="D4" s="2">
        <v>45962</v>
      </c>
      <c r="E4" s="2">
        <v>46142</v>
      </c>
      <c r="F4" s="2">
        <v>45999</v>
      </c>
      <c r="G4" t="s">
        <v>231</v>
      </c>
      <c r="H4">
        <v>181</v>
      </c>
    </row>
    <row r="5" spans="1:8">
      <c r="A5" t="s">
        <v>85</v>
      </c>
      <c r="B5" t="s">
        <v>86</v>
      </c>
      <c r="C5" t="s">
        <v>368</v>
      </c>
      <c r="D5" s="2">
        <v>45962</v>
      </c>
      <c r="E5" s="2">
        <v>46142</v>
      </c>
      <c r="F5" s="2">
        <v>46006</v>
      </c>
      <c r="G5" t="s">
        <v>231</v>
      </c>
      <c r="H5">
        <v>181</v>
      </c>
    </row>
    <row r="6" spans="1:8">
      <c r="A6" t="s">
        <v>85</v>
      </c>
      <c r="B6" t="s">
        <v>86</v>
      </c>
      <c r="C6" t="s">
        <v>368</v>
      </c>
      <c r="D6" s="2">
        <v>45962</v>
      </c>
      <c r="E6" s="2">
        <v>46142</v>
      </c>
      <c r="F6" s="2">
        <v>46013</v>
      </c>
      <c r="G6" t="s">
        <v>231</v>
      </c>
      <c r="H6">
        <v>181</v>
      </c>
    </row>
    <row r="7" spans="1:8">
      <c r="A7" t="s">
        <v>85</v>
      </c>
      <c r="B7" t="s">
        <v>86</v>
      </c>
      <c r="C7" t="s">
        <v>368</v>
      </c>
      <c r="D7" s="2">
        <v>45962</v>
      </c>
      <c r="E7" s="2">
        <v>46142</v>
      </c>
      <c r="F7" s="2">
        <v>46020</v>
      </c>
      <c r="G7" t="s">
        <v>231</v>
      </c>
      <c r="H7">
        <v>181</v>
      </c>
    </row>
    <row r="8" spans="1:8">
      <c r="A8" t="s">
        <v>330</v>
      </c>
      <c r="B8" s="31" t="s">
        <v>331</v>
      </c>
      <c r="C8" t="s">
        <v>368</v>
      </c>
      <c r="D8" s="2">
        <v>45992</v>
      </c>
      <c r="E8" s="2">
        <v>46008</v>
      </c>
      <c r="F8" s="2">
        <v>45999</v>
      </c>
      <c r="G8" t="s">
        <v>217</v>
      </c>
      <c r="H8">
        <v>12</v>
      </c>
    </row>
    <row r="9" spans="1:8">
      <c r="A9" t="s">
        <v>330</v>
      </c>
      <c r="B9" s="31" t="s">
        <v>331</v>
      </c>
      <c r="C9" t="s">
        <v>368</v>
      </c>
      <c r="D9" s="2">
        <v>45992</v>
      </c>
      <c r="E9" s="2">
        <v>46008</v>
      </c>
      <c r="F9" s="2">
        <v>46006</v>
      </c>
      <c r="G9" t="s">
        <v>217</v>
      </c>
      <c r="H9">
        <v>12</v>
      </c>
    </row>
    <row r="10" spans="1:8">
      <c r="A10" t="s">
        <v>151</v>
      </c>
      <c r="B10" t="s">
        <v>152</v>
      </c>
      <c r="C10" t="s">
        <v>404</v>
      </c>
      <c r="D10" s="2">
        <v>45894</v>
      </c>
      <c r="E10" s="2">
        <v>46081</v>
      </c>
      <c r="F10" s="2">
        <v>45957</v>
      </c>
      <c r="G10" t="s">
        <v>231</v>
      </c>
      <c r="H10">
        <v>5</v>
      </c>
    </row>
    <row r="11" spans="1:8">
      <c r="A11" t="s">
        <v>151</v>
      </c>
      <c r="B11" t="s">
        <v>152</v>
      </c>
      <c r="C11" t="s">
        <v>404</v>
      </c>
      <c r="D11" s="2">
        <v>45894</v>
      </c>
      <c r="E11" s="2">
        <v>46081</v>
      </c>
      <c r="F11" s="2">
        <v>45964</v>
      </c>
      <c r="G11" t="s">
        <v>231</v>
      </c>
      <c r="H11">
        <v>5</v>
      </c>
    </row>
    <row r="12" spans="1:8">
      <c r="A12" t="s">
        <v>151</v>
      </c>
      <c r="B12" t="s">
        <v>152</v>
      </c>
      <c r="C12" t="s">
        <v>404</v>
      </c>
      <c r="D12" s="2">
        <v>45894</v>
      </c>
      <c r="E12" s="2">
        <v>46081</v>
      </c>
      <c r="F12" s="2">
        <v>45971</v>
      </c>
      <c r="G12" t="s">
        <v>231</v>
      </c>
      <c r="H12">
        <v>5</v>
      </c>
    </row>
    <row r="13" spans="1:8">
      <c r="A13" t="s">
        <v>151</v>
      </c>
      <c r="B13" t="s">
        <v>152</v>
      </c>
      <c r="C13" t="s">
        <v>404</v>
      </c>
      <c r="D13" s="2">
        <v>45894</v>
      </c>
      <c r="E13" s="2">
        <v>46081</v>
      </c>
      <c r="F13" s="2">
        <v>46342</v>
      </c>
      <c r="G13" t="s">
        <v>231</v>
      </c>
      <c r="H13">
        <v>5</v>
      </c>
    </row>
    <row r="14" spans="1:8">
      <c r="A14" t="s">
        <v>151</v>
      </c>
      <c r="B14" t="s">
        <v>152</v>
      </c>
      <c r="C14" t="s">
        <v>404</v>
      </c>
      <c r="D14" s="2">
        <v>45894</v>
      </c>
      <c r="E14" s="2">
        <v>46081</v>
      </c>
      <c r="F14" s="2">
        <v>46349</v>
      </c>
      <c r="G14" t="s">
        <v>231</v>
      </c>
      <c r="H14">
        <v>5</v>
      </c>
    </row>
    <row r="15" spans="1:8">
      <c r="A15" t="s">
        <v>339</v>
      </c>
      <c r="B15" t="s">
        <v>74</v>
      </c>
      <c r="C15" t="s">
        <v>75</v>
      </c>
      <c r="D15" s="50">
        <v>45992</v>
      </c>
      <c r="E15" s="50">
        <v>46022</v>
      </c>
      <c r="F15" s="50">
        <v>45992</v>
      </c>
      <c r="G15" t="s">
        <v>64</v>
      </c>
      <c r="H15">
        <v>5</v>
      </c>
    </row>
    <row r="16" spans="1:8">
      <c r="A16" t="s">
        <v>339</v>
      </c>
      <c r="B16" t="s">
        <v>74</v>
      </c>
      <c r="C16" t="s">
        <v>75</v>
      </c>
      <c r="D16" s="50">
        <v>45992</v>
      </c>
      <c r="E16" s="50">
        <v>46022</v>
      </c>
      <c r="F16" s="50">
        <v>45999</v>
      </c>
      <c r="G16" t="s">
        <v>64</v>
      </c>
      <c r="H16">
        <v>5</v>
      </c>
    </row>
    <row r="17" spans="1:8">
      <c r="A17" t="s">
        <v>339</v>
      </c>
      <c r="B17" t="s">
        <v>74</v>
      </c>
      <c r="C17" t="s">
        <v>75</v>
      </c>
      <c r="D17" s="50">
        <v>45992</v>
      </c>
      <c r="E17" s="50">
        <v>46022</v>
      </c>
      <c r="F17" s="2">
        <v>46006</v>
      </c>
      <c r="G17" t="s">
        <v>64</v>
      </c>
      <c r="H17">
        <v>4</v>
      </c>
    </row>
    <row r="18" spans="1:8">
      <c r="A18" t="s">
        <v>393</v>
      </c>
      <c r="B18" t="s">
        <v>409</v>
      </c>
      <c r="C18" t="s">
        <v>36</v>
      </c>
      <c r="D18" s="2">
        <v>45999</v>
      </c>
      <c r="E18" s="2">
        <v>46003</v>
      </c>
      <c r="F18" s="2">
        <v>46006</v>
      </c>
      <c r="G18" t="s">
        <v>217</v>
      </c>
      <c r="H18">
        <v>5</v>
      </c>
    </row>
    <row r="19" spans="1:8">
      <c r="A19" t="s">
        <v>393</v>
      </c>
      <c r="B19" t="s">
        <v>74</v>
      </c>
      <c r="C19" t="s">
        <v>75</v>
      </c>
      <c r="D19" s="50">
        <v>45992</v>
      </c>
      <c r="E19" s="50">
        <v>46022</v>
      </c>
      <c r="F19" s="50">
        <v>46013</v>
      </c>
      <c r="G19" t="s">
        <v>217</v>
      </c>
      <c r="H19">
        <v>5</v>
      </c>
    </row>
    <row r="20" spans="1:8">
      <c r="A20" t="s">
        <v>339</v>
      </c>
      <c r="B20" t="s">
        <v>74</v>
      </c>
      <c r="C20" t="s">
        <v>75</v>
      </c>
      <c r="D20" s="50">
        <v>45992</v>
      </c>
      <c r="E20" s="50">
        <v>46022</v>
      </c>
      <c r="F20" s="2">
        <v>46013</v>
      </c>
      <c r="G20" t="s">
        <v>64</v>
      </c>
      <c r="H20">
        <v>3</v>
      </c>
    </row>
    <row r="21" spans="1:8">
      <c r="A21" t="s">
        <v>339</v>
      </c>
      <c r="B21" t="s">
        <v>74</v>
      </c>
      <c r="C21" t="s">
        <v>75</v>
      </c>
      <c r="D21" s="50">
        <v>45992</v>
      </c>
      <c r="E21" s="50">
        <v>46022</v>
      </c>
      <c r="F21" s="2">
        <v>46020</v>
      </c>
      <c r="G21" t="s">
        <v>64</v>
      </c>
      <c r="H21">
        <v>4</v>
      </c>
    </row>
    <row r="22" spans="1:8">
      <c r="A22" t="s">
        <v>65</v>
      </c>
      <c r="B22" t="s">
        <v>39</v>
      </c>
      <c r="C22" t="s">
        <v>36</v>
      </c>
      <c r="D22" s="2">
        <v>45999</v>
      </c>
      <c r="E22" s="2">
        <v>46006</v>
      </c>
      <c r="F22" s="2">
        <v>46006</v>
      </c>
      <c r="G22" t="s">
        <v>217</v>
      </c>
      <c r="H22">
        <v>5</v>
      </c>
    </row>
    <row r="23" spans="1:8">
      <c r="A23" t="s">
        <v>38</v>
      </c>
      <c r="B23" t="s">
        <v>39</v>
      </c>
      <c r="C23" t="s">
        <v>36</v>
      </c>
      <c r="D23" s="2">
        <v>45992</v>
      </c>
      <c r="E23" s="2">
        <v>45996</v>
      </c>
      <c r="F23" s="2">
        <v>45999</v>
      </c>
      <c r="G23" t="s">
        <v>359</v>
      </c>
      <c r="H23">
        <v>5</v>
      </c>
    </row>
    <row r="24" spans="1:8">
      <c r="A24" t="s">
        <v>38</v>
      </c>
      <c r="B24" t="s">
        <v>39</v>
      </c>
      <c r="C24" t="s">
        <v>36</v>
      </c>
      <c r="D24" s="2">
        <v>45999</v>
      </c>
      <c r="E24" s="2">
        <v>46003</v>
      </c>
      <c r="F24" s="2">
        <v>46006</v>
      </c>
      <c r="G24" t="s">
        <v>359</v>
      </c>
      <c r="H24">
        <v>5</v>
      </c>
    </row>
    <row r="25" spans="1:8">
      <c r="A25" t="s">
        <v>38</v>
      </c>
      <c r="B25" t="s">
        <v>39</v>
      </c>
      <c r="C25" t="s">
        <v>36</v>
      </c>
      <c r="D25" s="2">
        <v>46006</v>
      </c>
      <c r="E25" s="2">
        <v>46010</v>
      </c>
      <c r="F25" s="2">
        <v>46013</v>
      </c>
      <c r="G25" t="s">
        <v>359</v>
      </c>
      <c r="H25">
        <v>5</v>
      </c>
    </row>
    <row r="26" spans="1:8">
      <c r="A26" t="s">
        <v>38</v>
      </c>
      <c r="B26" t="s">
        <v>39</v>
      </c>
      <c r="C26" t="s">
        <v>36</v>
      </c>
      <c r="D26" s="2">
        <v>46013</v>
      </c>
      <c r="E26" s="2">
        <v>46017</v>
      </c>
      <c r="F26" s="2">
        <v>46020</v>
      </c>
      <c r="G26" t="s">
        <v>359</v>
      </c>
      <c r="H26">
        <v>5</v>
      </c>
    </row>
    <row r="27" spans="1:8">
      <c r="A27" t="s">
        <v>177</v>
      </c>
      <c r="B27" t="s">
        <v>346</v>
      </c>
      <c r="C27" t="s">
        <v>36</v>
      </c>
      <c r="D27" s="2">
        <v>45999</v>
      </c>
      <c r="E27" s="2">
        <v>46003</v>
      </c>
      <c r="F27" s="2">
        <v>46006</v>
      </c>
      <c r="G27" t="s">
        <v>359</v>
      </c>
      <c r="H27">
        <v>5</v>
      </c>
    </row>
    <row r="28" spans="1:8">
      <c r="A28" t="s">
        <v>177</v>
      </c>
      <c r="B28" t="s">
        <v>346</v>
      </c>
      <c r="C28" t="s">
        <v>36</v>
      </c>
      <c r="D28" s="2">
        <v>46006</v>
      </c>
      <c r="E28" s="2">
        <v>46010</v>
      </c>
      <c r="F28" s="2">
        <v>46013</v>
      </c>
      <c r="G28" t="s">
        <v>359</v>
      </c>
      <c r="H28">
        <v>5</v>
      </c>
    </row>
    <row r="29" spans="1:8">
      <c r="A29" t="s">
        <v>177</v>
      </c>
      <c r="B29" t="s">
        <v>346</v>
      </c>
      <c r="C29" t="s">
        <v>36</v>
      </c>
      <c r="D29" s="2">
        <v>46013</v>
      </c>
      <c r="E29" s="2">
        <v>46017</v>
      </c>
      <c r="F29" s="2">
        <v>46020</v>
      </c>
      <c r="G29" t="s">
        <v>359</v>
      </c>
      <c r="H29">
        <v>5</v>
      </c>
    </row>
    <row r="30" spans="1:8">
      <c r="A30" t="s">
        <v>154</v>
      </c>
      <c r="B30" s="31" t="s">
        <v>155</v>
      </c>
      <c r="C30" t="s">
        <v>368</v>
      </c>
      <c r="D30" s="2">
        <v>46008</v>
      </c>
      <c r="E30" s="2">
        <v>46024</v>
      </c>
      <c r="F30" s="2">
        <v>46013</v>
      </c>
      <c r="G30" t="s">
        <v>217</v>
      </c>
      <c r="H30">
        <v>9</v>
      </c>
    </row>
    <row r="31" spans="1:8">
      <c r="A31" t="s">
        <v>154</v>
      </c>
      <c r="B31" s="31" t="s">
        <v>155</v>
      </c>
      <c r="C31" t="s">
        <v>368</v>
      </c>
      <c r="D31" s="2">
        <v>46008</v>
      </c>
      <c r="E31" s="2">
        <v>46024</v>
      </c>
      <c r="F31" s="2">
        <v>46013</v>
      </c>
      <c r="G31" t="s">
        <v>217</v>
      </c>
      <c r="H31">
        <v>9</v>
      </c>
    </row>
    <row r="32" spans="1:8">
      <c r="A32" t="s">
        <v>154</v>
      </c>
      <c r="B32" s="31" t="s">
        <v>155</v>
      </c>
      <c r="C32" t="s">
        <v>368</v>
      </c>
      <c r="D32" s="2">
        <v>46008</v>
      </c>
      <c r="E32" s="2">
        <v>46024</v>
      </c>
      <c r="F32" s="2">
        <v>46020</v>
      </c>
      <c r="G32" t="s">
        <v>217</v>
      </c>
      <c r="H32">
        <v>9</v>
      </c>
    </row>
    <row r="33" spans="1:8">
      <c r="A33" t="s">
        <v>241</v>
      </c>
      <c r="B33" s="31" t="s">
        <v>242</v>
      </c>
      <c r="C33" t="s">
        <v>368</v>
      </c>
      <c r="D33" s="2">
        <v>46013</v>
      </c>
      <c r="E33" s="2">
        <v>45666</v>
      </c>
      <c r="F33" s="2">
        <v>46020</v>
      </c>
      <c r="G33" t="s">
        <v>217</v>
      </c>
      <c r="H33">
        <v>12</v>
      </c>
    </row>
    <row r="34" spans="1:8">
      <c r="A34" t="s">
        <v>369</v>
      </c>
      <c r="B34" s="31" t="s">
        <v>370</v>
      </c>
      <c r="C34" t="s">
        <v>368</v>
      </c>
      <c r="D34" s="2">
        <v>46003</v>
      </c>
      <c r="E34" s="2">
        <v>45664</v>
      </c>
      <c r="F34" s="2">
        <v>46013</v>
      </c>
      <c r="G34" t="s">
        <v>217</v>
      </c>
      <c r="H34">
        <v>15</v>
      </c>
    </row>
    <row r="35" spans="1:8">
      <c r="A35" t="s">
        <v>369</v>
      </c>
      <c r="B35" s="31" t="s">
        <v>370</v>
      </c>
      <c r="C35" t="s">
        <v>368</v>
      </c>
      <c r="D35" s="2">
        <v>46003</v>
      </c>
      <c r="E35" s="2">
        <v>45664</v>
      </c>
      <c r="F35" s="2">
        <v>46020</v>
      </c>
      <c r="G35" t="s">
        <v>217</v>
      </c>
      <c r="H35">
        <v>15</v>
      </c>
    </row>
    <row r="36" spans="1:8">
      <c r="A36" t="s">
        <v>377</v>
      </c>
      <c r="B36" s="31" t="s">
        <v>378</v>
      </c>
      <c r="C36" t="s">
        <v>368</v>
      </c>
      <c r="D36" s="50">
        <v>46013</v>
      </c>
      <c r="E36" s="50">
        <v>46031</v>
      </c>
      <c r="F36" s="50">
        <v>46020</v>
      </c>
      <c r="G36" t="s">
        <v>217</v>
      </c>
      <c r="H36">
        <v>12</v>
      </c>
    </row>
    <row r="37" spans="1:8">
      <c r="A37" t="s">
        <v>80</v>
      </c>
      <c r="B37" s="31" t="s">
        <v>81</v>
      </c>
      <c r="C37" t="s">
        <v>368</v>
      </c>
      <c r="D37" s="50">
        <v>46013</v>
      </c>
      <c r="E37" s="50">
        <v>46027</v>
      </c>
      <c r="F37" s="2">
        <v>46020</v>
      </c>
      <c r="G37" t="s">
        <v>217</v>
      </c>
      <c r="H37">
        <v>8</v>
      </c>
    </row>
    <row r="38" spans="1:8">
      <c r="A38" t="s">
        <v>219</v>
      </c>
      <c r="B38" s="31" t="s">
        <v>220</v>
      </c>
      <c r="C38" t="s">
        <v>368</v>
      </c>
      <c r="D38" s="2">
        <v>46015</v>
      </c>
      <c r="E38" s="2">
        <v>46024</v>
      </c>
      <c r="F38" s="2">
        <v>46020</v>
      </c>
      <c r="G38" t="s">
        <v>217</v>
      </c>
      <c r="H38">
        <v>5</v>
      </c>
    </row>
  </sheetData>
  <dataValidations count="1">
    <dataValidation type="list" allowBlank="1" showInputMessage="1" showErrorMessage="1" errorTitle="Wrong Information Displayed" promptTitle="Select Leave reason" prompt="Please select leave reason from the list, for system issues, please send through the IT ticket number via email." sqref="G2:G1048574" xr:uid="{8B2BB0E4-6135-49C6-AF3D-1340E5901461}">
      <formula1>"Annual Leave, Sick Leave, Maternity Leave, Week Duration System Issues, Other"</formula1>
    </dataValidation>
  </dataValidations>
  <hyperlinks>
    <hyperlink ref="B8" r:id="rId1" display="f8876877@fnb.co.za" xr:uid="{2129C7A2-54EB-4DC3-BB9F-A5170C16952A}"/>
    <hyperlink ref="B9" r:id="rId2" display="f8876877@fnb.co.za" xr:uid="{C8D080CC-0496-426A-AD78-165535A6A4F7}"/>
    <hyperlink ref="B33" r:id="rId3" display="f8872453@fnb.co.za" xr:uid="{96499CBC-83D0-4FFE-B3B4-896DA7A2D211}"/>
    <hyperlink ref="B34" r:id="rId4" display="f8875629@fnb.co.za" xr:uid="{37869ED8-0D62-4115-A98A-551BC51EECC6}"/>
    <hyperlink ref="B35" r:id="rId5" display="f8875629@fnb.co.za" xr:uid="{992CC08B-8387-4A30-8C55-6DE48D7F6C6A}"/>
    <hyperlink ref="B36" r:id="rId6" display="f8876068@fnb.co.za" xr:uid="{11BC0B0F-1E4F-4192-AF67-91CFF9E7F84C}"/>
    <hyperlink ref="B37" r:id="rId7" display="f5687772@fnb.co.za" xr:uid="{4076E2D3-D562-4656-A8AF-2ED7871899BF}"/>
    <hyperlink ref="B38" r:id="rId8" display="f5377862@fnb.co.za" xr:uid="{E6C61B08-8614-40C9-BFAD-F91F7F4B2280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promptTitle="Select Leave End date" prompt="Please select the last leave date" xr:uid="{90541387-8680-4F5C-B058-24635571C80B}">
          <x14:formula1>
            <xm:f>'Date list'!$A$2:$A$732</xm:f>
          </x14:formula1>
          <xm:sqref>E38:E1048576 E18 E22:E35 E2:E14</xm:sqref>
        </x14:dataValidation>
        <x14:dataValidation type="list" allowBlank="1" showInputMessage="1" showErrorMessage="1" promptTitle="Monday Affected" prompt="Please select which Monday scorecard was/is affected, if more than one scorecard, please insert in the next row." xr:uid="{2697EC2D-9CBA-4CD6-8AF9-80A695B2627E}">
          <x14:formula1>
            <xm:f>'Date list'!$D$2:$D$105</xm:f>
          </x14:formula1>
          <xm:sqref>F38:F1048576 F18 F22:F35 F2:F14</xm:sqref>
        </x14:dataValidation>
        <x14:dataValidation type="list" allowBlank="1" showInputMessage="1" showErrorMessage="1" promptTitle="Select Leave start date" prompt="Please select from the list the leave start date" xr:uid="{0F80770C-A828-46BF-B8B8-7C77486E8FFD}">
          <x14:formula1>
            <xm:f>'Date list'!$A$2:$A$732</xm:f>
          </x14:formula1>
          <xm:sqref>F17 F20:F21 F37 D38:D1048576 D18 D22:D35 D2:D14</xm:sqref>
        </x14:dataValidation>
        <x14:dataValidation type="list" allowBlank="1" showInputMessage="1" showErrorMessage="1" promptTitle="Select Individual" prompt="Please select an individual for the list, their F_Number and Team will automatically populate if you double click on the right upper corner of cell B and C respectively_x000a_" xr:uid="{1DD85B1A-2057-4ACF-A2C9-ACD9DCF41D9C}">
          <x14:formula1>
            <xm:f>Employees!$A$2:$A$101</xm:f>
          </x14:formula1>
          <xm:sqref>A2:A1048574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454E7-8F9E-47BA-A8A4-5BF6A4B6D448}">
  <sheetPr>
    <tabColor rgb="FFFFFF00"/>
  </sheetPr>
  <dimension ref="A1:H31"/>
  <sheetViews>
    <sheetView topLeftCell="A11" zoomScale="70" zoomScaleNormal="70" workbookViewId="0">
      <selection activeCell="B32" sqref="B32"/>
    </sheetView>
  </sheetViews>
  <sheetFormatPr defaultColWidth="36" defaultRowHeight="14.45"/>
  <sheetData>
    <row r="1" spans="1:8">
      <c r="A1" s="34" t="s">
        <v>0</v>
      </c>
      <c r="B1" s="34" t="s">
        <v>1</v>
      </c>
      <c r="C1" s="34" t="s">
        <v>2</v>
      </c>
      <c r="D1" s="40" t="s">
        <v>3</v>
      </c>
      <c r="E1" s="40" t="s">
        <v>4</v>
      </c>
      <c r="F1" s="40" t="s">
        <v>5</v>
      </c>
      <c r="G1" s="34" t="s">
        <v>335</v>
      </c>
      <c r="H1" s="34" t="s">
        <v>7</v>
      </c>
    </row>
    <row r="2" spans="1:8">
      <c r="A2" t="s">
        <v>339</v>
      </c>
      <c r="B2" t="s">
        <v>74</v>
      </c>
      <c r="C2" t="s">
        <v>75</v>
      </c>
      <c r="D2" s="50">
        <v>46023</v>
      </c>
      <c r="E2" s="50">
        <v>46043</v>
      </c>
      <c r="F2" s="50">
        <v>46027</v>
      </c>
      <c r="G2" t="s">
        <v>64</v>
      </c>
      <c r="H2">
        <v>5</v>
      </c>
    </row>
    <row r="3" spans="1:8">
      <c r="A3" t="s">
        <v>339</v>
      </c>
      <c r="B3" t="s">
        <v>74</v>
      </c>
      <c r="C3" t="s">
        <v>75</v>
      </c>
      <c r="D3" s="50">
        <v>46023</v>
      </c>
      <c r="E3" s="50">
        <v>46043</v>
      </c>
      <c r="F3" s="50">
        <v>46034</v>
      </c>
      <c r="G3" t="s">
        <v>64</v>
      </c>
      <c r="H3">
        <v>5</v>
      </c>
    </row>
    <row r="4" spans="1:8">
      <c r="A4" t="s">
        <v>410</v>
      </c>
      <c r="B4" t="s">
        <v>405</v>
      </c>
      <c r="C4" t="s">
        <v>75</v>
      </c>
      <c r="D4" s="50">
        <v>46041</v>
      </c>
      <c r="E4" s="50">
        <v>46053</v>
      </c>
      <c r="F4" s="50">
        <v>46048</v>
      </c>
      <c r="G4" t="s">
        <v>217</v>
      </c>
      <c r="H4">
        <v>5</v>
      </c>
    </row>
    <row r="5" spans="1:8">
      <c r="A5" t="s">
        <v>410</v>
      </c>
      <c r="B5" t="s">
        <v>405</v>
      </c>
      <c r="C5" t="s">
        <v>75</v>
      </c>
      <c r="D5" s="50">
        <v>46041</v>
      </c>
      <c r="E5" s="50">
        <v>46053</v>
      </c>
      <c r="F5" s="2">
        <v>46055</v>
      </c>
      <c r="G5" t="s">
        <v>217</v>
      </c>
      <c r="H5">
        <v>5</v>
      </c>
    </row>
    <row r="6" spans="1:8">
      <c r="A6" t="s">
        <v>363</v>
      </c>
      <c r="B6" t="s">
        <v>257</v>
      </c>
      <c r="C6" t="s">
        <v>75</v>
      </c>
      <c r="D6" s="50">
        <v>46037</v>
      </c>
      <c r="E6" s="50">
        <v>46038</v>
      </c>
      <c r="F6" s="50">
        <v>46041</v>
      </c>
      <c r="G6" t="s">
        <v>64</v>
      </c>
      <c r="H6">
        <v>2</v>
      </c>
    </row>
    <row r="7" spans="1:8">
      <c r="A7" t="s">
        <v>363</v>
      </c>
      <c r="B7" t="s">
        <v>257</v>
      </c>
      <c r="C7" t="s">
        <v>75</v>
      </c>
      <c r="D7" s="50">
        <v>46041</v>
      </c>
      <c r="E7" s="50">
        <v>46045</v>
      </c>
      <c r="F7" s="50">
        <v>46048</v>
      </c>
      <c r="G7" t="s">
        <v>64</v>
      </c>
      <c r="H7">
        <v>5</v>
      </c>
    </row>
    <row r="8" spans="1:8">
      <c r="A8" t="s">
        <v>339</v>
      </c>
      <c r="B8" t="s">
        <v>74</v>
      </c>
      <c r="C8" t="s">
        <v>75</v>
      </c>
      <c r="D8" s="50">
        <v>46023</v>
      </c>
      <c r="E8" s="50">
        <v>46043</v>
      </c>
      <c r="F8" s="50">
        <v>46041</v>
      </c>
      <c r="G8" t="s">
        <v>64</v>
      </c>
      <c r="H8">
        <v>3</v>
      </c>
    </row>
    <row r="9" spans="1:8">
      <c r="A9" t="s">
        <v>172</v>
      </c>
      <c r="B9" t="s">
        <v>352</v>
      </c>
      <c r="C9" t="s">
        <v>36</v>
      </c>
      <c r="D9" s="50">
        <v>46034</v>
      </c>
      <c r="E9" s="50">
        <v>46038</v>
      </c>
      <c r="F9" s="50">
        <v>46041</v>
      </c>
      <c r="G9" t="s">
        <v>217</v>
      </c>
      <c r="H9">
        <v>5</v>
      </c>
    </row>
    <row r="10" spans="1:8">
      <c r="A10" t="s">
        <v>172</v>
      </c>
      <c r="B10" t="s">
        <v>352</v>
      </c>
      <c r="C10" t="s">
        <v>36</v>
      </c>
      <c r="D10" s="2">
        <v>46041</v>
      </c>
      <c r="E10" s="2">
        <v>46045</v>
      </c>
      <c r="F10" s="2">
        <v>46048</v>
      </c>
      <c r="G10" t="s">
        <v>217</v>
      </c>
      <c r="H10">
        <v>5</v>
      </c>
    </row>
    <row r="11" spans="1:8">
      <c r="A11" t="s">
        <v>172</v>
      </c>
      <c r="B11" t="s">
        <v>352</v>
      </c>
      <c r="C11" t="s">
        <v>36</v>
      </c>
      <c r="D11" s="2">
        <v>46048</v>
      </c>
      <c r="E11" s="2">
        <v>46052</v>
      </c>
      <c r="F11" s="2">
        <v>46055</v>
      </c>
      <c r="G11" t="s">
        <v>217</v>
      </c>
      <c r="H11">
        <v>5</v>
      </c>
    </row>
    <row r="12" spans="1:8">
      <c r="A12" t="s">
        <v>179</v>
      </c>
      <c r="B12" t="s">
        <v>346</v>
      </c>
      <c r="C12" t="s">
        <v>36</v>
      </c>
      <c r="D12" s="2">
        <v>46027</v>
      </c>
      <c r="E12" s="2">
        <v>46031</v>
      </c>
      <c r="F12" s="2">
        <v>46034</v>
      </c>
      <c r="G12" t="s">
        <v>217</v>
      </c>
      <c r="H12">
        <v>5</v>
      </c>
    </row>
    <row r="13" spans="1:8">
      <c r="A13" t="s">
        <v>179</v>
      </c>
      <c r="B13" t="s">
        <v>346</v>
      </c>
      <c r="C13" t="s">
        <v>36</v>
      </c>
      <c r="D13" s="2">
        <v>46034</v>
      </c>
      <c r="E13" s="2">
        <v>46038</v>
      </c>
      <c r="F13" s="2">
        <v>46041</v>
      </c>
      <c r="G13" t="s">
        <v>217</v>
      </c>
      <c r="H13">
        <v>5</v>
      </c>
    </row>
    <row r="14" spans="1:8">
      <c r="A14" t="s">
        <v>34</v>
      </c>
      <c r="B14" t="s">
        <v>35</v>
      </c>
      <c r="C14" t="s">
        <v>36</v>
      </c>
      <c r="D14" s="2">
        <v>46027</v>
      </c>
      <c r="E14" s="2">
        <v>46031</v>
      </c>
      <c r="F14" s="2">
        <v>46034</v>
      </c>
      <c r="G14" t="s">
        <v>217</v>
      </c>
      <c r="H14">
        <v>5</v>
      </c>
    </row>
    <row r="15" spans="1:8" ht="14.25" customHeight="1">
      <c r="A15" s="53" t="s">
        <v>38</v>
      </c>
      <c r="B15" s="3" t="s">
        <v>39</v>
      </c>
      <c r="C15" t="s">
        <v>36</v>
      </c>
      <c r="D15" s="2">
        <v>46034</v>
      </c>
      <c r="E15" s="2">
        <v>46038</v>
      </c>
      <c r="F15" s="2">
        <v>46041</v>
      </c>
      <c r="G15" t="s">
        <v>217</v>
      </c>
      <c r="H15">
        <v>5</v>
      </c>
    </row>
    <row r="16" spans="1:8">
      <c r="A16" t="s">
        <v>85</v>
      </c>
      <c r="B16" t="str">
        <f>VLOOKUP(A16,OBR_Employees[#All],2,0)</f>
        <v>F5485843</v>
      </c>
      <c r="C16" t="str">
        <f>VLOOKUP(A16,OBR_Employees[#All],3,0)</f>
        <v>Team 3 LOC Advisors</v>
      </c>
      <c r="D16" s="2">
        <v>45962</v>
      </c>
      <c r="E16" s="2">
        <v>46142</v>
      </c>
      <c r="F16" s="45">
        <v>46027</v>
      </c>
      <c r="G16" t="s">
        <v>231</v>
      </c>
      <c r="H16">
        <v>181</v>
      </c>
    </row>
    <row r="17" spans="1:8">
      <c r="A17" t="s">
        <v>85</v>
      </c>
      <c r="B17" t="str">
        <f>VLOOKUP(A17,OBR_Employees[#All],2,0)</f>
        <v>F5485843</v>
      </c>
      <c r="C17" t="s">
        <v>368</v>
      </c>
      <c r="D17" s="2">
        <v>45962</v>
      </c>
      <c r="E17" s="2">
        <v>46142</v>
      </c>
      <c r="F17" s="45">
        <v>46034</v>
      </c>
      <c r="G17" t="s">
        <v>231</v>
      </c>
      <c r="H17">
        <v>181</v>
      </c>
    </row>
    <row r="18" spans="1:8">
      <c r="A18" t="s">
        <v>85</v>
      </c>
      <c r="B18" t="s">
        <v>86</v>
      </c>
      <c r="C18" t="s">
        <v>368</v>
      </c>
      <c r="D18" s="2">
        <v>45962</v>
      </c>
      <c r="E18" s="2">
        <v>46142</v>
      </c>
      <c r="F18" s="45">
        <v>46041</v>
      </c>
      <c r="G18" t="s">
        <v>231</v>
      </c>
      <c r="H18">
        <v>181</v>
      </c>
    </row>
    <row r="19" spans="1:8">
      <c r="A19" t="s">
        <v>85</v>
      </c>
      <c r="B19" t="s">
        <v>86</v>
      </c>
      <c r="C19" t="s">
        <v>368</v>
      </c>
      <c r="D19" s="2">
        <v>45962</v>
      </c>
      <c r="E19" s="2">
        <v>46142</v>
      </c>
      <c r="F19" s="45">
        <v>46048</v>
      </c>
      <c r="G19" t="s">
        <v>231</v>
      </c>
      <c r="H19">
        <v>181</v>
      </c>
    </row>
    <row r="20" spans="1:8">
      <c r="A20" t="s">
        <v>154</v>
      </c>
      <c r="B20" s="31" t="s">
        <v>155</v>
      </c>
      <c r="C20" t="s">
        <v>368</v>
      </c>
      <c r="D20" s="2">
        <v>46008</v>
      </c>
      <c r="E20" s="2">
        <v>46024</v>
      </c>
      <c r="F20" s="2">
        <v>46027</v>
      </c>
      <c r="G20" t="s">
        <v>217</v>
      </c>
      <c r="H20">
        <v>9</v>
      </c>
    </row>
    <row r="21" spans="1:8">
      <c r="A21" t="s">
        <v>154</v>
      </c>
      <c r="B21" s="31" t="s">
        <v>155</v>
      </c>
      <c r="C21" t="s">
        <v>368</v>
      </c>
      <c r="D21" s="2">
        <v>46027</v>
      </c>
      <c r="E21" s="2">
        <v>46029</v>
      </c>
      <c r="F21" s="2">
        <v>46034</v>
      </c>
      <c r="G21" t="s">
        <v>64</v>
      </c>
      <c r="H21">
        <v>3</v>
      </c>
    </row>
    <row r="22" spans="1:8">
      <c r="A22" t="s">
        <v>241</v>
      </c>
      <c r="B22" s="31" t="s">
        <v>242</v>
      </c>
      <c r="C22" t="s">
        <v>368</v>
      </c>
      <c r="D22" s="2">
        <v>46013</v>
      </c>
      <c r="E22" s="2">
        <v>45666</v>
      </c>
      <c r="F22" s="2">
        <v>46027</v>
      </c>
      <c r="G22" t="s">
        <v>217</v>
      </c>
      <c r="H22">
        <v>12</v>
      </c>
    </row>
    <row r="23" spans="1:8">
      <c r="A23" t="s">
        <v>241</v>
      </c>
      <c r="B23" s="31" t="s">
        <v>242</v>
      </c>
      <c r="C23" t="s">
        <v>368</v>
      </c>
      <c r="D23" s="2">
        <v>46013</v>
      </c>
      <c r="E23" s="2">
        <v>45666</v>
      </c>
      <c r="F23" s="2">
        <v>46034</v>
      </c>
      <c r="G23" t="s">
        <v>217</v>
      </c>
      <c r="H23">
        <v>12</v>
      </c>
    </row>
    <row r="24" spans="1:8">
      <c r="A24" t="s">
        <v>369</v>
      </c>
      <c r="B24" s="31" t="s">
        <v>370</v>
      </c>
      <c r="C24" t="s">
        <v>368</v>
      </c>
      <c r="D24" s="2">
        <v>46003</v>
      </c>
      <c r="E24" s="2">
        <v>45664</v>
      </c>
      <c r="F24" s="2">
        <v>46027</v>
      </c>
      <c r="G24" t="s">
        <v>217</v>
      </c>
      <c r="H24">
        <v>15</v>
      </c>
    </row>
    <row r="25" spans="1:8">
      <c r="A25" t="s">
        <v>369</v>
      </c>
      <c r="B25" s="31" t="s">
        <v>370</v>
      </c>
      <c r="C25" t="s">
        <v>368</v>
      </c>
      <c r="D25" s="2">
        <v>46003</v>
      </c>
      <c r="E25" s="2">
        <v>45664</v>
      </c>
      <c r="F25" s="2">
        <v>46034</v>
      </c>
      <c r="G25" t="s">
        <v>217</v>
      </c>
      <c r="H25">
        <v>15</v>
      </c>
    </row>
    <row r="26" spans="1:8">
      <c r="A26" t="s">
        <v>377</v>
      </c>
      <c r="B26" s="31" t="s">
        <v>378</v>
      </c>
      <c r="C26" t="s">
        <v>368</v>
      </c>
      <c r="D26" s="50">
        <v>46013</v>
      </c>
      <c r="E26" s="50">
        <v>46031</v>
      </c>
      <c r="F26" s="50">
        <v>46027</v>
      </c>
      <c r="G26" t="s">
        <v>217</v>
      </c>
      <c r="H26">
        <v>12</v>
      </c>
    </row>
    <row r="27" spans="1:8">
      <c r="A27" t="s">
        <v>377</v>
      </c>
      <c r="B27" s="31" t="s">
        <v>378</v>
      </c>
      <c r="C27" t="s">
        <v>368</v>
      </c>
      <c r="D27" s="50">
        <v>46013</v>
      </c>
      <c r="E27" s="50">
        <v>46031</v>
      </c>
      <c r="F27" s="2">
        <v>46034</v>
      </c>
      <c r="G27" t="s">
        <v>217</v>
      </c>
      <c r="H27">
        <v>12</v>
      </c>
    </row>
    <row r="28" spans="1:8">
      <c r="A28" t="s">
        <v>377</v>
      </c>
      <c r="B28" s="31" t="s">
        <v>378</v>
      </c>
      <c r="C28" t="s">
        <v>368</v>
      </c>
      <c r="D28" s="2">
        <v>46034</v>
      </c>
      <c r="E28" s="2">
        <v>46036</v>
      </c>
      <c r="F28" s="2">
        <v>46041</v>
      </c>
      <c r="G28" t="s">
        <v>411</v>
      </c>
      <c r="H28">
        <v>3</v>
      </c>
    </row>
    <row r="29" spans="1:8">
      <c r="A29" t="s">
        <v>377</v>
      </c>
      <c r="B29" s="31" t="s">
        <v>378</v>
      </c>
      <c r="C29" t="s">
        <v>368</v>
      </c>
      <c r="D29" s="2">
        <v>46037</v>
      </c>
      <c r="E29" s="2">
        <v>46038</v>
      </c>
      <c r="F29" s="2">
        <v>46041</v>
      </c>
      <c r="G29" t="s">
        <v>217</v>
      </c>
      <c r="H29">
        <v>2</v>
      </c>
    </row>
    <row r="30" spans="1:8">
      <c r="A30" t="s">
        <v>219</v>
      </c>
      <c r="B30" s="31" t="s">
        <v>220</v>
      </c>
      <c r="C30" t="s">
        <v>368</v>
      </c>
      <c r="D30" s="2">
        <v>46015</v>
      </c>
      <c r="E30" s="2">
        <v>46024</v>
      </c>
      <c r="F30" s="2">
        <v>46027</v>
      </c>
      <c r="G30" t="s">
        <v>217</v>
      </c>
      <c r="H30">
        <v>5</v>
      </c>
    </row>
    <row r="31" spans="1:8">
      <c r="A31" t="s">
        <v>80</v>
      </c>
      <c r="B31" s="31" t="s">
        <v>81</v>
      </c>
      <c r="C31" t="s">
        <v>368</v>
      </c>
      <c r="D31" s="50">
        <v>46013</v>
      </c>
      <c r="E31" s="50">
        <v>46027</v>
      </c>
      <c r="F31" s="2">
        <v>46027</v>
      </c>
      <c r="G31" t="s">
        <v>217</v>
      </c>
      <c r="H31">
        <v>8</v>
      </c>
    </row>
  </sheetData>
  <dataValidations count="1">
    <dataValidation type="list" allowBlank="1" showInputMessage="1" showErrorMessage="1" errorTitle="Wrong Information Displayed" promptTitle="Select Leave reason" prompt="Please select leave reason from the list, for system issues, please send through the IT ticket number via email." sqref="G2:G9 G16:G20 G22 G24 G26:G27 G30:G31" xr:uid="{903281D0-E093-46D4-A1CE-F161E36E2C0F}">
      <formula1>"Annual Leave, Sick Leave, Maternity Leave, Week Duration System Issues, Other"</formula1>
    </dataValidation>
  </dataValidations>
  <hyperlinks>
    <hyperlink ref="B22" r:id="rId1" display="f8872453@fnb.co.za" xr:uid="{CACD6F05-57AE-43B8-A422-B3AF848EFAC4}"/>
    <hyperlink ref="B23" r:id="rId2" display="f8872453@fnb.co.za" xr:uid="{4E06CB47-E992-4F02-BD68-D0C1CE051A31}"/>
    <hyperlink ref="B24" r:id="rId3" display="f8875629@fnb.co.za" xr:uid="{90CB9DCA-8B90-4040-BACA-3C9FE51FC920}"/>
    <hyperlink ref="B25" r:id="rId4" display="f8875629@fnb.co.za" xr:uid="{35DDA8E3-75A3-45E9-B014-DC1243011387}"/>
    <hyperlink ref="B26" r:id="rId5" display="f8876068@fnb.co.za" xr:uid="{3D9EF7E1-636C-438C-B9D5-7BD876C28905}"/>
    <hyperlink ref="B27" r:id="rId6" display="f8876068@fnb.co.za" xr:uid="{563EAA3F-1909-4697-A953-4A48A896B110}"/>
    <hyperlink ref="B28" r:id="rId7" display="f8876068@fnb.co.za" xr:uid="{FC81360D-E5C2-45FC-9F8F-45458ABBCE87}"/>
    <hyperlink ref="B29" r:id="rId8" display="f8876068@fnb.co.za" xr:uid="{EACF29DC-D6A8-4062-B749-418DC5E1D793}"/>
    <hyperlink ref="B30" r:id="rId9" display="f5377862@fnb.co.za" xr:uid="{353E495A-2029-4913-B3BF-D41F4164E2D6}"/>
    <hyperlink ref="B31" r:id="rId10" display="f5687772@fnb.co.za" xr:uid="{007E9CEF-A644-49F8-8FD0-5C283BCDC8D6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promptTitle="Select Individual" prompt="Please select an individual for the list, their F_Number and Team will automatically populate if you double click on the right upper corner of cell B and C respectively_x000a_" xr:uid="{61A3D3D1-5235-409D-999C-4DE04141D53F}">
          <x14:formula1>
            <xm:f>Employees!$A$2:$A$101</xm:f>
          </x14:formula1>
          <xm:sqref>A2:A3 A8 A16:A31</xm:sqref>
        </x14:dataValidation>
        <x14:dataValidation type="list" allowBlank="1" showInputMessage="1" showErrorMessage="1" promptTitle="Select Leave start date" prompt="Please select from the list the leave start date" xr:uid="{EAE0838A-56F9-42AC-9658-12ADD177436B}">
          <x14:formula1>
            <xm:f>'Date list'!$A$2:$A$732</xm:f>
          </x14:formula1>
          <xm:sqref>D16:D25 D30 F31</xm:sqref>
        </x14:dataValidation>
        <x14:dataValidation type="list" allowBlank="1" showInputMessage="1" showErrorMessage="1" promptTitle="Monday Affected" prompt="Please select which Monday scorecard was/is affected, if more than one scorecard, please insert in the next row." xr:uid="{4C19D017-7061-4065-B562-EB5ED3CEA4D3}">
          <x14:formula1>
            <xm:f>'Date list'!$D$2:$D$105</xm:f>
          </x14:formula1>
          <xm:sqref>F16:F20 F22 F24 F30</xm:sqref>
        </x14:dataValidation>
        <x14:dataValidation type="list" allowBlank="1" showInputMessage="1" showErrorMessage="1" promptTitle="Select Leave End date" prompt="Please select the last leave date" xr:uid="{CB037BCA-5AE1-4051-B837-BE39740A9853}">
          <x14:formula1>
            <xm:f>'Date list'!$A$2:$A$732</xm:f>
          </x14:formula1>
          <xm:sqref>E30 E16:E25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3FF76-B326-4568-91A1-9DB41C0434AD}">
  <sheetPr>
    <tabColor rgb="FFFFFF00"/>
  </sheetPr>
  <dimension ref="A1:H14"/>
  <sheetViews>
    <sheetView topLeftCell="B1" zoomScale="85" zoomScaleNormal="85" workbookViewId="0">
      <selection activeCell="F18" sqref="F18"/>
    </sheetView>
  </sheetViews>
  <sheetFormatPr defaultRowHeight="14.45"/>
  <cols>
    <col min="1" max="1" width="36.140625" customWidth="1"/>
    <col min="2" max="2" width="18.140625" customWidth="1"/>
    <col min="3" max="3" width="26.7109375" customWidth="1"/>
    <col min="4" max="4" width="33.85546875" customWidth="1"/>
    <col min="5" max="5" width="28.28515625" customWidth="1"/>
    <col min="6" max="6" width="26.42578125" customWidth="1"/>
    <col min="7" max="7" width="44.85546875" customWidth="1"/>
    <col min="8" max="8" width="61.5703125" customWidth="1"/>
  </cols>
  <sheetData>
    <row r="1" spans="1:8">
      <c r="A1" s="34" t="s">
        <v>0</v>
      </c>
      <c r="B1" s="34" t="s">
        <v>1</v>
      </c>
      <c r="C1" s="34" t="s">
        <v>2</v>
      </c>
      <c r="D1" s="40" t="s">
        <v>3</v>
      </c>
      <c r="E1" s="40" t="s">
        <v>4</v>
      </c>
      <c r="F1" s="40" t="s">
        <v>5</v>
      </c>
      <c r="G1" s="34" t="s">
        <v>335</v>
      </c>
      <c r="H1" s="34" t="s">
        <v>7</v>
      </c>
    </row>
    <row r="2" spans="1:8">
      <c r="A2" t="s">
        <v>412</v>
      </c>
      <c r="B2" t="s">
        <v>413</v>
      </c>
      <c r="C2" t="s">
        <v>75</v>
      </c>
      <c r="D2" s="50">
        <v>46055</v>
      </c>
      <c r="E2" s="50">
        <v>46066</v>
      </c>
      <c r="F2" s="50">
        <v>46062</v>
      </c>
      <c r="G2" t="s">
        <v>217</v>
      </c>
      <c r="H2">
        <v>10</v>
      </c>
    </row>
    <row r="3" spans="1:8">
      <c r="A3" t="s">
        <v>412</v>
      </c>
      <c r="B3" t="s">
        <v>413</v>
      </c>
      <c r="C3" t="s">
        <v>75</v>
      </c>
      <c r="D3" s="50">
        <v>46055</v>
      </c>
      <c r="E3" s="50">
        <v>46066</v>
      </c>
      <c r="F3" s="50">
        <v>46069</v>
      </c>
      <c r="G3" t="s">
        <v>217</v>
      </c>
      <c r="H3">
        <v>10</v>
      </c>
    </row>
    <row r="4" spans="1:8">
      <c r="A4" t="s">
        <v>414</v>
      </c>
      <c r="B4" t="s">
        <v>365</v>
      </c>
      <c r="C4" t="s">
        <v>75</v>
      </c>
      <c r="D4" s="50">
        <v>46055</v>
      </c>
      <c r="E4" s="50">
        <v>46059</v>
      </c>
      <c r="F4" s="50">
        <v>46062</v>
      </c>
      <c r="G4" t="s">
        <v>64</v>
      </c>
      <c r="H4">
        <v>5</v>
      </c>
    </row>
    <row r="5" spans="1:8">
      <c r="A5" t="s">
        <v>414</v>
      </c>
      <c r="B5" t="s">
        <v>365</v>
      </c>
      <c r="C5" t="s">
        <v>75</v>
      </c>
      <c r="D5" s="50">
        <v>46062</v>
      </c>
      <c r="E5" s="50">
        <v>46066</v>
      </c>
      <c r="F5" s="50">
        <v>46069</v>
      </c>
      <c r="G5" t="s">
        <v>64</v>
      </c>
      <c r="H5">
        <v>5</v>
      </c>
    </row>
    <row r="6" spans="1:8">
      <c r="A6" t="s">
        <v>414</v>
      </c>
      <c r="B6" t="s">
        <v>365</v>
      </c>
      <c r="C6" t="s">
        <v>75</v>
      </c>
      <c r="D6" s="50">
        <v>46069</v>
      </c>
      <c r="E6" s="50">
        <v>46073</v>
      </c>
      <c r="F6" s="50">
        <v>46076</v>
      </c>
      <c r="G6" t="s">
        <v>64</v>
      </c>
      <c r="H6">
        <v>5</v>
      </c>
    </row>
    <row r="7" spans="1:8">
      <c r="A7" t="s">
        <v>414</v>
      </c>
      <c r="B7" t="s">
        <v>365</v>
      </c>
      <c r="C7" t="s">
        <v>75</v>
      </c>
      <c r="D7" s="50">
        <v>46076</v>
      </c>
      <c r="E7" s="50">
        <v>46080</v>
      </c>
      <c r="F7" s="50">
        <v>46083</v>
      </c>
      <c r="G7" t="s">
        <v>64</v>
      </c>
      <c r="H7">
        <v>5</v>
      </c>
    </row>
    <row r="8" spans="1:8">
      <c r="A8" t="s">
        <v>363</v>
      </c>
      <c r="B8" t="s">
        <v>257</v>
      </c>
      <c r="C8" t="s">
        <v>75</v>
      </c>
      <c r="D8" s="50">
        <v>46059</v>
      </c>
      <c r="E8" s="50">
        <v>46072</v>
      </c>
      <c r="F8" s="50">
        <v>46069</v>
      </c>
      <c r="G8" t="s">
        <v>359</v>
      </c>
      <c r="H8">
        <v>9</v>
      </c>
    </row>
    <row r="9" spans="1:8">
      <c r="A9" t="s">
        <v>363</v>
      </c>
      <c r="B9" t="s">
        <v>257</v>
      </c>
      <c r="C9" t="s">
        <v>75</v>
      </c>
      <c r="D9" s="50">
        <v>46059</v>
      </c>
      <c r="E9" s="50">
        <v>46072</v>
      </c>
      <c r="F9" s="50">
        <v>46076</v>
      </c>
      <c r="G9" t="s">
        <v>359</v>
      </c>
      <c r="H9">
        <v>9</v>
      </c>
    </row>
    <row r="10" spans="1:8">
      <c r="A10" t="s">
        <v>273</v>
      </c>
      <c r="B10" t="s">
        <v>274</v>
      </c>
      <c r="C10" t="s">
        <v>75</v>
      </c>
      <c r="D10" s="2">
        <v>46076</v>
      </c>
      <c r="E10" s="2">
        <v>46105</v>
      </c>
      <c r="F10" s="50">
        <v>46083</v>
      </c>
      <c r="G10" t="s">
        <v>217</v>
      </c>
      <c r="H10">
        <v>22</v>
      </c>
    </row>
    <row r="11" spans="1:8" ht="15">
      <c r="A11" t="s">
        <v>85</v>
      </c>
      <c r="B11" t="str">
        <f>VLOOKUP(A11,OBR_Employees[#All],2,0)</f>
        <v>F5485843</v>
      </c>
      <c r="C11" t="s">
        <v>368</v>
      </c>
      <c r="D11" s="2">
        <v>45962</v>
      </c>
      <c r="E11" s="2">
        <v>46142</v>
      </c>
      <c r="F11" s="50">
        <v>46055</v>
      </c>
      <c r="G11" t="s">
        <v>231</v>
      </c>
      <c r="H11">
        <v>181</v>
      </c>
    </row>
    <row r="12" spans="1:8" ht="15">
      <c r="A12" t="s">
        <v>85</v>
      </c>
      <c r="B12" t="s">
        <v>86</v>
      </c>
      <c r="C12" t="s">
        <v>368</v>
      </c>
      <c r="D12" s="2">
        <v>45962</v>
      </c>
      <c r="E12" s="2">
        <v>46142</v>
      </c>
      <c r="F12" s="50">
        <v>46062</v>
      </c>
      <c r="G12" t="s">
        <v>231</v>
      </c>
      <c r="H12">
        <v>181</v>
      </c>
    </row>
    <row r="13" spans="1:8">
      <c r="A13" t="s">
        <v>85</v>
      </c>
      <c r="B13" t="s">
        <v>86</v>
      </c>
      <c r="C13" t="s">
        <v>368</v>
      </c>
      <c r="D13" s="2">
        <v>45962</v>
      </c>
      <c r="E13" s="2">
        <v>46142</v>
      </c>
      <c r="F13" s="2">
        <v>46069</v>
      </c>
      <c r="G13" t="s">
        <v>231</v>
      </c>
      <c r="H13">
        <v>181</v>
      </c>
    </row>
    <row r="14" spans="1:8">
      <c r="A14" t="s">
        <v>85</v>
      </c>
      <c r="B14" t="s">
        <v>86</v>
      </c>
      <c r="C14" t="s">
        <v>368</v>
      </c>
      <c r="D14" s="2">
        <v>45962</v>
      </c>
      <c r="E14" s="2">
        <v>46142</v>
      </c>
      <c r="F14" s="2">
        <v>46076</v>
      </c>
      <c r="G14" t="s">
        <v>231</v>
      </c>
      <c r="H14">
        <v>181</v>
      </c>
    </row>
  </sheetData>
  <dataValidations count="1">
    <dataValidation type="list" allowBlank="1" showInputMessage="1" showErrorMessage="1" errorTitle="Wrong Information Displayed" promptTitle="Select Leave reason" prompt="Please select leave reason from the list, for system issues, please send through the IT ticket number via email." sqref="G2:G12" xr:uid="{3B82BBD4-69AA-4E25-86ED-CB67D03A201C}">
      <formula1>"Annual Leave, Sick Leave, Maternity Leave, Week Duration System Issues, Other"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promptTitle="Select Individual" prompt="Please select an individual for the list, their F_Number and Team will automatically populate if you double click on the right upper corner of cell B and C respectively_x000a_" xr:uid="{2E322A32-10A4-41E9-A530-AF280B40CD96}">
          <x14:formula1>
            <xm:f>Employees!$A$2:$A$101</xm:f>
          </x14:formula1>
          <xm:sqref>A2:A20</xm:sqref>
        </x14:dataValidation>
        <x14:dataValidation type="list" allowBlank="1" showInputMessage="1" showErrorMessage="1" promptTitle="Select Leave start date" prompt="Please select from the list the leave start date" xr:uid="{5C5F89AC-0055-4C8D-A018-7E0926ED33B5}">
          <x14:formula1>
            <xm:f>'Date list'!$A$2:$A$732</xm:f>
          </x14:formula1>
          <xm:sqref>D11:D14</xm:sqref>
        </x14:dataValidation>
        <x14:dataValidation type="list" allowBlank="1" showInputMessage="1" showErrorMessage="1" promptTitle="Select Leave End date" prompt="Please select the last leave date" xr:uid="{DFF2437E-25AC-457C-A491-F41C621854EF}">
          <x14:formula1>
            <xm:f>'Date list'!$A$2:$A$732</xm:f>
          </x14:formula1>
          <xm:sqref>E11:E14</xm:sqref>
        </x14:dataValidation>
      </x14:dataValidations>
    </ext>
  </extLst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660DD-12D9-4771-8FCE-65B29F123FC1}">
  <sheetPr>
    <tabColor rgb="FFFFFF00"/>
  </sheetPr>
  <dimension ref="A1:H15"/>
  <sheetViews>
    <sheetView zoomScale="85" zoomScaleNormal="85" workbookViewId="0">
      <selection activeCell="E18" sqref="E18"/>
    </sheetView>
  </sheetViews>
  <sheetFormatPr defaultRowHeight="14.45"/>
  <cols>
    <col min="1" max="1" width="36.140625" customWidth="1"/>
    <col min="2" max="2" width="18.140625" customWidth="1"/>
    <col min="3" max="3" width="26.7109375" customWidth="1"/>
    <col min="4" max="4" width="33.85546875" customWidth="1"/>
    <col min="5" max="5" width="28.28515625" customWidth="1"/>
    <col min="6" max="6" width="26.42578125" customWidth="1"/>
    <col min="7" max="7" width="44.85546875" customWidth="1"/>
    <col min="8" max="8" width="61.5703125" customWidth="1"/>
  </cols>
  <sheetData>
    <row r="1" spans="1:8">
      <c r="A1" s="34" t="s">
        <v>0</v>
      </c>
      <c r="B1" s="34" t="s">
        <v>1</v>
      </c>
      <c r="C1" s="34" t="s">
        <v>2</v>
      </c>
      <c r="D1" s="40" t="s">
        <v>3</v>
      </c>
      <c r="E1" s="40" t="s">
        <v>4</v>
      </c>
      <c r="F1" s="40" t="s">
        <v>5</v>
      </c>
      <c r="G1" s="34" t="s">
        <v>335</v>
      </c>
      <c r="H1" s="34" t="s">
        <v>7</v>
      </c>
    </row>
    <row r="2" spans="1:8">
      <c r="A2" t="s">
        <v>273</v>
      </c>
      <c r="B2" t="s">
        <v>274</v>
      </c>
      <c r="C2" t="s">
        <v>75</v>
      </c>
      <c r="D2" s="2">
        <v>46076</v>
      </c>
      <c r="E2" s="2">
        <v>46106</v>
      </c>
      <c r="F2" s="50">
        <v>46090</v>
      </c>
      <c r="G2" t="s">
        <v>217</v>
      </c>
      <c r="H2">
        <v>22</v>
      </c>
    </row>
    <row r="3" spans="1:8">
      <c r="A3" t="s">
        <v>273</v>
      </c>
      <c r="B3" t="s">
        <v>274</v>
      </c>
      <c r="C3" t="s">
        <v>75</v>
      </c>
      <c r="D3" s="2">
        <v>46076</v>
      </c>
      <c r="E3" s="2">
        <v>46106</v>
      </c>
      <c r="F3" s="50">
        <v>46097</v>
      </c>
      <c r="G3" t="s">
        <v>217</v>
      </c>
      <c r="H3">
        <v>22</v>
      </c>
    </row>
    <row r="4" spans="1:8">
      <c r="A4" t="s">
        <v>273</v>
      </c>
      <c r="B4" t="s">
        <v>274</v>
      </c>
      <c r="C4" t="s">
        <v>75</v>
      </c>
      <c r="D4" s="2">
        <v>46076</v>
      </c>
      <c r="E4" s="2">
        <v>46106</v>
      </c>
      <c r="F4" s="50">
        <v>46104</v>
      </c>
      <c r="G4" t="s">
        <v>217</v>
      </c>
      <c r="H4">
        <v>22</v>
      </c>
    </row>
    <row r="5" spans="1:8" ht="15">
      <c r="A5" t="s">
        <v>414</v>
      </c>
      <c r="B5" t="s">
        <v>365</v>
      </c>
      <c r="C5" t="s">
        <v>75</v>
      </c>
      <c r="D5" s="50">
        <v>46083</v>
      </c>
      <c r="E5" s="50">
        <v>46087</v>
      </c>
      <c r="F5" s="50">
        <v>46090</v>
      </c>
      <c r="G5" t="s">
        <v>64</v>
      </c>
      <c r="H5">
        <v>5</v>
      </c>
    </row>
    <row r="6" spans="1:8">
      <c r="A6" t="s">
        <v>414</v>
      </c>
      <c r="B6" t="s">
        <v>365</v>
      </c>
      <c r="C6" t="s">
        <v>75</v>
      </c>
      <c r="D6" s="50">
        <v>46090</v>
      </c>
      <c r="E6" s="50">
        <v>46094</v>
      </c>
      <c r="F6" s="50">
        <v>46097</v>
      </c>
      <c r="G6" t="s">
        <v>64</v>
      </c>
      <c r="H6">
        <v>5</v>
      </c>
    </row>
    <row r="7" spans="1:8" ht="15">
      <c r="A7" t="s">
        <v>85</v>
      </c>
      <c r="B7" t="str">
        <f>VLOOKUP(A7,OBR_Employees[#All],2,0)</f>
        <v>F5485843</v>
      </c>
      <c r="C7" t="str">
        <f>VLOOKUP(A7,OBR_Employees[#All],3,0)</f>
        <v>Team 3 LOC Advisors</v>
      </c>
      <c r="D7" s="2">
        <v>45962</v>
      </c>
      <c r="E7" s="2">
        <v>46142</v>
      </c>
      <c r="F7" s="50">
        <v>46083</v>
      </c>
      <c r="G7" t="s">
        <v>231</v>
      </c>
      <c r="H7">
        <v>181</v>
      </c>
    </row>
    <row r="8" spans="1:8" ht="15">
      <c r="A8" t="s">
        <v>85</v>
      </c>
      <c r="B8" t="str">
        <f>VLOOKUP(A8,OBR_Employees[#All],2,0)</f>
        <v>F5485843</v>
      </c>
      <c r="C8" t="s">
        <v>368</v>
      </c>
      <c r="D8" s="2">
        <v>45962</v>
      </c>
      <c r="E8" s="2">
        <v>46142</v>
      </c>
      <c r="F8" s="50">
        <v>46090</v>
      </c>
      <c r="G8" t="s">
        <v>231</v>
      </c>
      <c r="H8">
        <v>181</v>
      </c>
    </row>
    <row r="9" spans="1:8" ht="15">
      <c r="A9" t="s">
        <v>85</v>
      </c>
      <c r="B9" t="s">
        <v>86</v>
      </c>
      <c r="C9" t="s">
        <v>368</v>
      </c>
      <c r="D9" s="2">
        <v>45962</v>
      </c>
      <c r="E9" s="2">
        <v>46142</v>
      </c>
      <c r="F9" s="50">
        <v>46097</v>
      </c>
      <c r="G9" t="s">
        <v>231</v>
      </c>
      <c r="H9">
        <v>181</v>
      </c>
    </row>
    <row r="10" spans="1:8">
      <c r="A10" t="s">
        <v>85</v>
      </c>
      <c r="B10" t="s">
        <v>86</v>
      </c>
      <c r="C10" t="s">
        <v>368</v>
      </c>
      <c r="D10" s="2">
        <v>45962</v>
      </c>
      <c r="E10" s="2">
        <v>46142</v>
      </c>
      <c r="F10" s="2">
        <v>46104</v>
      </c>
      <c r="G10" t="s">
        <v>231</v>
      </c>
      <c r="H10">
        <v>181</v>
      </c>
    </row>
    <row r="11" spans="1:8">
      <c r="A11" t="s">
        <v>85</v>
      </c>
      <c r="B11" t="s">
        <v>86</v>
      </c>
      <c r="C11" t="s">
        <v>368</v>
      </c>
      <c r="D11" s="2">
        <v>45962</v>
      </c>
      <c r="E11" s="2">
        <v>46142</v>
      </c>
      <c r="F11" s="2">
        <v>46111</v>
      </c>
      <c r="G11" t="s">
        <v>231</v>
      </c>
      <c r="H11">
        <v>181</v>
      </c>
    </row>
    <row r="12" spans="1:8" ht="15">
      <c r="A12" t="s">
        <v>415</v>
      </c>
      <c r="B12" s="31" t="s">
        <v>384</v>
      </c>
      <c r="C12" t="s">
        <v>368</v>
      </c>
      <c r="D12" s="2">
        <v>46083</v>
      </c>
      <c r="E12" s="2">
        <v>46094</v>
      </c>
      <c r="F12" s="2">
        <v>46090</v>
      </c>
      <c r="G12" t="s">
        <v>217</v>
      </c>
      <c r="H12">
        <v>10</v>
      </c>
    </row>
    <row r="13" spans="1:8">
      <c r="A13" t="s">
        <v>415</v>
      </c>
      <c r="B13" s="31" t="s">
        <v>384</v>
      </c>
      <c r="C13" t="s">
        <v>368</v>
      </c>
      <c r="D13" s="2">
        <v>46083</v>
      </c>
      <c r="E13" s="2">
        <v>46094</v>
      </c>
      <c r="F13" s="2">
        <v>46097</v>
      </c>
      <c r="G13" t="s">
        <v>217</v>
      </c>
      <c r="H13">
        <v>10</v>
      </c>
    </row>
    <row r="14" spans="1:8">
      <c r="A14" t="s">
        <v>189</v>
      </c>
      <c r="B14" t="s">
        <v>190</v>
      </c>
      <c r="C14" t="s">
        <v>395</v>
      </c>
      <c r="D14" s="2">
        <v>46111</v>
      </c>
      <c r="E14" s="2">
        <v>46110</v>
      </c>
      <c r="F14" s="2">
        <v>46118</v>
      </c>
      <c r="G14" t="s">
        <v>217</v>
      </c>
      <c r="H14">
        <v>6</v>
      </c>
    </row>
    <row r="15" spans="1:8">
      <c r="A15" t="s">
        <v>179</v>
      </c>
      <c r="B15" t="s">
        <v>346</v>
      </c>
      <c r="C15" t="s">
        <v>416</v>
      </c>
      <c r="D15" s="2">
        <v>46098</v>
      </c>
      <c r="E15" s="2">
        <v>46101</v>
      </c>
      <c r="F15" s="2">
        <v>46104</v>
      </c>
      <c r="G15" t="s">
        <v>64</v>
      </c>
      <c r="H15">
        <v>3</v>
      </c>
    </row>
  </sheetData>
  <dataValidations count="1">
    <dataValidation type="list" allowBlank="1" showInputMessage="1" showErrorMessage="1" errorTitle="Wrong Information Displayed" promptTitle="Select Leave reason" prompt="Please select leave reason from the list, for system issues, please send through the IT ticket number via email." sqref="G2:G9" xr:uid="{4A30571E-B0EA-4CD0-A0C0-0E4664CAAD7D}">
      <formula1>"Annual Leave, Sick Leave, Maternity Leave, Week Duration System Issues, Other"</formula1>
    </dataValidation>
  </dataValidations>
  <hyperlinks>
    <hyperlink ref="B12" r:id="rId1" display="f8878465@fnb.co.za" xr:uid="{35F96E87-9D8D-4EE7-A2BC-92EB718C0A62}"/>
    <hyperlink ref="B13" r:id="rId2" display="f8878465@fnb.co.za" xr:uid="{FF756803-F528-4A38-BC0A-23089F65EF0F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promptTitle="Select Individual" prompt="Please select an individual for the list, their F_Number and Team will automatically populate if you double click on the right upper corner of cell B and C respectively_x000a_" xr:uid="{FD8099A9-755C-4696-BAC7-7587DE519B57}">
          <x14:formula1>
            <xm:f>Employees!$A$2:$A$101</xm:f>
          </x14:formula1>
          <xm:sqref>A2:A11</xm:sqref>
        </x14:dataValidation>
        <x14:dataValidation type="list" allowBlank="1" showInputMessage="1" showErrorMessage="1" promptTitle="Select Leave End date" prompt="Please select the last leave date" xr:uid="{9AED425F-468B-476E-AF33-86BB36C192C1}">
          <x14:formula1>
            <xm:f>'Date list'!$A$2:$A$732</xm:f>
          </x14:formula1>
          <xm:sqref>E7:E11</xm:sqref>
        </x14:dataValidation>
        <x14:dataValidation type="list" allowBlank="1" showInputMessage="1" showErrorMessage="1" promptTitle="Select Leave start date" prompt="Please select from the list the leave start date" xr:uid="{C449B3F1-6C76-4F07-B0CA-7B23DBA837A1}">
          <x14:formula1>
            <xm:f>'Date list'!$A$2:$A$732</xm:f>
          </x14:formula1>
          <xm:sqref>D7:D11</xm:sqref>
        </x14:dataValidation>
      </x14:dataValidations>
    </ext>
  </extLst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6EA12-9FEB-451A-B01D-E809ADFDEF78}">
  <sheetPr>
    <tabColor rgb="FFFFFF00"/>
  </sheetPr>
  <dimension ref="A1:H10"/>
  <sheetViews>
    <sheetView tabSelected="1" zoomScale="85" zoomScaleNormal="85" workbookViewId="0">
      <selection activeCell="E20" sqref="E20"/>
    </sheetView>
  </sheetViews>
  <sheetFormatPr defaultRowHeight="14.45"/>
  <cols>
    <col min="1" max="1" width="36.140625" customWidth="1"/>
    <col min="2" max="2" width="18.140625" customWidth="1"/>
    <col min="3" max="3" width="26.7109375" customWidth="1"/>
    <col min="4" max="4" width="33.85546875" customWidth="1"/>
    <col min="5" max="5" width="28.28515625" customWidth="1"/>
    <col min="6" max="6" width="26.42578125" customWidth="1"/>
    <col min="7" max="7" width="44.85546875" customWidth="1"/>
    <col min="8" max="8" width="61.5703125" customWidth="1"/>
  </cols>
  <sheetData>
    <row r="1" spans="1:8">
      <c r="A1" s="34" t="s">
        <v>0</v>
      </c>
      <c r="B1" s="34" t="s">
        <v>1</v>
      </c>
      <c r="C1" s="34" t="s">
        <v>2</v>
      </c>
      <c r="D1" s="40" t="s">
        <v>3</v>
      </c>
      <c r="E1" s="40" t="s">
        <v>4</v>
      </c>
      <c r="F1" s="40" t="s">
        <v>5</v>
      </c>
      <c r="G1" s="34" t="s">
        <v>335</v>
      </c>
      <c r="H1" s="34" t="s">
        <v>7</v>
      </c>
    </row>
    <row r="2" spans="1:8">
      <c r="A2" s="37" t="s">
        <v>417</v>
      </c>
      <c r="B2" t="s">
        <v>418</v>
      </c>
      <c r="C2" t="s">
        <v>75</v>
      </c>
      <c r="D2" s="50">
        <v>46119</v>
      </c>
      <c r="E2" s="50">
        <v>46132</v>
      </c>
      <c r="F2" s="50">
        <v>46125</v>
      </c>
      <c r="G2" t="s">
        <v>217</v>
      </c>
      <c r="H2">
        <v>4</v>
      </c>
    </row>
    <row r="3" spans="1:8">
      <c r="A3" s="37" t="s">
        <v>417</v>
      </c>
      <c r="B3" t="s">
        <v>418</v>
      </c>
      <c r="C3" t="s">
        <v>75</v>
      </c>
      <c r="D3" s="2">
        <v>46119</v>
      </c>
      <c r="E3" s="50">
        <v>46132</v>
      </c>
      <c r="F3" s="50">
        <v>46132</v>
      </c>
      <c r="G3" t="s">
        <v>217</v>
      </c>
      <c r="H3">
        <v>5</v>
      </c>
    </row>
    <row r="4" spans="1:8">
      <c r="A4" s="37" t="s">
        <v>417</v>
      </c>
      <c r="B4" t="s">
        <v>418</v>
      </c>
      <c r="C4" t="s">
        <v>75</v>
      </c>
      <c r="D4" s="2">
        <v>46119</v>
      </c>
      <c r="E4" s="50">
        <v>46132</v>
      </c>
      <c r="F4" s="50">
        <v>46140</v>
      </c>
      <c r="G4" t="s">
        <v>217</v>
      </c>
      <c r="H4">
        <v>1</v>
      </c>
    </row>
    <row r="5" spans="1:8">
      <c r="A5" t="s">
        <v>419</v>
      </c>
      <c r="B5" t="s">
        <v>123</v>
      </c>
      <c r="C5" t="s">
        <v>75</v>
      </c>
      <c r="D5" s="50">
        <v>46132</v>
      </c>
      <c r="E5" s="50">
        <v>46148</v>
      </c>
      <c r="F5" s="50">
        <v>46139</v>
      </c>
      <c r="G5" t="s">
        <v>217</v>
      </c>
      <c r="H5">
        <v>5</v>
      </c>
    </row>
    <row r="6" spans="1:8">
      <c r="A6" t="s">
        <v>419</v>
      </c>
      <c r="B6" t="s">
        <v>123</v>
      </c>
      <c r="C6" t="s">
        <v>75</v>
      </c>
      <c r="D6" s="50">
        <v>46132</v>
      </c>
      <c r="E6" s="50">
        <v>46148</v>
      </c>
      <c r="F6" s="50">
        <v>46146</v>
      </c>
      <c r="G6" t="s">
        <v>217</v>
      </c>
      <c r="H6">
        <v>5</v>
      </c>
    </row>
    <row r="7" spans="1:8">
      <c r="A7" t="s">
        <v>85</v>
      </c>
      <c r="B7" t="str">
        <f>VLOOKUP(A7,OBR_Employees[#All],2,0)</f>
        <v>F5485843</v>
      </c>
      <c r="C7" t="str">
        <f>VLOOKUP(A7,OBR_Employees[#All],3,0)</f>
        <v>Team 3 LOC Advisors</v>
      </c>
      <c r="D7" s="2">
        <v>45962</v>
      </c>
      <c r="E7" s="2">
        <v>46142</v>
      </c>
      <c r="F7" s="45">
        <v>46118</v>
      </c>
      <c r="G7" t="s">
        <v>231</v>
      </c>
      <c r="H7">
        <v>181</v>
      </c>
    </row>
    <row r="8" spans="1:8">
      <c r="A8" t="s">
        <v>85</v>
      </c>
      <c r="B8" t="str">
        <f>VLOOKUP(A8,OBR_Employees[#All],2,0)</f>
        <v>F5485843</v>
      </c>
      <c r="C8" t="s">
        <v>368</v>
      </c>
      <c r="D8" s="2">
        <v>45962</v>
      </c>
      <c r="E8" s="2">
        <v>46142</v>
      </c>
      <c r="F8" s="45">
        <v>46125</v>
      </c>
      <c r="G8" t="s">
        <v>231</v>
      </c>
      <c r="H8">
        <v>181</v>
      </c>
    </row>
    <row r="9" spans="1:8">
      <c r="A9" t="s">
        <v>85</v>
      </c>
      <c r="B9" t="s">
        <v>86</v>
      </c>
      <c r="C9" t="s">
        <v>368</v>
      </c>
      <c r="D9" s="2">
        <v>45962</v>
      </c>
      <c r="E9" s="2">
        <v>46142</v>
      </c>
      <c r="F9" s="45">
        <v>46132</v>
      </c>
      <c r="G9" t="s">
        <v>231</v>
      </c>
      <c r="H9">
        <v>181</v>
      </c>
    </row>
    <row r="10" spans="1:8">
      <c r="A10" t="s">
        <v>85</v>
      </c>
      <c r="B10" t="s">
        <v>86</v>
      </c>
      <c r="C10" t="s">
        <v>368</v>
      </c>
      <c r="D10" s="2">
        <v>45962</v>
      </c>
      <c r="E10" s="2">
        <v>46142</v>
      </c>
      <c r="F10" s="45">
        <v>46139</v>
      </c>
      <c r="G10" t="s">
        <v>231</v>
      </c>
      <c r="H10">
        <v>181</v>
      </c>
    </row>
  </sheetData>
  <dataValidations count="1">
    <dataValidation type="list" allowBlank="1" showInputMessage="1" showErrorMessage="1" errorTitle="Wrong Information Displayed" promptTitle="Select Leave reason" prompt="Please select leave reason from the list, for system issues, please send through the IT ticket number via email." sqref="G2:G10" xr:uid="{C380D72D-1D10-4F9E-BDC4-BEDFF1A5B971}">
      <formula1>"Annual Leave, Sick Leave, Maternity Leave, Week Duration System Issues, Other"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promptTitle="Select Individual" prompt="Please select an individual for the list, their F_Number and Team will automatically populate if you double click on the right upper corner of cell B and C respectively_x000a_" xr:uid="{0C9B94A5-2C69-4BC7-BCC2-6D8CDD1842A9}">
          <x14:formula1>
            <xm:f>Employees!$A$2:$A$101</xm:f>
          </x14:formula1>
          <xm:sqref>A7:A10</xm:sqref>
        </x14:dataValidation>
        <x14:dataValidation type="list" allowBlank="1" showInputMessage="1" showErrorMessage="1" promptTitle="Select Leave End date" prompt="Please select the last leave date" xr:uid="{712E381A-C5F0-4961-83DA-C89982C6E75E}">
          <x14:formula1>
            <xm:f>'Date list'!$A$2:$A$732</xm:f>
          </x14:formula1>
          <xm:sqref>E7:E10</xm:sqref>
        </x14:dataValidation>
        <x14:dataValidation type="list" allowBlank="1" showInputMessage="1" showErrorMessage="1" promptTitle="Monday Affected" prompt="Please select which Monday scorecard was/is affected, if more than one scorecard, please insert in the next row." xr:uid="{8B132F3F-E109-4C70-BF2E-2A5B6CA71382}">
          <x14:formula1>
            <xm:f>'Date list'!$D$2:$D$105</xm:f>
          </x14:formula1>
          <xm:sqref>F7:F10</xm:sqref>
        </x14:dataValidation>
        <x14:dataValidation type="list" allowBlank="1" showInputMessage="1" showErrorMessage="1" promptTitle="Select Leave start date" prompt="Please select from the list the leave start date" xr:uid="{8FA76723-B06E-4917-AEF4-23272C8E534E}">
          <x14:formula1>
            <xm:f>'Date list'!$A$2:$A$732</xm:f>
          </x14:formula1>
          <xm:sqref>D7:D10</xm:sqref>
        </x14:dataValidation>
      </x14:dataValidations>
    </ext>
  </extLst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C1B27-52D5-4A93-8762-BE43AE7BC9A8}">
  <dimension ref="A1:P2"/>
  <sheetViews>
    <sheetView workbookViewId="0">
      <selection activeCell="F11" sqref="F11"/>
    </sheetView>
  </sheetViews>
  <sheetFormatPr defaultRowHeight="15"/>
  <cols>
    <col min="1" max="1" width="15.5703125" customWidth="1"/>
    <col min="2" max="2" width="12.5703125" customWidth="1"/>
    <col min="3" max="3" width="16.140625" customWidth="1"/>
    <col min="4" max="4" width="13.5703125" customWidth="1"/>
    <col min="5" max="5" width="21.140625" customWidth="1"/>
    <col min="6" max="6" width="15.85546875" customWidth="1"/>
    <col min="12" max="12" width="18.28515625" customWidth="1"/>
    <col min="13" max="13" width="15.85546875" customWidth="1"/>
    <col min="14" max="14" width="21.7109375" customWidth="1"/>
    <col min="15" max="15" width="12" customWidth="1"/>
  </cols>
  <sheetData>
    <row r="1" spans="1:16">
      <c r="A1" s="34" t="s">
        <v>0</v>
      </c>
      <c r="B1" s="34" t="s">
        <v>1</v>
      </c>
      <c r="C1" s="34" t="s">
        <v>2</v>
      </c>
      <c r="D1" s="40" t="s">
        <v>3</v>
      </c>
      <c r="E1" s="40" t="s">
        <v>4</v>
      </c>
      <c r="F1" s="40" t="s">
        <v>5</v>
      </c>
      <c r="G1" s="34" t="s">
        <v>335</v>
      </c>
      <c r="H1" s="34" t="s">
        <v>7</v>
      </c>
      <c r="I1" s="34"/>
      <c r="J1" s="34"/>
      <c r="K1" s="34"/>
      <c r="L1" s="40"/>
      <c r="M1" s="40"/>
      <c r="N1" s="40"/>
      <c r="O1" s="34"/>
      <c r="P1" s="34"/>
    </row>
    <row r="2" spans="1:16">
      <c r="A2" t="s">
        <v>419</v>
      </c>
      <c r="B2" t="s">
        <v>123</v>
      </c>
      <c r="C2" t="s">
        <v>75</v>
      </c>
      <c r="D2" s="50">
        <v>46132</v>
      </c>
      <c r="E2" s="50">
        <v>46148</v>
      </c>
      <c r="F2" s="50">
        <v>46153</v>
      </c>
      <c r="G2" t="s">
        <v>217</v>
      </c>
      <c r="H2">
        <v>3</v>
      </c>
      <c r="L2" s="50"/>
      <c r="M2" s="50"/>
      <c r="N2" s="50"/>
    </row>
  </sheetData>
  <dataValidations count="1">
    <dataValidation type="list" allowBlank="1" showInputMessage="1" showErrorMessage="1" errorTitle="Wrong Information Displayed" promptTitle="Select Leave reason" prompt="Please select leave reason from the list, for system issues, please send through the IT ticket number via email." sqref="G2 O2" xr:uid="{2025FD83-60BC-4083-8213-BE8C9125EDFF}">
      <formula1>"Annual Leave, Sick Leave, Maternity Leave, Week Duration System Issues, Other"</formula1>
    </dataValidation>
  </dataValidation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A8FE5-3955-40FD-8B23-86E28EC36354}">
  <sheetPr codeName="Sheet20"/>
  <dimension ref="A1:C101"/>
  <sheetViews>
    <sheetView topLeftCell="A82" workbookViewId="0">
      <selection activeCell="C1" sqref="C1"/>
    </sheetView>
  </sheetViews>
  <sheetFormatPr defaultRowHeight="14.45"/>
  <cols>
    <col min="1" max="1" width="21.5703125" bestFit="1" customWidth="1"/>
    <col min="2" max="2" width="18.140625" bestFit="1" customWidth="1"/>
    <col min="3" max="3" width="20.5703125" bestFit="1" customWidth="1"/>
    <col min="4" max="4" width="9.42578125" bestFit="1" customWidth="1"/>
    <col min="5" max="5" width="8.28515625" bestFit="1" customWidth="1"/>
    <col min="6" max="6" width="20.5703125" bestFit="1" customWidth="1"/>
    <col min="7" max="7" width="15.140625" bestFit="1" customWidth="1"/>
    <col min="8" max="8" width="18" bestFit="1" customWidth="1"/>
    <col min="9" max="9" width="13.28515625" bestFit="1" customWidth="1"/>
  </cols>
  <sheetData>
    <row r="1" spans="1:3">
      <c r="A1" t="s">
        <v>420</v>
      </c>
      <c r="B1" t="s">
        <v>421</v>
      </c>
      <c r="C1" t="s">
        <v>2</v>
      </c>
    </row>
    <row r="2" spans="1:3">
      <c r="A2" t="s">
        <v>116</v>
      </c>
      <c r="B2" t="s">
        <v>117</v>
      </c>
      <c r="C2" t="s">
        <v>404</v>
      </c>
    </row>
    <row r="3" spans="1:3">
      <c r="A3" t="s">
        <v>422</v>
      </c>
      <c r="B3" t="s">
        <v>163</v>
      </c>
      <c r="C3" t="s">
        <v>423</v>
      </c>
    </row>
    <row r="4" spans="1:3">
      <c r="A4" t="s">
        <v>330</v>
      </c>
      <c r="B4" t="s">
        <v>331</v>
      </c>
      <c r="C4" t="s">
        <v>368</v>
      </c>
    </row>
    <row r="5" spans="1:3">
      <c r="A5" t="s">
        <v>336</v>
      </c>
      <c r="B5" t="s">
        <v>147</v>
      </c>
      <c r="C5" t="s">
        <v>404</v>
      </c>
    </row>
    <row r="6" spans="1:3">
      <c r="A6" t="s">
        <v>338</v>
      </c>
      <c r="B6" t="s">
        <v>194</v>
      </c>
      <c r="C6" t="s">
        <v>395</v>
      </c>
    </row>
    <row r="7" spans="1:3">
      <c r="A7" t="s">
        <v>324</v>
      </c>
      <c r="B7" t="s">
        <v>325</v>
      </c>
      <c r="C7" t="s">
        <v>395</v>
      </c>
    </row>
    <row r="8" spans="1:3">
      <c r="A8" t="s">
        <v>337</v>
      </c>
      <c r="B8" t="s">
        <v>384</v>
      </c>
      <c r="C8" t="s">
        <v>368</v>
      </c>
    </row>
    <row r="9" spans="1:3">
      <c r="A9" t="s">
        <v>172</v>
      </c>
      <c r="B9" t="s">
        <v>352</v>
      </c>
      <c r="C9" t="s">
        <v>424</v>
      </c>
    </row>
    <row r="10" spans="1:3">
      <c r="A10" t="s">
        <v>414</v>
      </c>
      <c r="B10" t="s">
        <v>365</v>
      </c>
      <c r="C10" t="s">
        <v>425</v>
      </c>
    </row>
    <row r="11" spans="1:3">
      <c r="A11" t="s">
        <v>219</v>
      </c>
      <c r="B11" t="s">
        <v>220</v>
      </c>
      <c r="C11" t="s">
        <v>368</v>
      </c>
    </row>
    <row r="12" spans="1:3">
      <c r="A12" t="s">
        <v>238</v>
      </c>
      <c r="B12" t="s">
        <v>239</v>
      </c>
      <c r="C12" t="s">
        <v>426</v>
      </c>
    </row>
    <row r="13" spans="1:3">
      <c r="A13" t="s">
        <v>55</v>
      </c>
      <c r="B13" t="s">
        <v>211</v>
      </c>
      <c r="C13" t="s">
        <v>427</v>
      </c>
    </row>
    <row r="14" spans="1:3">
      <c r="A14" t="s">
        <v>428</v>
      </c>
      <c r="B14" t="s">
        <v>429</v>
      </c>
      <c r="C14" t="s">
        <v>368</v>
      </c>
    </row>
    <row r="15" spans="1:3">
      <c r="A15" t="s">
        <v>393</v>
      </c>
      <c r="B15" t="s">
        <v>394</v>
      </c>
      <c r="C15" t="s">
        <v>424</v>
      </c>
    </row>
    <row r="16" spans="1:3">
      <c r="A16" t="s">
        <v>93</v>
      </c>
      <c r="B16" t="s">
        <v>94</v>
      </c>
      <c r="C16" t="s">
        <v>427</v>
      </c>
    </row>
    <row r="17" spans="1:3">
      <c r="A17" t="s">
        <v>175</v>
      </c>
      <c r="B17" t="s">
        <v>406</v>
      </c>
      <c r="C17" t="s">
        <v>424</v>
      </c>
    </row>
    <row r="18" spans="1:3">
      <c r="A18" t="s">
        <v>430</v>
      </c>
      <c r="B18" t="s">
        <v>431</v>
      </c>
      <c r="C18" t="s">
        <v>432</v>
      </c>
    </row>
    <row r="19" spans="1:3">
      <c r="A19" t="s">
        <v>137</v>
      </c>
      <c r="B19" t="s">
        <v>138</v>
      </c>
      <c r="C19" t="s">
        <v>404</v>
      </c>
    </row>
    <row r="20" spans="1:3">
      <c r="A20" t="s">
        <v>232</v>
      </c>
      <c r="B20" t="s">
        <v>233</v>
      </c>
      <c r="C20" t="s">
        <v>433</v>
      </c>
    </row>
    <row r="21" spans="1:3">
      <c r="A21" t="s">
        <v>396</v>
      </c>
      <c r="B21" t="s">
        <v>29</v>
      </c>
      <c r="C21" t="s">
        <v>427</v>
      </c>
    </row>
    <row r="22" spans="1:3">
      <c r="A22" t="s">
        <v>379</v>
      </c>
      <c r="B22" t="s">
        <v>169</v>
      </c>
      <c r="C22" t="s">
        <v>434</v>
      </c>
    </row>
    <row r="23" spans="1:3">
      <c r="A23" t="s">
        <v>435</v>
      </c>
      <c r="B23" t="s">
        <v>436</v>
      </c>
      <c r="C23" t="s">
        <v>437</v>
      </c>
    </row>
    <row r="24" spans="1:3">
      <c r="A24" t="s">
        <v>438</v>
      </c>
      <c r="B24" t="s">
        <v>197</v>
      </c>
      <c r="C24" t="s">
        <v>395</v>
      </c>
    </row>
    <row r="25" spans="1:3">
      <c r="A25" t="s">
        <v>356</v>
      </c>
      <c r="B25" t="s">
        <v>439</v>
      </c>
      <c r="C25" t="s">
        <v>423</v>
      </c>
    </row>
    <row r="26" spans="1:3">
      <c r="A26" t="s">
        <v>440</v>
      </c>
      <c r="B26" t="s">
        <v>441</v>
      </c>
      <c r="C26" t="s">
        <v>425</v>
      </c>
    </row>
    <row r="27" spans="1:3">
      <c r="A27" t="s">
        <v>442</v>
      </c>
      <c r="B27" t="s">
        <v>295</v>
      </c>
      <c r="C27" t="s">
        <v>423</v>
      </c>
    </row>
    <row r="28" spans="1:3">
      <c r="A28" t="s">
        <v>111</v>
      </c>
      <c r="B28" t="s">
        <v>112</v>
      </c>
      <c r="C28" t="s">
        <v>437</v>
      </c>
    </row>
    <row r="29" spans="1:3">
      <c r="A29" t="s">
        <v>58</v>
      </c>
      <c r="B29" t="s">
        <v>59</v>
      </c>
      <c r="C29" t="s">
        <v>368</v>
      </c>
    </row>
    <row r="30" spans="1:3">
      <c r="A30" t="s">
        <v>241</v>
      </c>
      <c r="B30" t="s">
        <v>242</v>
      </c>
      <c r="C30" t="s">
        <v>368</v>
      </c>
    </row>
    <row r="31" spans="1:3">
      <c r="A31" t="s">
        <v>443</v>
      </c>
      <c r="B31" t="s">
        <v>444</v>
      </c>
      <c r="C31" t="s">
        <v>432</v>
      </c>
    </row>
    <row r="32" spans="1:3">
      <c r="A32" t="s">
        <v>445</v>
      </c>
      <c r="B32" t="s">
        <v>104</v>
      </c>
      <c r="C32" t="s">
        <v>432</v>
      </c>
    </row>
    <row r="33" spans="1:3">
      <c r="A33" t="s">
        <v>281</v>
      </c>
      <c r="B33" t="s">
        <v>282</v>
      </c>
      <c r="C33" t="s">
        <v>425</v>
      </c>
    </row>
    <row r="34" spans="1:3">
      <c r="A34" t="s">
        <v>216</v>
      </c>
      <c r="B34" t="s">
        <v>159</v>
      </c>
      <c r="C34" t="s">
        <v>368</v>
      </c>
    </row>
    <row r="35" spans="1:3">
      <c r="A35" t="s">
        <v>446</v>
      </c>
      <c r="B35" t="s">
        <v>206</v>
      </c>
      <c r="C35" t="s">
        <v>432</v>
      </c>
    </row>
    <row r="36" spans="1:3">
      <c r="A36" t="s">
        <v>209</v>
      </c>
      <c r="B36" t="s">
        <v>25</v>
      </c>
      <c r="C36" t="s">
        <v>427</v>
      </c>
    </row>
    <row r="37" spans="1:3">
      <c r="A37" t="s">
        <v>56</v>
      </c>
      <c r="B37" t="s">
        <v>57</v>
      </c>
      <c r="C37" t="s">
        <v>447</v>
      </c>
    </row>
    <row r="38" spans="1:3">
      <c r="A38" t="s">
        <v>177</v>
      </c>
      <c r="B38" t="s">
        <v>344</v>
      </c>
      <c r="C38" t="s">
        <v>424</v>
      </c>
    </row>
    <row r="39" spans="1:3">
      <c r="A39" t="s">
        <v>448</v>
      </c>
      <c r="B39" t="s">
        <v>190</v>
      </c>
      <c r="C39" t="s">
        <v>395</v>
      </c>
    </row>
    <row r="40" spans="1:3">
      <c r="A40" t="s">
        <v>226</v>
      </c>
      <c r="B40" t="s">
        <v>227</v>
      </c>
      <c r="C40" t="s">
        <v>404</v>
      </c>
    </row>
    <row r="41" spans="1:3">
      <c r="A41" t="s">
        <v>19</v>
      </c>
      <c r="B41" t="s">
        <v>20</v>
      </c>
      <c r="C41" t="s">
        <v>371</v>
      </c>
    </row>
    <row r="42" spans="1:3">
      <c r="A42" t="s">
        <v>179</v>
      </c>
      <c r="B42" t="s">
        <v>346</v>
      </c>
      <c r="C42" t="s">
        <v>434</v>
      </c>
    </row>
    <row r="43" spans="1:3">
      <c r="A43" t="s">
        <v>380</v>
      </c>
      <c r="B43" t="s">
        <v>134</v>
      </c>
      <c r="C43" t="s">
        <v>395</v>
      </c>
    </row>
    <row r="44" spans="1:3">
      <c r="A44" t="s">
        <v>449</v>
      </c>
      <c r="B44" t="s">
        <v>450</v>
      </c>
      <c r="C44" t="s">
        <v>425</v>
      </c>
    </row>
    <row r="45" spans="1:3">
      <c r="A45" t="s">
        <v>367</v>
      </c>
      <c r="B45" t="s">
        <v>123</v>
      </c>
      <c r="C45" t="s">
        <v>425</v>
      </c>
    </row>
    <row r="46" spans="1:3">
      <c r="A46" t="s">
        <v>149</v>
      </c>
      <c r="B46" t="s">
        <v>120</v>
      </c>
      <c r="C46" t="s">
        <v>404</v>
      </c>
    </row>
    <row r="47" spans="1:3">
      <c r="A47" t="s">
        <v>358</v>
      </c>
      <c r="B47" t="s">
        <v>223</v>
      </c>
      <c r="C47" t="s">
        <v>371</v>
      </c>
    </row>
    <row r="48" spans="1:3">
      <c r="A48" t="s">
        <v>199</v>
      </c>
      <c r="B48" t="s">
        <v>200</v>
      </c>
      <c r="C48" t="s">
        <v>395</v>
      </c>
    </row>
    <row r="49" spans="1:3">
      <c r="A49" t="s">
        <v>85</v>
      </c>
      <c r="B49" t="s">
        <v>86</v>
      </c>
      <c r="C49" t="s">
        <v>368</v>
      </c>
    </row>
    <row r="50" spans="1:3">
      <c r="A50" t="s">
        <v>451</v>
      </c>
      <c r="B50" t="s">
        <v>130</v>
      </c>
      <c r="C50" t="s">
        <v>404</v>
      </c>
    </row>
    <row r="51" spans="1:3">
      <c r="A51" t="s">
        <v>236</v>
      </c>
      <c r="B51" t="s">
        <v>237</v>
      </c>
      <c r="C51" t="s">
        <v>426</v>
      </c>
    </row>
    <row r="52" spans="1:3">
      <c r="A52" t="s">
        <v>350</v>
      </c>
      <c r="B52" t="s">
        <v>69</v>
      </c>
      <c r="C52" t="s">
        <v>434</v>
      </c>
    </row>
    <row r="53" spans="1:3">
      <c r="A53" t="s">
        <v>452</v>
      </c>
      <c r="B53" t="s">
        <v>453</v>
      </c>
    </row>
    <row r="54" spans="1:3">
      <c r="A54" t="s">
        <v>398</v>
      </c>
      <c r="B54" t="s">
        <v>399</v>
      </c>
      <c r="C54" t="s">
        <v>371</v>
      </c>
    </row>
    <row r="55" spans="1:3">
      <c r="A55" t="s">
        <v>454</v>
      </c>
      <c r="B55" t="s">
        <v>455</v>
      </c>
      <c r="C55" t="s">
        <v>423</v>
      </c>
    </row>
    <row r="56" spans="1:3">
      <c r="A56" t="s">
        <v>34</v>
      </c>
      <c r="B56" t="s">
        <v>35</v>
      </c>
      <c r="C56" t="s">
        <v>424</v>
      </c>
    </row>
    <row r="57" spans="1:3">
      <c r="A57" t="s">
        <v>456</v>
      </c>
      <c r="B57" t="s">
        <v>203</v>
      </c>
      <c r="C57" t="s">
        <v>432</v>
      </c>
    </row>
    <row r="58" spans="1:3">
      <c r="A58" t="s">
        <v>180</v>
      </c>
      <c r="B58" t="s">
        <v>310</v>
      </c>
      <c r="C58" t="s">
        <v>424</v>
      </c>
    </row>
    <row r="59" spans="1:3">
      <c r="A59" t="s">
        <v>457</v>
      </c>
      <c r="B59" t="s">
        <v>249</v>
      </c>
      <c r="C59" t="s">
        <v>425</v>
      </c>
    </row>
    <row r="60" spans="1:3">
      <c r="A60" t="s">
        <v>387</v>
      </c>
      <c r="B60" t="s">
        <v>388</v>
      </c>
      <c r="C60" t="s">
        <v>423</v>
      </c>
    </row>
    <row r="61" spans="1:3">
      <c r="A61" t="s">
        <v>458</v>
      </c>
      <c r="B61" t="s">
        <v>97</v>
      </c>
      <c r="C61" t="s">
        <v>432</v>
      </c>
    </row>
    <row r="62" spans="1:3">
      <c r="A62" t="s">
        <v>65</v>
      </c>
      <c r="B62" t="s">
        <v>66</v>
      </c>
      <c r="C62" t="s">
        <v>434</v>
      </c>
    </row>
    <row r="63" spans="1:3">
      <c r="A63" t="s">
        <v>459</v>
      </c>
      <c r="B63" t="s">
        <v>42</v>
      </c>
      <c r="C63" t="s">
        <v>433</v>
      </c>
    </row>
    <row r="64" spans="1:3">
      <c r="A64" t="s">
        <v>460</v>
      </c>
      <c r="B64" t="s">
        <v>461</v>
      </c>
      <c r="C64" t="s">
        <v>462</v>
      </c>
    </row>
    <row r="65" spans="1:3">
      <c r="A65" t="s">
        <v>80</v>
      </c>
      <c r="B65" t="s">
        <v>81</v>
      </c>
      <c r="C65" t="s">
        <v>368</v>
      </c>
    </row>
    <row r="66" spans="1:3">
      <c r="A66" t="s">
        <v>463</v>
      </c>
      <c r="B66" t="s">
        <v>52</v>
      </c>
      <c r="C66" t="s">
        <v>423</v>
      </c>
    </row>
    <row r="67" spans="1:3">
      <c r="A67" t="s">
        <v>267</v>
      </c>
      <c r="B67" t="s">
        <v>268</v>
      </c>
      <c r="C67" t="s">
        <v>404</v>
      </c>
    </row>
    <row r="68" spans="1:3">
      <c r="A68" t="s">
        <v>464</v>
      </c>
      <c r="B68" t="s">
        <v>260</v>
      </c>
      <c r="C68" t="s">
        <v>404</v>
      </c>
    </row>
    <row r="69" spans="1:3">
      <c r="A69" t="s">
        <v>465</v>
      </c>
      <c r="B69" t="s">
        <v>466</v>
      </c>
      <c r="C69" t="s">
        <v>462</v>
      </c>
    </row>
    <row r="70" spans="1:3">
      <c r="A70" t="s">
        <v>357</v>
      </c>
      <c r="B70" t="s">
        <v>405</v>
      </c>
      <c r="C70" t="s">
        <v>425</v>
      </c>
    </row>
    <row r="71" spans="1:3">
      <c r="A71" t="s">
        <v>353</v>
      </c>
      <c r="B71" t="s">
        <v>467</v>
      </c>
      <c r="C71" t="s">
        <v>433</v>
      </c>
    </row>
    <row r="72" spans="1:3">
      <c r="A72" t="s">
        <v>263</v>
      </c>
      <c r="B72" t="s">
        <v>264</v>
      </c>
      <c r="C72" t="s">
        <v>404</v>
      </c>
    </row>
    <row r="73" spans="1:3">
      <c r="A73" t="s">
        <v>276</v>
      </c>
      <c r="B73" t="s">
        <v>277</v>
      </c>
      <c r="C73" t="s">
        <v>424</v>
      </c>
    </row>
    <row r="74" spans="1:3">
      <c r="A74" t="s">
        <v>339</v>
      </c>
      <c r="B74" t="s">
        <v>74</v>
      </c>
      <c r="C74" t="s">
        <v>423</v>
      </c>
    </row>
    <row r="75" spans="1:3">
      <c r="A75" t="s">
        <v>151</v>
      </c>
      <c r="B75" t="s">
        <v>152</v>
      </c>
      <c r="C75" t="s">
        <v>404</v>
      </c>
    </row>
    <row r="76" spans="1:3">
      <c r="A76" t="s">
        <v>290</v>
      </c>
      <c r="B76" t="s">
        <v>285</v>
      </c>
      <c r="C76" t="s">
        <v>427</v>
      </c>
    </row>
    <row r="77" spans="1:3">
      <c r="A77" t="s">
        <v>183</v>
      </c>
      <c r="B77" t="s">
        <v>184</v>
      </c>
      <c r="C77" t="s">
        <v>395</v>
      </c>
    </row>
    <row r="78" spans="1:3">
      <c r="A78" t="s">
        <v>90</v>
      </c>
      <c r="B78" t="s">
        <v>91</v>
      </c>
      <c r="C78" t="s">
        <v>447</v>
      </c>
    </row>
    <row r="79" spans="1:3">
      <c r="A79" t="s">
        <v>154</v>
      </c>
      <c r="B79" t="s">
        <v>155</v>
      </c>
      <c r="C79" t="s">
        <v>368</v>
      </c>
    </row>
    <row r="80" spans="1:3">
      <c r="A80" t="s">
        <v>389</v>
      </c>
      <c r="B80" t="s">
        <v>390</v>
      </c>
      <c r="C80" t="s">
        <v>433</v>
      </c>
    </row>
    <row r="81" spans="1:3">
      <c r="A81" t="s">
        <v>273</v>
      </c>
      <c r="B81" t="s">
        <v>274</v>
      </c>
      <c r="C81" t="s">
        <v>424</v>
      </c>
    </row>
    <row r="82" spans="1:3">
      <c r="A82" t="s">
        <v>369</v>
      </c>
      <c r="B82" t="s">
        <v>370</v>
      </c>
      <c r="C82" t="s">
        <v>368</v>
      </c>
    </row>
    <row r="83" spans="1:3">
      <c r="A83" t="s">
        <v>468</v>
      </c>
      <c r="B83" t="s">
        <v>469</v>
      </c>
      <c r="C83" t="s">
        <v>462</v>
      </c>
    </row>
    <row r="84" spans="1:3">
      <c r="A84" t="s">
        <v>470</v>
      </c>
      <c r="B84" t="s">
        <v>471</v>
      </c>
      <c r="C84" t="s">
        <v>423</v>
      </c>
    </row>
    <row r="85" spans="1:3">
      <c r="A85" t="s">
        <v>38</v>
      </c>
      <c r="B85" t="s">
        <v>39</v>
      </c>
      <c r="C85" t="s">
        <v>434</v>
      </c>
    </row>
    <row r="86" spans="1:3">
      <c r="A86" t="s">
        <v>402</v>
      </c>
      <c r="B86" t="s">
        <v>403</v>
      </c>
      <c r="C86" t="s">
        <v>395</v>
      </c>
    </row>
    <row r="87" spans="1:3">
      <c r="A87" t="s">
        <v>472</v>
      </c>
      <c r="B87" t="s">
        <v>473</v>
      </c>
      <c r="C87" t="s">
        <v>425</v>
      </c>
    </row>
    <row r="88" spans="1:3">
      <c r="A88" t="s">
        <v>108</v>
      </c>
      <c r="B88" t="s">
        <v>109</v>
      </c>
      <c r="C88" t="s">
        <v>426</v>
      </c>
    </row>
    <row r="89" spans="1:3">
      <c r="A89" t="s">
        <v>234</v>
      </c>
      <c r="B89" t="s">
        <v>235</v>
      </c>
      <c r="C89" t="s">
        <v>437</v>
      </c>
    </row>
    <row r="90" spans="1:3">
      <c r="A90" t="s">
        <v>363</v>
      </c>
      <c r="B90" t="s">
        <v>257</v>
      </c>
      <c r="C90" t="s">
        <v>425</v>
      </c>
    </row>
    <row r="91" spans="1:3">
      <c r="A91" t="s">
        <v>474</v>
      </c>
      <c r="B91" t="s">
        <v>475</v>
      </c>
      <c r="C91" t="s">
        <v>437</v>
      </c>
    </row>
    <row r="92" spans="1:3">
      <c r="A92" t="s">
        <v>360</v>
      </c>
      <c r="B92" t="s">
        <v>361</v>
      </c>
      <c r="C92" t="s">
        <v>434</v>
      </c>
    </row>
    <row r="93" spans="1:3">
      <c r="A93" t="s">
        <v>476</v>
      </c>
      <c r="B93" t="s">
        <v>477</v>
      </c>
      <c r="C93" t="s">
        <v>462</v>
      </c>
    </row>
    <row r="94" spans="1:3">
      <c r="A94" t="s">
        <v>478</v>
      </c>
      <c r="B94" t="s">
        <v>479</v>
      </c>
      <c r="C94" t="s">
        <v>426</v>
      </c>
    </row>
    <row r="95" spans="1:3">
      <c r="A95" t="s">
        <v>191</v>
      </c>
      <c r="B95" t="s">
        <v>192</v>
      </c>
      <c r="C95" t="s">
        <v>395</v>
      </c>
    </row>
    <row r="96" spans="1:3">
      <c r="A96" t="s">
        <v>253</v>
      </c>
      <c r="B96" t="s">
        <v>49</v>
      </c>
      <c r="C96" t="s">
        <v>395</v>
      </c>
    </row>
    <row r="97" spans="1:3">
      <c r="A97" t="s">
        <v>228</v>
      </c>
      <c r="B97" t="s">
        <v>229</v>
      </c>
      <c r="C97" t="s">
        <v>433</v>
      </c>
    </row>
    <row r="98" spans="1:3">
      <c r="A98" t="s">
        <v>377</v>
      </c>
      <c r="B98" t="s">
        <v>378</v>
      </c>
      <c r="C98" t="s">
        <v>368</v>
      </c>
    </row>
    <row r="99" spans="1:3">
      <c r="A99" t="s">
        <v>480</v>
      </c>
      <c r="B99" t="s">
        <v>481</v>
      </c>
      <c r="C99" t="s">
        <v>404</v>
      </c>
    </row>
    <row r="100" spans="1:3">
      <c r="A100" t="s">
        <v>101</v>
      </c>
      <c r="B100" t="s">
        <v>102</v>
      </c>
      <c r="C100" t="s">
        <v>426</v>
      </c>
    </row>
    <row r="101" spans="1:3">
      <c r="A101" t="s">
        <v>278</v>
      </c>
      <c r="B101" t="s">
        <v>46</v>
      </c>
      <c r="C101" t="s">
        <v>437</v>
      </c>
    </row>
  </sheetData>
  <pageMargins left="0.7" right="0.7" top="0.75" bottom="0.75" header="0.3" footer="0.3"/>
  <tableParts count="1">
    <tablePart r:id="rId1"/>
  </tablePart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36C23-B411-488D-A3D2-7DDA1E7D61BC}">
  <sheetPr codeName="Sheet21"/>
  <dimension ref="A1:D732"/>
  <sheetViews>
    <sheetView topLeftCell="A713" workbookViewId="0">
      <selection activeCell="F12" sqref="F12"/>
    </sheetView>
  </sheetViews>
  <sheetFormatPr defaultRowHeight="14.45"/>
  <cols>
    <col min="1" max="1" width="10.140625" style="2" bestFit="1" customWidth="1"/>
    <col min="4" max="4" width="17.85546875" style="2" bestFit="1" customWidth="1"/>
  </cols>
  <sheetData>
    <row r="1" spans="1:4">
      <c r="A1" s="39" t="s">
        <v>482</v>
      </c>
      <c r="D1" s="39" t="s">
        <v>483</v>
      </c>
    </row>
    <row r="2" spans="1:4">
      <c r="A2" s="2">
        <v>45658</v>
      </c>
      <c r="D2" s="2">
        <v>45663</v>
      </c>
    </row>
    <row r="3" spans="1:4">
      <c r="A3" s="2">
        <v>45659</v>
      </c>
      <c r="D3" s="2">
        <v>45670</v>
      </c>
    </row>
    <row r="4" spans="1:4">
      <c r="A4" s="2">
        <v>45660</v>
      </c>
      <c r="D4" s="2">
        <v>45677</v>
      </c>
    </row>
    <row r="5" spans="1:4">
      <c r="A5" s="2">
        <v>45661</v>
      </c>
      <c r="D5" s="2">
        <v>45684</v>
      </c>
    </row>
    <row r="6" spans="1:4">
      <c r="A6" s="2">
        <v>45662</v>
      </c>
      <c r="D6" s="2">
        <v>45691</v>
      </c>
    </row>
    <row r="7" spans="1:4">
      <c r="A7" s="2">
        <v>45663</v>
      </c>
      <c r="D7" s="2">
        <v>45698</v>
      </c>
    </row>
    <row r="8" spans="1:4">
      <c r="A8" s="2">
        <v>45664</v>
      </c>
      <c r="D8" s="2">
        <v>45705</v>
      </c>
    </row>
    <row r="9" spans="1:4">
      <c r="A9" s="2">
        <v>45665</v>
      </c>
      <c r="D9" s="2">
        <v>45712</v>
      </c>
    </row>
    <row r="10" spans="1:4">
      <c r="A10" s="2">
        <v>45666</v>
      </c>
      <c r="D10" s="2">
        <v>45719</v>
      </c>
    </row>
    <row r="11" spans="1:4">
      <c r="A11" s="2">
        <v>45667</v>
      </c>
      <c r="D11" s="2">
        <v>45726</v>
      </c>
    </row>
    <row r="12" spans="1:4">
      <c r="A12" s="2">
        <v>45668</v>
      </c>
      <c r="D12" s="2">
        <v>45733</v>
      </c>
    </row>
    <row r="13" spans="1:4">
      <c r="A13" s="2">
        <v>45669</v>
      </c>
      <c r="D13" s="2">
        <v>45740</v>
      </c>
    </row>
    <row r="14" spans="1:4">
      <c r="A14" s="2">
        <v>45670</v>
      </c>
      <c r="D14" s="2">
        <v>45747</v>
      </c>
    </row>
    <row r="15" spans="1:4">
      <c r="A15" s="2">
        <v>45671</v>
      </c>
      <c r="D15" s="2">
        <v>45754</v>
      </c>
    </row>
    <row r="16" spans="1:4">
      <c r="A16" s="2">
        <v>45672</v>
      </c>
      <c r="D16" s="2">
        <v>45761</v>
      </c>
    </row>
    <row r="17" spans="1:4">
      <c r="A17" s="2">
        <v>45673</v>
      </c>
      <c r="D17" s="2">
        <v>45768</v>
      </c>
    </row>
    <row r="18" spans="1:4">
      <c r="A18" s="2">
        <v>45674</v>
      </c>
      <c r="D18" s="2">
        <v>45775</v>
      </c>
    </row>
    <row r="19" spans="1:4">
      <c r="A19" s="2">
        <v>45675</v>
      </c>
      <c r="D19" s="2">
        <v>45782</v>
      </c>
    </row>
    <row r="20" spans="1:4">
      <c r="A20" s="2">
        <v>45676</v>
      </c>
      <c r="D20" s="2">
        <v>45789</v>
      </c>
    </row>
    <row r="21" spans="1:4">
      <c r="A21" s="2">
        <v>45677</v>
      </c>
      <c r="D21" s="2">
        <v>45796</v>
      </c>
    </row>
    <row r="22" spans="1:4">
      <c r="A22" s="2">
        <v>45678</v>
      </c>
      <c r="D22" s="2">
        <v>45803</v>
      </c>
    </row>
    <row r="23" spans="1:4">
      <c r="A23" s="2">
        <v>45679</v>
      </c>
      <c r="D23" s="2">
        <v>45810</v>
      </c>
    </row>
    <row r="24" spans="1:4">
      <c r="A24" s="2">
        <v>45680</v>
      </c>
      <c r="D24" s="2">
        <v>45817</v>
      </c>
    </row>
    <row r="25" spans="1:4">
      <c r="A25" s="2">
        <v>45681</v>
      </c>
      <c r="D25" s="2">
        <v>45824</v>
      </c>
    </row>
    <row r="26" spans="1:4">
      <c r="A26" s="2">
        <v>45682</v>
      </c>
      <c r="D26" s="2">
        <v>45831</v>
      </c>
    </row>
    <row r="27" spans="1:4">
      <c r="A27" s="2">
        <v>45683</v>
      </c>
      <c r="D27" s="2">
        <v>45838</v>
      </c>
    </row>
    <row r="28" spans="1:4">
      <c r="A28" s="2">
        <v>45684</v>
      </c>
      <c r="D28" s="2">
        <v>45845</v>
      </c>
    </row>
    <row r="29" spans="1:4">
      <c r="A29" s="2">
        <v>45685</v>
      </c>
      <c r="D29" s="2">
        <v>45852</v>
      </c>
    </row>
    <row r="30" spans="1:4">
      <c r="A30" s="2">
        <v>45686</v>
      </c>
      <c r="D30" s="2">
        <v>45859</v>
      </c>
    </row>
    <row r="31" spans="1:4">
      <c r="A31" s="2">
        <v>45687</v>
      </c>
      <c r="D31" s="2">
        <v>45866</v>
      </c>
    </row>
    <row r="32" spans="1:4">
      <c r="A32" s="2">
        <v>45688</v>
      </c>
      <c r="D32" s="2">
        <v>45873</v>
      </c>
    </row>
    <row r="33" spans="1:4">
      <c r="A33" s="2">
        <v>45689</v>
      </c>
      <c r="D33" s="2">
        <v>45880</v>
      </c>
    </row>
    <row r="34" spans="1:4">
      <c r="A34" s="2">
        <v>45690</v>
      </c>
      <c r="D34" s="2">
        <v>45887</v>
      </c>
    </row>
    <row r="35" spans="1:4">
      <c r="A35" s="2">
        <v>45691</v>
      </c>
      <c r="D35" s="2">
        <v>45894</v>
      </c>
    </row>
    <row r="36" spans="1:4">
      <c r="A36" s="2">
        <v>45692</v>
      </c>
      <c r="D36" s="2">
        <v>45901</v>
      </c>
    </row>
    <row r="37" spans="1:4">
      <c r="A37" s="2">
        <v>45693</v>
      </c>
      <c r="D37" s="2">
        <v>45908</v>
      </c>
    </row>
    <row r="38" spans="1:4">
      <c r="A38" s="2">
        <v>45694</v>
      </c>
      <c r="D38" s="2">
        <v>45915</v>
      </c>
    </row>
    <row r="39" spans="1:4">
      <c r="A39" s="2">
        <v>45695</v>
      </c>
      <c r="D39" s="2">
        <v>45922</v>
      </c>
    </row>
    <row r="40" spans="1:4">
      <c r="A40" s="2">
        <v>45696</v>
      </c>
      <c r="D40" s="2">
        <v>45929</v>
      </c>
    </row>
    <row r="41" spans="1:4">
      <c r="A41" s="2">
        <v>45697</v>
      </c>
      <c r="D41" s="2">
        <v>45936</v>
      </c>
    </row>
    <row r="42" spans="1:4">
      <c r="A42" s="2">
        <v>45698</v>
      </c>
      <c r="D42" s="2">
        <v>45943</v>
      </c>
    </row>
    <row r="43" spans="1:4">
      <c r="A43" s="2">
        <v>45699</v>
      </c>
      <c r="D43" s="2">
        <v>45950</v>
      </c>
    </row>
    <row r="44" spans="1:4">
      <c r="A44" s="2">
        <v>45700</v>
      </c>
      <c r="D44" s="2">
        <v>45957</v>
      </c>
    </row>
    <row r="45" spans="1:4">
      <c r="A45" s="2">
        <v>45701</v>
      </c>
      <c r="D45" s="2">
        <v>45964</v>
      </c>
    </row>
    <row r="46" spans="1:4">
      <c r="A46" s="2">
        <v>45702</v>
      </c>
      <c r="D46" s="2">
        <v>45971</v>
      </c>
    </row>
    <row r="47" spans="1:4">
      <c r="A47" s="2">
        <v>45703</v>
      </c>
      <c r="D47" s="2">
        <v>45978</v>
      </c>
    </row>
    <row r="48" spans="1:4">
      <c r="A48" s="2">
        <v>45704</v>
      </c>
      <c r="D48" s="2">
        <v>45985</v>
      </c>
    </row>
    <row r="49" spans="1:4">
      <c r="A49" s="2">
        <v>45705</v>
      </c>
      <c r="D49" s="2">
        <v>45992</v>
      </c>
    </row>
    <row r="50" spans="1:4">
      <c r="A50" s="2">
        <v>45706</v>
      </c>
      <c r="D50" s="2">
        <v>45999</v>
      </c>
    </row>
    <row r="51" spans="1:4">
      <c r="A51" s="2">
        <v>45707</v>
      </c>
      <c r="D51" s="2">
        <v>46006</v>
      </c>
    </row>
    <row r="52" spans="1:4">
      <c r="A52" s="2">
        <v>45708</v>
      </c>
      <c r="D52" s="2">
        <v>46013</v>
      </c>
    </row>
    <row r="53" spans="1:4">
      <c r="A53" s="2">
        <v>45709</v>
      </c>
      <c r="D53" s="2">
        <v>46020</v>
      </c>
    </row>
    <row r="54" spans="1:4">
      <c r="A54" s="2">
        <v>45710</v>
      </c>
      <c r="D54" s="2">
        <v>46027</v>
      </c>
    </row>
    <row r="55" spans="1:4">
      <c r="A55" s="2">
        <v>45711</v>
      </c>
      <c r="D55" s="2">
        <v>46034</v>
      </c>
    </row>
    <row r="56" spans="1:4">
      <c r="A56" s="2">
        <v>45712</v>
      </c>
      <c r="D56" s="2">
        <v>46041</v>
      </c>
    </row>
    <row r="57" spans="1:4">
      <c r="A57" s="2">
        <v>45713</v>
      </c>
      <c r="D57" s="2">
        <v>46048</v>
      </c>
    </row>
    <row r="58" spans="1:4">
      <c r="A58" s="2">
        <v>45714</v>
      </c>
      <c r="D58" s="2">
        <v>46055</v>
      </c>
    </row>
    <row r="59" spans="1:4">
      <c r="A59" s="2">
        <v>45715</v>
      </c>
      <c r="D59" s="2">
        <v>46062</v>
      </c>
    </row>
    <row r="60" spans="1:4">
      <c r="A60" s="2">
        <v>45716</v>
      </c>
      <c r="D60" s="2">
        <v>46069</v>
      </c>
    </row>
    <row r="61" spans="1:4">
      <c r="A61" s="2">
        <v>45717</v>
      </c>
      <c r="D61" s="2">
        <v>46076</v>
      </c>
    </row>
    <row r="62" spans="1:4">
      <c r="A62" s="2">
        <v>45718</v>
      </c>
      <c r="D62" s="2">
        <v>46083</v>
      </c>
    </row>
    <row r="63" spans="1:4">
      <c r="A63" s="2">
        <v>45719</v>
      </c>
      <c r="D63" s="2">
        <v>46090</v>
      </c>
    </row>
    <row r="64" spans="1:4">
      <c r="A64" s="2">
        <v>45720</v>
      </c>
      <c r="D64" s="2">
        <v>46097</v>
      </c>
    </row>
    <row r="65" spans="1:4">
      <c r="A65" s="2">
        <v>45721</v>
      </c>
      <c r="D65" s="2">
        <v>46104</v>
      </c>
    </row>
    <row r="66" spans="1:4">
      <c r="A66" s="2">
        <v>45722</v>
      </c>
      <c r="D66" s="2">
        <v>46111</v>
      </c>
    </row>
    <row r="67" spans="1:4">
      <c r="A67" s="2">
        <v>45723</v>
      </c>
      <c r="D67" s="2">
        <v>46118</v>
      </c>
    </row>
    <row r="68" spans="1:4">
      <c r="A68" s="2">
        <v>45724</v>
      </c>
      <c r="D68" s="2">
        <v>46125</v>
      </c>
    </row>
    <row r="69" spans="1:4">
      <c r="A69" s="2">
        <v>45725</v>
      </c>
      <c r="D69" s="2">
        <v>46132</v>
      </c>
    </row>
    <row r="70" spans="1:4">
      <c r="A70" s="2">
        <v>45726</v>
      </c>
      <c r="D70" s="2">
        <v>46139</v>
      </c>
    </row>
    <row r="71" spans="1:4">
      <c r="A71" s="2">
        <v>45727</v>
      </c>
      <c r="D71" s="2">
        <v>46146</v>
      </c>
    </row>
    <row r="72" spans="1:4">
      <c r="A72" s="2">
        <v>45728</v>
      </c>
      <c r="D72" s="2">
        <v>46153</v>
      </c>
    </row>
    <row r="73" spans="1:4">
      <c r="A73" s="2">
        <v>45729</v>
      </c>
      <c r="D73" s="2">
        <v>46160</v>
      </c>
    </row>
    <row r="74" spans="1:4">
      <c r="A74" s="2">
        <v>45730</v>
      </c>
      <c r="D74" s="2">
        <v>46167</v>
      </c>
    </row>
    <row r="75" spans="1:4">
      <c r="A75" s="2">
        <v>45731</v>
      </c>
      <c r="D75" s="2">
        <v>46174</v>
      </c>
    </row>
    <row r="76" spans="1:4">
      <c r="A76" s="2">
        <v>45732</v>
      </c>
      <c r="D76" s="2">
        <v>46181</v>
      </c>
    </row>
    <row r="77" spans="1:4">
      <c r="A77" s="2">
        <v>45733</v>
      </c>
      <c r="D77" s="2">
        <v>46188</v>
      </c>
    </row>
    <row r="78" spans="1:4">
      <c r="A78" s="2">
        <v>45734</v>
      </c>
      <c r="D78" s="2">
        <v>46195</v>
      </c>
    </row>
    <row r="79" spans="1:4">
      <c r="A79" s="2">
        <v>45735</v>
      </c>
      <c r="D79" s="2">
        <v>46202</v>
      </c>
    </row>
    <row r="80" spans="1:4">
      <c r="A80" s="2">
        <v>45736</v>
      </c>
      <c r="D80" s="2">
        <v>46209</v>
      </c>
    </row>
    <row r="81" spans="1:4">
      <c r="A81" s="2">
        <v>45737</v>
      </c>
      <c r="D81" s="2">
        <v>46216</v>
      </c>
    </row>
    <row r="82" spans="1:4">
      <c r="A82" s="2">
        <v>45738</v>
      </c>
      <c r="D82" s="2">
        <v>46223</v>
      </c>
    </row>
    <row r="83" spans="1:4">
      <c r="A83" s="2">
        <v>45739</v>
      </c>
      <c r="D83" s="2">
        <v>46230</v>
      </c>
    </row>
    <row r="84" spans="1:4">
      <c r="A84" s="2">
        <v>45740</v>
      </c>
      <c r="D84" s="2">
        <v>46237</v>
      </c>
    </row>
    <row r="85" spans="1:4">
      <c r="A85" s="2">
        <v>45741</v>
      </c>
      <c r="D85" s="2">
        <v>46244</v>
      </c>
    </row>
    <row r="86" spans="1:4">
      <c r="A86" s="2">
        <v>45742</v>
      </c>
      <c r="D86" s="2">
        <v>46251</v>
      </c>
    </row>
    <row r="87" spans="1:4">
      <c r="A87" s="2">
        <v>45743</v>
      </c>
      <c r="D87" s="2">
        <v>46258</v>
      </c>
    </row>
    <row r="88" spans="1:4">
      <c r="A88" s="2">
        <v>45744</v>
      </c>
      <c r="D88" s="2">
        <v>46265</v>
      </c>
    </row>
    <row r="89" spans="1:4">
      <c r="A89" s="2">
        <v>45745</v>
      </c>
      <c r="D89" s="2">
        <v>46272</v>
      </c>
    </row>
    <row r="90" spans="1:4">
      <c r="A90" s="2">
        <v>45746</v>
      </c>
      <c r="D90" s="2">
        <v>46279</v>
      </c>
    </row>
    <row r="91" spans="1:4">
      <c r="A91" s="2">
        <v>45747</v>
      </c>
      <c r="D91" s="2">
        <v>46286</v>
      </c>
    </row>
    <row r="92" spans="1:4">
      <c r="A92" s="2">
        <v>45748</v>
      </c>
      <c r="D92" s="2">
        <v>46293</v>
      </c>
    </row>
    <row r="93" spans="1:4">
      <c r="A93" s="2">
        <v>45749</v>
      </c>
      <c r="D93" s="2">
        <v>46300</v>
      </c>
    </row>
    <row r="94" spans="1:4">
      <c r="A94" s="2">
        <v>45750</v>
      </c>
      <c r="D94" s="2">
        <v>46307</v>
      </c>
    </row>
    <row r="95" spans="1:4">
      <c r="A95" s="2">
        <v>45751</v>
      </c>
      <c r="D95" s="2">
        <v>46314</v>
      </c>
    </row>
    <row r="96" spans="1:4">
      <c r="A96" s="2">
        <v>45752</v>
      </c>
      <c r="D96" s="2">
        <v>46321</v>
      </c>
    </row>
    <row r="97" spans="1:4">
      <c r="A97" s="2">
        <v>45753</v>
      </c>
      <c r="D97" s="2">
        <v>46328</v>
      </c>
    </row>
    <row r="98" spans="1:4">
      <c r="A98" s="2">
        <v>45754</v>
      </c>
      <c r="D98" s="2">
        <v>46335</v>
      </c>
    </row>
    <row r="99" spans="1:4">
      <c r="A99" s="2">
        <v>45755</v>
      </c>
      <c r="D99" s="2">
        <v>46342</v>
      </c>
    </row>
    <row r="100" spans="1:4">
      <c r="A100" s="2">
        <v>45756</v>
      </c>
      <c r="D100" s="2">
        <v>46349</v>
      </c>
    </row>
    <row r="101" spans="1:4">
      <c r="A101" s="2">
        <v>45757</v>
      </c>
      <c r="D101" s="2">
        <v>46356</v>
      </c>
    </row>
    <row r="102" spans="1:4">
      <c r="A102" s="2">
        <v>45758</v>
      </c>
      <c r="D102" s="2">
        <v>46363</v>
      </c>
    </row>
    <row r="103" spans="1:4">
      <c r="A103" s="2">
        <v>45759</v>
      </c>
      <c r="D103" s="2">
        <v>46370</v>
      </c>
    </row>
    <row r="104" spans="1:4">
      <c r="A104" s="2">
        <v>45760</v>
      </c>
      <c r="D104" s="2">
        <v>46377</v>
      </c>
    </row>
    <row r="105" spans="1:4">
      <c r="A105" s="2">
        <v>45761</v>
      </c>
      <c r="D105" s="2">
        <v>46384</v>
      </c>
    </row>
    <row r="106" spans="1:4">
      <c r="A106" s="2">
        <v>45762</v>
      </c>
    </row>
    <row r="107" spans="1:4">
      <c r="A107" s="2">
        <v>45763</v>
      </c>
    </row>
    <row r="108" spans="1:4">
      <c r="A108" s="2">
        <v>45764</v>
      </c>
    </row>
    <row r="109" spans="1:4">
      <c r="A109" s="2">
        <v>45765</v>
      </c>
    </row>
    <row r="110" spans="1:4">
      <c r="A110" s="2">
        <v>45766</v>
      </c>
    </row>
    <row r="111" spans="1:4">
      <c r="A111" s="2">
        <v>45767</v>
      </c>
    </row>
    <row r="112" spans="1:4">
      <c r="A112" s="2">
        <v>45768</v>
      </c>
    </row>
    <row r="113" spans="1:1">
      <c r="A113" s="2">
        <v>45769</v>
      </c>
    </row>
    <row r="114" spans="1:1">
      <c r="A114" s="2">
        <v>45770</v>
      </c>
    </row>
    <row r="115" spans="1:1">
      <c r="A115" s="2">
        <v>45771</v>
      </c>
    </row>
    <row r="116" spans="1:1">
      <c r="A116" s="2">
        <v>45772</v>
      </c>
    </row>
    <row r="117" spans="1:1">
      <c r="A117" s="2">
        <v>45773</v>
      </c>
    </row>
    <row r="118" spans="1:1">
      <c r="A118" s="2">
        <v>45774</v>
      </c>
    </row>
    <row r="119" spans="1:1">
      <c r="A119" s="2">
        <v>45775</v>
      </c>
    </row>
    <row r="120" spans="1:1">
      <c r="A120" s="2">
        <v>45776</v>
      </c>
    </row>
    <row r="121" spans="1:1">
      <c r="A121" s="2">
        <v>45777</v>
      </c>
    </row>
    <row r="122" spans="1:1">
      <c r="A122" s="2">
        <v>45778</v>
      </c>
    </row>
    <row r="123" spans="1:1">
      <c r="A123" s="2">
        <v>45779</v>
      </c>
    </row>
    <row r="124" spans="1:1">
      <c r="A124" s="2">
        <v>45780</v>
      </c>
    </row>
    <row r="125" spans="1:1">
      <c r="A125" s="2">
        <v>45781</v>
      </c>
    </row>
    <row r="126" spans="1:1">
      <c r="A126" s="2">
        <v>45782</v>
      </c>
    </row>
    <row r="127" spans="1:1">
      <c r="A127" s="2">
        <v>45783</v>
      </c>
    </row>
    <row r="128" spans="1:1">
      <c r="A128" s="2">
        <v>45784</v>
      </c>
    </row>
    <row r="129" spans="1:1">
      <c r="A129" s="2">
        <v>45785</v>
      </c>
    </row>
    <row r="130" spans="1:1">
      <c r="A130" s="2">
        <v>45786</v>
      </c>
    </row>
    <row r="131" spans="1:1">
      <c r="A131" s="2">
        <v>45787</v>
      </c>
    </row>
    <row r="132" spans="1:1">
      <c r="A132" s="2">
        <v>45788</v>
      </c>
    </row>
    <row r="133" spans="1:1">
      <c r="A133" s="2">
        <v>45789</v>
      </c>
    </row>
    <row r="134" spans="1:1">
      <c r="A134" s="2">
        <v>45790</v>
      </c>
    </row>
    <row r="135" spans="1:1">
      <c r="A135" s="2">
        <v>45791</v>
      </c>
    </row>
    <row r="136" spans="1:1">
      <c r="A136" s="2">
        <v>45792</v>
      </c>
    </row>
    <row r="137" spans="1:1">
      <c r="A137" s="2">
        <v>45793</v>
      </c>
    </row>
    <row r="138" spans="1:1">
      <c r="A138" s="2">
        <v>45794</v>
      </c>
    </row>
    <row r="139" spans="1:1">
      <c r="A139" s="2">
        <v>45795</v>
      </c>
    </row>
    <row r="140" spans="1:1">
      <c r="A140" s="2">
        <v>45796</v>
      </c>
    </row>
    <row r="141" spans="1:1">
      <c r="A141" s="2">
        <v>45797</v>
      </c>
    </row>
    <row r="142" spans="1:1">
      <c r="A142" s="2">
        <v>45798</v>
      </c>
    </row>
    <row r="143" spans="1:1">
      <c r="A143" s="2">
        <v>45799</v>
      </c>
    </row>
    <row r="144" spans="1:1">
      <c r="A144" s="2">
        <v>45800</v>
      </c>
    </row>
    <row r="145" spans="1:1">
      <c r="A145" s="2">
        <v>45801</v>
      </c>
    </row>
    <row r="146" spans="1:1">
      <c r="A146" s="2">
        <v>45802</v>
      </c>
    </row>
    <row r="147" spans="1:1">
      <c r="A147" s="2">
        <v>45803</v>
      </c>
    </row>
    <row r="148" spans="1:1">
      <c r="A148" s="2">
        <v>45804</v>
      </c>
    </row>
    <row r="149" spans="1:1">
      <c r="A149" s="2">
        <v>45805</v>
      </c>
    </row>
    <row r="150" spans="1:1">
      <c r="A150" s="2">
        <v>45806</v>
      </c>
    </row>
    <row r="151" spans="1:1">
      <c r="A151" s="2">
        <v>45807</v>
      </c>
    </row>
    <row r="152" spans="1:1">
      <c r="A152" s="2">
        <v>45808</v>
      </c>
    </row>
    <row r="153" spans="1:1">
      <c r="A153" s="2">
        <v>45809</v>
      </c>
    </row>
    <row r="154" spans="1:1">
      <c r="A154" s="2">
        <v>45810</v>
      </c>
    </row>
    <row r="155" spans="1:1">
      <c r="A155" s="2">
        <v>45811</v>
      </c>
    </row>
    <row r="156" spans="1:1">
      <c r="A156" s="2">
        <v>45812</v>
      </c>
    </row>
    <row r="157" spans="1:1">
      <c r="A157" s="2">
        <v>45813</v>
      </c>
    </row>
    <row r="158" spans="1:1">
      <c r="A158" s="2">
        <v>45814</v>
      </c>
    </row>
    <row r="159" spans="1:1">
      <c r="A159" s="2">
        <v>45815</v>
      </c>
    </row>
    <row r="160" spans="1:1">
      <c r="A160" s="2">
        <v>45816</v>
      </c>
    </row>
    <row r="161" spans="1:1">
      <c r="A161" s="2">
        <v>45817</v>
      </c>
    </row>
    <row r="162" spans="1:1">
      <c r="A162" s="2">
        <v>45818</v>
      </c>
    </row>
    <row r="163" spans="1:1">
      <c r="A163" s="2">
        <v>45819</v>
      </c>
    </row>
    <row r="164" spans="1:1">
      <c r="A164" s="2">
        <v>45820</v>
      </c>
    </row>
    <row r="165" spans="1:1">
      <c r="A165" s="2">
        <v>45821</v>
      </c>
    </row>
    <row r="166" spans="1:1">
      <c r="A166" s="2">
        <v>45822</v>
      </c>
    </row>
    <row r="167" spans="1:1">
      <c r="A167" s="2">
        <v>45823</v>
      </c>
    </row>
    <row r="168" spans="1:1">
      <c r="A168" s="2">
        <v>45824</v>
      </c>
    </row>
    <row r="169" spans="1:1">
      <c r="A169" s="2">
        <v>45825</v>
      </c>
    </row>
    <row r="170" spans="1:1">
      <c r="A170" s="2">
        <v>45826</v>
      </c>
    </row>
    <row r="171" spans="1:1">
      <c r="A171" s="2">
        <v>45827</v>
      </c>
    </row>
    <row r="172" spans="1:1">
      <c r="A172" s="2">
        <v>45828</v>
      </c>
    </row>
    <row r="173" spans="1:1">
      <c r="A173" s="2">
        <v>45829</v>
      </c>
    </row>
    <row r="174" spans="1:1">
      <c r="A174" s="2">
        <v>45830</v>
      </c>
    </row>
    <row r="175" spans="1:1">
      <c r="A175" s="2">
        <v>45831</v>
      </c>
    </row>
    <row r="176" spans="1:1">
      <c r="A176" s="2">
        <v>45832</v>
      </c>
    </row>
    <row r="177" spans="1:1">
      <c r="A177" s="2">
        <v>45833</v>
      </c>
    </row>
    <row r="178" spans="1:1">
      <c r="A178" s="2">
        <v>45834</v>
      </c>
    </row>
    <row r="179" spans="1:1">
      <c r="A179" s="2">
        <v>45835</v>
      </c>
    </row>
    <row r="180" spans="1:1">
      <c r="A180" s="2">
        <v>45836</v>
      </c>
    </row>
    <row r="181" spans="1:1">
      <c r="A181" s="2">
        <v>45837</v>
      </c>
    </row>
    <row r="182" spans="1:1">
      <c r="A182" s="2">
        <v>45838</v>
      </c>
    </row>
    <row r="183" spans="1:1">
      <c r="A183" s="2">
        <v>45839</v>
      </c>
    </row>
    <row r="184" spans="1:1">
      <c r="A184" s="2">
        <v>45840</v>
      </c>
    </row>
    <row r="185" spans="1:1">
      <c r="A185" s="2">
        <v>45841</v>
      </c>
    </row>
    <row r="186" spans="1:1">
      <c r="A186" s="2">
        <v>45842</v>
      </c>
    </row>
    <row r="187" spans="1:1">
      <c r="A187" s="2">
        <v>45843</v>
      </c>
    </row>
    <row r="188" spans="1:1">
      <c r="A188" s="2">
        <v>45844</v>
      </c>
    </row>
    <row r="189" spans="1:1">
      <c r="A189" s="2">
        <v>45845</v>
      </c>
    </row>
    <row r="190" spans="1:1">
      <c r="A190" s="2">
        <v>45846</v>
      </c>
    </row>
    <row r="191" spans="1:1">
      <c r="A191" s="2">
        <v>45847</v>
      </c>
    </row>
    <row r="192" spans="1:1">
      <c r="A192" s="2">
        <v>45848</v>
      </c>
    </row>
    <row r="193" spans="1:1">
      <c r="A193" s="2">
        <v>45849</v>
      </c>
    </row>
    <row r="194" spans="1:1">
      <c r="A194" s="2">
        <v>45850</v>
      </c>
    </row>
    <row r="195" spans="1:1">
      <c r="A195" s="2">
        <v>45851</v>
      </c>
    </row>
    <row r="196" spans="1:1">
      <c r="A196" s="2">
        <v>45852</v>
      </c>
    </row>
    <row r="197" spans="1:1">
      <c r="A197" s="2">
        <v>45853</v>
      </c>
    </row>
    <row r="198" spans="1:1">
      <c r="A198" s="2">
        <v>45854</v>
      </c>
    </row>
    <row r="199" spans="1:1">
      <c r="A199" s="2">
        <v>45855</v>
      </c>
    </row>
    <row r="200" spans="1:1">
      <c r="A200" s="2">
        <v>45856</v>
      </c>
    </row>
    <row r="201" spans="1:1">
      <c r="A201" s="2">
        <v>45857</v>
      </c>
    </row>
    <row r="202" spans="1:1">
      <c r="A202" s="2">
        <v>45858</v>
      </c>
    </row>
    <row r="203" spans="1:1">
      <c r="A203" s="2">
        <v>45859</v>
      </c>
    </row>
    <row r="204" spans="1:1">
      <c r="A204" s="2">
        <v>45860</v>
      </c>
    </row>
    <row r="205" spans="1:1">
      <c r="A205" s="2">
        <v>45861</v>
      </c>
    </row>
    <row r="206" spans="1:1">
      <c r="A206" s="2">
        <v>45862</v>
      </c>
    </row>
    <row r="207" spans="1:1">
      <c r="A207" s="2">
        <v>45863</v>
      </c>
    </row>
    <row r="208" spans="1:1">
      <c r="A208" s="2">
        <v>45864</v>
      </c>
    </row>
    <row r="209" spans="1:1">
      <c r="A209" s="2">
        <v>45865</v>
      </c>
    </row>
    <row r="210" spans="1:1">
      <c r="A210" s="2">
        <v>45866</v>
      </c>
    </row>
    <row r="211" spans="1:1">
      <c r="A211" s="2">
        <v>45867</v>
      </c>
    </row>
    <row r="212" spans="1:1">
      <c r="A212" s="2">
        <v>45868</v>
      </c>
    </row>
    <row r="213" spans="1:1">
      <c r="A213" s="2">
        <v>45869</v>
      </c>
    </row>
    <row r="214" spans="1:1">
      <c r="A214" s="2">
        <v>45870</v>
      </c>
    </row>
    <row r="215" spans="1:1">
      <c r="A215" s="2">
        <v>45871</v>
      </c>
    </row>
    <row r="216" spans="1:1">
      <c r="A216" s="2">
        <v>45872</v>
      </c>
    </row>
    <row r="217" spans="1:1">
      <c r="A217" s="2">
        <v>45873</v>
      </c>
    </row>
    <row r="218" spans="1:1">
      <c r="A218" s="2">
        <v>45874</v>
      </c>
    </row>
    <row r="219" spans="1:1">
      <c r="A219" s="2">
        <v>45875</v>
      </c>
    </row>
    <row r="220" spans="1:1">
      <c r="A220" s="2">
        <v>45876</v>
      </c>
    </row>
    <row r="221" spans="1:1">
      <c r="A221" s="2">
        <v>45877</v>
      </c>
    </row>
    <row r="222" spans="1:1">
      <c r="A222" s="2">
        <v>45878</v>
      </c>
    </row>
    <row r="223" spans="1:1">
      <c r="A223" s="2">
        <v>45879</v>
      </c>
    </row>
    <row r="224" spans="1:1">
      <c r="A224" s="2">
        <v>45880</v>
      </c>
    </row>
    <row r="225" spans="1:1">
      <c r="A225" s="2">
        <v>45881</v>
      </c>
    </row>
    <row r="226" spans="1:1">
      <c r="A226" s="2">
        <v>45882</v>
      </c>
    </row>
    <row r="227" spans="1:1">
      <c r="A227" s="2">
        <v>45883</v>
      </c>
    </row>
    <row r="228" spans="1:1">
      <c r="A228" s="2">
        <v>45884</v>
      </c>
    </row>
    <row r="229" spans="1:1">
      <c r="A229" s="2">
        <v>45885</v>
      </c>
    </row>
    <row r="230" spans="1:1">
      <c r="A230" s="2">
        <v>45886</v>
      </c>
    </row>
    <row r="231" spans="1:1">
      <c r="A231" s="2">
        <v>45887</v>
      </c>
    </row>
    <row r="232" spans="1:1">
      <c r="A232" s="2">
        <v>45888</v>
      </c>
    </row>
    <row r="233" spans="1:1">
      <c r="A233" s="2">
        <v>45889</v>
      </c>
    </row>
    <row r="234" spans="1:1">
      <c r="A234" s="2">
        <v>45890</v>
      </c>
    </row>
    <row r="235" spans="1:1">
      <c r="A235" s="2">
        <v>45891</v>
      </c>
    </row>
    <row r="236" spans="1:1">
      <c r="A236" s="2">
        <v>45892</v>
      </c>
    </row>
    <row r="237" spans="1:1">
      <c r="A237" s="2">
        <v>45893</v>
      </c>
    </row>
    <row r="238" spans="1:1">
      <c r="A238" s="2">
        <v>45894</v>
      </c>
    </row>
    <row r="239" spans="1:1">
      <c r="A239" s="2">
        <v>45895</v>
      </c>
    </row>
    <row r="240" spans="1:1">
      <c r="A240" s="2">
        <v>45896</v>
      </c>
    </row>
    <row r="241" spans="1:1">
      <c r="A241" s="2">
        <v>45897</v>
      </c>
    </row>
    <row r="242" spans="1:1">
      <c r="A242" s="2">
        <v>45898</v>
      </c>
    </row>
    <row r="243" spans="1:1">
      <c r="A243" s="2">
        <v>45899</v>
      </c>
    </row>
    <row r="244" spans="1:1">
      <c r="A244" s="2">
        <v>45900</v>
      </c>
    </row>
    <row r="245" spans="1:1">
      <c r="A245" s="2">
        <v>45901</v>
      </c>
    </row>
    <row r="246" spans="1:1">
      <c r="A246" s="2">
        <v>45902</v>
      </c>
    </row>
    <row r="247" spans="1:1">
      <c r="A247" s="2">
        <v>45903</v>
      </c>
    </row>
    <row r="248" spans="1:1">
      <c r="A248" s="2">
        <v>45904</v>
      </c>
    </row>
    <row r="249" spans="1:1">
      <c r="A249" s="2">
        <v>45905</v>
      </c>
    </row>
    <row r="250" spans="1:1">
      <c r="A250" s="2">
        <v>45906</v>
      </c>
    </row>
    <row r="251" spans="1:1">
      <c r="A251" s="2">
        <v>45907</v>
      </c>
    </row>
    <row r="252" spans="1:1">
      <c r="A252" s="2">
        <v>45908</v>
      </c>
    </row>
    <row r="253" spans="1:1">
      <c r="A253" s="2">
        <v>45909</v>
      </c>
    </row>
    <row r="254" spans="1:1">
      <c r="A254" s="2">
        <v>45910</v>
      </c>
    </row>
    <row r="255" spans="1:1">
      <c r="A255" s="2">
        <v>45911</v>
      </c>
    </row>
    <row r="256" spans="1:1">
      <c r="A256" s="2">
        <v>45912</v>
      </c>
    </row>
    <row r="257" spans="1:1">
      <c r="A257" s="2">
        <v>45913</v>
      </c>
    </row>
    <row r="258" spans="1:1">
      <c r="A258" s="2">
        <v>45914</v>
      </c>
    </row>
    <row r="259" spans="1:1">
      <c r="A259" s="2">
        <v>45915</v>
      </c>
    </row>
    <row r="260" spans="1:1">
      <c r="A260" s="2">
        <v>45916</v>
      </c>
    </row>
    <row r="261" spans="1:1">
      <c r="A261" s="2">
        <v>45917</v>
      </c>
    </row>
    <row r="262" spans="1:1">
      <c r="A262" s="2">
        <v>45918</v>
      </c>
    </row>
    <row r="263" spans="1:1">
      <c r="A263" s="2">
        <v>45919</v>
      </c>
    </row>
    <row r="264" spans="1:1">
      <c r="A264" s="2">
        <v>45920</v>
      </c>
    </row>
    <row r="265" spans="1:1">
      <c r="A265" s="2">
        <v>45921</v>
      </c>
    </row>
    <row r="266" spans="1:1">
      <c r="A266" s="2">
        <v>45922</v>
      </c>
    </row>
    <row r="267" spans="1:1">
      <c r="A267" s="2">
        <v>45923</v>
      </c>
    </row>
    <row r="268" spans="1:1">
      <c r="A268" s="2">
        <v>45924</v>
      </c>
    </row>
    <row r="269" spans="1:1">
      <c r="A269" s="2">
        <v>45925</v>
      </c>
    </row>
    <row r="270" spans="1:1">
      <c r="A270" s="2">
        <v>45926</v>
      </c>
    </row>
    <row r="271" spans="1:1">
      <c r="A271" s="2">
        <v>45927</v>
      </c>
    </row>
    <row r="272" spans="1:1">
      <c r="A272" s="2">
        <v>45928</v>
      </c>
    </row>
    <row r="273" spans="1:1">
      <c r="A273" s="2">
        <v>45929</v>
      </c>
    </row>
    <row r="274" spans="1:1">
      <c r="A274" s="2">
        <v>45930</v>
      </c>
    </row>
    <row r="275" spans="1:1">
      <c r="A275" s="2">
        <v>45931</v>
      </c>
    </row>
    <row r="276" spans="1:1">
      <c r="A276" s="2">
        <v>45932</v>
      </c>
    </row>
    <row r="277" spans="1:1">
      <c r="A277" s="2">
        <v>45933</v>
      </c>
    </row>
    <row r="278" spans="1:1">
      <c r="A278" s="2">
        <v>45934</v>
      </c>
    </row>
    <row r="279" spans="1:1">
      <c r="A279" s="2">
        <v>45935</v>
      </c>
    </row>
    <row r="280" spans="1:1">
      <c r="A280" s="2">
        <v>45936</v>
      </c>
    </row>
    <row r="281" spans="1:1">
      <c r="A281" s="2">
        <v>45937</v>
      </c>
    </row>
    <row r="282" spans="1:1">
      <c r="A282" s="2">
        <v>45938</v>
      </c>
    </row>
    <row r="283" spans="1:1">
      <c r="A283" s="2">
        <v>45939</v>
      </c>
    </row>
    <row r="284" spans="1:1">
      <c r="A284" s="2">
        <v>45940</v>
      </c>
    </row>
    <row r="285" spans="1:1">
      <c r="A285" s="2">
        <v>45941</v>
      </c>
    </row>
    <row r="286" spans="1:1">
      <c r="A286" s="2">
        <v>45942</v>
      </c>
    </row>
    <row r="287" spans="1:1">
      <c r="A287" s="2">
        <v>45943</v>
      </c>
    </row>
    <row r="288" spans="1:1">
      <c r="A288" s="2">
        <v>45944</v>
      </c>
    </row>
    <row r="289" spans="1:1">
      <c r="A289" s="2">
        <v>45945</v>
      </c>
    </row>
    <row r="290" spans="1:1">
      <c r="A290" s="2">
        <v>45946</v>
      </c>
    </row>
    <row r="291" spans="1:1">
      <c r="A291" s="2">
        <v>45947</v>
      </c>
    </row>
    <row r="292" spans="1:1">
      <c r="A292" s="2">
        <v>45948</v>
      </c>
    </row>
    <row r="293" spans="1:1">
      <c r="A293" s="2">
        <v>45949</v>
      </c>
    </row>
    <row r="294" spans="1:1">
      <c r="A294" s="2">
        <v>45950</v>
      </c>
    </row>
    <row r="295" spans="1:1">
      <c r="A295" s="2">
        <v>45951</v>
      </c>
    </row>
    <row r="296" spans="1:1">
      <c r="A296" s="2">
        <v>45952</v>
      </c>
    </row>
    <row r="297" spans="1:1">
      <c r="A297" s="2">
        <v>45953</v>
      </c>
    </row>
    <row r="298" spans="1:1">
      <c r="A298" s="2">
        <v>45954</v>
      </c>
    </row>
    <row r="299" spans="1:1">
      <c r="A299" s="2">
        <v>45955</v>
      </c>
    </row>
    <row r="300" spans="1:1">
      <c r="A300" s="2">
        <v>45956</v>
      </c>
    </row>
    <row r="301" spans="1:1">
      <c r="A301" s="2">
        <v>45957</v>
      </c>
    </row>
    <row r="302" spans="1:1">
      <c r="A302" s="2">
        <v>45958</v>
      </c>
    </row>
    <row r="303" spans="1:1">
      <c r="A303" s="2">
        <v>45959</v>
      </c>
    </row>
    <row r="304" spans="1:1">
      <c r="A304" s="2">
        <v>45960</v>
      </c>
    </row>
    <row r="305" spans="1:1">
      <c r="A305" s="2">
        <v>45961</v>
      </c>
    </row>
    <row r="306" spans="1:1">
      <c r="A306" s="2">
        <v>45962</v>
      </c>
    </row>
    <row r="307" spans="1:1">
      <c r="A307" s="2">
        <v>45963</v>
      </c>
    </row>
    <row r="308" spans="1:1">
      <c r="A308" s="2">
        <v>45964</v>
      </c>
    </row>
    <row r="309" spans="1:1">
      <c r="A309" s="2">
        <v>45965</v>
      </c>
    </row>
    <row r="310" spans="1:1">
      <c r="A310" s="2">
        <v>45966</v>
      </c>
    </row>
    <row r="311" spans="1:1">
      <c r="A311" s="2">
        <v>45967</v>
      </c>
    </row>
    <row r="312" spans="1:1">
      <c r="A312" s="2">
        <v>45968</v>
      </c>
    </row>
    <row r="313" spans="1:1">
      <c r="A313" s="2">
        <v>45969</v>
      </c>
    </row>
    <row r="314" spans="1:1">
      <c r="A314" s="2">
        <v>45970</v>
      </c>
    </row>
    <row r="315" spans="1:1">
      <c r="A315" s="2">
        <v>45971</v>
      </c>
    </row>
    <row r="316" spans="1:1">
      <c r="A316" s="2">
        <v>45972</v>
      </c>
    </row>
    <row r="317" spans="1:1">
      <c r="A317" s="2">
        <v>45973</v>
      </c>
    </row>
    <row r="318" spans="1:1">
      <c r="A318" s="2">
        <v>45974</v>
      </c>
    </row>
    <row r="319" spans="1:1">
      <c r="A319" s="2">
        <v>45975</v>
      </c>
    </row>
    <row r="320" spans="1:1">
      <c r="A320" s="2">
        <v>45976</v>
      </c>
    </row>
    <row r="321" spans="1:1">
      <c r="A321" s="2">
        <v>45977</v>
      </c>
    </row>
    <row r="322" spans="1:1">
      <c r="A322" s="2">
        <v>45978</v>
      </c>
    </row>
    <row r="323" spans="1:1">
      <c r="A323" s="2">
        <v>45979</v>
      </c>
    </row>
    <row r="324" spans="1:1">
      <c r="A324" s="2">
        <v>45980</v>
      </c>
    </row>
    <row r="325" spans="1:1">
      <c r="A325" s="2">
        <v>45981</v>
      </c>
    </row>
    <row r="326" spans="1:1">
      <c r="A326" s="2">
        <v>45982</v>
      </c>
    </row>
    <row r="327" spans="1:1">
      <c r="A327" s="2">
        <v>45983</v>
      </c>
    </row>
    <row r="328" spans="1:1">
      <c r="A328" s="2">
        <v>45984</v>
      </c>
    </row>
    <row r="329" spans="1:1">
      <c r="A329" s="2">
        <v>45985</v>
      </c>
    </row>
    <row r="330" spans="1:1">
      <c r="A330" s="2">
        <v>45986</v>
      </c>
    </row>
    <row r="331" spans="1:1">
      <c r="A331" s="2">
        <v>45987</v>
      </c>
    </row>
    <row r="332" spans="1:1">
      <c r="A332" s="2">
        <v>45988</v>
      </c>
    </row>
    <row r="333" spans="1:1">
      <c r="A333" s="2">
        <v>45989</v>
      </c>
    </row>
    <row r="334" spans="1:1">
      <c r="A334" s="2">
        <v>45990</v>
      </c>
    </row>
    <row r="335" spans="1:1">
      <c r="A335" s="2">
        <v>45991</v>
      </c>
    </row>
    <row r="336" spans="1:1">
      <c r="A336" s="2">
        <v>45992</v>
      </c>
    </row>
    <row r="337" spans="1:1">
      <c r="A337" s="2">
        <v>45993</v>
      </c>
    </row>
    <row r="338" spans="1:1">
      <c r="A338" s="2">
        <v>45994</v>
      </c>
    </row>
    <row r="339" spans="1:1">
      <c r="A339" s="2">
        <v>45995</v>
      </c>
    </row>
    <row r="340" spans="1:1">
      <c r="A340" s="2">
        <v>45996</v>
      </c>
    </row>
    <row r="341" spans="1:1">
      <c r="A341" s="2">
        <v>45997</v>
      </c>
    </row>
    <row r="342" spans="1:1">
      <c r="A342" s="2">
        <v>45998</v>
      </c>
    </row>
    <row r="343" spans="1:1">
      <c r="A343" s="2">
        <v>45999</v>
      </c>
    </row>
    <row r="344" spans="1:1">
      <c r="A344" s="2">
        <v>46000</v>
      </c>
    </row>
    <row r="345" spans="1:1">
      <c r="A345" s="2">
        <v>46001</v>
      </c>
    </row>
    <row r="346" spans="1:1">
      <c r="A346" s="2">
        <v>46002</v>
      </c>
    </row>
    <row r="347" spans="1:1">
      <c r="A347" s="2">
        <v>46003</v>
      </c>
    </row>
    <row r="348" spans="1:1">
      <c r="A348" s="2">
        <v>46004</v>
      </c>
    </row>
    <row r="349" spans="1:1">
      <c r="A349" s="2">
        <v>46005</v>
      </c>
    </row>
    <row r="350" spans="1:1">
      <c r="A350" s="2">
        <v>46006</v>
      </c>
    </row>
    <row r="351" spans="1:1">
      <c r="A351" s="2">
        <v>46007</v>
      </c>
    </row>
    <row r="352" spans="1:1">
      <c r="A352" s="2">
        <v>46008</v>
      </c>
    </row>
    <row r="353" spans="1:1">
      <c r="A353" s="2">
        <v>46009</v>
      </c>
    </row>
    <row r="354" spans="1:1">
      <c r="A354" s="2">
        <v>46010</v>
      </c>
    </row>
    <row r="355" spans="1:1">
      <c r="A355" s="2">
        <v>46011</v>
      </c>
    </row>
    <row r="356" spans="1:1">
      <c r="A356" s="2">
        <v>46012</v>
      </c>
    </row>
    <row r="357" spans="1:1">
      <c r="A357" s="2">
        <v>46013</v>
      </c>
    </row>
    <row r="358" spans="1:1">
      <c r="A358" s="2">
        <v>46014</v>
      </c>
    </row>
    <row r="359" spans="1:1">
      <c r="A359" s="2">
        <v>46015</v>
      </c>
    </row>
    <row r="360" spans="1:1">
      <c r="A360" s="2">
        <v>46016</v>
      </c>
    </row>
    <row r="361" spans="1:1">
      <c r="A361" s="2">
        <v>46017</v>
      </c>
    </row>
    <row r="362" spans="1:1">
      <c r="A362" s="2">
        <v>46018</v>
      </c>
    </row>
    <row r="363" spans="1:1">
      <c r="A363" s="2">
        <v>46019</v>
      </c>
    </row>
    <row r="364" spans="1:1">
      <c r="A364" s="2">
        <v>46020</v>
      </c>
    </row>
    <row r="365" spans="1:1">
      <c r="A365" s="2">
        <v>46021</v>
      </c>
    </row>
    <row r="366" spans="1:1">
      <c r="A366" s="2">
        <v>46022</v>
      </c>
    </row>
    <row r="367" spans="1:1">
      <c r="A367" s="2">
        <v>46023</v>
      </c>
    </row>
    <row r="368" spans="1:1">
      <c r="A368" s="2">
        <v>46024</v>
      </c>
    </row>
    <row r="369" spans="1:1">
      <c r="A369" s="2">
        <v>46025</v>
      </c>
    </row>
    <row r="370" spans="1:1">
      <c r="A370" s="2">
        <v>46026</v>
      </c>
    </row>
    <row r="371" spans="1:1">
      <c r="A371" s="2">
        <v>46027</v>
      </c>
    </row>
    <row r="372" spans="1:1">
      <c r="A372" s="2">
        <v>46028</v>
      </c>
    </row>
    <row r="373" spans="1:1">
      <c r="A373" s="2">
        <v>46029</v>
      </c>
    </row>
    <row r="374" spans="1:1">
      <c r="A374" s="2">
        <v>46030</v>
      </c>
    </row>
    <row r="375" spans="1:1">
      <c r="A375" s="2">
        <v>46031</v>
      </c>
    </row>
    <row r="376" spans="1:1">
      <c r="A376" s="2">
        <v>46032</v>
      </c>
    </row>
    <row r="377" spans="1:1">
      <c r="A377" s="2">
        <v>46033</v>
      </c>
    </row>
    <row r="378" spans="1:1">
      <c r="A378" s="2">
        <v>46034</v>
      </c>
    </row>
    <row r="379" spans="1:1">
      <c r="A379" s="2">
        <v>46035</v>
      </c>
    </row>
    <row r="380" spans="1:1">
      <c r="A380" s="2">
        <v>46036</v>
      </c>
    </row>
    <row r="381" spans="1:1">
      <c r="A381" s="2">
        <v>46037</v>
      </c>
    </row>
    <row r="382" spans="1:1">
      <c r="A382" s="2">
        <v>46038</v>
      </c>
    </row>
    <row r="383" spans="1:1">
      <c r="A383" s="2">
        <v>46039</v>
      </c>
    </row>
    <row r="384" spans="1:1">
      <c r="A384" s="2">
        <v>46040</v>
      </c>
    </row>
    <row r="385" spans="1:1">
      <c r="A385" s="2">
        <v>46041</v>
      </c>
    </row>
    <row r="386" spans="1:1">
      <c r="A386" s="2">
        <v>46042</v>
      </c>
    </row>
    <row r="387" spans="1:1">
      <c r="A387" s="2">
        <v>46043</v>
      </c>
    </row>
    <row r="388" spans="1:1">
      <c r="A388" s="2">
        <v>46044</v>
      </c>
    </row>
    <row r="389" spans="1:1">
      <c r="A389" s="2">
        <v>46045</v>
      </c>
    </row>
    <row r="390" spans="1:1">
      <c r="A390" s="2">
        <v>46046</v>
      </c>
    </row>
    <row r="391" spans="1:1">
      <c r="A391" s="2">
        <v>46047</v>
      </c>
    </row>
    <row r="392" spans="1:1">
      <c r="A392" s="2">
        <v>46048</v>
      </c>
    </row>
    <row r="393" spans="1:1">
      <c r="A393" s="2">
        <v>46049</v>
      </c>
    </row>
    <row r="394" spans="1:1">
      <c r="A394" s="2">
        <v>46050</v>
      </c>
    </row>
    <row r="395" spans="1:1">
      <c r="A395" s="2">
        <v>46051</v>
      </c>
    </row>
    <row r="396" spans="1:1">
      <c r="A396" s="2">
        <v>46052</v>
      </c>
    </row>
    <row r="397" spans="1:1">
      <c r="A397" s="2">
        <v>46053</v>
      </c>
    </row>
    <row r="398" spans="1:1">
      <c r="A398" s="2">
        <v>46054</v>
      </c>
    </row>
    <row r="399" spans="1:1">
      <c r="A399" s="2">
        <v>46055</v>
      </c>
    </row>
    <row r="400" spans="1:1">
      <c r="A400" s="2">
        <v>46056</v>
      </c>
    </row>
    <row r="401" spans="1:1">
      <c r="A401" s="2">
        <v>46057</v>
      </c>
    </row>
    <row r="402" spans="1:1">
      <c r="A402" s="2">
        <v>46058</v>
      </c>
    </row>
    <row r="403" spans="1:1">
      <c r="A403" s="2">
        <v>46059</v>
      </c>
    </row>
    <row r="404" spans="1:1">
      <c r="A404" s="2">
        <v>46060</v>
      </c>
    </row>
    <row r="405" spans="1:1">
      <c r="A405" s="2">
        <v>46061</v>
      </c>
    </row>
    <row r="406" spans="1:1">
      <c r="A406" s="2">
        <v>46062</v>
      </c>
    </row>
    <row r="407" spans="1:1">
      <c r="A407" s="2">
        <v>46063</v>
      </c>
    </row>
    <row r="408" spans="1:1">
      <c r="A408" s="2">
        <v>46064</v>
      </c>
    </row>
    <row r="409" spans="1:1">
      <c r="A409" s="2">
        <v>46065</v>
      </c>
    </row>
    <row r="410" spans="1:1">
      <c r="A410" s="2">
        <v>46066</v>
      </c>
    </row>
    <row r="411" spans="1:1">
      <c r="A411" s="2">
        <v>46067</v>
      </c>
    </row>
    <row r="412" spans="1:1">
      <c r="A412" s="2">
        <v>46068</v>
      </c>
    </row>
    <row r="413" spans="1:1">
      <c r="A413" s="2">
        <v>46069</v>
      </c>
    </row>
    <row r="414" spans="1:1">
      <c r="A414" s="2">
        <v>46070</v>
      </c>
    </row>
    <row r="415" spans="1:1">
      <c r="A415" s="2">
        <v>46071</v>
      </c>
    </row>
    <row r="416" spans="1:1">
      <c r="A416" s="2">
        <v>46072</v>
      </c>
    </row>
    <row r="417" spans="1:1">
      <c r="A417" s="2">
        <v>46073</v>
      </c>
    </row>
    <row r="418" spans="1:1">
      <c r="A418" s="2">
        <v>46074</v>
      </c>
    </row>
    <row r="419" spans="1:1">
      <c r="A419" s="2">
        <v>46075</v>
      </c>
    </row>
    <row r="420" spans="1:1">
      <c r="A420" s="2">
        <v>46076</v>
      </c>
    </row>
    <row r="421" spans="1:1">
      <c r="A421" s="2">
        <v>46077</v>
      </c>
    </row>
    <row r="422" spans="1:1">
      <c r="A422" s="2">
        <v>46078</v>
      </c>
    </row>
    <row r="423" spans="1:1">
      <c r="A423" s="2">
        <v>46079</v>
      </c>
    </row>
    <row r="424" spans="1:1">
      <c r="A424" s="2">
        <v>46080</v>
      </c>
    </row>
    <row r="425" spans="1:1">
      <c r="A425" s="2">
        <v>46081</v>
      </c>
    </row>
    <row r="426" spans="1:1">
      <c r="A426" s="2">
        <v>46082</v>
      </c>
    </row>
    <row r="427" spans="1:1">
      <c r="A427" s="2">
        <v>46083</v>
      </c>
    </row>
    <row r="428" spans="1:1">
      <c r="A428" s="2">
        <v>46084</v>
      </c>
    </row>
    <row r="429" spans="1:1">
      <c r="A429" s="2">
        <v>46085</v>
      </c>
    </row>
    <row r="430" spans="1:1">
      <c r="A430" s="2">
        <v>46086</v>
      </c>
    </row>
    <row r="431" spans="1:1">
      <c r="A431" s="2">
        <v>46087</v>
      </c>
    </row>
    <row r="432" spans="1:1">
      <c r="A432" s="2">
        <v>46088</v>
      </c>
    </row>
    <row r="433" spans="1:1">
      <c r="A433" s="2">
        <v>46089</v>
      </c>
    </row>
    <row r="434" spans="1:1">
      <c r="A434" s="2">
        <v>46090</v>
      </c>
    </row>
    <row r="435" spans="1:1">
      <c r="A435" s="2">
        <v>46091</v>
      </c>
    </row>
    <row r="436" spans="1:1">
      <c r="A436" s="2">
        <v>46092</v>
      </c>
    </row>
    <row r="437" spans="1:1">
      <c r="A437" s="2">
        <v>46093</v>
      </c>
    </row>
    <row r="438" spans="1:1">
      <c r="A438" s="2">
        <v>46094</v>
      </c>
    </row>
    <row r="439" spans="1:1">
      <c r="A439" s="2">
        <v>46095</v>
      </c>
    </row>
    <row r="440" spans="1:1">
      <c r="A440" s="2">
        <v>46096</v>
      </c>
    </row>
    <row r="441" spans="1:1">
      <c r="A441" s="2">
        <v>46097</v>
      </c>
    </row>
    <row r="442" spans="1:1">
      <c r="A442" s="2">
        <v>46098</v>
      </c>
    </row>
    <row r="443" spans="1:1">
      <c r="A443" s="2">
        <v>46099</v>
      </c>
    </row>
    <row r="444" spans="1:1">
      <c r="A444" s="2">
        <v>46100</v>
      </c>
    </row>
    <row r="445" spans="1:1">
      <c r="A445" s="2">
        <v>46101</v>
      </c>
    </row>
    <row r="446" spans="1:1">
      <c r="A446" s="2">
        <v>46102</v>
      </c>
    </row>
    <row r="447" spans="1:1">
      <c r="A447" s="2">
        <v>46103</v>
      </c>
    </row>
    <row r="448" spans="1:1">
      <c r="A448" s="2">
        <v>46104</v>
      </c>
    </row>
    <row r="449" spans="1:1">
      <c r="A449" s="2">
        <v>46105</v>
      </c>
    </row>
    <row r="450" spans="1:1">
      <c r="A450" s="2">
        <v>46106</v>
      </c>
    </row>
    <row r="451" spans="1:1">
      <c r="A451" s="2">
        <v>46107</v>
      </c>
    </row>
    <row r="452" spans="1:1">
      <c r="A452" s="2">
        <v>46108</v>
      </c>
    </row>
    <row r="453" spans="1:1">
      <c r="A453" s="2">
        <v>46109</v>
      </c>
    </row>
    <row r="454" spans="1:1">
      <c r="A454" s="2">
        <v>46110</v>
      </c>
    </row>
    <row r="455" spans="1:1">
      <c r="A455" s="2">
        <v>46111</v>
      </c>
    </row>
    <row r="456" spans="1:1">
      <c r="A456" s="2">
        <v>46112</v>
      </c>
    </row>
    <row r="457" spans="1:1">
      <c r="A457" s="2">
        <v>46113</v>
      </c>
    </row>
    <row r="458" spans="1:1">
      <c r="A458" s="2">
        <v>46114</v>
      </c>
    </row>
    <row r="459" spans="1:1">
      <c r="A459" s="2">
        <v>46115</v>
      </c>
    </row>
    <row r="460" spans="1:1">
      <c r="A460" s="2">
        <v>46116</v>
      </c>
    </row>
    <row r="461" spans="1:1">
      <c r="A461" s="2">
        <v>46117</v>
      </c>
    </row>
    <row r="462" spans="1:1">
      <c r="A462" s="2">
        <v>46118</v>
      </c>
    </row>
    <row r="463" spans="1:1">
      <c r="A463" s="2">
        <v>46119</v>
      </c>
    </row>
    <row r="464" spans="1:1">
      <c r="A464" s="2">
        <v>46120</v>
      </c>
    </row>
    <row r="465" spans="1:1">
      <c r="A465" s="2">
        <v>46121</v>
      </c>
    </row>
    <row r="466" spans="1:1">
      <c r="A466" s="2">
        <v>46122</v>
      </c>
    </row>
    <row r="467" spans="1:1">
      <c r="A467" s="2">
        <v>46123</v>
      </c>
    </row>
    <row r="468" spans="1:1">
      <c r="A468" s="2">
        <v>46124</v>
      </c>
    </row>
    <row r="469" spans="1:1">
      <c r="A469" s="2">
        <v>46125</v>
      </c>
    </row>
    <row r="470" spans="1:1">
      <c r="A470" s="2">
        <v>46126</v>
      </c>
    </row>
    <row r="471" spans="1:1">
      <c r="A471" s="2">
        <v>46127</v>
      </c>
    </row>
    <row r="472" spans="1:1">
      <c r="A472" s="2">
        <v>46128</v>
      </c>
    </row>
    <row r="473" spans="1:1">
      <c r="A473" s="2">
        <v>46129</v>
      </c>
    </row>
    <row r="474" spans="1:1">
      <c r="A474" s="2">
        <v>46130</v>
      </c>
    </row>
    <row r="475" spans="1:1">
      <c r="A475" s="2">
        <v>46131</v>
      </c>
    </row>
    <row r="476" spans="1:1">
      <c r="A476" s="2">
        <v>46132</v>
      </c>
    </row>
    <row r="477" spans="1:1">
      <c r="A477" s="2">
        <v>46133</v>
      </c>
    </row>
    <row r="478" spans="1:1">
      <c r="A478" s="2">
        <v>46134</v>
      </c>
    </row>
    <row r="479" spans="1:1">
      <c r="A479" s="2">
        <v>46135</v>
      </c>
    </row>
    <row r="480" spans="1:1">
      <c r="A480" s="2">
        <v>46136</v>
      </c>
    </row>
    <row r="481" spans="1:1">
      <c r="A481" s="2">
        <v>46137</v>
      </c>
    </row>
    <row r="482" spans="1:1">
      <c r="A482" s="2">
        <v>46138</v>
      </c>
    </row>
    <row r="483" spans="1:1">
      <c r="A483" s="2">
        <v>46139</v>
      </c>
    </row>
    <row r="484" spans="1:1">
      <c r="A484" s="2">
        <v>46140</v>
      </c>
    </row>
    <row r="485" spans="1:1">
      <c r="A485" s="2">
        <v>46141</v>
      </c>
    </row>
    <row r="486" spans="1:1">
      <c r="A486" s="2">
        <v>46142</v>
      </c>
    </row>
    <row r="487" spans="1:1">
      <c r="A487" s="2">
        <v>46143</v>
      </c>
    </row>
    <row r="488" spans="1:1">
      <c r="A488" s="2">
        <v>46144</v>
      </c>
    </row>
    <row r="489" spans="1:1">
      <c r="A489" s="2">
        <v>46145</v>
      </c>
    </row>
    <row r="490" spans="1:1">
      <c r="A490" s="2">
        <v>46146</v>
      </c>
    </row>
    <row r="491" spans="1:1">
      <c r="A491" s="2">
        <v>46147</v>
      </c>
    </row>
    <row r="492" spans="1:1">
      <c r="A492" s="2">
        <v>46148</v>
      </c>
    </row>
    <row r="493" spans="1:1">
      <c r="A493" s="2">
        <v>46149</v>
      </c>
    </row>
    <row r="494" spans="1:1">
      <c r="A494" s="2">
        <v>46150</v>
      </c>
    </row>
    <row r="495" spans="1:1">
      <c r="A495" s="2">
        <v>46151</v>
      </c>
    </row>
    <row r="496" spans="1:1">
      <c r="A496" s="2">
        <v>46152</v>
      </c>
    </row>
    <row r="497" spans="1:1">
      <c r="A497" s="2">
        <v>46153</v>
      </c>
    </row>
    <row r="498" spans="1:1">
      <c r="A498" s="2">
        <v>46154</v>
      </c>
    </row>
    <row r="499" spans="1:1">
      <c r="A499" s="2">
        <v>46155</v>
      </c>
    </row>
    <row r="500" spans="1:1">
      <c r="A500" s="2">
        <v>46156</v>
      </c>
    </row>
    <row r="501" spans="1:1">
      <c r="A501" s="2">
        <v>46157</v>
      </c>
    </row>
    <row r="502" spans="1:1">
      <c r="A502" s="2">
        <v>46158</v>
      </c>
    </row>
    <row r="503" spans="1:1">
      <c r="A503" s="2">
        <v>46159</v>
      </c>
    </row>
    <row r="504" spans="1:1">
      <c r="A504" s="2">
        <v>46160</v>
      </c>
    </row>
    <row r="505" spans="1:1">
      <c r="A505" s="2">
        <v>46161</v>
      </c>
    </row>
    <row r="506" spans="1:1">
      <c r="A506" s="2">
        <v>46162</v>
      </c>
    </row>
    <row r="507" spans="1:1">
      <c r="A507" s="2">
        <v>46163</v>
      </c>
    </row>
    <row r="508" spans="1:1">
      <c r="A508" s="2">
        <v>46164</v>
      </c>
    </row>
    <row r="509" spans="1:1">
      <c r="A509" s="2">
        <v>46165</v>
      </c>
    </row>
    <row r="510" spans="1:1">
      <c r="A510" s="2">
        <v>46166</v>
      </c>
    </row>
    <row r="511" spans="1:1">
      <c r="A511" s="2">
        <v>46167</v>
      </c>
    </row>
    <row r="512" spans="1:1">
      <c r="A512" s="2">
        <v>46168</v>
      </c>
    </row>
    <row r="513" spans="1:1">
      <c r="A513" s="2">
        <v>46169</v>
      </c>
    </row>
    <row r="514" spans="1:1">
      <c r="A514" s="2">
        <v>46170</v>
      </c>
    </row>
    <row r="515" spans="1:1">
      <c r="A515" s="2">
        <v>46171</v>
      </c>
    </row>
    <row r="516" spans="1:1">
      <c r="A516" s="2">
        <v>46172</v>
      </c>
    </row>
    <row r="517" spans="1:1">
      <c r="A517" s="2">
        <v>46173</v>
      </c>
    </row>
    <row r="518" spans="1:1">
      <c r="A518" s="2">
        <v>46174</v>
      </c>
    </row>
    <row r="519" spans="1:1">
      <c r="A519" s="2">
        <v>46175</v>
      </c>
    </row>
    <row r="520" spans="1:1">
      <c r="A520" s="2">
        <v>46176</v>
      </c>
    </row>
    <row r="521" spans="1:1">
      <c r="A521" s="2">
        <v>46177</v>
      </c>
    </row>
    <row r="522" spans="1:1">
      <c r="A522" s="2">
        <v>46178</v>
      </c>
    </row>
    <row r="523" spans="1:1">
      <c r="A523" s="2">
        <v>46179</v>
      </c>
    </row>
    <row r="524" spans="1:1">
      <c r="A524" s="2">
        <v>46180</v>
      </c>
    </row>
    <row r="525" spans="1:1">
      <c r="A525" s="2">
        <v>46181</v>
      </c>
    </row>
    <row r="526" spans="1:1">
      <c r="A526" s="2">
        <v>46182</v>
      </c>
    </row>
    <row r="527" spans="1:1">
      <c r="A527" s="2">
        <v>46183</v>
      </c>
    </row>
    <row r="528" spans="1:1">
      <c r="A528" s="2">
        <v>46184</v>
      </c>
    </row>
    <row r="529" spans="1:1">
      <c r="A529" s="2">
        <v>46185</v>
      </c>
    </row>
    <row r="530" spans="1:1">
      <c r="A530" s="2">
        <v>46186</v>
      </c>
    </row>
    <row r="531" spans="1:1">
      <c r="A531" s="2">
        <v>46187</v>
      </c>
    </row>
    <row r="532" spans="1:1">
      <c r="A532" s="2">
        <v>46188</v>
      </c>
    </row>
    <row r="533" spans="1:1">
      <c r="A533" s="2">
        <v>46189</v>
      </c>
    </row>
    <row r="534" spans="1:1">
      <c r="A534" s="2">
        <v>46190</v>
      </c>
    </row>
    <row r="535" spans="1:1">
      <c r="A535" s="2">
        <v>46191</v>
      </c>
    </row>
    <row r="536" spans="1:1">
      <c r="A536" s="2">
        <v>46192</v>
      </c>
    </row>
    <row r="537" spans="1:1">
      <c r="A537" s="2">
        <v>46193</v>
      </c>
    </row>
    <row r="538" spans="1:1">
      <c r="A538" s="2">
        <v>46194</v>
      </c>
    </row>
    <row r="539" spans="1:1">
      <c r="A539" s="2">
        <v>46195</v>
      </c>
    </row>
    <row r="540" spans="1:1">
      <c r="A540" s="2">
        <v>46196</v>
      </c>
    </row>
    <row r="541" spans="1:1">
      <c r="A541" s="2">
        <v>46197</v>
      </c>
    </row>
    <row r="542" spans="1:1">
      <c r="A542" s="2">
        <v>46198</v>
      </c>
    </row>
    <row r="543" spans="1:1">
      <c r="A543" s="2">
        <v>46199</v>
      </c>
    </row>
    <row r="544" spans="1:1">
      <c r="A544" s="2">
        <v>46200</v>
      </c>
    </row>
    <row r="545" spans="1:1">
      <c r="A545" s="2">
        <v>46201</v>
      </c>
    </row>
    <row r="546" spans="1:1">
      <c r="A546" s="2">
        <v>46202</v>
      </c>
    </row>
    <row r="547" spans="1:1">
      <c r="A547" s="2">
        <v>46203</v>
      </c>
    </row>
    <row r="548" spans="1:1">
      <c r="A548" s="2">
        <v>46204</v>
      </c>
    </row>
    <row r="549" spans="1:1">
      <c r="A549" s="2">
        <v>46205</v>
      </c>
    </row>
    <row r="550" spans="1:1">
      <c r="A550" s="2">
        <v>46206</v>
      </c>
    </row>
    <row r="551" spans="1:1">
      <c r="A551" s="2">
        <v>46207</v>
      </c>
    </row>
    <row r="552" spans="1:1">
      <c r="A552" s="2">
        <v>46208</v>
      </c>
    </row>
    <row r="553" spans="1:1">
      <c r="A553" s="2">
        <v>46209</v>
      </c>
    </row>
    <row r="554" spans="1:1">
      <c r="A554" s="2">
        <v>46210</v>
      </c>
    </row>
    <row r="555" spans="1:1">
      <c r="A555" s="2">
        <v>46211</v>
      </c>
    </row>
    <row r="556" spans="1:1">
      <c r="A556" s="2">
        <v>46212</v>
      </c>
    </row>
    <row r="557" spans="1:1">
      <c r="A557" s="2">
        <v>46213</v>
      </c>
    </row>
    <row r="558" spans="1:1">
      <c r="A558" s="2">
        <v>46214</v>
      </c>
    </row>
    <row r="559" spans="1:1">
      <c r="A559" s="2">
        <v>46215</v>
      </c>
    </row>
    <row r="560" spans="1:1">
      <c r="A560" s="2">
        <v>46216</v>
      </c>
    </row>
    <row r="561" spans="1:1">
      <c r="A561" s="2">
        <v>46217</v>
      </c>
    </row>
    <row r="562" spans="1:1">
      <c r="A562" s="2">
        <v>46218</v>
      </c>
    </row>
    <row r="563" spans="1:1">
      <c r="A563" s="2">
        <v>46219</v>
      </c>
    </row>
    <row r="564" spans="1:1">
      <c r="A564" s="2">
        <v>46220</v>
      </c>
    </row>
    <row r="565" spans="1:1">
      <c r="A565" s="2">
        <v>46221</v>
      </c>
    </row>
    <row r="566" spans="1:1">
      <c r="A566" s="2">
        <v>46222</v>
      </c>
    </row>
    <row r="567" spans="1:1">
      <c r="A567" s="2">
        <v>46223</v>
      </c>
    </row>
    <row r="568" spans="1:1">
      <c r="A568" s="2">
        <v>46224</v>
      </c>
    </row>
    <row r="569" spans="1:1">
      <c r="A569" s="2">
        <v>46225</v>
      </c>
    </row>
    <row r="570" spans="1:1">
      <c r="A570" s="2">
        <v>46226</v>
      </c>
    </row>
    <row r="571" spans="1:1">
      <c r="A571" s="2">
        <v>46227</v>
      </c>
    </row>
    <row r="572" spans="1:1">
      <c r="A572" s="2">
        <v>46228</v>
      </c>
    </row>
    <row r="573" spans="1:1">
      <c r="A573" s="2">
        <v>46229</v>
      </c>
    </row>
    <row r="574" spans="1:1">
      <c r="A574" s="2">
        <v>46230</v>
      </c>
    </row>
    <row r="575" spans="1:1">
      <c r="A575" s="2">
        <v>46231</v>
      </c>
    </row>
    <row r="576" spans="1:1">
      <c r="A576" s="2">
        <v>46232</v>
      </c>
    </row>
    <row r="577" spans="1:1">
      <c r="A577" s="2">
        <v>46233</v>
      </c>
    </row>
    <row r="578" spans="1:1">
      <c r="A578" s="2">
        <v>46234</v>
      </c>
    </row>
    <row r="579" spans="1:1">
      <c r="A579" s="2">
        <v>46235</v>
      </c>
    </row>
    <row r="580" spans="1:1">
      <c r="A580" s="2">
        <v>46236</v>
      </c>
    </row>
    <row r="581" spans="1:1">
      <c r="A581" s="2">
        <v>46237</v>
      </c>
    </row>
    <row r="582" spans="1:1">
      <c r="A582" s="2">
        <v>46238</v>
      </c>
    </row>
    <row r="583" spans="1:1">
      <c r="A583" s="2">
        <v>46239</v>
      </c>
    </row>
    <row r="584" spans="1:1">
      <c r="A584" s="2">
        <v>46240</v>
      </c>
    </row>
    <row r="585" spans="1:1">
      <c r="A585" s="2">
        <v>46241</v>
      </c>
    </row>
    <row r="586" spans="1:1">
      <c r="A586" s="2">
        <v>46242</v>
      </c>
    </row>
    <row r="587" spans="1:1">
      <c r="A587" s="2">
        <v>46243</v>
      </c>
    </row>
    <row r="588" spans="1:1">
      <c r="A588" s="2">
        <v>46244</v>
      </c>
    </row>
    <row r="589" spans="1:1">
      <c r="A589" s="2">
        <v>46245</v>
      </c>
    </row>
    <row r="590" spans="1:1">
      <c r="A590" s="2">
        <v>46246</v>
      </c>
    </row>
    <row r="591" spans="1:1">
      <c r="A591" s="2">
        <v>46247</v>
      </c>
    </row>
    <row r="592" spans="1:1">
      <c r="A592" s="2">
        <v>46248</v>
      </c>
    </row>
    <row r="593" spans="1:1">
      <c r="A593" s="2">
        <v>46249</v>
      </c>
    </row>
    <row r="594" spans="1:1">
      <c r="A594" s="2">
        <v>46250</v>
      </c>
    </row>
    <row r="595" spans="1:1">
      <c r="A595" s="2">
        <v>46251</v>
      </c>
    </row>
    <row r="596" spans="1:1">
      <c r="A596" s="2">
        <v>46252</v>
      </c>
    </row>
    <row r="597" spans="1:1">
      <c r="A597" s="2">
        <v>46253</v>
      </c>
    </row>
    <row r="598" spans="1:1">
      <c r="A598" s="2">
        <v>46254</v>
      </c>
    </row>
    <row r="599" spans="1:1">
      <c r="A599" s="2">
        <v>46255</v>
      </c>
    </row>
    <row r="600" spans="1:1">
      <c r="A600" s="2">
        <v>46256</v>
      </c>
    </row>
    <row r="601" spans="1:1">
      <c r="A601" s="2">
        <v>46257</v>
      </c>
    </row>
    <row r="602" spans="1:1">
      <c r="A602" s="2">
        <v>46258</v>
      </c>
    </row>
    <row r="603" spans="1:1">
      <c r="A603" s="2">
        <v>46259</v>
      </c>
    </row>
    <row r="604" spans="1:1">
      <c r="A604" s="2">
        <v>46260</v>
      </c>
    </row>
    <row r="605" spans="1:1">
      <c r="A605" s="2">
        <v>46261</v>
      </c>
    </row>
    <row r="606" spans="1:1">
      <c r="A606" s="2">
        <v>46262</v>
      </c>
    </row>
    <row r="607" spans="1:1">
      <c r="A607" s="2">
        <v>46263</v>
      </c>
    </row>
    <row r="608" spans="1:1">
      <c r="A608" s="2">
        <v>46264</v>
      </c>
    </row>
    <row r="609" spans="1:1">
      <c r="A609" s="2">
        <v>46265</v>
      </c>
    </row>
    <row r="610" spans="1:1">
      <c r="A610" s="2">
        <v>46266</v>
      </c>
    </row>
    <row r="611" spans="1:1">
      <c r="A611" s="2">
        <v>46267</v>
      </c>
    </row>
    <row r="612" spans="1:1">
      <c r="A612" s="2">
        <v>46268</v>
      </c>
    </row>
    <row r="613" spans="1:1">
      <c r="A613" s="2">
        <v>46269</v>
      </c>
    </row>
    <row r="614" spans="1:1">
      <c r="A614" s="2">
        <v>46270</v>
      </c>
    </row>
    <row r="615" spans="1:1">
      <c r="A615" s="2">
        <v>46271</v>
      </c>
    </row>
    <row r="616" spans="1:1">
      <c r="A616" s="2">
        <v>46272</v>
      </c>
    </row>
    <row r="617" spans="1:1">
      <c r="A617" s="2">
        <v>46273</v>
      </c>
    </row>
    <row r="618" spans="1:1">
      <c r="A618" s="2">
        <v>46274</v>
      </c>
    </row>
    <row r="619" spans="1:1">
      <c r="A619" s="2">
        <v>46275</v>
      </c>
    </row>
    <row r="620" spans="1:1">
      <c r="A620" s="2">
        <v>46276</v>
      </c>
    </row>
    <row r="621" spans="1:1">
      <c r="A621" s="2">
        <v>46277</v>
      </c>
    </row>
    <row r="622" spans="1:1">
      <c r="A622" s="2">
        <v>46278</v>
      </c>
    </row>
    <row r="623" spans="1:1">
      <c r="A623" s="2">
        <v>46279</v>
      </c>
    </row>
    <row r="624" spans="1:1">
      <c r="A624" s="2">
        <v>46280</v>
      </c>
    </row>
    <row r="625" spans="1:1">
      <c r="A625" s="2">
        <v>46281</v>
      </c>
    </row>
    <row r="626" spans="1:1">
      <c r="A626" s="2">
        <v>46282</v>
      </c>
    </row>
    <row r="627" spans="1:1">
      <c r="A627" s="2">
        <v>46283</v>
      </c>
    </row>
    <row r="628" spans="1:1">
      <c r="A628" s="2">
        <v>46284</v>
      </c>
    </row>
    <row r="629" spans="1:1">
      <c r="A629" s="2">
        <v>46285</v>
      </c>
    </row>
    <row r="630" spans="1:1">
      <c r="A630" s="2">
        <v>46286</v>
      </c>
    </row>
    <row r="631" spans="1:1">
      <c r="A631" s="2">
        <v>46287</v>
      </c>
    </row>
    <row r="632" spans="1:1">
      <c r="A632" s="2">
        <v>46288</v>
      </c>
    </row>
    <row r="633" spans="1:1">
      <c r="A633" s="2">
        <v>46289</v>
      </c>
    </row>
    <row r="634" spans="1:1">
      <c r="A634" s="2">
        <v>46290</v>
      </c>
    </row>
    <row r="635" spans="1:1">
      <c r="A635" s="2">
        <v>46291</v>
      </c>
    </row>
    <row r="636" spans="1:1">
      <c r="A636" s="2">
        <v>46292</v>
      </c>
    </row>
    <row r="637" spans="1:1">
      <c r="A637" s="2">
        <v>46293</v>
      </c>
    </row>
    <row r="638" spans="1:1">
      <c r="A638" s="2">
        <v>46294</v>
      </c>
    </row>
    <row r="639" spans="1:1">
      <c r="A639" s="2">
        <v>46295</v>
      </c>
    </row>
    <row r="640" spans="1:1">
      <c r="A640" s="2">
        <v>46296</v>
      </c>
    </row>
    <row r="641" spans="1:1">
      <c r="A641" s="2">
        <v>46297</v>
      </c>
    </row>
    <row r="642" spans="1:1">
      <c r="A642" s="2">
        <v>46298</v>
      </c>
    </row>
    <row r="643" spans="1:1">
      <c r="A643" s="2">
        <v>46299</v>
      </c>
    </row>
    <row r="644" spans="1:1">
      <c r="A644" s="2">
        <v>46300</v>
      </c>
    </row>
    <row r="645" spans="1:1">
      <c r="A645" s="2">
        <v>46301</v>
      </c>
    </row>
    <row r="646" spans="1:1">
      <c r="A646" s="2">
        <v>46302</v>
      </c>
    </row>
    <row r="647" spans="1:1">
      <c r="A647" s="2">
        <v>46303</v>
      </c>
    </row>
    <row r="648" spans="1:1">
      <c r="A648" s="2">
        <v>46304</v>
      </c>
    </row>
    <row r="649" spans="1:1">
      <c r="A649" s="2">
        <v>46305</v>
      </c>
    </row>
    <row r="650" spans="1:1">
      <c r="A650" s="2">
        <v>46306</v>
      </c>
    </row>
    <row r="651" spans="1:1">
      <c r="A651" s="2">
        <v>46307</v>
      </c>
    </row>
    <row r="652" spans="1:1">
      <c r="A652" s="2">
        <v>46308</v>
      </c>
    </row>
    <row r="653" spans="1:1">
      <c r="A653" s="2">
        <v>46309</v>
      </c>
    </row>
    <row r="654" spans="1:1">
      <c r="A654" s="2">
        <v>46310</v>
      </c>
    </row>
    <row r="655" spans="1:1">
      <c r="A655" s="2">
        <v>46311</v>
      </c>
    </row>
    <row r="656" spans="1:1">
      <c r="A656" s="2">
        <v>46312</v>
      </c>
    </row>
    <row r="657" spans="1:1">
      <c r="A657" s="2">
        <v>46313</v>
      </c>
    </row>
    <row r="658" spans="1:1">
      <c r="A658" s="2">
        <v>46314</v>
      </c>
    </row>
    <row r="659" spans="1:1">
      <c r="A659" s="2">
        <v>46315</v>
      </c>
    </row>
    <row r="660" spans="1:1">
      <c r="A660" s="2">
        <v>46316</v>
      </c>
    </row>
    <row r="661" spans="1:1">
      <c r="A661" s="2">
        <v>46317</v>
      </c>
    </row>
    <row r="662" spans="1:1">
      <c r="A662" s="2">
        <v>46318</v>
      </c>
    </row>
    <row r="663" spans="1:1">
      <c r="A663" s="2">
        <v>46319</v>
      </c>
    </row>
    <row r="664" spans="1:1">
      <c r="A664" s="2">
        <v>46320</v>
      </c>
    </row>
    <row r="665" spans="1:1">
      <c r="A665" s="2">
        <v>46321</v>
      </c>
    </row>
    <row r="666" spans="1:1">
      <c r="A666" s="2">
        <v>46322</v>
      </c>
    </row>
    <row r="667" spans="1:1">
      <c r="A667" s="2">
        <v>46323</v>
      </c>
    </row>
    <row r="668" spans="1:1">
      <c r="A668" s="2">
        <v>46324</v>
      </c>
    </row>
    <row r="669" spans="1:1">
      <c r="A669" s="2">
        <v>46325</v>
      </c>
    </row>
    <row r="670" spans="1:1">
      <c r="A670" s="2">
        <v>46326</v>
      </c>
    </row>
    <row r="671" spans="1:1">
      <c r="A671" s="2">
        <v>46327</v>
      </c>
    </row>
    <row r="672" spans="1:1">
      <c r="A672" s="2">
        <v>46328</v>
      </c>
    </row>
    <row r="673" spans="1:1">
      <c r="A673" s="2">
        <v>46329</v>
      </c>
    </row>
    <row r="674" spans="1:1">
      <c r="A674" s="2">
        <v>46330</v>
      </c>
    </row>
    <row r="675" spans="1:1">
      <c r="A675" s="2">
        <v>46331</v>
      </c>
    </row>
    <row r="676" spans="1:1">
      <c r="A676" s="2">
        <v>46332</v>
      </c>
    </row>
    <row r="677" spans="1:1">
      <c r="A677" s="2">
        <v>46333</v>
      </c>
    </row>
    <row r="678" spans="1:1">
      <c r="A678" s="2">
        <v>46334</v>
      </c>
    </row>
    <row r="679" spans="1:1">
      <c r="A679" s="2">
        <v>46335</v>
      </c>
    </row>
    <row r="680" spans="1:1">
      <c r="A680" s="2">
        <v>46336</v>
      </c>
    </row>
    <row r="681" spans="1:1">
      <c r="A681" s="2">
        <v>46337</v>
      </c>
    </row>
    <row r="682" spans="1:1">
      <c r="A682" s="2">
        <v>46338</v>
      </c>
    </row>
    <row r="683" spans="1:1">
      <c r="A683" s="2">
        <v>46339</v>
      </c>
    </row>
    <row r="684" spans="1:1">
      <c r="A684" s="2">
        <v>46340</v>
      </c>
    </row>
    <row r="685" spans="1:1">
      <c r="A685" s="2">
        <v>46341</v>
      </c>
    </row>
    <row r="686" spans="1:1">
      <c r="A686" s="2">
        <v>46342</v>
      </c>
    </row>
    <row r="687" spans="1:1">
      <c r="A687" s="2">
        <v>46343</v>
      </c>
    </row>
    <row r="688" spans="1:1">
      <c r="A688" s="2">
        <v>46344</v>
      </c>
    </row>
    <row r="689" spans="1:1">
      <c r="A689" s="2">
        <v>46345</v>
      </c>
    </row>
    <row r="690" spans="1:1">
      <c r="A690" s="2">
        <v>46346</v>
      </c>
    </row>
    <row r="691" spans="1:1">
      <c r="A691" s="2">
        <v>46347</v>
      </c>
    </row>
    <row r="692" spans="1:1">
      <c r="A692" s="2">
        <v>46348</v>
      </c>
    </row>
    <row r="693" spans="1:1">
      <c r="A693" s="2">
        <v>46349</v>
      </c>
    </row>
    <row r="694" spans="1:1">
      <c r="A694" s="2">
        <v>46350</v>
      </c>
    </row>
    <row r="695" spans="1:1">
      <c r="A695" s="2">
        <v>46351</v>
      </c>
    </row>
    <row r="696" spans="1:1">
      <c r="A696" s="2">
        <v>46352</v>
      </c>
    </row>
    <row r="697" spans="1:1">
      <c r="A697" s="2">
        <v>46353</v>
      </c>
    </row>
    <row r="698" spans="1:1">
      <c r="A698" s="2">
        <v>46354</v>
      </c>
    </row>
    <row r="699" spans="1:1">
      <c r="A699" s="2">
        <v>46355</v>
      </c>
    </row>
    <row r="700" spans="1:1">
      <c r="A700" s="2">
        <v>46356</v>
      </c>
    </row>
    <row r="701" spans="1:1">
      <c r="A701" s="2">
        <v>46357</v>
      </c>
    </row>
    <row r="702" spans="1:1">
      <c r="A702" s="2">
        <v>46358</v>
      </c>
    </row>
    <row r="703" spans="1:1">
      <c r="A703" s="2">
        <v>46359</v>
      </c>
    </row>
    <row r="704" spans="1:1">
      <c r="A704" s="2">
        <v>46360</v>
      </c>
    </row>
    <row r="705" spans="1:1">
      <c r="A705" s="2">
        <v>46361</v>
      </c>
    </row>
    <row r="706" spans="1:1">
      <c r="A706" s="2">
        <v>46362</v>
      </c>
    </row>
    <row r="707" spans="1:1">
      <c r="A707" s="2">
        <v>46363</v>
      </c>
    </row>
    <row r="708" spans="1:1">
      <c r="A708" s="2">
        <v>46364</v>
      </c>
    </row>
    <row r="709" spans="1:1">
      <c r="A709" s="2">
        <v>46365</v>
      </c>
    </row>
    <row r="710" spans="1:1">
      <c r="A710" s="2">
        <v>46366</v>
      </c>
    </row>
    <row r="711" spans="1:1">
      <c r="A711" s="2">
        <v>46367</v>
      </c>
    </row>
    <row r="712" spans="1:1">
      <c r="A712" s="2">
        <v>46368</v>
      </c>
    </row>
    <row r="713" spans="1:1">
      <c r="A713" s="2">
        <v>46369</v>
      </c>
    </row>
    <row r="714" spans="1:1">
      <c r="A714" s="2">
        <v>46370</v>
      </c>
    </row>
    <row r="715" spans="1:1">
      <c r="A715" s="2">
        <v>46371</v>
      </c>
    </row>
    <row r="716" spans="1:1">
      <c r="A716" s="2">
        <v>46372</v>
      </c>
    </row>
    <row r="717" spans="1:1">
      <c r="A717" s="2">
        <v>46373</v>
      </c>
    </row>
    <row r="718" spans="1:1">
      <c r="A718" s="2">
        <v>46374</v>
      </c>
    </row>
    <row r="719" spans="1:1">
      <c r="A719" s="2">
        <v>46375</v>
      </c>
    </row>
    <row r="720" spans="1:1">
      <c r="A720" s="2">
        <v>46376</v>
      </c>
    </row>
    <row r="721" spans="1:1">
      <c r="A721" s="2">
        <v>46377</v>
      </c>
    </row>
    <row r="722" spans="1:1">
      <c r="A722" s="2">
        <v>46378</v>
      </c>
    </row>
    <row r="723" spans="1:1">
      <c r="A723" s="2">
        <v>46379</v>
      </c>
    </row>
    <row r="724" spans="1:1">
      <c r="A724" s="2">
        <v>46380</v>
      </c>
    </row>
    <row r="725" spans="1:1">
      <c r="A725" s="2">
        <v>46381</v>
      </c>
    </row>
    <row r="726" spans="1:1">
      <c r="A726" s="2">
        <v>46382</v>
      </c>
    </row>
    <row r="727" spans="1:1">
      <c r="A727" s="2">
        <v>46383</v>
      </c>
    </row>
    <row r="728" spans="1:1">
      <c r="A728" s="2">
        <v>46384</v>
      </c>
    </row>
    <row r="729" spans="1:1">
      <c r="A729" s="2">
        <v>46385</v>
      </c>
    </row>
    <row r="730" spans="1:1">
      <c r="A730" s="2">
        <v>46386</v>
      </c>
    </row>
    <row r="731" spans="1:1">
      <c r="A731" s="2">
        <v>46387</v>
      </c>
    </row>
    <row r="732" spans="1:1">
      <c r="A732" s="2">
        <v>46388</v>
      </c>
    </row>
  </sheetData>
  <phoneticPr fontId="16" type="noConversion"/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887CBF2-80F2-45E7-831C-428207C4770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Orris Luvhengo</dc:creator>
  <cp:keywords/>
  <dc:description/>
  <cp:lastModifiedBy/>
  <cp:revision/>
  <dcterms:created xsi:type="dcterms:W3CDTF">2024-05-22T07:42:29Z</dcterms:created>
  <dcterms:modified xsi:type="dcterms:W3CDTF">2026-04-03T09:28:58Z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16eec4e-c7b8-491d-b7d8-90a69632743d_Enabled">
    <vt:lpwstr>true</vt:lpwstr>
  </property>
  <property fmtid="{D5CDD505-2E9C-101B-9397-08002B2CF9AE}" pid="3" name="MSIP_Label_216eec4e-c7b8-491d-b7d8-90a69632743d_SetDate">
    <vt:lpwstr>2024-06-10T12:36:36Z</vt:lpwstr>
  </property>
  <property fmtid="{D5CDD505-2E9C-101B-9397-08002B2CF9AE}" pid="4" name="MSIP_Label_216eec4e-c7b8-491d-b7d8-90a69632743d_Method">
    <vt:lpwstr>Standard</vt:lpwstr>
  </property>
  <property fmtid="{D5CDD505-2E9C-101B-9397-08002B2CF9AE}" pid="5" name="MSIP_Label_216eec4e-c7b8-491d-b7d8-90a69632743d_Name">
    <vt:lpwstr>216eec4e-c7b8-491d-b7d8-90a69632743d</vt:lpwstr>
  </property>
  <property fmtid="{D5CDD505-2E9C-101B-9397-08002B2CF9AE}" pid="6" name="MSIP_Label_216eec4e-c7b8-491d-b7d8-90a69632743d_SiteId">
    <vt:lpwstr>4032514a-830a-4f20-9539-81bbc35b3cd9</vt:lpwstr>
  </property>
  <property fmtid="{D5CDD505-2E9C-101B-9397-08002B2CF9AE}" pid="7" name="MSIP_Label_216eec4e-c7b8-491d-b7d8-90a69632743d_ActionId">
    <vt:lpwstr>5df6543c-672d-4802-b936-5111820e835c</vt:lpwstr>
  </property>
  <property fmtid="{D5CDD505-2E9C-101B-9397-08002B2CF9AE}" pid="8" name="MSIP_Label_216eec4e-c7b8-491d-b7d8-90a69632743d_ContentBits">
    <vt:lpwstr>0</vt:lpwstr>
  </property>
</Properties>
</file>