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rri\Downloads\"/>
    </mc:Choice>
  </mc:AlternateContent>
  <xr:revisionPtr revIDLastSave="0" documentId="13_ncr:1_{B73FB939-0E16-4D45-BCC9-DDE754ACD7A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🔗 Alias Map" sheetId="1" r:id="rId1"/>
    <sheet name="📦 Table Register" sheetId="2" r:id="rId2"/>
    <sheet name="📖 Field Glossary" sheetId="3" r:id="rId3"/>
    <sheet name="⚠️ Issues Tracker" sheetId="4" r:id="rId4"/>
  </sheets>
  <calcPr calcId="0"/>
</workbook>
</file>

<file path=xl/sharedStrings.xml><?xml version="1.0" encoding="utf-8"?>
<sst xmlns="http://schemas.openxmlformats.org/spreadsheetml/2006/main" count="742" uniqueCount="403">
  <si>
    <t>FIELD ALIAS MAP — Same concept, different names across tables</t>
  </si>
  <si>
    <t>Use this sheet to trace any field back to its true identity across all source tables. Update the 'Confirmed Same?' column as aliases are validated.</t>
  </si>
  <si>
    <t>Concept / True Meaning</t>
  </si>
  <si>
    <t>Table A</t>
  </si>
  <si>
    <t>Field Name in Table A</t>
  </si>
  <si>
    <t>Table B</t>
  </si>
  <si>
    <t>Field Name in Table B</t>
  </si>
  <si>
    <t>Confirmed Same?</t>
  </si>
  <si>
    <t>Notes / Risk</t>
  </si>
  <si>
    <t>Client unique ID</t>
  </si>
  <si>
    <t>tempEntityDetails</t>
  </si>
  <si>
    <t>UCN</t>
  </si>
  <si>
    <t>Customer_Monthly_Segmentation</t>
  </si>
  <si>
    <t>CUST_NO</t>
  </si>
  <si>
    <t>YES</t>
  </si>
  <si>
    <t>Collation cast required — SQL_Latin1_General_CP1_CI_AS on both sides</t>
  </si>
  <si>
    <t>tempPortfolioDetails</t>
  </si>
  <si>
    <t>EntityID (indirect)</t>
  </si>
  <si>
    <t>PARTIAL</t>
  </si>
  <si>
    <t>UCN is on entity; EntityID is the internal PK — linked but not the same field</t>
  </si>
  <si>
    <t>Adviser identifier</t>
  </si>
  <si>
    <t>tempStaffDetails</t>
  </si>
  <si>
    <t>EntityID</t>
  </si>
  <si>
    <t>tempPortfolioAssetSplit_Test</t>
  </si>
  <si>
    <t>BrokerEntityID</t>
  </si>
  <si>
    <t>Same underlying EntityID — just aliased as BrokerEntityID on the split table</t>
  </si>
  <si>
    <t>WindowsLogin (FNumber)</t>
  </si>
  <si>
    <t>SalesPerson</t>
  </si>
  <si>
    <t>SalesPersonID</t>
  </si>
  <si>
    <t>FNumber derived from WindowsLogin (strip FNBJNB01\). SalesPersonID is varchar(36) — needs CONVERT cast</t>
  </si>
  <si>
    <t>Fund instrument</t>
  </si>
  <si>
    <t>InstrumentID</t>
  </si>
  <si>
    <t>tempInstrumentDetails</t>
  </si>
  <si>
    <t>InstrumentID (Fund alias)</t>
  </si>
  <si>
    <t>Direct match — InstrumentID on portfolio joins to Fund alias of InstrumentDetails</t>
  </si>
  <si>
    <t>Product instrument</t>
  </si>
  <si>
    <t>RootInstrumentID</t>
  </si>
  <si>
    <t>InstrumentID (Product alias)</t>
  </si>
  <si>
    <t>RootInstrumentID is the wrapper product — same InstrumentDetails table, different alias</t>
  </si>
  <si>
    <t>Fund ID (analytics)</t>
  </si>
  <si>
    <t>Investment_Analytics.Mapping.Security</t>
  </si>
  <si>
    <t>SecurityID</t>
  </si>
  <si>
    <t>Direct match — SecurityID = Fund InstrumentID</t>
  </si>
  <si>
    <t>Portfolio link</t>
  </si>
  <si>
    <t>PortfolioEntryID</t>
  </si>
  <si>
    <t>tempPortfolioValues</t>
  </si>
  <si>
    <t>Direct PK/FK — clean join</t>
  </si>
  <si>
    <t>RootPortfolioEntryID (via values)</t>
  </si>
  <si>
    <t>RootPortfolioEntryID</t>
  </si>
  <si>
    <t>Joined via MarketValue.RootPortfolioEntryID — one hop through values table</t>
  </si>
  <si>
    <t>Supplier / asset manager</t>
  </si>
  <si>
    <t>InstrumentSupplierL</t>
  </si>
  <si>
    <t>InstrumentSupplier</t>
  </si>
  <si>
    <t>Used twice — once for product supplier, once for fund supplier. Same lookup table.</t>
  </si>
  <si>
    <t>Client account number</t>
  </si>
  <si>
    <t>UserFriendlyCode</t>
  </si>
  <si>
    <t>(client-facing systems)</t>
  </si>
  <si>
    <t>ClientNumber / Policy No.</t>
  </si>
  <si>
    <t>UserFriendlyCode = the human-readable number shown to clients. Not a direct DB FK.</t>
  </si>
  <si>
    <t>Client entity PK</t>
  </si>
  <si>
    <t>Direct FK — portfolio.EntityID = client entity PK</t>
  </si>
  <si>
    <t>FeeGroupMember</t>
  </si>
  <si>
    <t>Direct FK — fee group member joins on same EntityID</t>
  </si>
  <si>
    <t>vCoManager</t>
  </si>
  <si>
    <t>Direct FK — co-manager view joins on same EntityID</t>
  </si>
  <si>
    <t>Reporting month</t>
  </si>
  <si>
    <t>YearMonth</t>
  </si>
  <si>
    <t>Both must match for the split to apply to the correct period</t>
  </si>
  <si>
    <t>Year_Month</t>
  </si>
  <si>
    <t>NO — MISSING</t>
  </si>
  <si>
    <t>Segmentation join does NOT filter on year-month — risk of row fan-out / duplication</t>
  </si>
  <si>
    <t>tempCommissionPerMonth</t>
  </si>
  <si>
    <t>Pricing joined on both PortfolioEntryID + YearMonth — correct</t>
  </si>
  <si>
    <t>Individual ID number</t>
  </si>
  <si>
    <t>SouthAfricanIDNumber</t>
  </si>
  <si>
    <t>Output field</t>
  </si>
  <si>
    <t>IDOrRegNumber</t>
  </si>
  <si>
    <t>DERIVED</t>
  </si>
  <si>
    <t>Output field uses CASE logic: SA ID &gt; Registration No &gt; Passport. Not a direct column.</t>
  </si>
  <si>
    <t>LEGEND</t>
  </si>
  <si>
    <t>Fields confirmed as the same concept — join is safe</t>
  </si>
  <si>
    <t>Related but not identical — extra logic or cast required</t>
  </si>
  <si>
    <t>Should be joined on this concept but currently is NOT — data risk</t>
  </si>
  <si>
    <t>Output field computed from source — not a direct column match</t>
  </si>
  <si>
    <t>UNKNOWN</t>
  </si>
  <si>
    <t>Not yet validated — needs investigation</t>
  </si>
  <si>
    <t>TABLE REGISTER — Every source table, its domain, join type, and status</t>
  </si>
  <si>
    <t>Table Name</t>
  </si>
  <si>
    <t>Domain</t>
  </si>
  <si>
    <t>Join Type</t>
  </si>
  <si>
    <t>Join Key</t>
  </si>
  <si>
    <t>Can Drop?</t>
  </si>
  <si>
    <t>Status</t>
  </si>
  <si>
    <t>Risk Level</t>
  </si>
  <si>
    <t>Notes</t>
  </si>
  <si>
    <t>Portfolio Core</t>
  </si>
  <si>
    <t>Anchor</t>
  </si>
  <si>
    <t>NO</t>
  </si>
  <si>
    <t>Active</t>
  </si>
  <si>
    <t>None</t>
  </si>
  <si>
    <t>Spine of the query — everything joins to this</t>
  </si>
  <si>
    <t>INNER JOIN</t>
  </si>
  <si>
    <t>Market values — cannot drop, core metric source</t>
  </si>
  <si>
    <t>LEFT JOIN</t>
  </si>
  <si>
    <t>RootPortfolioEntryID+YearMonth</t>
  </si>
  <si>
    <t>Low</t>
  </si>
  <si>
    <t>Split %. If dropped, all value goes to one adviser (no split logic)</t>
  </si>
  <si>
    <t>Adviser/Staff</t>
  </si>
  <si>
    <t>BrokerEntityID=EntityID</t>
  </si>
  <si>
    <t>Adviser name, FNumber, brand — required for reporting</t>
  </si>
  <si>
    <t>tempClientStaffRelationNew</t>
  </si>
  <si>
    <t>MAYBE</t>
  </si>
  <si>
    <t>Only used for StaffRole. If role not needed, can drop.</t>
  </si>
  <si>
    <t>BrokerEntityID (varchar cast)</t>
  </si>
  <si>
    <t>Medium</t>
  </si>
  <si>
    <t>Only source of ReportRegion. Cross-DB join. If region not needed, droppable.</t>
  </si>
  <si>
    <t>Client</t>
  </si>
  <si>
    <t>Client identity — required. INNER JOIN means missing clients drop the row.</t>
  </si>
  <si>
    <t>CoManager1/2 only. Safe to drop if co-manager fields not required.</t>
  </si>
  <si>
    <t>tempInstrumentDetails (Product)</t>
  </si>
  <si>
    <t>Product/Fund</t>
  </si>
  <si>
    <t>Product wrapper (RA, TFSA etc) — needed for ProductType filter logic</t>
  </si>
  <si>
    <t>tempInstrumentDetails (Fund)</t>
  </si>
  <si>
    <t>Underlying fund — ISIN, JSE code, currency, family</t>
  </si>
  <si>
    <t>InstrumentSupplier (Product)</t>
  </si>
  <si>
    <t>Only adds ProductSupplierCountry. Drop if country not needed.</t>
  </si>
  <si>
    <t>InstrumentSupplier (Fund)</t>
  </si>
  <si>
    <t>Only adds FundSupplierCountry. Drop if country not needed.</t>
  </si>
  <si>
    <t>PortfolioEntryID+YearMonth</t>
  </si>
  <si>
    <t>Only populates Pricing field. Drop if commission % not needed.</t>
  </si>
  <si>
    <t>Security (Investment_Analytics)</t>
  </si>
  <si>
    <t>Classification</t>
  </si>
  <si>
    <t>InstrumentID=SecurityID</t>
  </si>
  <si>
    <t>HouseView, GroupOrThirdParty, LocalvsOffshore etc. Drop if not reporting on these.</t>
  </si>
  <si>
    <t>UCN (collation cast)</t>
  </si>
  <si>
    <t>RISK</t>
  </si>
  <si>
    <t>HIGH</t>
  </si>
  <si>
    <t>Missing YearMonth filter — can cause row duplication. Fix before keeping.</t>
  </si>
  <si>
    <t>OUTER APPLY</t>
  </si>
  <si>
    <t>EntityID (TOP 1)</t>
  </si>
  <si>
    <t>TOP 1 without ORDER BY = non-deterministic. Fix or drop if fee group not used.</t>
  </si>
  <si>
    <t>Umbrella / PID_Umbrella</t>
  </si>
  <si>
    <t>FNumber+Period</t>
  </si>
  <si>
    <t>DECOMMISSIONED</t>
  </si>
  <si>
    <t>Fully commented out as of 2025-02-18. Safe to remove from code entirely.</t>
  </si>
  <si>
    <t>fnChannelToRegion()</t>
  </si>
  <si>
    <t>OfficeL=ChannelL</t>
  </si>
  <si>
    <t>Replaced by SalesPerson table for region. Remove commented code.</t>
  </si>
  <si>
    <t>FIELD GLOSSARY — Output columns with source, alias cross-reference, and keep/drop decision</t>
  </si>
  <si>
    <t>Output Field</t>
  </si>
  <si>
    <t>Source Table.Column</t>
  </si>
  <si>
    <t>Alias / Also Known As</t>
  </si>
  <si>
    <t>Keep?</t>
  </si>
  <si>
    <t>Populated?</t>
  </si>
  <si>
    <t>Business Meaning</t>
  </si>
  <si>
    <t>Period</t>
  </si>
  <si>
    <t>MarketValue.YearMonth</t>
  </si>
  <si>
    <t>YearMonth, Report Month</t>
  </si>
  <si>
    <t>Portfolio</t>
  </si>
  <si>
    <t>Reporting month YYYYMM</t>
  </si>
  <si>
    <t>Brand</t>
  </si>
  <si>
    <t>StaffDetails / ClientDetails.Company</t>
  </si>
  <si>
    <t>Brand, Company</t>
  </si>
  <si>
    <t>Adviser</t>
  </si>
  <si>
    <t>Business brand of adviser, falls back to client brand</t>
  </si>
  <si>
    <t>Region</t>
  </si>
  <si>
    <t>SalesPerson.ReportRegion</t>
  </si>
  <si>
    <t>ReportRegion, Area</t>
  </si>
  <si>
    <t>x-unallocated if adviser not in SalesPerson table</t>
  </si>
  <si>
    <t>Channel</t>
  </si>
  <si>
    <t>(empty string)</t>
  </si>
  <si>
    <t>Office, Distribution Channel</t>
  </si>
  <si>
    <t>REVIEW</t>
  </si>
  <si>
    <t>Always blank — source decommissioned Feb 2025</t>
  </si>
  <si>
    <t>PortfolioAssetSplit.BrokerEntityID</t>
  </si>
  <si>
    <t>EntityID, AdviserID</t>
  </si>
  <si>
    <t>Internal adviser entity key — same as StaffDetails.EntityID</t>
  </si>
  <si>
    <t>Manager</t>
  </si>
  <si>
    <t>StaffDetails FirstNames+Surname</t>
  </si>
  <si>
    <t>Adviser Name, FA Name</t>
  </si>
  <si>
    <t>Full name of adviser</t>
  </si>
  <si>
    <t>FNumber</t>
  </si>
  <si>
    <t>StaffDetails.WindowsLogin</t>
  </si>
  <si>
    <t>Staff Number, Login, FA Code</t>
  </si>
  <si>
    <t>Adviser F-number — derived by stripping domain from Windows login</t>
  </si>
  <si>
    <t>StaffRole</t>
  </si>
  <si>
    <t>Role, Adviser Role</t>
  </si>
  <si>
    <t>Financial Adviser / other role. Only from IsBrokerRole=1 rows.</t>
  </si>
  <si>
    <t>CoManager1/2</t>
  </si>
  <si>
    <t>vCoManager.EntityID</t>
  </si>
  <si>
    <t>Co-Adviser, Second Manager</t>
  </si>
  <si>
    <t>Up to 2 co-managers. NULL if none assigned.</t>
  </si>
  <si>
    <t>ClientStartDate</t>
  </si>
  <si>
    <t>ClientDetails.CreatedDate</t>
  </si>
  <si>
    <t>Client Created Date, Onboard Date</t>
  </si>
  <si>
    <t>Date client record was created in system</t>
  </si>
  <si>
    <t>ClientNumber</t>
  </si>
  <si>
    <t>ClientDetails.UserFriendlyCode</t>
  </si>
  <si>
    <t>Account No, Policy No, Client Ref</t>
  </si>
  <si>
    <t>Human-readable client number shown on statements</t>
  </si>
  <si>
    <t>ClientDetails.UCN</t>
  </si>
  <si>
    <t>CUST_NO, Universal Client No</t>
  </si>
  <si>
    <t>Universal Client Number — master ID across all FNB systems</t>
  </si>
  <si>
    <t>ClientDetails.EntityName</t>
  </si>
  <si>
    <t>Client Name, Full Name</t>
  </si>
  <si>
    <t>Full registered name of client</t>
  </si>
  <si>
    <t>FirstNames</t>
  </si>
  <si>
    <t>ClientDetails.FirstNames</t>
  </si>
  <si>
    <t>First Name, Given Name</t>
  </si>
  <si>
    <t>Individual clients only. NULL for companies.</t>
  </si>
  <si>
    <t>Surname</t>
  </si>
  <si>
    <t>ClientDetails.Surname</t>
  </si>
  <si>
    <t>Last Name, Family Name</t>
  </si>
  <si>
    <t>EntityType</t>
  </si>
  <si>
    <t>ClientDetails.EntityType</t>
  </si>
  <si>
    <t>Client Type, Entity Category</t>
  </si>
  <si>
    <t>Individual, Company, Trust, etc.</t>
  </si>
  <si>
    <t>CASE logic on ClientDetails</t>
  </si>
  <si>
    <t>ID No, Reg No, Passport, ID Number</t>
  </si>
  <si>
    <t>Derived: SA ID &gt; Reg No &gt; Passport based on entity type</t>
  </si>
  <si>
    <t>CountryOfRegistration</t>
  </si>
  <si>
    <t>ClientDetails</t>
  </si>
  <si>
    <t>Country, Domicile</t>
  </si>
  <si>
    <t>Country where client is registered</t>
  </si>
  <si>
    <t>Int_Retail_Model_Desc</t>
  </si>
  <si>
    <t>Segment, Retail Model</t>
  </si>
  <si>
    <t>Segmentation join has no YearMonth filter — risk of duplicates</t>
  </si>
  <si>
    <t>Main_Banked</t>
  </si>
  <si>
    <t>Primary Bank, Main Bank Flag</t>
  </si>
  <si>
    <t>Same risk as above — no YearMonth filter on join</t>
  </si>
  <si>
    <t>Household_Key</t>
  </si>
  <si>
    <t>Household ID, HH Key</t>
  </si>
  <si>
    <t>FeeMandateGroup</t>
  </si>
  <si>
    <t>CASE on PortfolioDetails.FeeMandate</t>
  </si>
  <si>
    <t>Mandate Group, Fee Category</t>
  </si>
  <si>
    <t>Product</t>
  </si>
  <si>
    <t>Cash / Discretionary / Broker Appointment / x-unallocated</t>
  </si>
  <si>
    <t>FeeMandate</t>
  </si>
  <si>
    <t>PortfolioDetails.FeeMandate</t>
  </si>
  <si>
    <t>Mandate Name, Fee Type</t>
  </si>
  <si>
    <t>The specific fee mandate name on the portfolio</t>
  </si>
  <si>
    <t>ProductType</t>
  </si>
  <si>
    <t>Product.InstrumentType</t>
  </si>
  <si>
    <t>Instrument Type, Product Category</t>
  </si>
  <si>
    <t>Investment / Risk / Medical aid / Short term insurance</t>
  </si>
  <si>
    <t>ProductSupplier</t>
  </si>
  <si>
    <t>Product.InstrumentSupplier</t>
  </si>
  <si>
    <t>Provider, Life Company, Insurer</t>
  </si>
  <si>
    <t>Company providing the product wrapper</t>
  </si>
  <si>
    <t>ProductSupplierCountry</t>
  </si>
  <si>
    <t>InstrumentSupplier.Country</t>
  </si>
  <si>
    <t>Supplier Country, Provider Country</t>
  </si>
  <si>
    <t>Country of product provider</t>
  </si>
  <si>
    <t>ContractNumber</t>
  </si>
  <si>
    <t>PortfolioDetails.ReferenceNumber</t>
  </si>
  <si>
    <t>Policy No, Contract Ref, Ref No</t>
  </si>
  <si>
    <t>Client-facing contract/policy number</t>
  </si>
  <si>
    <t>InitialContributionAmount</t>
  </si>
  <si>
    <t>PortfolioDetails</t>
  </si>
  <si>
    <t>Initial Amount, Opening Value</t>
  </si>
  <si>
    <t>Lump sum at inception — may be 0 for recurring premium products</t>
  </si>
  <si>
    <t>ProductName</t>
  </si>
  <si>
    <t>Product.InstrumentName</t>
  </si>
  <si>
    <t>Product Description, Plan Name</t>
  </si>
  <si>
    <t>Full product name e.g. FNB Retirement Annuity</t>
  </si>
  <si>
    <t>FundSupplier</t>
  </si>
  <si>
    <t>Fund.InstrumentSupplier</t>
  </si>
  <si>
    <t>Asset Manager, Fund House</t>
  </si>
  <si>
    <t>Fund</t>
  </si>
  <si>
    <t>Company managing the underlying fund</t>
  </si>
  <si>
    <t>FundSupplierCountry</t>
  </si>
  <si>
    <t>Fund Manager Country</t>
  </si>
  <si>
    <t>Country of fund manager</t>
  </si>
  <si>
    <t>FundFamily</t>
  </si>
  <si>
    <t>Fund.InstrumentFamily</t>
  </si>
  <si>
    <t>Fund Range, Fund Brand</t>
  </si>
  <si>
    <t>Fund family/range e.g. Allan Gray. Falls back to fund name.</t>
  </si>
  <si>
    <t>ISIN</t>
  </si>
  <si>
    <t>Fund.ISINCode</t>
  </si>
  <si>
    <t>ISIN Code, Security Code</t>
  </si>
  <si>
    <t>International Securities ID — global unique fund identifier</t>
  </si>
  <si>
    <t>FundRegion</t>
  </si>
  <si>
    <t>CASE on Fund.BaseCurrency</t>
  </si>
  <si>
    <t>Domestic/Offshore, Fund Region</t>
  </si>
  <si>
    <t>Domestic if ZAR, else Non Domestic</t>
  </si>
  <si>
    <t>FundCurrency</t>
  </si>
  <si>
    <t>Fund.BaseCurrency</t>
  </si>
  <si>
    <t>Base Currency, Currency Code</t>
  </si>
  <si>
    <t>Currency the fund is denominated in</t>
  </si>
  <si>
    <t>FundName</t>
  </si>
  <si>
    <t>Fund.InstrumentName</t>
  </si>
  <si>
    <t>Fund Description, Fund Title</t>
  </si>
  <si>
    <t>Full fund name e.g. Allan Gray Balanced Fund</t>
  </si>
  <si>
    <t>JSECode</t>
  </si>
  <si>
    <t>Fund.JSECode</t>
  </si>
  <si>
    <t>JSE Ticker, Stock Code</t>
  </si>
  <si>
    <t>JSE code where applicable. NULL for offshore funds.</t>
  </si>
  <si>
    <t>HouseView</t>
  </si>
  <si>
    <t>Security.IsHouseview</t>
  </si>
  <si>
    <t>HV Flag, House View Status</t>
  </si>
  <si>
    <t>Analytics</t>
  </si>
  <si>
    <t>HV / Non HV / x-unallocated</t>
  </si>
  <si>
    <t>GroupOrThirdParty</t>
  </si>
  <si>
    <t>Security.GroupOr3rdParty</t>
  </si>
  <si>
    <t>Group/3rd Party, Ownership</t>
  </si>
  <si>
    <t>Internal group fund vs third-party asset manager</t>
  </si>
  <si>
    <t>CashOrSolution</t>
  </si>
  <si>
    <t>Security.CashOrSolution</t>
  </si>
  <si>
    <t>Fund Classification</t>
  </si>
  <si>
    <t>Cash instrument or solution fund</t>
  </si>
  <si>
    <t>MasterFundName</t>
  </si>
  <si>
    <t>Security.SecurityGroupName</t>
  </si>
  <si>
    <t>Master Fund, Fund of Funds</t>
  </si>
  <si>
    <t>Parent fund umbrella name</t>
  </si>
  <si>
    <t>HouseViewGroup</t>
  </si>
  <si>
    <t>Security.HVvsNonHVvsTerminalvsLegacy</t>
  </si>
  <si>
    <t>HV Group, Legacy Flag</t>
  </si>
  <si>
    <t>Granular HV classification including legacy/terminal status</t>
  </si>
  <si>
    <t>LocalvsOffshore</t>
  </si>
  <si>
    <t>Security.LocalvsOffshore</t>
  </si>
  <si>
    <t>Domicile, Onshore/Offshore</t>
  </si>
  <si>
    <t>Local or offshore domicile of fund</t>
  </si>
  <si>
    <t>ValueDate</t>
  </si>
  <si>
    <t>MarketValue.DateApplicable</t>
  </si>
  <si>
    <t>Date Applicable, Value Date, NAV Date</t>
  </si>
  <si>
    <t>Actual date market value was recorded</t>
  </si>
  <si>
    <t>MarketValue</t>
  </si>
  <si>
    <t>Calculated (split-adjusted ZAR)</t>
  </si>
  <si>
    <t>AUA, Assets, Value, AUM</t>
  </si>
  <si>
    <t>Core metric. ZAR value x adviser split %. Zero for non-investment.</t>
  </si>
  <si>
    <t>MarketValueOriginalCurrency</t>
  </si>
  <si>
    <t>Calculated</t>
  </si>
  <si>
    <t>Original Currency Value</t>
  </si>
  <si>
    <t>MarketValue x ExchangeRate — value in fund currency</t>
  </si>
  <si>
    <t>ExchangeRate</t>
  </si>
  <si>
    <t>MarketValue.ExchangeRate</t>
  </si>
  <si>
    <t>FX Rate, Exchange Rate</t>
  </si>
  <si>
    <t>Rate used to convert fund to ZAR. Zero for non-investment.</t>
  </si>
  <si>
    <t>Pricing</t>
  </si>
  <si>
    <t>tempCommissionPerMonth.FundCommissionPercentage</t>
  </si>
  <si>
    <t>Commission %, Pricing Rate</t>
  </si>
  <si>
    <t>Fund commission percentage for the month. NULL if no pricing record.</t>
  </si>
  <si>
    <t>FeeGroupID</t>
  </si>
  <si>
    <t>FeeGroupMember.FeeGroupID</t>
  </si>
  <si>
    <t>Fee Group, Client Fee Group</t>
  </si>
  <si>
    <t>Non-deterministic — TOP 1 without ORDER BY. Fix before using.</t>
  </si>
  <si>
    <t>FeeGroupMemberStartDate</t>
  </si>
  <si>
    <t>FeeGroupMember.CreatedDate</t>
  </si>
  <si>
    <t>Fee Group Start, Group Date</t>
  </si>
  <si>
    <t>Same risk as FeeGroupID</t>
  </si>
  <si>
    <t>PortfolioCreatedDate</t>
  </si>
  <si>
    <t>PortfolioDetails.CreatedDate</t>
  </si>
  <si>
    <t>Portfolio Start, Created Date</t>
  </si>
  <si>
    <t>When the portfolio record was first created</t>
  </si>
  <si>
    <t>Rundate</t>
  </si>
  <si>
    <t>GETDATE()</t>
  </si>
  <si>
    <t>Run Date, Refresh Date, Load Date</t>
  </si>
  <si>
    <t>System</t>
  </si>
  <si>
    <t>Timestamp of last procedure execution</t>
  </si>
  <si>
    <t>ISSUES TRACKER — Known faults, risks, and decommissioned joins</t>
  </si>
  <si>
    <t>Affected Table(s)</t>
  </si>
  <si>
    <t>Affected Field(s)</t>
  </si>
  <si>
    <t>Severity</t>
  </si>
  <si>
    <t>Action</t>
  </si>
  <si>
    <t>Problem</t>
  </si>
  <si>
    <t>Recommendation</t>
  </si>
  <si>
    <t>Owner / Status</t>
  </si>
  <si>
    <t>Int_Retail_Model_Desc, Main_Banked, Household_Key</t>
  </si>
  <si>
    <t>FIX</t>
  </si>
  <si>
    <t>UCN join has no YearMonth filter. If a client has segment records across multiple months the join fans out — duplicating rows and inflating market value totals.</t>
  </si>
  <si>
    <t>Add: AND segs.Year_Month = MarketValue.YearMonth to the join condition.</t>
  </si>
  <si>
    <t>Open</t>
  </si>
  <si>
    <t>FeeGroupMember (OUTER APPLY)</t>
  </si>
  <si>
    <t>FeeGroupID, FeeGroupMemberStartDate</t>
  </si>
  <si>
    <t>OUTER APPLY uses TOP 1 without ORDER BY. The database engine can return any matching row — result is non-deterministic and may differ between runs.</t>
  </si>
  <si>
    <t>Add ORDER BY ff.CreatedDate DESC inside the OUTER APPLY to consistently return the most recent active fee group.</t>
  </si>
  <si>
    <t>Channel field (output)</t>
  </si>
  <si>
    <t>Channel column always outputs an empty string. The Umbrella source was decommissioned Feb 2025. The column is retained in the schema but carries no data.</t>
  </si>
  <si>
    <t>Identify a replacement channel data source or remove the column from the SELECT and target table to avoid confusion.</t>
  </si>
  <si>
    <t>SalesPerson (Investment_Analytics)</t>
  </si>
  <si>
    <t>Region / ReportRegion</t>
  </si>
  <si>
    <t>Advisers not present in the SalesPerson table will show x-unallocated as their region. Coverage of this table is unknown.</t>
  </si>
  <si>
    <t>Run: SELECT COUNT(*) FROM tempStaffDetails s LEFT JOIN Investment_Analytics.dbo.SalesPerson sp ON CONVERT(varchar(36),s.EntityID)=sp.SalesPersonID WHERE sp.SalesPersonID IS NULL — quantify the gap.</t>
  </si>
  <si>
    <t>Umbrella / PID_Umbrella.vw_Employee</t>
  </si>
  <si>
    <t>DROP</t>
  </si>
  <si>
    <t>Join is fully commented out. Dead code remains in the procedure.</t>
  </si>
  <si>
    <t>Remove the commented-out Umbrella LEFT JOIN block and related Channel logic from the procedure to keep the code clean.</t>
  </si>
  <si>
    <t>Safe to action</t>
  </si>
  <si>
    <t>fnChannelToRegion() (commented)</t>
  </si>
  <si>
    <t>Old region function is commented out. Replaced by SalesPerson table.</t>
  </si>
  <si>
    <t>Remove the commented-out fnChannelToRegion LEFT JOIN block.</t>
  </si>
  <si>
    <t>SplitPercentage</t>
  </si>
  <si>
    <t>MONITOR</t>
  </si>
  <si>
    <t>Table name includes '_Test' suffix — unclear if this is a permanent table or a temporary working version.</t>
  </si>
  <si>
    <t>Confirm whether tempPortfolioAssetSplit_Test is the production version of this table or if there is a non-test equivalent to migrate to.</t>
  </si>
  <si>
    <t>UCN / CUST_NO join</t>
  </si>
  <si>
    <t>UCN, CUST_NO</t>
  </si>
  <si>
    <t>Collation cast (SQL_Latin1_General_CP1_CI_AS) is applied on both sides of the UCN join. If collation changes on either table this will silently break.</t>
  </si>
  <si>
    <t>Document the collation dependency. Consider standardising collation at the database level.</t>
  </si>
  <si>
    <t>BrokerEntityID / SalesPersonID join</t>
  </si>
  <si>
    <t>BrokerEntityID, SalesPersonID</t>
  </si>
  <si>
    <t>BrokerEntityID is cast to varchar(36) to join to SalesPersonID. If the EntityID format changes this will silently produce NULLs.</t>
  </si>
  <si>
    <t>Add a data quality check: count rows where BrokerEntityID IS NOT NULL but sp.SalesPersonID IS NULL after join.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</si>
</sst>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2E75B6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2E75B6"/>
      <name val="Arial"/>
    </font>
    <font>
      <i/>
      <sz val="10"/>
      <color rgb="FF444444"/>
      <name val="Arial"/>
    </font>
    <font>
      <b/>
      <sz val="10"/>
      <color rgb="FF1D6B3E"/>
      <name val="Arial"/>
    </font>
    <font>
      <b/>
      <sz val="10"/>
      <color rgb="FFC07000"/>
      <name val="Arial"/>
    </font>
    <font>
      <b/>
      <sz val="10"/>
      <color rgb="FF9B1C1C"/>
      <name val="Arial"/>
    </font>
    <font>
      <b/>
      <sz val="10"/>
      <color rgb="FF4B2D8A"/>
      <name val="Arial"/>
    </font>
    <font>
      <b/>
      <sz val="11"/>
      <color rgb="FFFFFFFF"/>
      <name val="Arial"/>
    </font>
    <font>
      <b/>
      <sz val="10"/>
      <color rgb="FF444444"/>
      <name val="Arial"/>
    </font>
    <font>
      <b/>
      <sz val="10"/>
      <color rgb="FF0F6E56"/>
      <name val="Arial"/>
    </font>
    <font>
      <i/>
      <sz val="10"/>
      <color rgb="FF4B2D8A"/>
      <name val="Arial"/>
    </font>
  </fonts>
  <fills count="12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444444"/>
      </patternFill>
    </fill>
    <fill>
      <patternFill patternType="solid">
        <fgColor rgb="FFF5F5F5"/>
      </patternFill>
    </fill>
    <fill>
      <patternFill patternType="solid">
        <fgColor rgb="FFD6F0E2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DE8E8"/>
      </patternFill>
    </fill>
    <fill>
      <patternFill patternType="solid">
        <fgColor rgb="FFEDE9F8"/>
      </patternFill>
    </fill>
    <fill>
      <patternFill patternType="solid">
        <fgColor rgb="FFD6F5EE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G30"/>
  <sheetViews>
    <sheetView showGridLines="0" workbookViewId="0">
      <pane ySplit="4" topLeftCell="A10" activePane="bottomLeft" state="frozen"/>
      <selection pane="bottomLeft" activeCell="F5" sqref="F5"/>
    </sheetView>
  </sheetViews>
  <sheetFormatPr defaultRowHeight="14.4" x14ac:dyDescent="0.3"/>
  <cols>
    <col min="1" max="3" width="22" customWidth="1"/>
    <col min="4" max="5" width="16" customWidth="1"/>
    <col min="6" max="6" width="14" customWidth="1"/>
    <col min="7" max="7" width="36" customWidth="1"/>
  </cols>
  <sheetData>
    <row r="1" spans="1:7" ht="36" customHeight="1" x14ac:dyDescent="0.3">
      <c r="A1" s="19" t="s">
        <v>0</v>
      </c>
      <c r="B1" s="20"/>
      <c r="C1" s="20"/>
      <c r="D1" s="20"/>
      <c r="E1" s="20"/>
      <c r="F1" s="20"/>
      <c r="G1" s="20"/>
    </row>
    <row r="2" spans="1:7" ht="13.95" customHeight="1" x14ac:dyDescent="0.3">
      <c r="A2" s="22" t="s">
        <v>1</v>
      </c>
      <c r="B2" s="20"/>
      <c r="C2" s="20"/>
      <c r="D2" s="20"/>
      <c r="E2" s="20"/>
      <c r="F2" s="20"/>
      <c r="G2" s="20"/>
    </row>
    <row r="3" spans="1:7" ht="6" customHeight="1" x14ac:dyDescent="0.3"/>
    <row r="4" spans="1:7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6.6" customHeight="1" x14ac:dyDescent="0.3">
      <c r="A5" s="2" t="s">
        <v>9</v>
      </c>
      <c r="B5" s="3" t="s">
        <v>10</v>
      </c>
      <c r="C5" s="4" t="s">
        <v>11</v>
      </c>
      <c r="D5" s="3" t="s">
        <v>12</v>
      </c>
      <c r="E5" s="4" t="s">
        <v>13</v>
      </c>
      <c r="F5" s="5" t="s">
        <v>14</v>
      </c>
      <c r="G5" s="2" t="s">
        <v>15</v>
      </c>
    </row>
    <row r="6" spans="1:7" ht="69.599999999999994" customHeight="1" x14ac:dyDescent="0.3">
      <c r="A6" s="6" t="s">
        <v>9</v>
      </c>
      <c r="B6" s="7" t="s">
        <v>10</v>
      </c>
      <c r="C6" s="8" t="s">
        <v>11</v>
      </c>
      <c r="D6" s="7" t="s">
        <v>16</v>
      </c>
      <c r="E6" s="8" t="s">
        <v>17</v>
      </c>
      <c r="F6" s="9" t="s">
        <v>18</v>
      </c>
      <c r="G6" s="6" t="s">
        <v>19</v>
      </c>
    </row>
    <row r="7" spans="1:7" ht="38.4" customHeight="1" x14ac:dyDescent="0.3">
      <c r="A7" s="2" t="s">
        <v>20</v>
      </c>
      <c r="B7" s="3" t="s">
        <v>21</v>
      </c>
      <c r="C7" s="4" t="s">
        <v>22</v>
      </c>
      <c r="D7" s="3" t="s">
        <v>23</v>
      </c>
      <c r="E7" s="4" t="s">
        <v>24</v>
      </c>
      <c r="F7" s="5" t="s">
        <v>14</v>
      </c>
      <c r="G7" s="2" t="s">
        <v>25</v>
      </c>
    </row>
    <row r="8" spans="1:7" ht="57.6" customHeight="1" x14ac:dyDescent="0.3">
      <c r="A8" s="6" t="s">
        <v>20</v>
      </c>
      <c r="B8" s="7" t="s">
        <v>21</v>
      </c>
      <c r="C8" s="8" t="s">
        <v>26</v>
      </c>
      <c r="D8" s="7" t="s">
        <v>27</v>
      </c>
      <c r="E8" s="8" t="s">
        <v>28</v>
      </c>
      <c r="F8" s="9" t="s">
        <v>18</v>
      </c>
      <c r="G8" s="6" t="s">
        <v>29</v>
      </c>
    </row>
    <row r="9" spans="1:7" ht="28.05" customHeight="1" x14ac:dyDescent="0.3">
      <c r="A9" s="2" t="s">
        <v>30</v>
      </c>
      <c r="B9" s="3" t="s">
        <v>16</v>
      </c>
      <c r="C9" s="4" t="s">
        <v>31</v>
      </c>
      <c r="D9" s="3" t="s">
        <v>32</v>
      </c>
      <c r="E9" s="4" t="s">
        <v>33</v>
      </c>
      <c r="F9" s="5" t="s">
        <v>14</v>
      </c>
      <c r="G9" s="2" t="s">
        <v>34</v>
      </c>
    </row>
    <row r="10" spans="1:7" ht="28.05" customHeight="1" x14ac:dyDescent="0.3">
      <c r="A10" s="6" t="s">
        <v>35</v>
      </c>
      <c r="B10" s="7" t="s">
        <v>16</v>
      </c>
      <c r="C10" s="8" t="s">
        <v>36</v>
      </c>
      <c r="D10" s="7" t="s">
        <v>32</v>
      </c>
      <c r="E10" s="8" t="s">
        <v>37</v>
      </c>
      <c r="F10" s="5" t="s">
        <v>14</v>
      </c>
      <c r="G10" s="6" t="s">
        <v>38</v>
      </c>
    </row>
    <row r="11" spans="1:7" ht="28.05" customHeight="1" x14ac:dyDescent="0.3">
      <c r="A11" s="2" t="s">
        <v>39</v>
      </c>
      <c r="B11" s="3" t="s">
        <v>32</v>
      </c>
      <c r="C11" s="4" t="s">
        <v>31</v>
      </c>
      <c r="D11" s="3" t="s">
        <v>40</v>
      </c>
      <c r="E11" s="4" t="s">
        <v>41</v>
      </c>
      <c r="F11" s="5" t="s">
        <v>14</v>
      </c>
      <c r="G11" s="2" t="s">
        <v>42</v>
      </c>
    </row>
    <row r="12" spans="1:7" ht="28.05" customHeight="1" x14ac:dyDescent="0.3">
      <c r="A12" s="6" t="s">
        <v>43</v>
      </c>
      <c r="B12" s="7" t="s">
        <v>16</v>
      </c>
      <c r="C12" s="8" t="s">
        <v>44</v>
      </c>
      <c r="D12" s="7" t="s">
        <v>45</v>
      </c>
      <c r="E12" s="8" t="s">
        <v>44</v>
      </c>
      <c r="F12" s="5" t="s">
        <v>14</v>
      </c>
      <c r="G12" s="6" t="s">
        <v>46</v>
      </c>
    </row>
    <row r="13" spans="1:7" ht="28.05" customHeight="1" x14ac:dyDescent="0.3">
      <c r="A13" s="2" t="s">
        <v>43</v>
      </c>
      <c r="B13" s="3" t="s">
        <v>16</v>
      </c>
      <c r="C13" s="4" t="s">
        <v>47</v>
      </c>
      <c r="D13" s="3" t="s">
        <v>23</v>
      </c>
      <c r="E13" s="4" t="s">
        <v>48</v>
      </c>
      <c r="F13" s="5" t="s">
        <v>14</v>
      </c>
      <c r="G13" s="2" t="s">
        <v>49</v>
      </c>
    </row>
    <row r="14" spans="1:7" ht="28.05" customHeight="1" x14ac:dyDescent="0.3">
      <c r="A14" s="6" t="s">
        <v>50</v>
      </c>
      <c r="B14" s="7" t="s">
        <v>32</v>
      </c>
      <c r="C14" s="8" t="s">
        <v>51</v>
      </c>
      <c r="D14" s="7" t="s">
        <v>52</v>
      </c>
      <c r="E14" s="8" t="s">
        <v>51</v>
      </c>
      <c r="F14" s="5" t="s">
        <v>14</v>
      </c>
      <c r="G14" s="6" t="s">
        <v>53</v>
      </c>
    </row>
    <row r="15" spans="1:7" ht="28.05" customHeight="1" x14ac:dyDescent="0.3">
      <c r="A15" s="2" t="s">
        <v>54</v>
      </c>
      <c r="B15" s="3" t="s">
        <v>10</v>
      </c>
      <c r="C15" s="4" t="s">
        <v>55</v>
      </c>
      <c r="D15" s="3" t="s">
        <v>56</v>
      </c>
      <c r="E15" s="4" t="s">
        <v>57</v>
      </c>
      <c r="F15" s="9" t="s">
        <v>18</v>
      </c>
      <c r="G15" s="2" t="s">
        <v>58</v>
      </c>
    </row>
    <row r="16" spans="1:7" ht="28.05" customHeight="1" x14ac:dyDescent="0.3">
      <c r="A16" s="6" t="s">
        <v>59</v>
      </c>
      <c r="B16" s="7" t="s">
        <v>10</v>
      </c>
      <c r="C16" s="8" t="s">
        <v>22</v>
      </c>
      <c r="D16" s="7" t="s">
        <v>16</v>
      </c>
      <c r="E16" s="8" t="s">
        <v>22</v>
      </c>
      <c r="F16" s="5" t="s">
        <v>14</v>
      </c>
      <c r="G16" s="6" t="s">
        <v>60</v>
      </c>
    </row>
    <row r="17" spans="1:7" ht="28.05" customHeight="1" x14ac:dyDescent="0.3">
      <c r="A17" s="2" t="s">
        <v>59</v>
      </c>
      <c r="B17" s="3" t="s">
        <v>10</v>
      </c>
      <c r="C17" s="4" t="s">
        <v>22</v>
      </c>
      <c r="D17" s="3" t="s">
        <v>61</v>
      </c>
      <c r="E17" s="4" t="s">
        <v>22</v>
      </c>
      <c r="F17" s="5" t="s">
        <v>14</v>
      </c>
      <c r="G17" s="2" t="s">
        <v>62</v>
      </c>
    </row>
    <row r="18" spans="1:7" ht="28.05" customHeight="1" x14ac:dyDescent="0.3">
      <c r="A18" s="6" t="s">
        <v>59</v>
      </c>
      <c r="B18" s="7" t="s">
        <v>10</v>
      </c>
      <c r="C18" s="8" t="s">
        <v>22</v>
      </c>
      <c r="D18" s="7" t="s">
        <v>63</v>
      </c>
      <c r="E18" s="8" t="s">
        <v>22</v>
      </c>
      <c r="F18" s="5" t="s">
        <v>14</v>
      </c>
      <c r="G18" s="6" t="s">
        <v>64</v>
      </c>
    </row>
    <row r="19" spans="1:7" ht="28.05" customHeight="1" x14ac:dyDescent="0.3">
      <c r="A19" s="2" t="s">
        <v>65</v>
      </c>
      <c r="B19" s="3" t="s">
        <v>45</v>
      </c>
      <c r="C19" s="4" t="s">
        <v>66</v>
      </c>
      <c r="D19" s="3" t="s">
        <v>23</v>
      </c>
      <c r="E19" s="4" t="s">
        <v>66</v>
      </c>
      <c r="F19" s="5" t="s">
        <v>14</v>
      </c>
      <c r="G19" s="2" t="s">
        <v>67</v>
      </c>
    </row>
    <row r="20" spans="1:7" ht="28.05" customHeight="1" x14ac:dyDescent="0.3">
      <c r="A20" s="6" t="s">
        <v>65</v>
      </c>
      <c r="B20" s="7" t="s">
        <v>45</v>
      </c>
      <c r="C20" s="8" t="s">
        <v>66</v>
      </c>
      <c r="D20" s="7" t="s">
        <v>12</v>
      </c>
      <c r="E20" s="8" t="s">
        <v>68</v>
      </c>
      <c r="F20" s="10" t="s">
        <v>69</v>
      </c>
      <c r="G20" s="6" t="s">
        <v>70</v>
      </c>
    </row>
    <row r="21" spans="1:7" ht="28.05" customHeight="1" x14ac:dyDescent="0.3">
      <c r="A21" s="2" t="s">
        <v>65</v>
      </c>
      <c r="B21" s="3" t="s">
        <v>45</v>
      </c>
      <c r="C21" s="4" t="s">
        <v>66</v>
      </c>
      <c r="D21" s="3" t="s">
        <v>71</v>
      </c>
      <c r="E21" s="4" t="s">
        <v>66</v>
      </c>
      <c r="F21" s="5" t="s">
        <v>14</v>
      </c>
      <c r="G21" s="2" t="s">
        <v>72</v>
      </c>
    </row>
    <row r="22" spans="1:7" ht="28.05" customHeight="1" x14ac:dyDescent="0.3">
      <c r="A22" s="6" t="s">
        <v>73</v>
      </c>
      <c r="B22" s="7" t="s">
        <v>10</v>
      </c>
      <c r="C22" s="8" t="s">
        <v>74</v>
      </c>
      <c r="D22" s="7" t="s">
        <v>75</v>
      </c>
      <c r="E22" s="8" t="s">
        <v>76</v>
      </c>
      <c r="F22" s="11" t="s">
        <v>77</v>
      </c>
      <c r="G22" s="6" t="s">
        <v>78</v>
      </c>
    </row>
    <row r="25" spans="1:7" x14ac:dyDescent="0.3">
      <c r="A25" s="23" t="s">
        <v>79</v>
      </c>
      <c r="B25" s="24"/>
      <c r="C25" s="24"/>
      <c r="D25" s="24"/>
      <c r="E25" s="24"/>
      <c r="F25" s="24"/>
      <c r="G25" s="25"/>
    </row>
    <row r="26" spans="1:7" x14ac:dyDescent="0.3">
      <c r="A26" s="5" t="s">
        <v>14</v>
      </c>
      <c r="B26" s="21" t="s">
        <v>80</v>
      </c>
      <c r="C26" s="20"/>
      <c r="D26" s="20"/>
      <c r="E26" s="20"/>
      <c r="F26" s="20"/>
      <c r="G26" s="20"/>
    </row>
    <row r="27" spans="1:7" x14ac:dyDescent="0.3">
      <c r="A27" s="9" t="s">
        <v>18</v>
      </c>
      <c r="B27" s="21" t="s">
        <v>81</v>
      </c>
      <c r="C27" s="20"/>
      <c r="D27" s="20"/>
      <c r="E27" s="20"/>
      <c r="F27" s="20"/>
      <c r="G27" s="20"/>
    </row>
    <row r="28" spans="1:7" x14ac:dyDescent="0.3">
      <c r="A28" s="10" t="s">
        <v>69</v>
      </c>
      <c r="B28" s="21" t="s">
        <v>82</v>
      </c>
      <c r="C28" s="20"/>
      <c r="D28" s="20"/>
      <c r="E28" s="20"/>
      <c r="F28" s="20"/>
      <c r="G28" s="20"/>
    </row>
    <row r="29" spans="1:7" x14ac:dyDescent="0.3">
      <c r="A29" s="11" t="s">
        <v>77</v>
      </c>
      <c r="B29" s="21" t="s">
        <v>83</v>
      </c>
      <c r="C29" s="20"/>
      <c r="D29" s="20"/>
      <c r="E29" s="20"/>
      <c r="F29" s="20"/>
      <c r="G29" s="20"/>
    </row>
    <row r="30" spans="1:7" x14ac:dyDescent="0.3">
      <c r="A30" s="12" t="s">
        <v>84</v>
      </c>
      <c r="B30" s="21" t="s">
        <v>85</v>
      </c>
      <c r="C30" s="20"/>
      <c r="D30" s="20"/>
      <c r="E30" s="20"/>
      <c r="F30" s="20"/>
      <c r="G30" s="20"/>
    </row>
  </sheetData>
  <mergeCells count="8">
    <mergeCell ref="B30:G30"/>
    <mergeCell ref="B29:G29"/>
    <mergeCell ref="A1:G1"/>
    <mergeCell ref="B28:G28"/>
    <mergeCell ref="B27:G27"/>
    <mergeCell ref="A2:G2"/>
    <mergeCell ref="B26:G26"/>
    <mergeCell ref="A25:G25"/>
  </mergeCells>
  <dataValidations count="1">
    <dataValidation type="list" sqref="F5:F200" xr:uid="{00000000-0002-0000-0000-000000000000}">
      <formula1>"YES,NO — MISSING,PARTIAL,DERIVED,UNKNOWN"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4444"/>
  </sheetPr>
  <dimension ref="A1:H21"/>
  <sheetViews>
    <sheetView showGridLines="0" workbookViewId="0">
      <pane ySplit="3" topLeftCell="A16" activePane="bottomLeft" state="frozen"/>
      <selection pane="bottomLeft" sqref="A1:H1"/>
    </sheetView>
  </sheetViews>
  <sheetFormatPr defaultRowHeight="14.4" x14ac:dyDescent="0.3"/>
  <cols>
    <col min="1" max="1" width="28" customWidth="1"/>
    <col min="2" max="2" width="16" customWidth="1"/>
    <col min="3" max="4" width="14" customWidth="1"/>
    <col min="5" max="5" width="16" customWidth="1"/>
    <col min="6" max="7" width="14" customWidth="1"/>
    <col min="8" max="8" width="36" customWidth="1"/>
  </cols>
  <sheetData>
    <row r="1" spans="1:8" ht="36" customHeight="1" x14ac:dyDescent="0.3">
      <c r="A1" s="19" t="s">
        <v>86</v>
      </c>
      <c r="B1" s="20"/>
      <c r="C1" s="20"/>
      <c r="D1" s="20"/>
      <c r="E1" s="20"/>
      <c r="F1" s="20"/>
      <c r="G1" s="20"/>
      <c r="H1" s="20"/>
    </row>
    <row r="2" spans="1:8" ht="6" customHeight="1" x14ac:dyDescent="0.3"/>
    <row r="3" spans="1:8" ht="30" customHeight="1" x14ac:dyDescent="0.3">
      <c r="A3" s="1" t="s">
        <v>87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</row>
    <row r="4" spans="1:8" ht="30" customHeight="1" x14ac:dyDescent="0.3">
      <c r="A4" s="3" t="s">
        <v>16</v>
      </c>
      <c r="B4" s="13" t="s">
        <v>95</v>
      </c>
      <c r="C4" s="2" t="s">
        <v>96</v>
      </c>
      <c r="D4" s="2" t="s">
        <v>44</v>
      </c>
      <c r="E4" s="10" t="s">
        <v>97</v>
      </c>
      <c r="F4" s="5" t="s">
        <v>98</v>
      </c>
      <c r="G4" s="5" t="s">
        <v>99</v>
      </c>
      <c r="H4" s="2" t="s">
        <v>100</v>
      </c>
    </row>
    <row r="5" spans="1:8" ht="30" customHeight="1" x14ac:dyDescent="0.3">
      <c r="A5" s="7" t="s">
        <v>45</v>
      </c>
      <c r="B5" s="14" t="s">
        <v>95</v>
      </c>
      <c r="C5" s="6" t="s">
        <v>101</v>
      </c>
      <c r="D5" s="6" t="s">
        <v>44</v>
      </c>
      <c r="E5" s="10" t="s">
        <v>97</v>
      </c>
      <c r="F5" s="5" t="s">
        <v>98</v>
      </c>
      <c r="G5" s="5" t="s">
        <v>99</v>
      </c>
      <c r="H5" s="6" t="s">
        <v>102</v>
      </c>
    </row>
    <row r="6" spans="1:8" ht="30" customHeight="1" x14ac:dyDescent="0.3">
      <c r="A6" s="3" t="s">
        <v>23</v>
      </c>
      <c r="B6" s="13" t="s">
        <v>95</v>
      </c>
      <c r="C6" s="2" t="s">
        <v>103</v>
      </c>
      <c r="D6" s="2" t="s">
        <v>104</v>
      </c>
      <c r="E6" s="10" t="s">
        <v>97</v>
      </c>
      <c r="F6" s="5" t="s">
        <v>98</v>
      </c>
      <c r="G6" s="15" t="s">
        <v>105</v>
      </c>
      <c r="H6" s="2" t="s">
        <v>106</v>
      </c>
    </row>
    <row r="7" spans="1:8" ht="30" customHeight="1" x14ac:dyDescent="0.3">
      <c r="A7" s="7" t="s">
        <v>21</v>
      </c>
      <c r="B7" s="14" t="s">
        <v>107</v>
      </c>
      <c r="C7" s="6" t="s">
        <v>103</v>
      </c>
      <c r="D7" s="6" t="s">
        <v>108</v>
      </c>
      <c r="E7" s="10" t="s">
        <v>97</v>
      </c>
      <c r="F7" s="5" t="s">
        <v>98</v>
      </c>
      <c r="G7" s="5" t="s">
        <v>99</v>
      </c>
      <c r="H7" s="6" t="s">
        <v>109</v>
      </c>
    </row>
    <row r="8" spans="1:8" ht="30" customHeight="1" x14ac:dyDescent="0.3">
      <c r="A8" s="3" t="s">
        <v>110</v>
      </c>
      <c r="B8" s="13" t="s">
        <v>107</v>
      </c>
      <c r="C8" s="2" t="s">
        <v>103</v>
      </c>
      <c r="D8" s="2" t="s">
        <v>24</v>
      </c>
      <c r="E8" s="9" t="s">
        <v>111</v>
      </c>
      <c r="F8" s="5" t="s">
        <v>98</v>
      </c>
      <c r="G8" s="15" t="s">
        <v>105</v>
      </c>
      <c r="H8" s="2" t="s">
        <v>112</v>
      </c>
    </row>
    <row r="9" spans="1:8" ht="30" customHeight="1" x14ac:dyDescent="0.3">
      <c r="A9" s="7" t="s">
        <v>27</v>
      </c>
      <c r="B9" s="14" t="s">
        <v>107</v>
      </c>
      <c r="C9" s="6" t="s">
        <v>103</v>
      </c>
      <c r="D9" s="6" t="s">
        <v>113</v>
      </c>
      <c r="E9" s="9" t="s">
        <v>111</v>
      </c>
      <c r="F9" s="5" t="s">
        <v>98</v>
      </c>
      <c r="G9" s="9" t="s">
        <v>114</v>
      </c>
      <c r="H9" s="6" t="s">
        <v>115</v>
      </c>
    </row>
    <row r="10" spans="1:8" ht="30" customHeight="1" x14ac:dyDescent="0.3">
      <c r="A10" s="3" t="s">
        <v>10</v>
      </c>
      <c r="B10" s="13" t="s">
        <v>116</v>
      </c>
      <c r="C10" s="2" t="s">
        <v>101</v>
      </c>
      <c r="D10" s="2" t="s">
        <v>22</v>
      </c>
      <c r="E10" s="10" t="s">
        <v>97</v>
      </c>
      <c r="F10" s="5" t="s">
        <v>98</v>
      </c>
      <c r="G10" s="5" t="s">
        <v>99</v>
      </c>
      <c r="H10" s="2" t="s">
        <v>117</v>
      </c>
    </row>
    <row r="11" spans="1:8" ht="30" customHeight="1" x14ac:dyDescent="0.3">
      <c r="A11" s="7" t="s">
        <v>63</v>
      </c>
      <c r="B11" s="14" t="s">
        <v>116</v>
      </c>
      <c r="C11" s="6" t="s">
        <v>103</v>
      </c>
      <c r="D11" s="6" t="s">
        <v>22</v>
      </c>
      <c r="E11" s="5" t="s">
        <v>14</v>
      </c>
      <c r="F11" s="5" t="s">
        <v>98</v>
      </c>
      <c r="G11" s="5" t="s">
        <v>99</v>
      </c>
      <c r="H11" s="6" t="s">
        <v>118</v>
      </c>
    </row>
    <row r="12" spans="1:8" ht="30" customHeight="1" x14ac:dyDescent="0.3">
      <c r="A12" s="3" t="s">
        <v>119</v>
      </c>
      <c r="B12" s="13" t="s">
        <v>120</v>
      </c>
      <c r="C12" s="2" t="s">
        <v>103</v>
      </c>
      <c r="D12" s="2" t="s">
        <v>36</v>
      </c>
      <c r="E12" s="10" t="s">
        <v>97</v>
      </c>
      <c r="F12" s="5" t="s">
        <v>98</v>
      </c>
      <c r="G12" s="5" t="s">
        <v>99</v>
      </c>
      <c r="H12" s="2" t="s">
        <v>121</v>
      </c>
    </row>
    <row r="13" spans="1:8" ht="30" customHeight="1" x14ac:dyDescent="0.3">
      <c r="A13" s="7" t="s">
        <v>122</v>
      </c>
      <c r="B13" s="14" t="s">
        <v>120</v>
      </c>
      <c r="C13" s="6" t="s">
        <v>103</v>
      </c>
      <c r="D13" s="6" t="s">
        <v>31</v>
      </c>
      <c r="E13" s="10" t="s">
        <v>97</v>
      </c>
      <c r="F13" s="5" t="s">
        <v>98</v>
      </c>
      <c r="G13" s="5" t="s">
        <v>99</v>
      </c>
      <c r="H13" s="6" t="s">
        <v>123</v>
      </c>
    </row>
    <row r="14" spans="1:8" ht="30" customHeight="1" x14ac:dyDescent="0.3">
      <c r="A14" s="3" t="s">
        <v>124</v>
      </c>
      <c r="B14" s="13" t="s">
        <v>120</v>
      </c>
      <c r="C14" s="2" t="s">
        <v>103</v>
      </c>
      <c r="D14" s="2" t="s">
        <v>51</v>
      </c>
      <c r="E14" s="9" t="s">
        <v>111</v>
      </c>
      <c r="F14" s="5" t="s">
        <v>98</v>
      </c>
      <c r="G14" s="5" t="s">
        <v>99</v>
      </c>
      <c r="H14" s="2" t="s">
        <v>125</v>
      </c>
    </row>
    <row r="15" spans="1:8" ht="30" customHeight="1" x14ac:dyDescent="0.3">
      <c r="A15" s="7" t="s">
        <v>126</v>
      </c>
      <c r="B15" s="14" t="s">
        <v>120</v>
      </c>
      <c r="C15" s="6" t="s">
        <v>103</v>
      </c>
      <c r="D15" s="6" t="s">
        <v>51</v>
      </c>
      <c r="E15" s="9" t="s">
        <v>111</v>
      </c>
      <c r="F15" s="5" t="s">
        <v>98</v>
      </c>
      <c r="G15" s="5" t="s">
        <v>99</v>
      </c>
      <c r="H15" s="6" t="s">
        <v>127</v>
      </c>
    </row>
    <row r="16" spans="1:8" ht="30" customHeight="1" x14ac:dyDescent="0.3">
      <c r="A16" s="3" t="s">
        <v>71</v>
      </c>
      <c r="B16" s="13" t="s">
        <v>120</v>
      </c>
      <c r="C16" s="2" t="s">
        <v>103</v>
      </c>
      <c r="D16" s="2" t="s">
        <v>128</v>
      </c>
      <c r="E16" s="9" t="s">
        <v>111</v>
      </c>
      <c r="F16" s="5" t="s">
        <v>98</v>
      </c>
      <c r="G16" s="5" t="s">
        <v>99</v>
      </c>
      <c r="H16" s="2" t="s">
        <v>129</v>
      </c>
    </row>
    <row r="17" spans="1:8" ht="30" customHeight="1" x14ac:dyDescent="0.3">
      <c r="A17" s="7" t="s">
        <v>130</v>
      </c>
      <c r="B17" s="14" t="s">
        <v>131</v>
      </c>
      <c r="C17" s="6" t="s">
        <v>103</v>
      </c>
      <c r="D17" s="6" t="s">
        <v>132</v>
      </c>
      <c r="E17" s="9" t="s">
        <v>111</v>
      </c>
      <c r="F17" s="5" t="s">
        <v>98</v>
      </c>
      <c r="G17" s="5" t="s">
        <v>99</v>
      </c>
      <c r="H17" s="6" t="s">
        <v>133</v>
      </c>
    </row>
    <row r="18" spans="1:8" ht="30" customHeight="1" x14ac:dyDescent="0.3">
      <c r="A18" s="3" t="s">
        <v>12</v>
      </c>
      <c r="B18" s="13" t="s">
        <v>131</v>
      </c>
      <c r="C18" s="2" t="s">
        <v>103</v>
      </c>
      <c r="D18" s="2" t="s">
        <v>134</v>
      </c>
      <c r="E18" s="9" t="s">
        <v>111</v>
      </c>
      <c r="F18" s="9" t="s">
        <v>135</v>
      </c>
      <c r="G18" s="10" t="s">
        <v>136</v>
      </c>
      <c r="H18" s="2" t="s">
        <v>137</v>
      </c>
    </row>
    <row r="19" spans="1:8" ht="30" customHeight="1" x14ac:dyDescent="0.3">
      <c r="A19" s="7" t="s">
        <v>61</v>
      </c>
      <c r="B19" s="14" t="s">
        <v>131</v>
      </c>
      <c r="C19" s="6" t="s">
        <v>138</v>
      </c>
      <c r="D19" s="6" t="s">
        <v>139</v>
      </c>
      <c r="E19" s="9" t="s">
        <v>111</v>
      </c>
      <c r="F19" s="9" t="s">
        <v>135</v>
      </c>
      <c r="G19" s="9" t="s">
        <v>114</v>
      </c>
      <c r="H19" s="6" t="s">
        <v>140</v>
      </c>
    </row>
    <row r="20" spans="1:8" ht="30" customHeight="1" x14ac:dyDescent="0.3">
      <c r="A20" s="3" t="s">
        <v>141</v>
      </c>
      <c r="B20" s="13" t="s">
        <v>107</v>
      </c>
      <c r="C20" s="2" t="s">
        <v>103</v>
      </c>
      <c r="D20" s="2" t="s">
        <v>142</v>
      </c>
      <c r="E20" s="5" t="s">
        <v>14</v>
      </c>
      <c r="F20" s="12" t="s">
        <v>143</v>
      </c>
      <c r="G20" s="5" t="s">
        <v>99</v>
      </c>
      <c r="H20" s="2" t="s">
        <v>144</v>
      </c>
    </row>
    <row r="21" spans="1:8" ht="30" customHeight="1" x14ac:dyDescent="0.3">
      <c r="A21" s="7" t="s">
        <v>145</v>
      </c>
      <c r="B21" s="14" t="s">
        <v>107</v>
      </c>
      <c r="C21" s="6" t="s">
        <v>103</v>
      </c>
      <c r="D21" s="6" t="s">
        <v>146</v>
      </c>
      <c r="E21" s="5" t="s">
        <v>14</v>
      </c>
      <c r="F21" s="12" t="s">
        <v>143</v>
      </c>
      <c r="G21" s="5" t="s">
        <v>99</v>
      </c>
      <c r="H21" s="6" t="s">
        <v>147</v>
      </c>
    </row>
  </sheetData>
  <mergeCells count="1">
    <mergeCell ref="A1:H1"/>
  </mergeCells>
  <dataValidations count="3">
    <dataValidation type="list" sqref="E4:E100" xr:uid="{00000000-0002-0000-0100-000000000000}">
      <formula1>"NO,YES,MAYBE"</formula1>
    </dataValidation>
    <dataValidation type="list" sqref="F4:F100" xr:uid="{00000000-0002-0000-0100-000001000000}">
      <formula1>"Active,RISK,DECOMMISSIONED"</formula1>
    </dataValidation>
    <dataValidation type="list" sqref="G4:G100" xr:uid="{00000000-0002-0000-0100-000002000000}">
      <formula1>"None,Low,Medium,HIGH"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B2D8A"/>
  </sheetPr>
  <dimension ref="A1:G55"/>
  <sheetViews>
    <sheetView showGridLines="0" tabSelected="1" workbookViewId="0">
      <pane ySplit="3" topLeftCell="A4" activePane="bottomLeft" state="frozen"/>
      <selection pane="bottomLeft" activeCell="C10" sqref="C10"/>
    </sheetView>
  </sheetViews>
  <sheetFormatPr defaultRowHeight="14.4" x14ac:dyDescent="0.3"/>
  <cols>
    <col min="1" max="1" width="26" customWidth="1"/>
    <col min="2" max="2" width="28" customWidth="1"/>
    <col min="3" max="3" width="22" customWidth="1"/>
    <col min="4" max="6" width="14" customWidth="1"/>
    <col min="7" max="7" width="40" customWidth="1"/>
  </cols>
  <sheetData>
    <row r="1" spans="1:7" ht="36" customHeight="1" x14ac:dyDescent="0.3">
      <c r="A1" s="19" t="s">
        <v>148</v>
      </c>
      <c r="B1" s="20"/>
      <c r="C1" s="20"/>
      <c r="D1" s="20"/>
      <c r="E1" s="20"/>
      <c r="F1" s="20"/>
      <c r="G1" s="20"/>
    </row>
    <row r="2" spans="1:7" ht="6" customHeight="1" x14ac:dyDescent="0.3"/>
    <row r="3" spans="1:7" ht="30" customHeight="1" x14ac:dyDescent="0.3">
      <c r="A3" s="1" t="s">
        <v>149</v>
      </c>
      <c r="B3" s="1" t="s">
        <v>150</v>
      </c>
      <c r="C3" s="1" t="s">
        <v>151</v>
      </c>
      <c r="D3" s="1" t="s">
        <v>88</v>
      </c>
      <c r="E3" s="1" t="s">
        <v>152</v>
      </c>
      <c r="F3" s="1" t="s">
        <v>153</v>
      </c>
      <c r="G3" s="1" t="s">
        <v>154</v>
      </c>
    </row>
    <row r="4" spans="1:7" ht="28.05" customHeight="1" x14ac:dyDescent="0.3">
      <c r="A4" s="3" t="s">
        <v>155</v>
      </c>
      <c r="B4" s="4" t="s">
        <v>156</v>
      </c>
      <c r="C4" s="16" t="s">
        <v>157</v>
      </c>
      <c r="D4" s="5" t="s">
        <v>158</v>
      </c>
      <c r="E4" s="5" t="s">
        <v>14</v>
      </c>
      <c r="F4" s="5" t="s">
        <v>14</v>
      </c>
      <c r="G4" s="2" t="s">
        <v>159</v>
      </c>
    </row>
    <row r="5" spans="1:7" ht="28.05" customHeight="1" x14ac:dyDescent="0.3">
      <c r="A5" s="7" t="s">
        <v>160</v>
      </c>
      <c r="B5" s="8" t="s">
        <v>161</v>
      </c>
      <c r="C5" s="17" t="s">
        <v>162</v>
      </c>
      <c r="D5" s="18" t="s">
        <v>163</v>
      </c>
      <c r="E5" s="5" t="s">
        <v>14</v>
      </c>
      <c r="F5" s="5" t="s">
        <v>14</v>
      </c>
      <c r="G5" s="6" t="s">
        <v>164</v>
      </c>
    </row>
    <row r="6" spans="1:7" ht="28.05" customHeight="1" x14ac:dyDescent="0.3">
      <c r="A6" s="3" t="s">
        <v>165</v>
      </c>
      <c r="B6" s="4" t="s">
        <v>166</v>
      </c>
      <c r="C6" s="16" t="s">
        <v>167</v>
      </c>
      <c r="D6" s="18" t="s">
        <v>163</v>
      </c>
      <c r="E6" s="5" t="s">
        <v>14</v>
      </c>
      <c r="F6" s="9" t="s">
        <v>18</v>
      </c>
      <c r="G6" s="2" t="s">
        <v>168</v>
      </c>
    </row>
    <row r="7" spans="1:7" ht="28.05" customHeight="1" x14ac:dyDescent="0.3">
      <c r="A7" s="7" t="s">
        <v>169</v>
      </c>
      <c r="B7" s="8" t="s">
        <v>170</v>
      </c>
      <c r="C7" s="17" t="s">
        <v>171</v>
      </c>
      <c r="D7" s="18" t="s">
        <v>163</v>
      </c>
      <c r="E7" s="11" t="s">
        <v>172</v>
      </c>
      <c r="F7" s="10" t="s">
        <v>97</v>
      </c>
      <c r="G7" s="6" t="s">
        <v>173</v>
      </c>
    </row>
    <row r="8" spans="1:7" ht="28.05" customHeight="1" x14ac:dyDescent="0.3">
      <c r="A8" s="3" t="s">
        <v>24</v>
      </c>
      <c r="B8" s="4" t="s">
        <v>174</v>
      </c>
      <c r="C8" s="16" t="s">
        <v>175</v>
      </c>
      <c r="D8" s="18" t="s">
        <v>163</v>
      </c>
      <c r="E8" s="5" t="s">
        <v>14</v>
      </c>
      <c r="F8" s="5" t="s">
        <v>14</v>
      </c>
      <c r="G8" s="2" t="s">
        <v>176</v>
      </c>
    </row>
    <row r="9" spans="1:7" ht="28.05" customHeight="1" x14ac:dyDescent="0.3">
      <c r="A9" s="7" t="s">
        <v>177</v>
      </c>
      <c r="B9" s="8" t="s">
        <v>178</v>
      </c>
      <c r="C9" s="17" t="s">
        <v>179</v>
      </c>
      <c r="D9" s="18" t="s">
        <v>163</v>
      </c>
      <c r="E9" s="5" t="s">
        <v>14</v>
      </c>
      <c r="F9" s="5" t="s">
        <v>14</v>
      </c>
      <c r="G9" s="6" t="s">
        <v>180</v>
      </c>
    </row>
    <row r="10" spans="1:7" ht="28.05" customHeight="1" x14ac:dyDescent="0.3">
      <c r="A10" s="3" t="s">
        <v>181</v>
      </c>
      <c r="B10" s="4" t="s">
        <v>182</v>
      </c>
      <c r="C10" s="16" t="s">
        <v>183</v>
      </c>
      <c r="D10" s="18" t="s">
        <v>163</v>
      </c>
      <c r="E10" s="5" t="s">
        <v>14</v>
      </c>
      <c r="F10" s="5" t="s">
        <v>14</v>
      </c>
      <c r="G10" s="2" t="s">
        <v>184</v>
      </c>
    </row>
    <row r="11" spans="1:7" ht="28.05" customHeight="1" x14ac:dyDescent="0.3">
      <c r="A11" s="7" t="s">
        <v>185</v>
      </c>
      <c r="B11" s="8" t="s">
        <v>110</v>
      </c>
      <c r="C11" s="17" t="s">
        <v>186</v>
      </c>
      <c r="D11" s="18" t="s">
        <v>163</v>
      </c>
      <c r="E11" s="9" t="s">
        <v>111</v>
      </c>
      <c r="F11" s="5" t="s">
        <v>14</v>
      </c>
      <c r="G11" s="6" t="s">
        <v>187</v>
      </c>
    </row>
    <row r="12" spans="1:7" ht="28.05" customHeight="1" x14ac:dyDescent="0.3">
      <c r="A12" s="3" t="s">
        <v>188</v>
      </c>
      <c r="B12" s="4" t="s">
        <v>189</v>
      </c>
      <c r="C12" s="16" t="s">
        <v>190</v>
      </c>
      <c r="D12" s="18" t="s">
        <v>163</v>
      </c>
      <c r="E12" s="9" t="s">
        <v>111</v>
      </c>
      <c r="F12" s="9" t="s">
        <v>18</v>
      </c>
      <c r="G12" s="2" t="s">
        <v>191</v>
      </c>
    </row>
    <row r="13" spans="1:7" ht="28.05" customHeight="1" x14ac:dyDescent="0.3">
      <c r="A13" s="7" t="s">
        <v>192</v>
      </c>
      <c r="B13" s="8" t="s">
        <v>193</v>
      </c>
      <c r="C13" s="17" t="s">
        <v>194</v>
      </c>
      <c r="D13" s="15" t="s">
        <v>116</v>
      </c>
      <c r="E13" s="9" t="s">
        <v>111</v>
      </c>
      <c r="F13" s="5" t="s">
        <v>14</v>
      </c>
      <c r="G13" s="6" t="s">
        <v>195</v>
      </c>
    </row>
    <row r="14" spans="1:7" ht="28.05" customHeight="1" x14ac:dyDescent="0.3">
      <c r="A14" s="3" t="s">
        <v>196</v>
      </c>
      <c r="B14" s="4" t="s">
        <v>197</v>
      </c>
      <c r="C14" s="16" t="s">
        <v>198</v>
      </c>
      <c r="D14" s="15" t="s">
        <v>116</v>
      </c>
      <c r="E14" s="5" t="s">
        <v>14</v>
      </c>
      <c r="F14" s="5" t="s">
        <v>14</v>
      </c>
      <c r="G14" s="2" t="s">
        <v>199</v>
      </c>
    </row>
    <row r="15" spans="1:7" ht="28.05" customHeight="1" x14ac:dyDescent="0.3">
      <c r="A15" s="7" t="s">
        <v>11</v>
      </c>
      <c r="B15" s="8" t="s">
        <v>200</v>
      </c>
      <c r="C15" s="17" t="s">
        <v>201</v>
      </c>
      <c r="D15" s="15" t="s">
        <v>116</v>
      </c>
      <c r="E15" s="5" t="s">
        <v>14</v>
      </c>
      <c r="F15" s="5" t="s">
        <v>14</v>
      </c>
      <c r="G15" s="6" t="s">
        <v>202</v>
      </c>
    </row>
    <row r="16" spans="1:7" ht="28.05" customHeight="1" x14ac:dyDescent="0.3">
      <c r="A16" s="3" t="s">
        <v>116</v>
      </c>
      <c r="B16" s="4" t="s">
        <v>203</v>
      </c>
      <c r="C16" s="16" t="s">
        <v>204</v>
      </c>
      <c r="D16" s="15" t="s">
        <v>116</v>
      </c>
      <c r="E16" s="5" t="s">
        <v>14</v>
      </c>
      <c r="F16" s="5" t="s">
        <v>14</v>
      </c>
      <c r="G16" s="2" t="s">
        <v>205</v>
      </c>
    </row>
    <row r="17" spans="1:7" ht="28.05" customHeight="1" x14ac:dyDescent="0.3">
      <c r="A17" s="7" t="s">
        <v>206</v>
      </c>
      <c r="B17" s="8" t="s">
        <v>207</v>
      </c>
      <c r="C17" s="17" t="s">
        <v>208</v>
      </c>
      <c r="D17" s="15" t="s">
        <v>116</v>
      </c>
      <c r="E17" s="9" t="s">
        <v>111</v>
      </c>
      <c r="F17" s="9" t="s">
        <v>18</v>
      </c>
      <c r="G17" s="6" t="s">
        <v>209</v>
      </c>
    </row>
    <row r="18" spans="1:7" ht="28.05" customHeight="1" x14ac:dyDescent="0.3">
      <c r="A18" s="3" t="s">
        <v>210</v>
      </c>
      <c r="B18" s="4" t="s">
        <v>211</v>
      </c>
      <c r="C18" s="16" t="s">
        <v>212</v>
      </c>
      <c r="D18" s="15" t="s">
        <v>116</v>
      </c>
      <c r="E18" s="9" t="s">
        <v>111</v>
      </c>
      <c r="F18" s="9" t="s">
        <v>18</v>
      </c>
      <c r="G18" s="2" t="s">
        <v>209</v>
      </c>
    </row>
    <row r="19" spans="1:7" ht="28.05" customHeight="1" x14ac:dyDescent="0.3">
      <c r="A19" s="7" t="s">
        <v>213</v>
      </c>
      <c r="B19" s="8" t="s">
        <v>214</v>
      </c>
      <c r="C19" s="17" t="s">
        <v>215</v>
      </c>
      <c r="D19" s="15" t="s">
        <v>116</v>
      </c>
      <c r="E19" s="5" t="s">
        <v>14</v>
      </c>
      <c r="F19" s="5" t="s">
        <v>14</v>
      </c>
      <c r="G19" s="6" t="s">
        <v>216</v>
      </c>
    </row>
    <row r="20" spans="1:7" ht="28.05" customHeight="1" x14ac:dyDescent="0.3">
      <c r="A20" s="3" t="s">
        <v>76</v>
      </c>
      <c r="B20" s="4" t="s">
        <v>217</v>
      </c>
      <c r="C20" s="16" t="s">
        <v>218</v>
      </c>
      <c r="D20" s="15" t="s">
        <v>116</v>
      </c>
      <c r="E20" s="5" t="s">
        <v>14</v>
      </c>
      <c r="F20" s="5" t="s">
        <v>14</v>
      </c>
      <c r="G20" s="2" t="s">
        <v>219</v>
      </c>
    </row>
    <row r="21" spans="1:7" ht="28.05" customHeight="1" x14ac:dyDescent="0.3">
      <c r="A21" s="7" t="s">
        <v>220</v>
      </c>
      <c r="B21" s="8" t="s">
        <v>221</v>
      </c>
      <c r="C21" s="17" t="s">
        <v>222</v>
      </c>
      <c r="D21" s="15" t="s">
        <v>116</v>
      </c>
      <c r="E21" s="9" t="s">
        <v>111</v>
      </c>
      <c r="F21" s="5" t="s">
        <v>14</v>
      </c>
      <c r="G21" s="6" t="s">
        <v>223</v>
      </c>
    </row>
    <row r="22" spans="1:7" ht="28.05" customHeight="1" x14ac:dyDescent="0.3">
      <c r="A22" s="3" t="s">
        <v>224</v>
      </c>
      <c r="B22" s="4" t="s">
        <v>12</v>
      </c>
      <c r="C22" s="16" t="s">
        <v>225</v>
      </c>
      <c r="D22" s="15" t="s">
        <v>116</v>
      </c>
      <c r="E22" s="9" t="s">
        <v>111</v>
      </c>
      <c r="F22" s="10" t="s">
        <v>135</v>
      </c>
      <c r="G22" s="2" t="s">
        <v>226</v>
      </c>
    </row>
    <row r="23" spans="1:7" ht="28.05" customHeight="1" x14ac:dyDescent="0.3">
      <c r="A23" s="7" t="s">
        <v>227</v>
      </c>
      <c r="B23" s="8" t="s">
        <v>12</v>
      </c>
      <c r="C23" s="17" t="s">
        <v>228</v>
      </c>
      <c r="D23" s="15" t="s">
        <v>116</v>
      </c>
      <c r="E23" s="9" t="s">
        <v>111</v>
      </c>
      <c r="F23" s="10" t="s">
        <v>135</v>
      </c>
      <c r="G23" s="6" t="s">
        <v>229</v>
      </c>
    </row>
    <row r="24" spans="1:7" ht="28.05" customHeight="1" x14ac:dyDescent="0.3">
      <c r="A24" s="3" t="s">
        <v>230</v>
      </c>
      <c r="B24" s="4" t="s">
        <v>12</v>
      </c>
      <c r="C24" s="16" t="s">
        <v>231</v>
      </c>
      <c r="D24" s="15" t="s">
        <v>116</v>
      </c>
      <c r="E24" s="9" t="s">
        <v>111</v>
      </c>
      <c r="F24" s="10" t="s">
        <v>135</v>
      </c>
      <c r="G24" s="2" t="s">
        <v>229</v>
      </c>
    </row>
    <row r="25" spans="1:7" ht="28.05" customHeight="1" x14ac:dyDescent="0.3">
      <c r="A25" s="7" t="s">
        <v>232</v>
      </c>
      <c r="B25" s="8" t="s">
        <v>233</v>
      </c>
      <c r="C25" s="17" t="s">
        <v>234</v>
      </c>
      <c r="D25" s="9" t="s">
        <v>235</v>
      </c>
      <c r="E25" s="5" t="s">
        <v>14</v>
      </c>
      <c r="F25" s="5" t="s">
        <v>14</v>
      </c>
      <c r="G25" s="6" t="s">
        <v>236</v>
      </c>
    </row>
    <row r="26" spans="1:7" ht="28.05" customHeight="1" x14ac:dyDescent="0.3">
      <c r="A26" s="3" t="s">
        <v>237</v>
      </c>
      <c r="B26" s="4" t="s">
        <v>238</v>
      </c>
      <c r="C26" s="16" t="s">
        <v>239</v>
      </c>
      <c r="D26" s="9" t="s">
        <v>235</v>
      </c>
      <c r="E26" s="5" t="s">
        <v>14</v>
      </c>
      <c r="F26" s="5" t="s">
        <v>14</v>
      </c>
      <c r="G26" s="2" t="s">
        <v>240</v>
      </c>
    </row>
    <row r="27" spans="1:7" ht="28.05" customHeight="1" x14ac:dyDescent="0.3">
      <c r="A27" s="7" t="s">
        <v>241</v>
      </c>
      <c r="B27" s="8" t="s">
        <v>242</v>
      </c>
      <c r="C27" s="17" t="s">
        <v>243</v>
      </c>
      <c r="D27" s="9" t="s">
        <v>235</v>
      </c>
      <c r="E27" s="5" t="s">
        <v>14</v>
      </c>
      <c r="F27" s="5" t="s">
        <v>14</v>
      </c>
      <c r="G27" s="6" t="s">
        <v>244</v>
      </c>
    </row>
    <row r="28" spans="1:7" ht="28.05" customHeight="1" x14ac:dyDescent="0.3">
      <c r="A28" s="3" t="s">
        <v>245</v>
      </c>
      <c r="B28" s="4" t="s">
        <v>246</v>
      </c>
      <c r="C28" s="16" t="s">
        <v>247</v>
      </c>
      <c r="D28" s="9" t="s">
        <v>235</v>
      </c>
      <c r="E28" s="5" t="s">
        <v>14</v>
      </c>
      <c r="F28" s="5" t="s">
        <v>14</v>
      </c>
      <c r="G28" s="2" t="s">
        <v>248</v>
      </c>
    </row>
    <row r="29" spans="1:7" ht="28.05" customHeight="1" x14ac:dyDescent="0.3">
      <c r="A29" s="7" t="s">
        <v>249</v>
      </c>
      <c r="B29" s="8" t="s">
        <v>250</v>
      </c>
      <c r="C29" s="17" t="s">
        <v>251</v>
      </c>
      <c r="D29" s="9" t="s">
        <v>235</v>
      </c>
      <c r="E29" s="9" t="s">
        <v>111</v>
      </c>
      <c r="F29" s="5" t="s">
        <v>14</v>
      </c>
      <c r="G29" s="6" t="s">
        <v>252</v>
      </c>
    </row>
    <row r="30" spans="1:7" ht="28.05" customHeight="1" x14ac:dyDescent="0.3">
      <c r="A30" s="3" t="s">
        <v>253</v>
      </c>
      <c r="B30" s="4" t="s">
        <v>254</v>
      </c>
      <c r="C30" s="16" t="s">
        <v>255</v>
      </c>
      <c r="D30" s="9" t="s">
        <v>235</v>
      </c>
      <c r="E30" s="5" t="s">
        <v>14</v>
      </c>
      <c r="F30" s="5" t="s">
        <v>14</v>
      </c>
      <c r="G30" s="2" t="s">
        <v>256</v>
      </c>
    </row>
    <row r="31" spans="1:7" ht="28.05" customHeight="1" x14ac:dyDescent="0.3">
      <c r="A31" s="7" t="s">
        <v>257</v>
      </c>
      <c r="B31" s="8" t="s">
        <v>258</v>
      </c>
      <c r="C31" s="17" t="s">
        <v>259</v>
      </c>
      <c r="D31" s="9" t="s">
        <v>235</v>
      </c>
      <c r="E31" s="9" t="s">
        <v>111</v>
      </c>
      <c r="F31" s="5" t="s">
        <v>14</v>
      </c>
      <c r="G31" s="6" t="s">
        <v>260</v>
      </c>
    </row>
    <row r="32" spans="1:7" ht="28.05" customHeight="1" x14ac:dyDescent="0.3">
      <c r="A32" s="3" t="s">
        <v>261</v>
      </c>
      <c r="B32" s="4" t="s">
        <v>262</v>
      </c>
      <c r="C32" s="16" t="s">
        <v>263</v>
      </c>
      <c r="D32" s="9" t="s">
        <v>235</v>
      </c>
      <c r="E32" s="5" t="s">
        <v>14</v>
      </c>
      <c r="F32" s="5" t="s">
        <v>14</v>
      </c>
      <c r="G32" s="2" t="s">
        <v>264</v>
      </c>
    </row>
    <row r="33" spans="1:7" ht="28.05" customHeight="1" x14ac:dyDescent="0.3">
      <c r="A33" s="7" t="s">
        <v>265</v>
      </c>
      <c r="B33" s="8" t="s">
        <v>266</v>
      </c>
      <c r="C33" s="17" t="s">
        <v>267</v>
      </c>
      <c r="D33" s="11" t="s">
        <v>268</v>
      </c>
      <c r="E33" s="5" t="s">
        <v>14</v>
      </c>
      <c r="F33" s="5" t="s">
        <v>14</v>
      </c>
      <c r="G33" s="6" t="s">
        <v>269</v>
      </c>
    </row>
    <row r="34" spans="1:7" ht="28.05" customHeight="1" x14ac:dyDescent="0.3">
      <c r="A34" s="3" t="s">
        <v>270</v>
      </c>
      <c r="B34" s="4" t="s">
        <v>250</v>
      </c>
      <c r="C34" s="16" t="s">
        <v>271</v>
      </c>
      <c r="D34" s="11" t="s">
        <v>268</v>
      </c>
      <c r="E34" s="9" t="s">
        <v>111</v>
      </c>
      <c r="F34" s="5" t="s">
        <v>14</v>
      </c>
      <c r="G34" s="2" t="s">
        <v>272</v>
      </c>
    </row>
    <row r="35" spans="1:7" ht="28.05" customHeight="1" x14ac:dyDescent="0.3">
      <c r="A35" s="7" t="s">
        <v>273</v>
      </c>
      <c r="B35" s="8" t="s">
        <v>274</v>
      </c>
      <c r="C35" s="17" t="s">
        <v>275</v>
      </c>
      <c r="D35" s="11" t="s">
        <v>268</v>
      </c>
      <c r="E35" s="5" t="s">
        <v>14</v>
      </c>
      <c r="F35" s="5" t="s">
        <v>14</v>
      </c>
      <c r="G35" s="6" t="s">
        <v>276</v>
      </c>
    </row>
    <row r="36" spans="1:7" ht="28.05" customHeight="1" x14ac:dyDescent="0.3">
      <c r="A36" s="3" t="s">
        <v>277</v>
      </c>
      <c r="B36" s="4" t="s">
        <v>278</v>
      </c>
      <c r="C36" s="16" t="s">
        <v>279</v>
      </c>
      <c r="D36" s="11" t="s">
        <v>268</v>
      </c>
      <c r="E36" s="5" t="s">
        <v>14</v>
      </c>
      <c r="F36" s="5" t="s">
        <v>14</v>
      </c>
      <c r="G36" s="2" t="s">
        <v>280</v>
      </c>
    </row>
    <row r="37" spans="1:7" ht="28.05" customHeight="1" x14ac:dyDescent="0.3">
      <c r="A37" s="7" t="s">
        <v>281</v>
      </c>
      <c r="B37" s="8" t="s">
        <v>282</v>
      </c>
      <c r="C37" s="17" t="s">
        <v>283</v>
      </c>
      <c r="D37" s="11" t="s">
        <v>268</v>
      </c>
      <c r="E37" s="5" t="s">
        <v>14</v>
      </c>
      <c r="F37" s="5" t="s">
        <v>14</v>
      </c>
      <c r="G37" s="6" t="s">
        <v>284</v>
      </c>
    </row>
    <row r="38" spans="1:7" ht="28.05" customHeight="1" x14ac:dyDescent="0.3">
      <c r="A38" s="3" t="s">
        <v>285</v>
      </c>
      <c r="B38" s="4" t="s">
        <v>286</v>
      </c>
      <c r="C38" s="16" t="s">
        <v>287</v>
      </c>
      <c r="D38" s="11" t="s">
        <v>268</v>
      </c>
      <c r="E38" s="5" t="s">
        <v>14</v>
      </c>
      <c r="F38" s="5" t="s">
        <v>14</v>
      </c>
      <c r="G38" s="2" t="s">
        <v>288</v>
      </c>
    </row>
    <row r="39" spans="1:7" ht="28.05" customHeight="1" x14ac:dyDescent="0.3">
      <c r="A39" s="7" t="s">
        <v>289</v>
      </c>
      <c r="B39" s="8" t="s">
        <v>290</v>
      </c>
      <c r="C39" s="17" t="s">
        <v>291</v>
      </c>
      <c r="D39" s="11" t="s">
        <v>268</v>
      </c>
      <c r="E39" s="5" t="s">
        <v>14</v>
      </c>
      <c r="F39" s="5" t="s">
        <v>14</v>
      </c>
      <c r="G39" s="6" t="s">
        <v>292</v>
      </c>
    </row>
    <row r="40" spans="1:7" ht="28.05" customHeight="1" x14ac:dyDescent="0.3">
      <c r="A40" s="3" t="s">
        <v>293</v>
      </c>
      <c r="B40" s="4" t="s">
        <v>294</v>
      </c>
      <c r="C40" s="16" t="s">
        <v>295</v>
      </c>
      <c r="D40" s="11" t="s">
        <v>268</v>
      </c>
      <c r="E40" s="9" t="s">
        <v>111</v>
      </c>
      <c r="F40" s="9" t="s">
        <v>18</v>
      </c>
      <c r="G40" s="2" t="s">
        <v>296</v>
      </c>
    </row>
    <row r="41" spans="1:7" ht="28.05" customHeight="1" x14ac:dyDescent="0.3">
      <c r="A41" s="7" t="s">
        <v>297</v>
      </c>
      <c r="B41" s="8" t="s">
        <v>298</v>
      </c>
      <c r="C41" s="17" t="s">
        <v>299</v>
      </c>
      <c r="D41" s="12" t="s">
        <v>300</v>
      </c>
      <c r="E41" s="9" t="s">
        <v>111</v>
      </c>
      <c r="F41" s="9" t="s">
        <v>18</v>
      </c>
      <c r="G41" s="6" t="s">
        <v>301</v>
      </c>
    </row>
    <row r="42" spans="1:7" ht="28.05" customHeight="1" x14ac:dyDescent="0.3">
      <c r="A42" s="3" t="s">
        <v>302</v>
      </c>
      <c r="B42" s="4" t="s">
        <v>303</v>
      </c>
      <c r="C42" s="16" t="s">
        <v>304</v>
      </c>
      <c r="D42" s="12" t="s">
        <v>300</v>
      </c>
      <c r="E42" s="9" t="s">
        <v>111</v>
      </c>
      <c r="F42" s="9" t="s">
        <v>18</v>
      </c>
      <c r="G42" s="2" t="s">
        <v>305</v>
      </c>
    </row>
    <row r="43" spans="1:7" ht="28.05" customHeight="1" x14ac:dyDescent="0.3">
      <c r="A43" s="7" t="s">
        <v>306</v>
      </c>
      <c r="B43" s="8" t="s">
        <v>307</v>
      </c>
      <c r="C43" s="17" t="s">
        <v>308</v>
      </c>
      <c r="D43" s="12" t="s">
        <v>300</v>
      </c>
      <c r="E43" s="9" t="s">
        <v>111</v>
      </c>
      <c r="F43" s="9" t="s">
        <v>18</v>
      </c>
      <c r="G43" s="6" t="s">
        <v>309</v>
      </c>
    </row>
    <row r="44" spans="1:7" ht="28.05" customHeight="1" x14ac:dyDescent="0.3">
      <c r="A44" s="3" t="s">
        <v>310</v>
      </c>
      <c r="B44" s="4" t="s">
        <v>311</v>
      </c>
      <c r="C44" s="16" t="s">
        <v>312</v>
      </c>
      <c r="D44" s="12" t="s">
        <v>300</v>
      </c>
      <c r="E44" s="9" t="s">
        <v>111</v>
      </c>
      <c r="F44" s="9" t="s">
        <v>18</v>
      </c>
      <c r="G44" s="2" t="s">
        <v>313</v>
      </c>
    </row>
    <row r="45" spans="1:7" ht="28.05" customHeight="1" x14ac:dyDescent="0.3">
      <c r="A45" s="7" t="s">
        <v>314</v>
      </c>
      <c r="B45" s="8" t="s">
        <v>315</v>
      </c>
      <c r="C45" s="17" t="s">
        <v>316</v>
      </c>
      <c r="D45" s="12" t="s">
        <v>300</v>
      </c>
      <c r="E45" s="9" t="s">
        <v>111</v>
      </c>
      <c r="F45" s="9" t="s">
        <v>18</v>
      </c>
      <c r="G45" s="6" t="s">
        <v>317</v>
      </c>
    </row>
    <row r="46" spans="1:7" ht="28.05" customHeight="1" x14ac:dyDescent="0.3">
      <c r="A46" s="3" t="s">
        <v>318</v>
      </c>
      <c r="B46" s="4" t="s">
        <v>319</v>
      </c>
      <c r="C46" s="16" t="s">
        <v>320</v>
      </c>
      <c r="D46" s="12" t="s">
        <v>300</v>
      </c>
      <c r="E46" s="9" t="s">
        <v>111</v>
      </c>
      <c r="F46" s="9" t="s">
        <v>18</v>
      </c>
      <c r="G46" s="2" t="s">
        <v>321</v>
      </c>
    </row>
    <row r="47" spans="1:7" ht="28.05" customHeight="1" x14ac:dyDescent="0.3">
      <c r="A47" s="7" t="s">
        <v>322</v>
      </c>
      <c r="B47" s="8" t="s">
        <v>323</v>
      </c>
      <c r="C47" s="17" t="s">
        <v>324</v>
      </c>
      <c r="D47" s="5" t="s">
        <v>158</v>
      </c>
      <c r="E47" s="5" t="s">
        <v>14</v>
      </c>
      <c r="F47" s="5" t="s">
        <v>14</v>
      </c>
      <c r="G47" s="6" t="s">
        <v>325</v>
      </c>
    </row>
    <row r="48" spans="1:7" ht="28.05" customHeight="1" x14ac:dyDescent="0.3">
      <c r="A48" s="3" t="s">
        <v>326</v>
      </c>
      <c r="B48" s="4" t="s">
        <v>327</v>
      </c>
      <c r="C48" s="16" t="s">
        <v>328</v>
      </c>
      <c r="D48" s="5" t="s">
        <v>158</v>
      </c>
      <c r="E48" s="5" t="s">
        <v>14</v>
      </c>
      <c r="F48" s="5" t="s">
        <v>14</v>
      </c>
      <c r="G48" s="2" t="s">
        <v>329</v>
      </c>
    </row>
    <row r="49" spans="1:7" ht="28.05" customHeight="1" x14ac:dyDescent="0.3">
      <c r="A49" s="7" t="s">
        <v>330</v>
      </c>
      <c r="B49" s="8" t="s">
        <v>331</v>
      </c>
      <c r="C49" s="17" t="s">
        <v>332</v>
      </c>
      <c r="D49" s="5" t="s">
        <v>158</v>
      </c>
      <c r="E49" s="9" t="s">
        <v>111</v>
      </c>
      <c r="F49" s="5" t="s">
        <v>14</v>
      </c>
      <c r="G49" s="6" t="s">
        <v>333</v>
      </c>
    </row>
    <row r="50" spans="1:7" ht="28.05" customHeight="1" x14ac:dyDescent="0.3">
      <c r="A50" s="3" t="s">
        <v>334</v>
      </c>
      <c r="B50" s="4" t="s">
        <v>335</v>
      </c>
      <c r="C50" s="16" t="s">
        <v>336</v>
      </c>
      <c r="D50" s="5" t="s">
        <v>158</v>
      </c>
      <c r="E50" s="9" t="s">
        <v>111</v>
      </c>
      <c r="F50" s="5" t="s">
        <v>14</v>
      </c>
      <c r="G50" s="2" t="s">
        <v>337</v>
      </c>
    </row>
    <row r="51" spans="1:7" ht="28.05" customHeight="1" x14ac:dyDescent="0.3">
      <c r="A51" s="7" t="s">
        <v>338</v>
      </c>
      <c r="B51" s="8" t="s">
        <v>339</v>
      </c>
      <c r="C51" s="17" t="s">
        <v>340</v>
      </c>
      <c r="D51" s="9" t="s">
        <v>235</v>
      </c>
      <c r="E51" s="9" t="s">
        <v>111</v>
      </c>
      <c r="F51" s="9" t="s">
        <v>18</v>
      </c>
      <c r="G51" s="6" t="s">
        <v>341</v>
      </c>
    </row>
    <row r="52" spans="1:7" ht="28.05" customHeight="1" x14ac:dyDescent="0.3">
      <c r="A52" s="3" t="s">
        <v>342</v>
      </c>
      <c r="B52" s="4" t="s">
        <v>343</v>
      </c>
      <c r="C52" s="16" t="s">
        <v>344</v>
      </c>
      <c r="D52" s="15" t="s">
        <v>116</v>
      </c>
      <c r="E52" s="9" t="s">
        <v>111</v>
      </c>
      <c r="F52" s="10" t="s">
        <v>135</v>
      </c>
      <c r="G52" s="2" t="s">
        <v>345</v>
      </c>
    </row>
    <row r="53" spans="1:7" ht="28.05" customHeight="1" x14ac:dyDescent="0.3">
      <c r="A53" s="7" t="s">
        <v>346</v>
      </c>
      <c r="B53" s="8" t="s">
        <v>347</v>
      </c>
      <c r="C53" s="17" t="s">
        <v>348</v>
      </c>
      <c r="D53" s="15" t="s">
        <v>116</v>
      </c>
      <c r="E53" s="9" t="s">
        <v>111</v>
      </c>
      <c r="F53" s="10" t="s">
        <v>135</v>
      </c>
      <c r="G53" s="6" t="s">
        <v>349</v>
      </c>
    </row>
    <row r="54" spans="1:7" ht="28.05" customHeight="1" x14ac:dyDescent="0.3">
      <c r="A54" s="3" t="s">
        <v>350</v>
      </c>
      <c r="B54" s="4" t="s">
        <v>351</v>
      </c>
      <c r="C54" s="16" t="s">
        <v>352</v>
      </c>
      <c r="D54" s="5" t="s">
        <v>158</v>
      </c>
      <c r="E54" s="9" t="s">
        <v>111</v>
      </c>
      <c r="F54" s="5" t="s">
        <v>14</v>
      </c>
      <c r="G54" s="2" t="s">
        <v>353</v>
      </c>
    </row>
    <row r="55" spans="1:7" ht="28.05" customHeight="1" x14ac:dyDescent="0.3">
      <c r="A55" s="7" t="s">
        <v>354</v>
      </c>
      <c r="B55" s="8" t="s">
        <v>355</v>
      </c>
      <c r="C55" s="17" t="s">
        <v>356</v>
      </c>
      <c r="D55" s="12" t="s">
        <v>357</v>
      </c>
      <c r="E55" s="5" t="s">
        <v>14</v>
      </c>
      <c r="F55" s="5" t="s">
        <v>14</v>
      </c>
      <c r="G55" s="6" t="s">
        <v>358</v>
      </c>
    </row>
  </sheetData>
  <mergeCells count="1">
    <mergeCell ref="A1:G1"/>
  </mergeCells>
  <dataValidations count="2">
    <dataValidation type="list" sqref="E4:E200" xr:uid="{00000000-0002-0000-0200-000000000000}">
      <formula1>"YES,NO,MAYBE,REVIEW"</formula1>
    </dataValidation>
    <dataValidation type="list" sqref="F4:F200" xr:uid="{00000000-0002-0000-0200-000001000000}">
      <formula1>"YES,NO,PARTIAL,RISK"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7000"/>
  </sheetPr>
  <dimension ref="A1:G12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2" width="22" customWidth="1"/>
    <col min="3" max="4" width="12" customWidth="1"/>
    <col min="5" max="6" width="28" customWidth="1"/>
    <col min="7" max="7" width="20" customWidth="1"/>
  </cols>
  <sheetData>
    <row r="1" spans="1:7" ht="36" customHeight="1" x14ac:dyDescent="0.3">
      <c r="A1" s="19" t="s">
        <v>359</v>
      </c>
      <c r="B1" s="20"/>
      <c r="C1" s="20"/>
      <c r="D1" s="20"/>
      <c r="E1" s="20"/>
      <c r="F1" s="20"/>
      <c r="G1" s="20"/>
    </row>
    <row r="2" spans="1:7" ht="6" customHeight="1" x14ac:dyDescent="0.3"/>
    <row r="3" spans="1:7" ht="30" customHeight="1" x14ac:dyDescent="0.3">
      <c r="A3" s="1" t="s">
        <v>360</v>
      </c>
      <c r="B3" s="1" t="s">
        <v>361</v>
      </c>
      <c r="C3" s="1" t="s">
        <v>362</v>
      </c>
      <c r="D3" s="1" t="s">
        <v>363</v>
      </c>
      <c r="E3" s="1" t="s">
        <v>364</v>
      </c>
      <c r="F3" s="1" t="s">
        <v>365</v>
      </c>
      <c r="G3" s="1" t="s">
        <v>366</v>
      </c>
    </row>
    <row r="4" spans="1:7" ht="49.95" customHeight="1" x14ac:dyDescent="0.3">
      <c r="A4" s="3" t="s">
        <v>12</v>
      </c>
      <c r="B4" s="16" t="s">
        <v>367</v>
      </c>
      <c r="C4" s="10" t="s">
        <v>136</v>
      </c>
      <c r="D4" s="10" t="s">
        <v>368</v>
      </c>
      <c r="E4" s="2" t="s">
        <v>369</v>
      </c>
      <c r="F4" s="2" t="s">
        <v>370</v>
      </c>
      <c r="G4" s="9" t="s">
        <v>371</v>
      </c>
    </row>
    <row r="5" spans="1:7" ht="49.95" customHeight="1" x14ac:dyDescent="0.3">
      <c r="A5" s="7" t="s">
        <v>372</v>
      </c>
      <c r="B5" s="17" t="s">
        <v>373</v>
      </c>
      <c r="C5" s="9" t="s">
        <v>114</v>
      </c>
      <c r="D5" s="10" t="s">
        <v>368</v>
      </c>
      <c r="E5" s="6" t="s">
        <v>374</v>
      </c>
      <c r="F5" s="6" t="s">
        <v>375</v>
      </c>
      <c r="G5" s="9" t="s">
        <v>371</v>
      </c>
    </row>
    <row r="6" spans="1:7" ht="49.95" customHeight="1" x14ac:dyDescent="0.3">
      <c r="A6" s="3" t="s">
        <v>376</v>
      </c>
      <c r="B6" s="16" t="s">
        <v>169</v>
      </c>
      <c r="C6" s="15" t="s">
        <v>105</v>
      </c>
      <c r="D6" s="9" t="s">
        <v>172</v>
      </c>
      <c r="E6" s="2" t="s">
        <v>377</v>
      </c>
      <c r="F6" s="2" t="s">
        <v>378</v>
      </c>
      <c r="G6" s="9" t="s">
        <v>371</v>
      </c>
    </row>
    <row r="7" spans="1:7" ht="49.95" customHeight="1" x14ac:dyDescent="0.3">
      <c r="A7" s="7" t="s">
        <v>379</v>
      </c>
      <c r="B7" s="17" t="s">
        <v>380</v>
      </c>
      <c r="C7" s="15" t="s">
        <v>105</v>
      </c>
      <c r="D7" s="9" t="s">
        <v>172</v>
      </c>
      <c r="E7" s="6" t="s">
        <v>381</v>
      </c>
      <c r="F7" s="6" t="s">
        <v>382</v>
      </c>
      <c r="G7" s="9" t="s">
        <v>371</v>
      </c>
    </row>
    <row r="8" spans="1:7" ht="49.95" customHeight="1" x14ac:dyDescent="0.3">
      <c r="A8" s="3" t="s">
        <v>383</v>
      </c>
      <c r="B8" s="16" t="s">
        <v>169</v>
      </c>
      <c r="C8" s="5" t="s">
        <v>99</v>
      </c>
      <c r="D8" s="5" t="s">
        <v>384</v>
      </c>
      <c r="E8" s="2" t="s">
        <v>385</v>
      </c>
      <c r="F8" s="2" t="s">
        <v>386</v>
      </c>
      <c r="G8" s="5" t="s">
        <v>387</v>
      </c>
    </row>
    <row r="9" spans="1:7" ht="49.95" customHeight="1" x14ac:dyDescent="0.3">
      <c r="A9" s="7" t="s">
        <v>388</v>
      </c>
      <c r="B9" s="17" t="s">
        <v>165</v>
      </c>
      <c r="C9" s="5" t="s">
        <v>99</v>
      </c>
      <c r="D9" s="5" t="s">
        <v>384</v>
      </c>
      <c r="E9" s="6" t="s">
        <v>389</v>
      </c>
      <c r="F9" s="6" t="s">
        <v>390</v>
      </c>
      <c r="G9" s="5" t="s">
        <v>387</v>
      </c>
    </row>
    <row r="10" spans="1:7" ht="49.95" customHeight="1" x14ac:dyDescent="0.3">
      <c r="A10" s="3" t="s">
        <v>23</v>
      </c>
      <c r="B10" s="16" t="s">
        <v>391</v>
      </c>
      <c r="C10" s="15" t="s">
        <v>105</v>
      </c>
      <c r="D10" s="15" t="s">
        <v>392</v>
      </c>
      <c r="E10" s="2" t="s">
        <v>393</v>
      </c>
      <c r="F10" s="2" t="s">
        <v>394</v>
      </c>
      <c r="G10" s="9" t="s">
        <v>371</v>
      </c>
    </row>
    <row r="11" spans="1:7" ht="49.95" customHeight="1" x14ac:dyDescent="0.3">
      <c r="A11" s="7" t="s">
        <v>395</v>
      </c>
      <c r="B11" s="17" t="s">
        <v>396</v>
      </c>
      <c r="C11" s="15" t="s">
        <v>105</v>
      </c>
      <c r="D11" s="15" t="s">
        <v>392</v>
      </c>
      <c r="E11" s="6" t="s">
        <v>397</v>
      </c>
      <c r="F11" s="6" t="s">
        <v>398</v>
      </c>
      <c r="G11" s="9" t="s">
        <v>371</v>
      </c>
    </row>
    <row r="12" spans="1:7" ht="49.95" customHeight="1" x14ac:dyDescent="0.3">
      <c r="A12" s="3" t="s">
        <v>399</v>
      </c>
      <c r="B12" s="16" t="s">
        <v>400</v>
      </c>
      <c r="C12" s="15" t="s">
        <v>105</v>
      </c>
      <c r="D12" s="15" t="s">
        <v>392</v>
      </c>
      <c r="E12" s="2" t="s">
        <v>401</v>
      </c>
      <c r="F12" s="2" t="s">
        <v>402</v>
      </c>
      <c r="G12" s="9" t="s">
        <v>371</v>
      </c>
    </row>
  </sheetData>
  <mergeCells count="1">
    <mergeCell ref="A1:G1"/>
  </mergeCells>
  <dataValidations count="3">
    <dataValidation type="list" sqref="C4:C100" xr:uid="{00000000-0002-0000-0300-000000000000}">
      <formula1>"HIGH,Medium,Low,None"</formula1>
    </dataValidation>
    <dataValidation type="list" sqref="D4:D100" xr:uid="{00000000-0002-0000-0300-000001000000}">
      <formula1>"FIX,REVIEW,DROP,MONITOR"</formula1>
    </dataValidation>
    <dataValidation type="list" sqref="G4:G100" xr:uid="{00000000-0002-0000-0300-000002000000}">
      <formula1>"Open,Safe to action,Done"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🔗 Alias Map</vt:lpstr>
      <vt:lpstr>📦 Table Register</vt:lpstr>
      <vt:lpstr>📖 Field Glossary</vt:lpstr>
      <vt:lpstr>⚠️ Issues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Morris Nkomo</cp:lastModifiedBy>
  <dcterms:created xsi:type="dcterms:W3CDTF">2026-04-21T00:21:58Z</dcterms:created>
  <dcterms:modified xsi:type="dcterms:W3CDTF">2026-04-21T00:27:36Z</dcterms:modified>
</cp:coreProperties>
</file>