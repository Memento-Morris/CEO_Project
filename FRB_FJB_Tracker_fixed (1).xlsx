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orri\Downloads\"/>
    </mc:Choice>
  </mc:AlternateContent>
  <xr:revisionPtr revIDLastSave="0" documentId="13_ncr:1_{E20BEB62-2387-4F23-955D-FD70CD557358}" xr6:coauthVersionLast="47" xr6:coauthVersionMax="47" xr10:uidLastSave="{00000000-0000-0000-0000-000000000000}"/>
  <bookViews>
    <workbookView xWindow="1884" yWindow="1884" windowWidth="17280" windowHeight="8880" tabRatio="500" firstSheet="6" activeTab="7" xr2:uid="{00000000-000D-0000-FFFF-FFFF00000000}"/>
  </bookViews>
  <sheets>
    <sheet name="Engagement Dashboard" sheetId="1" r:id="rId1"/>
    <sheet name="Cohorts" sheetId="2" r:id="rId2"/>
    <sheet name="Paste - Mentors" sheetId="3" state="hidden" r:id="rId3"/>
    <sheet name="Paste - Relationships" sheetId="4" state="hidden" r:id="rId4"/>
    <sheet name="Mentor Pool" sheetId="5" state="hidden" r:id="rId5"/>
    <sheet name="Programme Mentors" sheetId="6" r:id="rId6"/>
    <sheet name="Intern Profiles" sheetId="7" r:id="rId7"/>
    <sheet name="Intern Monitoring" sheetId="8" r:id="rId8"/>
    <sheet name="Session Logs" sheetId="9" r:id="rId9"/>
    <sheet name="Monthly Pulse Logs" sheetId="10" r:id="rId10"/>
  </sheets>
  <definedNames>
    <definedName name="_xlnm._FilterDatabase" localSheetId="4" hidden="1">'Mentor Pool'!$A$3:$H$3</definedName>
    <definedName name="_xlnm._FilterDatabase" localSheetId="2" hidden="1">'Paste - Mentors'!$A$3:$O$3</definedName>
    <definedName name="_xlnm._FilterDatabase" localSheetId="3" hidden="1">'Paste - Relationships'!$A$3:$AF$3</definedName>
    <definedName name="_xlnm._FilterDatabase" localSheetId="5" hidden="1">'Programme Mentors'!$A$3:$I$3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 i="10" l="1"/>
  <c r="K1" i="10"/>
  <c r="H1" i="10"/>
  <c r="E1" i="10"/>
  <c r="B1" i="10"/>
  <c r="I1" i="9"/>
  <c r="E1" i="9"/>
  <c r="B1" i="9"/>
  <c r="C203" i="8"/>
  <c r="B203" i="8"/>
  <c r="A203" i="8"/>
  <c r="C202" i="8"/>
  <c r="B202" i="8"/>
  <c r="A202" i="8"/>
  <c r="C201" i="8"/>
  <c r="B201" i="8"/>
  <c r="A201" i="8"/>
  <c r="C200" i="8"/>
  <c r="B200" i="8"/>
  <c r="A200" i="8"/>
  <c r="C199" i="8"/>
  <c r="B199" i="8"/>
  <c r="A199" i="8"/>
  <c r="C198" i="8"/>
  <c r="B198" i="8"/>
  <c r="A198" i="8"/>
  <c r="C197" i="8"/>
  <c r="B197" i="8"/>
  <c r="A197" i="8"/>
  <c r="C196" i="8"/>
  <c r="B196" i="8"/>
  <c r="A196" i="8"/>
  <c r="C195" i="8"/>
  <c r="B195" i="8"/>
  <c r="A195" i="8"/>
  <c r="C194" i="8"/>
  <c r="B194" i="8"/>
  <c r="A194" i="8"/>
  <c r="C193" i="8"/>
  <c r="B193" i="8"/>
  <c r="A193" i="8"/>
  <c r="C192" i="8"/>
  <c r="B192" i="8"/>
  <c r="A192" i="8"/>
  <c r="C191" i="8"/>
  <c r="B191" i="8"/>
  <c r="A191" i="8"/>
  <c r="C190" i="8"/>
  <c r="B190" i="8"/>
  <c r="A190" i="8"/>
  <c r="C189" i="8"/>
  <c r="B189" i="8"/>
  <c r="A189" i="8"/>
  <c r="C188" i="8"/>
  <c r="B188" i="8"/>
  <c r="A188" i="8"/>
  <c r="C187" i="8"/>
  <c r="B187" i="8"/>
  <c r="A187" i="8"/>
  <c r="C186" i="8"/>
  <c r="B186" i="8"/>
  <c r="A186" i="8"/>
  <c r="C185" i="8"/>
  <c r="B185" i="8"/>
  <c r="A185" i="8"/>
  <c r="C184" i="8"/>
  <c r="B184" i="8"/>
  <c r="A184" i="8"/>
  <c r="C183" i="8"/>
  <c r="B183" i="8"/>
  <c r="A183" i="8"/>
  <c r="C182" i="8"/>
  <c r="B182" i="8"/>
  <c r="A182" i="8"/>
  <c r="C181" i="8"/>
  <c r="B181" i="8"/>
  <c r="A181" i="8"/>
  <c r="C180" i="8"/>
  <c r="B180" i="8"/>
  <c r="A180" i="8"/>
  <c r="C179" i="8"/>
  <c r="B179" i="8"/>
  <c r="A179" i="8"/>
  <c r="C178" i="8"/>
  <c r="B178" i="8"/>
  <c r="A178" i="8"/>
  <c r="C177" i="8"/>
  <c r="B177" i="8"/>
  <c r="A177" i="8"/>
  <c r="C176" i="8"/>
  <c r="B176" i="8"/>
  <c r="A176" i="8"/>
  <c r="C175" i="8"/>
  <c r="B175" i="8"/>
  <c r="A175" i="8"/>
  <c r="C174" i="8"/>
  <c r="B174" i="8"/>
  <c r="A174" i="8"/>
  <c r="C173" i="8"/>
  <c r="B173" i="8"/>
  <c r="A173" i="8"/>
  <c r="C172" i="8"/>
  <c r="B172" i="8"/>
  <c r="A172" i="8"/>
  <c r="C171" i="8"/>
  <c r="B171" i="8"/>
  <c r="A171" i="8"/>
  <c r="C170" i="8"/>
  <c r="B170" i="8"/>
  <c r="A170" i="8"/>
  <c r="C169" i="8"/>
  <c r="B169" i="8"/>
  <c r="A169" i="8"/>
  <c r="C168" i="8"/>
  <c r="B168" i="8"/>
  <c r="A168" i="8"/>
  <c r="C167" i="8"/>
  <c r="B167" i="8"/>
  <c r="A167" i="8"/>
  <c r="C166" i="8"/>
  <c r="B166" i="8"/>
  <c r="A166" i="8"/>
  <c r="C165" i="8"/>
  <c r="B165" i="8"/>
  <c r="A165" i="8"/>
  <c r="C164" i="8"/>
  <c r="B164" i="8"/>
  <c r="A164" i="8"/>
  <c r="C163" i="8"/>
  <c r="B163" i="8"/>
  <c r="A163" i="8"/>
  <c r="C162" i="8"/>
  <c r="B162" i="8"/>
  <c r="A162" i="8"/>
  <c r="C161" i="8"/>
  <c r="B161" i="8"/>
  <c r="A161" i="8"/>
  <c r="C160" i="8"/>
  <c r="B160" i="8"/>
  <c r="A160" i="8"/>
  <c r="C159" i="8"/>
  <c r="B159" i="8"/>
  <c r="A159" i="8"/>
  <c r="C158" i="8"/>
  <c r="B158" i="8"/>
  <c r="A158" i="8"/>
  <c r="C157" i="8"/>
  <c r="B157" i="8"/>
  <c r="A157" i="8"/>
  <c r="C156" i="8"/>
  <c r="B156" i="8"/>
  <c r="A156" i="8"/>
  <c r="C155" i="8"/>
  <c r="B155" i="8"/>
  <c r="A155" i="8"/>
  <c r="C154" i="8"/>
  <c r="B154" i="8"/>
  <c r="A154" i="8"/>
  <c r="C153" i="8"/>
  <c r="B153" i="8"/>
  <c r="A153" i="8"/>
  <c r="C152" i="8"/>
  <c r="B152" i="8"/>
  <c r="A152" i="8"/>
  <c r="C151" i="8"/>
  <c r="B151" i="8"/>
  <c r="A151" i="8"/>
  <c r="C150" i="8"/>
  <c r="B150" i="8"/>
  <c r="A150" i="8"/>
  <c r="C149" i="8"/>
  <c r="B149" i="8"/>
  <c r="A149" i="8"/>
  <c r="C148" i="8"/>
  <c r="B148" i="8"/>
  <c r="A148" i="8"/>
  <c r="C147" i="8"/>
  <c r="B147" i="8"/>
  <c r="A147" i="8"/>
  <c r="C146" i="8"/>
  <c r="B146" i="8"/>
  <c r="A146" i="8"/>
  <c r="C145" i="8"/>
  <c r="B145" i="8"/>
  <c r="A145" i="8"/>
  <c r="C144" i="8"/>
  <c r="B144" i="8"/>
  <c r="A144" i="8"/>
  <c r="C143" i="8"/>
  <c r="B143" i="8"/>
  <c r="A143" i="8"/>
  <c r="C142" i="8"/>
  <c r="B142" i="8"/>
  <c r="A142" i="8"/>
  <c r="C141" i="8"/>
  <c r="B141" i="8"/>
  <c r="A141" i="8"/>
  <c r="C140" i="8"/>
  <c r="B140" i="8"/>
  <c r="A140" i="8"/>
  <c r="C139" i="8"/>
  <c r="B139" i="8"/>
  <c r="A139" i="8"/>
  <c r="C138" i="8"/>
  <c r="B138" i="8"/>
  <c r="A138" i="8"/>
  <c r="C137" i="8"/>
  <c r="B137" i="8"/>
  <c r="A137" i="8"/>
  <c r="C136" i="8"/>
  <c r="B136" i="8"/>
  <c r="A136" i="8"/>
  <c r="C135" i="8"/>
  <c r="B135" i="8"/>
  <c r="A135" i="8"/>
  <c r="C134" i="8"/>
  <c r="B134" i="8"/>
  <c r="A134" i="8"/>
  <c r="C133" i="8"/>
  <c r="B133" i="8"/>
  <c r="A133" i="8"/>
  <c r="C132" i="8"/>
  <c r="B132" i="8"/>
  <c r="A132" i="8"/>
  <c r="C131" i="8"/>
  <c r="B131" i="8"/>
  <c r="A131" i="8"/>
  <c r="C130" i="8"/>
  <c r="B130" i="8"/>
  <c r="A130" i="8"/>
  <c r="C129" i="8"/>
  <c r="B129" i="8"/>
  <c r="A129" i="8"/>
  <c r="C128" i="8"/>
  <c r="B128" i="8"/>
  <c r="A128" i="8"/>
  <c r="C127" i="8"/>
  <c r="B127" i="8"/>
  <c r="A127" i="8"/>
  <c r="C126" i="8"/>
  <c r="B126" i="8"/>
  <c r="A126" i="8"/>
  <c r="C125" i="8"/>
  <c r="B125" i="8"/>
  <c r="A125" i="8"/>
  <c r="C124" i="8"/>
  <c r="B124" i="8"/>
  <c r="A124" i="8"/>
  <c r="C123" i="8"/>
  <c r="B123" i="8"/>
  <c r="A123" i="8"/>
  <c r="C122" i="8"/>
  <c r="B122" i="8"/>
  <c r="A122" i="8"/>
  <c r="C121" i="8"/>
  <c r="B121" i="8"/>
  <c r="A121" i="8"/>
  <c r="C120" i="8"/>
  <c r="B120" i="8"/>
  <c r="A120" i="8"/>
  <c r="C119" i="8"/>
  <c r="B119" i="8"/>
  <c r="A119" i="8"/>
  <c r="C118" i="8"/>
  <c r="B118" i="8"/>
  <c r="A118" i="8"/>
  <c r="C117" i="8"/>
  <c r="B117" i="8"/>
  <c r="A117" i="8"/>
  <c r="C116" i="8"/>
  <c r="B116" i="8"/>
  <c r="A116" i="8"/>
  <c r="C115" i="8"/>
  <c r="B115" i="8"/>
  <c r="A115" i="8"/>
  <c r="C114" i="8"/>
  <c r="B114" i="8"/>
  <c r="A114" i="8"/>
  <c r="C113" i="8"/>
  <c r="B113" i="8"/>
  <c r="A113" i="8"/>
  <c r="C112" i="8"/>
  <c r="B112" i="8"/>
  <c r="A112" i="8"/>
  <c r="C111" i="8"/>
  <c r="B111" i="8"/>
  <c r="A111" i="8"/>
  <c r="C110" i="8"/>
  <c r="B110" i="8"/>
  <c r="A110" i="8"/>
  <c r="C109" i="8"/>
  <c r="B109" i="8"/>
  <c r="A109" i="8"/>
  <c r="C108" i="8"/>
  <c r="B108" i="8"/>
  <c r="A108" i="8"/>
  <c r="C107" i="8"/>
  <c r="B107" i="8"/>
  <c r="A107" i="8"/>
  <c r="C106" i="8"/>
  <c r="B106" i="8"/>
  <c r="A106" i="8"/>
  <c r="C105" i="8"/>
  <c r="B105" i="8"/>
  <c r="A105" i="8"/>
  <c r="C104" i="8"/>
  <c r="B104" i="8"/>
  <c r="A104" i="8"/>
  <c r="C103" i="8"/>
  <c r="B103" i="8"/>
  <c r="A103" i="8"/>
  <c r="C102" i="8"/>
  <c r="B102" i="8"/>
  <c r="A102" i="8"/>
  <c r="C101" i="8"/>
  <c r="B101" i="8"/>
  <c r="A101" i="8"/>
  <c r="C100" i="8"/>
  <c r="B100" i="8"/>
  <c r="A100" i="8"/>
  <c r="C99" i="8"/>
  <c r="B99" i="8"/>
  <c r="A99" i="8"/>
  <c r="C98" i="8"/>
  <c r="B98" i="8"/>
  <c r="A98" i="8"/>
  <c r="C97" i="8"/>
  <c r="B97" i="8"/>
  <c r="A97" i="8"/>
  <c r="C96" i="8"/>
  <c r="B96" i="8"/>
  <c r="A96" i="8"/>
  <c r="C95" i="8"/>
  <c r="B95" i="8"/>
  <c r="A95" i="8"/>
  <c r="C94" i="8"/>
  <c r="B94" i="8"/>
  <c r="A94" i="8"/>
  <c r="C93" i="8"/>
  <c r="B93" i="8"/>
  <c r="A93" i="8"/>
  <c r="C92" i="8"/>
  <c r="B92" i="8"/>
  <c r="A92" i="8"/>
  <c r="C91" i="8"/>
  <c r="B91" i="8"/>
  <c r="A91" i="8"/>
  <c r="C90" i="8"/>
  <c r="B90" i="8"/>
  <c r="A90" i="8"/>
  <c r="C89" i="8"/>
  <c r="B89" i="8"/>
  <c r="A89" i="8"/>
  <c r="C88" i="8"/>
  <c r="B88" i="8"/>
  <c r="A88" i="8"/>
  <c r="C87" i="8"/>
  <c r="B87" i="8"/>
  <c r="A87" i="8"/>
  <c r="C86" i="8"/>
  <c r="B86" i="8"/>
  <c r="A86" i="8"/>
  <c r="C85" i="8"/>
  <c r="B85" i="8"/>
  <c r="A85" i="8"/>
  <c r="C84" i="8"/>
  <c r="B84" i="8"/>
  <c r="A84" i="8"/>
  <c r="C83" i="8"/>
  <c r="B83" i="8"/>
  <c r="A83" i="8"/>
  <c r="C82" i="8"/>
  <c r="B82" i="8"/>
  <c r="A82" i="8"/>
  <c r="C81" i="8"/>
  <c r="B81" i="8"/>
  <c r="A81" i="8"/>
  <c r="C80" i="8"/>
  <c r="B80" i="8"/>
  <c r="A80" i="8"/>
  <c r="C79" i="8"/>
  <c r="B79" i="8"/>
  <c r="A79" i="8"/>
  <c r="C78" i="8"/>
  <c r="B78" i="8"/>
  <c r="A78" i="8"/>
  <c r="C77" i="8"/>
  <c r="B77" i="8"/>
  <c r="A77" i="8"/>
  <c r="C76" i="8"/>
  <c r="B76" i="8"/>
  <c r="A76" i="8"/>
  <c r="C75" i="8"/>
  <c r="B75" i="8"/>
  <c r="A75" i="8"/>
  <c r="C74" i="8"/>
  <c r="B74" i="8"/>
  <c r="A74" i="8"/>
  <c r="C73" i="8"/>
  <c r="B73" i="8"/>
  <c r="A73" i="8"/>
  <c r="C72" i="8"/>
  <c r="B72" i="8"/>
  <c r="A72" i="8"/>
  <c r="C71" i="8"/>
  <c r="B71" i="8"/>
  <c r="A71" i="8"/>
  <c r="C70" i="8"/>
  <c r="B70" i="8"/>
  <c r="A70" i="8"/>
  <c r="C69" i="8"/>
  <c r="B69" i="8"/>
  <c r="A69" i="8"/>
  <c r="C68" i="8"/>
  <c r="B68" i="8"/>
  <c r="A68" i="8"/>
  <c r="C67" i="8"/>
  <c r="B67" i="8"/>
  <c r="A67" i="8"/>
  <c r="C66" i="8"/>
  <c r="B66" i="8"/>
  <c r="A66" i="8"/>
  <c r="C65" i="8"/>
  <c r="B65" i="8"/>
  <c r="A65" i="8"/>
  <c r="C64" i="8"/>
  <c r="B64" i="8"/>
  <c r="A64" i="8"/>
  <c r="C63" i="8"/>
  <c r="B63" i="8"/>
  <c r="A63" i="8"/>
  <c r="C62" i="8"/>
  <c r="B62" i="8"/>
  <c r="A62" i="8"/>
  <c r="C61" i="8"/>
  <c r="B61" i="8"/>
  <c r="A61" i="8"/>
  <c r="C60" i="8"/>
  <c r="B60" i="8"/>
  <c r="A60" i="8"/>
  <c r="C59" i="8"/>
  <c r="B59" i="8"/>
  <c r="A59" i="8"/>
  <c r="C58" i="8"/>
  <c r="B58" i="8"/>
  <c r="A58" i="8"/>
  <c r="C57" i="8"/>
  <c r="B57" i="8"/>
  <c r="A57" i="8"/>
  <c r="C56" i="8"/>
  <c r="B56" i="8"/>
  <c r="A56" i="8"/>
  <c r="C55" i="8"/>
  <c r="B55" i="8"/>
  <c r="A55" i="8"/>
  <c r="C54" i="8"/>
  <c r="B54" i="8"/>
  <c r="A54" i="8"/>
  <c r="C53" i="8"/>
  <c r="B53" i="8"/>
  <c r="A53" i="8"/>
  <c r="C52" i="8"/>
  <c r="B52" i="8"/>
  <c r="A52" i="8"/>
  <c r="C51" i="8"/>
  <c r="B51" i="8"/>
  <c r="A51" i="8"/>
  <c r="C50" i="8"/>
  <c r="B50" i="8"/>
  <c r="A50" i="8"/>
  <c r="C49" i="8"/>
  <c r="B49" i="8"/>
  <c r="A49" i="8"/>
  <c r="C48" i="8"/>
  <c r="B48" i="8"/>
  <c r="A48" i="8"/>
  <c r="C47" i="8"/>
  <c r="B47" i="8"/>
  <c r="A47" i="8"/>
  <c r="C46" i="8"/>
  <c r="B46" i="8"/>
  <c r="A46" i="8"/>
  <c r="C45" i="8"/>
  <c r="B45" i="8"/>
  <c r="A45" i="8"/>
  <c r="C44" i="8"/>
  <c r="B44" i="8"/>
  <c r="A44" i="8"/>
  <c r="C43" i="8"/>
  <c r="B43" i="8"/>
  <c r="A43" i="8"/>
  <c r="C42" i="8"/>
  <c r="B42" i="8"/>
  <c r="A42" i="8"/>
  <c r="C41" i="8"/>
  <c r="B41" i="8"/>
  <c r="A41" i="8"/>
  <c r="C40" i="8"/>
  <c r="B40" i="8"/>
  <c r="A40" i="8"/>
  <c r="C39" i="8"/>
  <c r="B39" i="8"/>
  <c r="A39" i="8"/>
  <c r="C38" i="8"/>
  <c r="B38" i="8"/>
  <c r="A38" i="8"/>
  <c r="C37" i="8"/>
  <c r="B37" i="8"/>
  <c r="A37" i="8"/>
  <c r="C36" i="8"/>
  <c r="B36" i="8"/>
  <c r="A36" i="8"/>
  <c r="C35" i="8"/>
  <c r="B35" i="8"/>
  <c r="A35" i="8"/>
  <c r="C34" i="8"/>
  <c r="B34" i="8"/>
  <c r="A34" i="8"/>
  <c r="C33" i="8"/>
  <c r="B33" i="8"/>
  <c r="A33" i="8"/>
  <c r="C32" i="8"/>
  <c r="B32" i="8"/>
  <c r="A32" i="8"/>
  <c r="C31" i="8"/>
  <c r="B31" i="8"/>
  <c r="A31" i="8"/>
  <c r="C30" i="8"/>
  <c r="B30" i="8"/>
  <c r="A30" i="8"/>
  <c r="C29" i="8"/>
  <c r="B29" i="8"/>
  <c r="A29" i="8"/>
  <c r="C28" i="8"/>
  <c r="B28" i="8"/>
  <c r="A28" i="8"/>
  <c r="C27" i="8"/>
  <c r="B27" i="8"/>
  <c r="A27" i="8"/>
  <c r="C26" i="8"/>
  <c r="B26" i="8"/>
  <c r="A26" i="8"/>
  <c r="C25" i="8"/>
  <c r="B25" i="8"/>
  <c r="A25" i="8"/>
  <c r="C24" i="8"/>
  <c r="B24" i="8"/>
  <c r="A24" i="8"/>
  <c r="C23" i="8"/>
  <c r="B23" i="8"/>
  <c r="A23" i="8"/>
  <c r="C22" i="8"/>
  <c r="B22" i="8"/>
  <c r="A22" i="8"/>
  <c r="C21" i="8"/>
  <c r="B21" i="8"/>
  <c r="A21" i="8"/>
  <c r="C20" i="8"/>
  <c r="B20" i="8"/>
  <c r="A20" i="8"/>
  <c r="C19" i="8"/>
  <c r="B19" i="8"/>
  <c r="A19" i="8"/>
  <c r="C18" i="8"/>
  <c r="B18" i="8"/>
  <c r="A18" i="8"/>
  <c r="C17" i="8"/>
  <c r="B17" i="8"/>
  <c r="A17" i="8"/>
  <c r="C16" i="8"/>
  <c r="B16" i="8"/>
  <c r="A16" i="8"/>
  <c r="C15" i="8"/>
  <c r="B15" i="8"/>
  <c r="A15" i="8"/>
  <c r="C14" i="8"/>
  <c r="B14" i="8"/>
  <c r="A14" i="8"/>
  <c r="C13" i="8"/>
  <c r="B13" i="8"/>
  <c r="A13" i="8"/>
  <c r="C12" i="8"/>
  <c r="B12" i="8"/>
  <c r="A12" i="8"/>
  <c r="C11" i="8"/>
  <c r="B11" i="8"/>
  <c r="A11" i="8"/>
  <c r="C10" i="8"/>
  <c r="B10" i="8"/>
  <c r="A10" i="8"/>
  <c r="C9" i="8"/>
  <c r="B9" i="8"/>
  <c r="A9" i="8"/>
  <c r="C8" i="8"/>
  <c r="B8" i="8"/>
  <c r="A8" i="8"/>
  <c r="C7" i="8"/>
  <c r="B7" i="8"/>
  <c r="A7" i="8"/>
  <c r="C6" i="8"/>
  <c r="B6" i="8"/>
  <c r="A6" i="8"/>
  <c r="C5" i="8"/>
  <c r="B5" i="8"/>
  <c r="A5" i="8"/>
  <c r="C4" i="8"/>
  <c r="B4" i="8"/>
  <c r="A4" i="8"/>
  <c r="G2" i="8"/>
  <c r="F2" i="8"/>
  <c r="E2" i="8"/>
  <c r="D2" i="8"/>
  <c r="C2" i="8"/>
  <c r="B1" i="8"/>
  <c r="I298" i="6"/>
  <c r="H298" i="6"/>
  <c r="G298" i="6"/>
  <c r="F298" i="6"/>
  <c r="E298" i="6"/>
  <c r="B298" i="6"/>
  <c r="I297" i="6"/>
  <c r="H297" i="6"/>
  <c r="G297" i="6"/>
  <c r="F297" i="6"/>
  <c r="E297" i="6"/>
  <c r="B297" i="6"/>
  <c r="I296" i="6"/>
  <c r="H296" i="6"/>
  <c r="G296" i="6"/>
  <c r="F296" i="6"/>
  <c r="E296" i="6"/>
  <c r="B296" i="6"/>
  <c r="I295" i="6"/>
  <c r="H295" i="6"/>
  <c r="G295" i="6"/>
  <c r="F295" i="6"/>
  <c r="E295" i="6"/>
  <c r="B295" i="6"/>
  <c r="I294" i="6"/>
  <c r="H294" i="6"/>
  <c r="G294" i="6"/>
  <c r="F294" i="6"/>
  <c r="E294" i="6"/>
  <c r="B294" i="6"/>
  <c r="I293" i="6"/>
  <c r="H293" i="6"/>
  <c r="G293" i="6"/>
  <c r="F293" i="6"/>
  <c r="E293" i="6"/>
  <c r="B293" i="6"/>
  <c r="I292" i="6"/>
  <c r="H292" i="6"/>
  <c r="G292" i="6"/>
  <c r="F292" i="6"/>
  <c r="E292" i="6"/>
  <c r="B292" i="6"/>
  <c r="I291" i="6"/>
  <c r="H291" i="6"/>
  <c r="G291" i="6"/>
  <c r="F291" i="6"/>
  <c r="E291" i="6"/>
  <c r="B291" i="6"/>
  <c r="I290" i="6"/>
  <c r="H290" i="6"/>
  <c r="G290" i="6"/>
  <c r="F290" i="6"/>
  <c r="E290" i="6"/>
  <c r="B290" i="6"/>
  <c r="I289" i="6"/>
  <c r="H289" i="6"/>
  <c r="G289" i="6"/>
  <c r="F289" i="6"/>
  <c r="E289" i="6"/>
  <c r="B289" i="6"/>
  <c r="I288" i="6"/>
  <c r="H288" i="6"/>
  <c r="G288" i="6"/>
  <c r="F288" i="6"/>
  <c r="E288" i="6"/>
  <c r="B288" i="6"/>
  <c r="I287" i="6"/>
  <c r="H287" i="6"/>
  <c r="G287" i="6"/>
  <c r="F287" i="6"/>
  <c r="E287" i="6"/>
  <c r="B287" i="6"/>
  <c r="I286" i="6"/>
  <c r="H286" i="6"/>
  <c r="G286" i="6"/>
  <c r="F286" i="6"/>
  <c r="E286" i="6"/>
  <c r="B286" i="6"/>
  <c r="I285" i="6"/>
  <c r="H285" i="6"/>
  <c r="G285" i="6"/>
  <c r="F285" i="6"/>
  <c r="E285" i="6"/>
  <c r="B285" i="6"/>
  <c r="I284" i="6"/>
  <c r="H284" i="6"/>
  <c r="G284" i="6"/>
  <c r="F284" i="6"/>
  <c r="E284" i="6"/>
  <c r="B284" i="6"/>
  <c r="I283" i="6"/>
  <c r="H283" i="6"/>
  <c r="G283" i="6"/>
  <c r="F283" i="6"/>
  <c r="E283" i="6"/>
  <c r="B283" i="6"/>
  <c r="I282" i="6"/>
  <c r="H282" i="6"/>
  <c r="G282" i="6"/>
  <c r="F282" i="6"/>
  <c r="E282" i="6"/>
  <c r="B282" i="6"/>
  <c r="I281" i="6"/>
  <c r="H281" i="6"/>
  <c r="G281" i="6"/>
  <c r="F281" i="6"/>
  <c r="E281" i="6"/>
  <c r="B281" i="6"/>
  <c r="I280" i="6"/>
  <c r="H280" i="6"/>
  <c r="G280" i="6"/>
  <c r="F280" i="6"/>
  <c r="E280" i="6"/>
  <c r="B280" i="6"/>
  <c r="I279" i="6"/>
  <c r="H279" i="6"/>
  <c r="G279" i="6"/>
  <c r="F279" i="6"/>
  <c r="E279" i="6"/>
  <c r="B279" i="6"/>
  <c r="I278" i="6"/>
  <c r="H278" i="6"/>
  <c r="G278" i="6"/>
  <c r="F278" i="6"/>
  <c r="E278" i="6"/>
  <c r="B278" i="6"/>
  <c r="I277" i="6"/>
  <c r="H277" i="6"/>
  <c r="G277" i="6"/>
  <c r="F277" i="6"/>
  <c r="E277" i="6"/>
  <c r="B277" i="6"/>
  <c r="I276" i="6"/>
  <c r="H276" i="6"/>
  <c r="G276" i="6"/>
  <c r="F276" i="6"/>
  <c r="E276" i="6"/>
  <c r="B276" i="6"/>
  <c r="I275" i="6"/>
  <c r="H275" i="6"/>
  <c r="G275" i="6"/>
  <c r="F275" i="6"/>
  <c r="E275" i="6"/>
  <c r="B275" i="6"/>
  <c r="I274" i="6"/>
  <c r="H274" i="6"/>
  <c r="G274" i="6"/>
  <c r="F274" i="6"/>
  <c r="E274" i="6"/>
  <c r="B274" i="6"/>
  <c r="I273" i="6"/>
  <c r="H273" i="6"/>
  <c r="G273" i="6"/>
  <c r="F273" i="6"/>
  <c r="E273" i="6"/>
  <c r="B273" i="6"/>
  <c r="I272" i="6"/>
  <c r="H272" i="6"/>
  <c r="G272" i="6"/>
  <c r="F272" i="6"/>
  <c r="E272" i="6"/>
  <c r="B272" i="6"/>
  <c r="I271" i="6"/>
  <c r="H271" i="6"/>
  <c r="G271" i="6"/>
  <c r="F271" i="6"/>
  <c r="E271" i="6"/>
  <c r="B271" i="6"/>
  <c r="I270" i="6"/>
  <c r="H270" i="6"/>
  <c r="G270" i="6"/>
  <c r="F270" i="6"/>
  <c r="E270" i="6"/>
  <c r="B270" i="6"/>
  <c r="I269" i="6"/>
  <c r="H269" i="6"/>
  <c r="G269" i="6"/>
  <c r="F269" i="6"/>
  <c r="E269" i="6"/>
  <c r="B269" i="6"/>
  <c r="I268" i="6"/>
  <c r="H268" i="6"/>
  <c r="G268" i="6"/>
  <c r="F268" i="6"/>
  <c r="E268" i="6"/>
  <c r="B268" i="6"/>
  <c r="I267" i="6"/>
  <c r="H267" i="6"/>
  <c r="G267" i="6"/>
  <c r="F267" i="6"/>
  <c r="E267" i="6"/>
  <c r="B267" i="6"/>
  <c r="I266" i="6"/>
  <c r="H266" i="6"/>
  <c r="G266" i="6"/>
  <c r="F266" i="6"/>
  <c r="E266" i="6"/>
  <c r="B266" i="6"/>
  <c r="I265" i="6"/>
  <c r="H265" i="6"/>
  <c r="G265" i="6"/>
  <c r="F265" i="6"/>
  <c r="E265" i="6"/>
  <c r="B265" i="6"/>
  <c r="I264" i="6"/>
  <c r="H264" i="6"/>
  <c r="G264" i="6"/>
  <c r="F264" i="6"/>
  <c r="E264" i="6"/>
  <c r="B264" i="6"/>
  <c r="I263" i="6"/>
  <c r="H263" i="6"/>
  <c r="G263" i="6"/>
  <c r="F263" i="6"/>
  <c r="E263" i="6"/>
  <c r="B263" i="6"/>
  <c r="I262" i="6"/>
  <c r="H262" i="6"/>
  <c r="G262" i="6"/>
  <c r="F262" i="6"/>
  <c r="E262" i="6"/>
  <c r="B262" i="6"/>
  <c r="I261" i="6"/>
  <c r="H261" i="6"/>
  <c r="G261" i="6"/>
  <c r="F261" i="6"/>
  <c r="E261" i="6"/>
  <c r="B261" i="6"/>
  <c r="I260" i="6"/>
  <c r="H260" i="6"/>
  <c r="G260" i="6"/>
  <c r="F260" i="6"/>
  <c r="E260" i="6"/>
  <c r="B260" i="6"/>
  <c r="I259" i="6"/>
  <c r="H259" i="6"/>
  <c r="G259" i="6"/>
  <c r="F259" i="6"/>
  <c r="E259" i="6"/>
  <c r="B259" i="6"/>
  <c r="I258" i="6"/>
  <c r="H258" i="6"/>
  <c r="G258" i="6"/>
  <c r="F258" i="6"/>
  <c r="E258" i="6"/>
  <c r="B258" i="6"/>
  <c r="I257" i="6"/>
  <c r="H257" i="6"/>
  <c r="G257" i="6"/>
  <c r="F257" i="6"/>
  <c r="E257" i="6"/>
  <c r="B257" i="6"/>
  <c r="I256" i="6"/>
  <c r="H256" i="6"/>
  <c r="G256" i="6"/>
  <c r="F256" i="6"/>
  <c r="E256" i="6"/>
  <c r="B256" i="6"/>
  <c r="I255" i="6"/>
  <c r="H255" i="6"/>
  <c r="G255" i="6"/>
  <c r="F255" i="6"/>
  <c r="E255" i="6"/>
  <c r="B255" i="6"/>
  <c r="I254" i="6"/>
  <c r="H254" i="6"/>
  <c r="G254" i="6"/>
  <c r="F254" i="6"/>
  <c r="E254" i="6"/>
  <c r="B254" i="6"/>
  <c r="I253" i="6"/>
  <c r="H253" i="6"/>
  <c r="G253" i="6"/>
  <c r="F253" i="6"/>
  <c r="E253" i="6"/>
  <c r="B253" i="6"/>
  <c r="I252" i="6"/>
  <c r="H252" i="6"/>
  <c r="G252" i="6"/>
  <c r="F252" i="6"/>
  <c r="E252" i="6"/>
  <c r="B252" i="6"/>
  <c r="I251" i="6"/>
  <c r="H251" i="6"/>
  <c r="G251" i="6"/>
  <c r="F251" i="6"/>
  <c r="E251" i="6"/>
  <c r="B251" i="6"/>
  <c r="I250" i="6"/>
  <c r="H250" i="6"/>
  <c r="G250" i="6"/>
  <c r="F250" i="6"/>
  <c r="E250" i="6"/>
  <c r="B250" i="6"/>
  <c r="I249" i="6"/>
  <c r="H249" i="6"/>
  <c r="G249" i="6"/>
  <c r="F249" i="6"/>
  <c r="E249" i="6"/>
  <c r="B249" i="6"/>
  <c r="I248" i="6"/>
  <c r="H248" i="6"/>
  <c r="G248" i="6"/>
  <c r="F248" i="6"/>
  <c r="E248" i="6"/>
  <c r="B248" i="6"/>
  <c r="I247" i="6"/>
  <c r="H247" i="6"/>
  <c r="G247" i="6"/>
  <c r="F247" i="6"/>
  <c r="E247" i="6"/>
  <c r="B247" i="6"/>
  <c r="I246" i="6"/>
  <c r="H246" i="6"/>
  <c r="G246" i="6"/>
  <c r="F246" i="6"/>
  <c r="E246" i="6"/>
  <c r="B246" i="6"/>
  <c r="I245" i="6"/>
  <c r="H245" i="6"/>
  <c r="G245" i="6"/>
  <c r="F245" i="6"/>
  <c r="E245" i="6"/>
  <c r="B245" i="6"/>
  <c r="I244" i="6"/>
  <c r="H244" i="6"/>
  <c r="G244" i="6"/>
  <c r="F244" i="6"/>
  <c r="E244" i="6"/>
  <c r="B244" i="6"/>
  <c r="I243" i="6"/>
  <c r="H243" i="6"/>
  <c r="G243" i="6"/>
  <c r="F243" i="6"/>
  <c r="E243" i="6"/>
  <c r="B243" i="6"/>
  <c r="I242" i="6"/>
  <c r="H242" i="6"/>
  <c r="G242" i="6"/>
  <c r="F242" i="6"/>
  <c r="E242" i="6"/>
  <c r="B242" i="6"/>
  <c r="I241" i="6"/>
  <c r="H241" i="6"/>
  <c r="G241" i="6"/>
  <c r="F241" i="6"/>
  <c r="E241" i="6"/>
  <c r="B241" i="6"/>
  <c r="I240" i="6"/>
  <c r="H240" i="6"/>
  <c r="G240" i="6"/>
  <c r="F240" i="6"/>
  <c r="E240" i="6"/>
  <c r="B240" i="6"/>
  <c r="I239" i="6"/>
  <c r="H239" i="6"/>
  <c r="G239" i="6"/>
  <c r="F239" i="6"/>
  <c r="E239" i="6"/>
  <c r="B239" i="6"/>
  <c r="I238" i="6"/>
  <c r="H238" i="6"/>
  <c r="G238" i="6"/>
  <c r="F238" i="6"/>
  <c r="E238" i="6"/>
  <c r="B238" i="6"/>
  <c r="I237" i="6"/>
  <c r="H237" i="6"/>
  <c r="G237" i="6"/>
  <c r="F237" i="6"/>
  <c r="E237" i="6"/>
  <c r="B237" i="6"/>
  <c r="I236" i="6"/>
  <c r="H236" i="6"/>
  <c r="G236" i="6"/>
  <c r="F236" i="6"/>
  <c r="E236" i="6"/>
  <c r="B236" i="6"/>
  <c r="I235" i="6"/>
  <c r="H235" i="6"/>
  <c r="G235" i="6"/>
  <c r="F235" i="6"/>
  <c r="E235" i="6"/>
  <c r="B235" i="6"/>
  <c r="I234" i="6"/>
  <c r="H234" i="6"/>
  <c r="G234" i="6"/>
  <c r="F234" i="6"/>
  <c r="E234" i="6"/>
  <c r="B234" i="6"/>
  <c r="I233" i="6"/>
  <c r="H233" i="6"/>
  <c r="G233" i="6"/>
  <c r="F233" i="6"/>
  <c r="E233" i="6"/>
  <c r="B233" i="6"/>
  <c r="I232" i="6"/>
  <c r="H232" i="6"/>
  <c r="G232" i="6"/>
  <c r="F232" i="6"/>
  <c r="E232" i="6"/>
  <c r="B232" i="6"/>
  <c r="I231" i="6"/>
  <c r="H231" i="6"/>
  <c r="G231" i="6"/>
  <c r="F231" i="6"/>
  <c r="E231" i="6"/>
  <c r="B231" i="6"/>
  <c r="I230" i="6"/>
  <c r="H230" i="6"/>
  <c r="G230" i="6"/>
  <c r="F230" i="6"/>
  <c r="E230" i="6"/>
  <c r="B230" i="6"/>
  <c r="I229" i="6"/>
  <c r="H229" i="6"/>
  <c r="G229" i="6"/>
  <c r="F229" i="6"/>
  <c r="E229" i="6"/>
  <c r="B229" i="6"/>
  <c r="I228" i="6"/>
  <c r="H228" i="6"/>
  <c r="G228" i="6"/>
  <c r="F228" i="6"/>
  <c r="E228" i="6"/>
  <c r="B228" i="6"/>
  <c r="I227" i="6"/>
  <c r="H227" i="6"/>
  <c r="G227" i="6"/>
  <c r="F227" i="6"/>
  <c r="E227" i="6"/>
  <c r="B227" i="6"/>
  <c r="I226" i="6"/>
  <c r="H226" i="6"/>
  <c r="G226" i="6"/>
  <c r="F226" i="6"/>
  <c r="E226" i="6"/>
  <c r="B226" i="6"/>
  <c r="I225" i="6"/>
  <c r="H225" i="6"/>
  <c r="G225" i="6"/>
  <c r="F225" i="6"/>
  <c r="E225" i="6"/>
  <c r="B225" i="6"/>
  <c r="I224" i="6"/>
  <c r="H224" i="6"/>
  <c r="G224" i="6"/>
  <c r="F224" i="6"/>
  <c r="E224" i="6"/>
  <c r="B224" i="6"/>
  <c r="I223" i="6"/>
  <c r="H223" i="6"/>
  <c r="G223" i="6"/>
  <c r="F223" i="6"/>
  <c r="E223" i="6"/>
  <c r="B223" i="6"/>
  <c r="I222" i="6"/>
  <c r="H222" i="6"/>
  <c r="G222" i="6"/>
  <c r="F222" i="6"/>
  <c r="E222" i="6"/>
  <c r="B222" i="6"/>
  <c r="I221" i="6"/>
  <c r="H221" i="6"/>
  <c r="G221" i="6"/>
  <c r="F221" i="6"/>
  <c r="E221" i="6"/>
  <c r="B221" i="6"/>
  <c r="I220" i="6"/>
  <c r="H220" i="6"/>
  <c r="G220" i="6"/>
  <c r="F220" i="6"/>
  <c r="E220" i="6"/>
  <c r="B220" i="6"/>
  <c r="I219" i="6"/>
  <c r="H219" i="6"/>
  <c r="G219" i="6"/>
  <c r="F219" i="6"/>
  <c r="E219" i="6"/>
  <c r="B219" i="6"/>
  <c r="I218" i="6"/>
  <c r="H218" i="6"/>
  <c r="G218" i="6"/>
  <c r="F218" i="6"/>
  <c r="E218" i="6"/>
  <c r="B218" i="6"/>
  <c r="I217" i="6"/>
  <c r="H217" i="6"/>
  <c r="G217" i="6"/>
  <c r="F217" i="6"/>
  <c r="E217" i="6"/>
  <c r="B217" i="6"/>
  <c r="I216" i="6"/>
  <c r="H216" i="6"/>
  <c r="G216" i="6"/>
  <c r="F216" i="6"/>
  <c r="E216" i="6"/>
  <c r="B216" i="6"/>
  <c r="I215" i="6"/>
  <c r="H215" i="6"/>
  <c r="G215" i="6"/>
  <c r="F215" i="6"/>
  <c r="E215" i="6"/>
  <c r="B215" i="6"/>
  <c r="I214" i="6"/>
  <c r="H214" i="6"/>
  <c r="G214" i="6"/>
  <c r="F214" i="6"/>
  <c r="E214" i="6"/>
  <c r="B214" i="6"/>
  <c r="I213" i="6"/>
  <c r="H213" i="6"/>
  <c r="G213" i="6"/>
  <c r="F213" i="6"/>
  <c r="E213" i="6"/>
  <c r="B213" i="6"/>
  <c r="I212" i="6"/>
  <c r="H212" i="6"/>
  <c r="G212" i="6"/>
  <c r="F212" i="6"/>
  <c r="E212" i="6"/>
  <c r="B212" i="6"/>
  <c r="I211" i="6"/>
  <c r="H211" i="6"/>
  <c r="G211" i="6"/>
  <c r="F211" i="6"/>
  <c r="E211" i="6"/>
  <c r="B211" i="6"/>
  <c r="I210" i="6"/>
  <c r="H210" i="6"/>
  <c r="G210" i="6"/>
  <c r="F210" i="6"/>
  <c r="E210" i="6"/>
  <c r="B210" i="6"/>
  <c r="I209" i="6"/>
  <c r="H209" i="6"/>
  <c r="G209" i="6"/>
  <c r="F209" i="6"/>
  <c r="E209" i="6"/>
  <c r="B209" i="6"/>
  <c r="I208" i="6"/>
  <c r="H208" i="6"/>
  <c r="G208" i="6"/>
  <c r="F208" i="6"/>
  <c r="E208" i="6"/>
  <c r="B208" i="6"/>
  <c r="I207" i="6"/>
  <c r="H207" i="6"/>
  <c r="G207" i="6"/>
  <c r="F207" i="6"/>
  <c r="E207" i="6"/>
  <c r="B207" i="6"/>
  <c r="I206" i="6"/>
  <c r="H206" i="6"/>
  <c r="G206" i="6"/>
  <c r="F206" i="6"/>
  <c r="E206" i="6"/>
  <c r="B206" i="6"/>
  <c r="I205" i="6"/>
  <c r="H205" i="6"/>
  <c r="G205" i="6"/>
  <c r="F205" i="6"/>
  <c r="E205" i="6"/>
  <c r="B205" i="6"/>
  <c r="I204" i="6"/>
  <c r="H204" i="6"/>
  <c r="G204" i="6"/>
  <c r="F204" i="6"/>
  <c r="E204" i="6"/>
  <c r="B204" i="6"/>
  <c r="I203" i="6"/>
  <c r="H203" i="6"/>
  <c r="G203" i="6"/>
  <c r="F203" i="6"/>
  <c r="E203" i="6"/>
  <c r="B203" i="6"/>
  <c r="I202" i="6"/>
  <c r="H202" i="6"/>
  <c r="G202" i="6"/>
  <c r="F202" i="6"/>
  <c r="E202" i="6"/>
  <c r="B202" i="6"/>
  <c r="I201" i="6"/>
  <c r="H201" i="6"/>
  <c r="G201" i="6"/>
  <c r="F201" i="6"/>
  <c r="E201" i="6"/>
  <c r="B201" i="6"/>
  <c r="I200" i="6"/>
  <c r="H200" i="6"/>
  <c r="G200" i="6"/>
  <c r="F200" i="6"/>
  <c r="E200" i="6"/>
  <c r="B200" i="6"/>
  <c r="I199" i="6"/>
  <c r="H199" i="6"/>
  <c r="G199" i="6"/>
  <c r="F199" i="6"/>
  <c r="E199" i="6"/>
  <c r="B199" i="6"/>
  <c r="I198" i="6"/>
  <c r="H198" i="6"/>
  <c r="G198" i="6"/>
  <c r="F198" i="6"/>
  <c r="E198" i="6"/>
  <c r="B198" i="6"/>
  <c r="I197" i="6"/>
  <c r="H197" i="6"/>
  <c r="G197" i="6"/>
  <c r="F197" i="6"/>
  <c r="E197" i="6"/>
  <c r="B197" i="6"/>
  <c r="I196" i="6"/>
  <c r="H196" i="6"/>
  <c r="G196" i="6"/>
  <c r="F196" i="6"/>
  <c r="E196" i="6"/>
  <c r="B196" i="6"/>
  <c r="I195" i="6"/>
  <c r="H195" i="6"/>
  <c r="G195" i="6"/>
  <c r="F195" i="6"/>
  <c r="E195" i="6"/>
  <c r="B195" i="6"/>
  <c r="I194" i="6"/>
  <c r="H194" i="6"/>
  <c r="G194" i="6"/>
  <c r="F194" i="6"/>
  <c r="E194" i="6"/>
  <c r="B194" i="6"/>
  <c r="I193" i="6"/>
  <c r="H193" i="6"/>
  <c r="G193" i="6"/>
  <c r="F193" i="6"/>
  <c r="E193" i="6"/>
  <c r="B193" i="6"/>
  <c r="I192" i="6"/>
  <c r="H192" i="6"/>
  <c r="G192" i="6"/>
  <c r="F192" i="6"/>
  <c r="E192" i="6"/>
  <c r="B192" i="6"/>
  <c r="I191" i="6"/>
  <c r="H191" i="6"/>
  <c r="G191" i="6"/>
  <c r="F191" i="6"/>
  <c r="E191" i="6"/>
  <c r="B191" i="6"/>
  <c r="I190" i="6"/>
  <c r="H190" i="6"/>
  <c r="G190" i="6"/>
  <c r="F190" i="6"/>
  <c r="E190" i="6"/>
  <c r="B190" i="6"/>
  <c r="I189" i="6"/>
  <c r="H189" i="6"/>
  <c r="G189" i="6"/>
  <c r="F189" i="6"/>
  <c r="E189" i="6"/>
  <c r="B189" i="6"/>
  <c r="I188" i="6"/>
  <c r="H188" i="6"/>
  <c r="G188" i="6"/>
  <c r="F188" i="6"/>
  <c r="E188" i="6"/>
  <c r="B188" i="6"/>
  <c r="I187" i="6"/>
  <c r="H187" i="6"/>
  <c r="G187" i="6"/>
  <c r="F187" i="6"/>
  <c r="E187" i="6"/>
  <c r="B187" i="6"/>
  <c r="I186" i="6"/>
  <c r="H186" i="6"/>
  <c r="G186" i="6"/>
  <c r="F186" i="6"/>
  <c r="E186" i="6"/>
  <c r="B186" i="6"/>
  <c r="I185" i="6"/>
  <c r="H185" i="6"/>
  <c r="G185" i="6"/>
  <c r="F185" i="6"/>
  <c r="E185" i="6"/>
  <c r="B185" i="6"/>
  <c r="I184" i="6"/>
  <c r="H184" i="6"/>
  <c r="G184" i="6"/>
  <c r="F184" i="6"/>
  <c r="E184" i="6"/>
  <c r="B184" i="6"/>
  <c r="I183" i="6"/>
  <c r="H183" i="6"/>
  <c r="G183" i="6"/>
  <c r="F183" i="6"/>
  <c r="E183" i="6"/>
  <c r="B183" i="6"/>
  <c r="I182" i="6"/>
  <c r="H182" i="6"/>
  <c r="G182" i="6"/>
  <c r="F182" i="6"/>
  <c r="E182" i="6"/>
  <c r="B182" i="6"/>
  <c r="I181" i="6"/>
  <c r="H181" i="6"/>
  <c r="G181" i="6"/>
  <c r="F181" i="6"/>
  <c r="E181" i="6"/>
  <c r="B181" i="6"/>
  <c r="I180" i="6"/>
  <c r="H180" i="6"/>
  <c r="G180" i="6"/>
  <c r="F180" i="6"/>
  <c r="E180" i="6"/>
  <c r="B180" i="6"/>
  <c r="I179" i="6"/>
  <c r="H179" i="6"/>
  <c r="G179" i="6"/>
  <c r="F179" i="6"/>
  <c r="E179" i="6"/>
  <c r="B179" i="6"/>
  <c r="I178" i="6"/>
  <c r="H178" i="6"/>
  <c r="G178" i="6"/>
  <c r="F178" i="6"/>
  <c r="E178" i="6"/>
  <c r="B178" i="6"/>
  <c r="I177" i="6"/>
  <c r="H177" i="6"/>
  <c r="G177" i="6"/>
  <c r="F177" i="6"/>
  <c r="E177" i="6"/>
  <c r="B177" i="6"/>
  <c r="I176" i="6"/>
  <c r="H176" i="6"/>
  <c r="G176" i="6"/>
  <c r="F176" i="6"/>
  <c r="E176" i="6"/>
  <c r="B176" i="6"/>
  <c r="I175" i="6"/>
  <c r="H175" i="6"/>
  <c r="G175" i="6"/>
  <c r="F175" i="6"/>
  <c r="E175" i="6"/>
  <c r="B175" i="6"/>
  <c r="I174" i="6"/>
  <c r="H174" i="6"/>
  <c r="G174" i="6"/>
  <c r="F174" i="6"/>
  <c r="E174" i="6"/>
  <c r="B174" i="6"/>
  <c r="I173" i="6"/>
  <c r="H173" i="6"/>
  <c r="G173" i="6"/>
  <c r="F173" i="6"/>
  <c r="E173" i="6"/>
  <c r="B173" i="6"/>
  <c r="I172" i="6"/>
  <c r="H172" i="6"/>
  <c r="G172" i="6"/>
  <c r="F172" i="6"/>
  <c r="E172" i="6"/>
  <c r="B172" i="6"/>
  <c r="I171" i="6"/>
  <c r="H171" i="6"/>
  <c r="G171" i="6"/>
  <c r="F171" i="6"/>
  <c r="E171" i="6"/>
  <c r="B171" i="6"/>
  <c r="I170" i="6"/>
  <c r="H170" i="6"/>
  <c r="G170" i="6"/>
  <c r="F170" i="6"/>
  <c r="E170" i="6"/>
  <c r="B170" i="6"/>
  <c r="I169" i="6"/>
  <c r="H169" i="6"/>
  <c r="G169" i="6"/>
  <c r="F169" i="6"/>
  <c r="E169" i="6"/>
  <c r="B169" i="6"/>
  <c r="I168" i="6"/>
  <c r="H168" i="6"/>
  <c r="G168" i="6"/>
  <c r="F168" i="6"/>
  <c r="E168" i="6"/>
  <c r="B168" i="6"/>
  <c r="I167" i="6"/>
  <c r="H167" i="6"/>
  <c r="G167" i="6"/>
  <c r="F167" i="6"/>
  <c r="E167" i="6"/>
  <c r="B167" i="6"/>
  <c r="I166" i="6"/>
  <c r="H166" i="6"/>
  <c r="G166" i="6"/>
  <c r="F166" i="6"/>
  <c r="E166" i="6"/>
  <c r="B166" i="6"/>
  <c r="I165" i="6"/>
  <c r="H165" i="6"/>
  <c r="G165" i="6"/>
  <c r="F165" i="6"/>
  <c r="E165" i="6"/>
  <c r="B165" i="6"/>
  <c r="I164" i="6"/>
  <c r="H164" i="6"/>
  <c r="G164" i="6"/>
  <c r="F164" i="6"/>
  <c r="E164" i="6"/>
  <c r="B164" i="6"/>
  <c r="I163" i="6"/>
  <c r="H163" i="6"/>
  <c r="G163" i="6"/>
  <c r="F163" i="6"/>
  <c r="E163" i="6"/>
  <c r="B163" i="6"/>
  <c r="I162" i="6"/>
  <c r="H162" i="6"/>
  <c r="G162" i="6"/>
  <c r="F162" i="6"/>
  <c r="E162" i="6"/>
  <c r="B162" i="6"/>
  <c r="I161" i="6"/>
  <c r="H161" i="6"/>
  <c r="G161" i="6"/>
  <c r="F161" i="6"/>
  <c r="E161" i="6"/>
  <c r="B161" i="6"/>
  <c r="I160" i="6"/>
  <c r="H160" i="6"/>
  <c r="G160" i="6"/>
  <c r="F160" i="6"/>
  <c r="E160" i="6"/>
  <c r="B160" i="6"/>
  <c r="I159" i="6"/>
  <c r="H159" i="6"/>
  <c r="G159" i="6"/>
  <c r="F159" i="6"/>
  <c r="E159" i="6"/>
  <c r="B159" i="6"/>
  <c r="I158" i="6"/>
  <c r="H158" i="6"/>
  <c r="G158" i="6"/>
  <c r="F158" i="6"/>
  <c r="E158" i="6"/>
  <c r="B158" i="6"/>
  <c r="I157" i="6"/>
  <c r="H157" i="6"/>
  <c r="G157" i="6"/>
  <c r="F157" i="6"/>
  <c r="E157" i="6"/>
  <c r="B157" i="6"/>
  <c r="I156" i="6"/>
  <c r="H156" i="6"/>
  <c r="G156" i="6"/>
  <c r="F156" i="6"/>
  <c r="E156" i="6"/>
  <c r="B156" i="6"/>
  <c r="I155" i="6"/>
  <c r="H155" i="6"/>
  <c r="G155" i="6"/>
  <c r="F155" i="6"/>
  <c r="E155" i="6"/>
  <c r="B155" i="6"/>
  <c r="I154" i="6"/>
  <c r="H154" i="6"/>
  <c r="G154" i="6"/>
  <c r="F154" i="6"/>
  <c r="E154" i="6"/>
  <c r="B154" i="6"/>
  <c r="I153" i="6"/>
  <c r="H153" i="6"/>
  <c r="G153" i="6"/>
  <c r="F153" i="6"/>
  <c r="E153" i="6"/>
  <c r="B153" i="6"/>
  <c r="I152" i="6"/>
  <c r="H152" i="6"/>
  <c r="G152" i="6"/>
  <c r="F152" i="6"/>
  <c r="E152" i="6"/>
  <c r="B152" i="6"/>
  <c r="I151" i="6"/>
  <c r="H151" i="6"/>
  <c r="G151" i="6"/>
  <c r="F151" i="6"/>
  <c r="E151" i="6"/>
  <c r="B151" i="6"/>
  <c r="I150" i="6"/>
  <c r="H150" i="6"/>
  <c r="G150" i="6"/>
  <c r="F150" i="6"/>
  <c r="E150" i="6"/>
  <c r="B150" i="6"/>
  <c r="I149" i="6"/>
  <c r="H149" i="6"/>
  <c r="G149" i="6"/>
  <c r="F149" i="6"/>
  <c r="E149" i="6"/>
  <c r="B149" i="6"/>
  <c r="I148" i="6"/>
  <c r="H148" i="6"/>
  <c r="G148" i="6"/>
  <c r="F148" i="6"/>
  <c r="E148" i="6"/>
  <c r="B148" i="6"/>
  <c r="I147" i="6"/>
  <c r="H147" i="6"/>
  <c r="G147" i="6"/>
  <c r="F147" i="6"/>
  <c r="E147" i="6"/>
  <c r="B147" i="6"/>
  <c r="I146" i="6"/>
  <c r="H146" i="6"/>
  <c r="G146" i="6"/>
  <c r="F146" i="6"/>
  <c r="E146" i="6"/>
  <c r="B146" i="6"/>
  <c r="I145" i="6"/>
  <c r="H145" i="6"/>
  <c r="G145" i="6"/>
  <c r="F145" i="6"/>
  <c r="E145" i="6"/>
  <c r="B145" i="6"/>
  <c r="I144" i="6"/>
  <c r="H144" i="6"/>
  <c r="G144" i="6"/>
  <c r="F144" i="6"/>
  <c r="E144" i="6"/>
  <c r="B144" i="6"/>
  <c r="I143" i="6"/>
  <c r="H143" i="6"/>
  <c r="G143" i="6"/>
  <c r="F143" i="6"/>
  <c r="E143" i="6"/>
  <c r="B143" i="6"/>
  <c r="I142" i="6"/>
  <c r="H142" i="6"/>
  <c r="G142" i="6"/>
  <c r="F142" i="6"/>
  <c r="E142" i="6"/>
  <c r="B142" i="6"/>
  <c r="I141" i="6"/>
  <c r="H141" i="6"/>
  <c r="G141" i="6"/>
  <c r="F141" i="6"/>
  <c r="E141" i="6"/>
  <c r="B141" i="6"/>
  <c r="I140" i="6"/>
  <c r="H140" i="6"/>
  <c r="G140" i="6"/>
  <c r="F140" i="6"/>
  <c r="E140" i="6"/>
  <c r="B140" i="6"/>
  <c r="I139" i="6"/>
  <c r="H139" i="6"/>
  <c r="G139" i="6"/>
  <c r="F139" i="6"/>
  <c r="E139" i="6"/>
  <c r="B139" i="6"/>
  <c r="I138" i="6"/>
  <c r="H138" i="6"/>
  <c r="G138" i="6"/>
  <c r="F138" i="6"/>
  <c r="E138" i="6"/>
  <c r="B138" i="6"/>
  <c r="I137" i="6"/>
  <c r="H137" i="6"/>
  <c r="G137" i="6"/>
  <c r="F137" i="6"/>
  <c r="E137" i="6"/>
  <c r="B137" i="6"/>
  <c r="I136" i="6"/>
  <c r="H136" i="6"/>
  <c r="G136" i="6"/>
  <c r="F136" i="6"/>
  <c r="E136" i="6"/>
  <c r="B136" i="6"/>
  <c r="I135" i="6"/>
  <c r="H135" i="6"/>
  <c r="G135" i="6"/>
  <c r="F135" i="6"/>
  <c r="E135" i="6"/>
  <c r="B135" i="6"/>
  <c r="I134" i="6"/>
  <c r="H134" i="6"/>
  <c r="G134" i="6"/>
  <c r="F134" i="6"/>
  <c r="E134" i="6"/>
  <c r="B134" i="6"/>
  <c r="I133" i="6"/>
  <c r="H133" i="6"/>
  <c r="G133" i="6"/>
  <c r="F133" i="6"/>
  <c r="E133" i="6"/>
  <c r="B133" i="6"/>
  <c r="I132" i="6"/>
  <c r="H132" i="6"/>
  <c r="G132" i="6"/>
  <c r="F132" i="6"/>
  <c r="E132" i="6"/>
  <c r="B132" i="6"/>
  <c r="I131" i="6"/>
  <c r="H131" i="6"/>
  <c r="G131" i="6"/>
  <c r="F131" i="6"/>
  <c r="E131" i="6"/>
  <c r="B131" i="6"/>
  <c r="I130" i="6"/>
  <c r="H130" i="6"/>
  <c r="G130" i="6"/>
  <c r="F130" i="6"/>
  <c r="E130" i="6"/>
  <c r="B130" i="6"/>
  <c r="I129" i="6"/>
  <c r="H129" i="6"/>
  <c r="G129" i="6"/>
  <c r="F129" i="6"/>
  <c r="E129" i="6"/>
  <c r="B129" i="6"/>
  <c r="I128" i="6"/>
  <c r="H128" i="6"/>
  <c r="G128" i="6"/>
  <c r="F128" i="6"/>
  <c r="E128" i="6"/>
  <c r="B128" i="6"/>
  <c r="I127" i="6"/>
  <c r="H127" i="6"/>
  <c r="G127" i="6"/>
  <c r="F127" i="6"/>
  <c r="E127" i="6"/>
  <c r="B127" i="6"/>
  <c r="I126" i="6"/>
  <c r="H126" i="6"/>
  <c r="G126" i="6"/>
  <c r="F126" i="6"/>
  <c r="E126" i="6"/>
  <c r="B126" i="6"/>
  <c r="I125" i="6"/>
  <c r="H125" i="6"/>
  <c r="G125" i="6"/>
  <c r="F125" i="6"/>
  <c r="E125" i="6"/>
  <c r="B125" i="6"/>
  <c r="I124" i="6"/>
  <c r="H124" i="6"/>
  <c r="G124" i="6"/>
  <c r="F124" i="6"/>
  <c r="E124" i="6"/>
  <c r="B124" i="6"/>
  <c r="I123" i="6"/>
  <c r="H123" i="6"/>
  <c r="G123" i="6"/>
  <c r="F123" i="6"/>
  <c r="E123" i="6"/>
  <c r="B123" i="6"/>
  <c r="I122" i="6"/>
  <c r="H122" i="6"/>
  <c r="G122" i="6"/>
  <c r="F122" i="6"/>
  <c r="E122" i="6"/>
  <c r="B122" i="6"/>
  <c r="I121" i="6"/>
  <c r="H121" i="6"/>
  <c r="G121" i="6"/>
  <c r="F121" i="6"/>
  <c r="E121" i="6"/>
  <c r="B121" i="6"/>
  <c r="I120" i="6"/>
  <c r="H120" i="6"/>
  <c r="G120" i="6"/>
  <c r="F120" i="6"/>
  <c r="E120" i="6"/>
  <c r="B120" i="6"/>
  <c r="I119" i="6"/>
  <c r="H119" i="6"/>
  <c r="G119" i="6"/>
  <c r="F119" i="6"/>
  <c r="E119" i="6"/>
  <c r="B119" i="6"/>
  <c r="I118" i="6"/>
  <c r="H118" i="6"/>
  <c r="G118" i="6"/>
  <c r="F118" i="6"/>
  <c r="E118" i="6"/>
  <c r="B118" i="6"/>
  <c r="I117" i="6"/>
  <c r="H117" i="6"/>
  <c r="G117" i="6"/>
  <c r="F117" i="6"/>
  <c r="E117" i="6"/>
  <c r="B117" i="6"/>
  <c r="I116" i="6"/>
  <c r="H116" i="6"/>
  <c r="G116" i="6"/>
  <c r="F116" i="6"/>
  <c r="E116" i="6"/>
  <c r="B116" i="6"/>
  <c r="I115" i="6"/>
  <c r="H115" i="6"/>
  <c r="G115" i="6"/>
  <c r="F115" i="6"/>
  <c r="E115" i="6"/>
  <c r="B115" i="6"/>
  <c r="I114" i="6"/>
  <c r="H114" i="6"/>
  <c r="G114" i="6"/>
  <c r="F114" i="6"/>
  <c r="E114" i="6"/>
  <c r="B114" i="6"/>
  <c r="I113" i="6"/>
  <c r="H113" i="6"/>
  <c r="G113" i="6"/>
  <c r="F113" i="6"/>
  <c r="E113" i="6"/>
  <c r="B113" i="6"/>
  <c r="I112" i="6"/>
  <c r="H112" i="6"/>
  <c r="G112" i="6"/>
  <c r="F112" i="6"/>
  <c r="E112" i="6"/>
  <c r="B112" i="6"/>
  <c r="I111" i="6"/>
  <c r="H111" i="6"/>
  <c r="G111" i="6"/>
  <c r="F111" i="6"/>
  <c r="E111" i="6"/>
  <c r="B111" i="6"/>
  <c r="I110" i="6"/>
  <c r="H110" i="6"/>
  <c r="G110" i="6"/>
  <c r="F110" i="6"/>
  <c r="E110" i="6"/>
  <c r="B110" i="6"/>
  <c r="I109" i="6"/>
  <c r="H109" i="6"/>
  <c r="G109" i="6"/>
  <c r="F109" i="6"/>
  <c r="E109" i="6"/>
  <c r="B109" i="6"/>
  <c r="I108" i="6"/>
  <c r="H108" i="6"/>
  <c r="G108" i="6"/>
  <c r="F108" i="6"/>
  <c r="E108" i="6"/>
  <c r="B108" i="6"/>
  <c r="I107" i="6"/>
  <c r="H107" i="6"/>
  <c r="G107" i="6"/>
  <c r="F107" i="6"/>
  <c r="E107" i="6"/>
  <c r="B107" i="6"/>
  <c r="I106" i="6"/>
  <c r="H106" i="6"/>
  <c r="G106" i="6"/>
  <c r="F106" i="6"/>
  <c r="E106" i="6"/>
  <c r="B106" i="6"/>
  <c r="I105" i="6"/>
  <c r="H105" i="6"/>
  <c r="G105" i="6"/>
  <c r="F105" i="6"/>
  <c r="E105" i="6"/>
  <c r="B105" i="6"/>
  <c r="I104" i="6"/>
  <c r="H104" i="6"/>
  <c r="G104" i="6"/>
  <c r="F104" i="6"/>
  <c r="E104" i="6"/>
  <c r="B104" i="6"/>
  <c r="I103" i="6"/>
  <c r="H103" i="6"/>
  <c r="G103" i="6"/>
  <c r="F103" i="6"/>
  <c r="E103" i="6"/>
  <c r="B103" i="6"/>
  <c r="I102" i="6"/>
  <c r="H102" i="6"/>
  <c r="G102" i="6"/>
  <c r="F102" i="6"/>
  <c r="E102" i="6"/>
  <c r="B102" i="6"/>
  <c r="I101" i="6"/>
  <c r="H101" i="6"/>
  <c r="G101" i="6"/>
  <c r="F101" i="6"/>
  <c r="E101" i="6"/>
  <c r="B101" i="6"/>
  <c r="I100" i="6"/>
  <c r="H100" i="6"/>
  <c r="G100" i="6"/>
  <c r="F100" i="6"/>
  <c r="E100" i="6"/>
  <c r="B100" i="6"/>
  <c r="I99" i="6"/>
  <c r="H99" i="6"/>
  <c r="G99" i="6"/>
  <c r="F99" i="6"/>
  <c r="E99" i="6"/>
  <c r="B99" i="6"/>
  <c r="I98" i="6"/>
  <c r="H98" i="6"/>
  <c r="G98" i="6"/>
  <c r="F98" i="6"/>
  <c r="E98" i="6"/>
  <c r="B98" i="6"/>
  <c r="I97" i="6"/>
  <c r="H97" i="6"/>
  <c r="G97" i="6"/>
  <c r="F97" i="6"/>
  <c r="E97" i="6"/>
  <c r="B97" i="6"/>
  <c r="I96" i="6"/>
  <c r="H96" i="6"/>
  <c r="G96" i="6"/>
  <c r="F96" i="6"/>
  <c r="E96" i="6"/>
  <c r="B96" i="6"/>
  <c r="I95" i="6"/>
  <c r="H95" i="6"/>
  <c r="G95" i="6"/>
  <c r="F95" i="6"/>
  <c r="E95" i="6"/>
  <c r="B95" i="6"/>
  <c r="I94" i="6"/>
  <c r="H94" i="6"/>
  <c r="G94" i="6"/>
  <c r="F94" i="6"/>
  <c r="E94" i="6"/>
  <c r="B94" i="6"/>
  <c r="I93" i="6"/>
  <c r="H93" i="6"/>
  <c r="G93" i="6"/>
  <c r="F93" i="6"/>
  <c r="E93" i="6"/>
  <c r="B93" i="6"/>
  <c r="I92" i="6"/>
  <c r="H92" i="6"/>
  <c r="G92" i="6"/>
  <c r="F92" i="6"/>
  <c r="E92" i="6"/>
  <c r="B92" i="6"/>
  <c r="I91" i="6"/>
  <c r="H91" i="6"/>
  <c r="G91" i="6"/>
  <c r="F91" i="6"/>
  <c r="E91" i="6"/>
  <c r="B91" i="6"/>
  <c r="I90" i="6"/>
  <c r="H90" i="6"/>
  <c r="G90" i="6"/>
  <c r="F90" i="6"/>
  <c r="E90" i="6"/>
  <c r="B90" i="6"/>
  <c r="I89" i="6"/>
  <c r="H89" i="6"/>
  <c r="G89" i="6"/>
  <c r="F89" i="6"/>
  <c r="E89" i="6"/>
  <c r="B89" i="6"/>
  <c r="I88" i="6"/>
  <c r="H88" i="6"/>
  <c r="G88" i="6"/>
  <c r="F88" i="6"/>
  <c r="E88" i="6"/>
  <c r="B88" i="6"/>
  <c r="I87" i="6"/>
  <c r="H87" i="6"/>
  <c r="G87" i="6"/>
  <c r="F87" i="6"/>
  <c r="E87" i="6"/>
  <c r="B87" i="6"/>
  <c r="I86" i="6"/>
  <c r="H86" i="6"/>
  <c r="G86" i="6"/>
  <c r="F86" i="6"/>
  <c r="E86" i="6"/>
  <c r="B86" i="6"/>
  <c r="I85" i="6"/>
  <c r="H85" i="6"/>
  <c r="G85" i="6"/>
  <c r="F85" i="6"/>
  <c r="E85" i="6"/>
  <c r="B85" i="6"/>
  <c r="I84" i="6"/>
  <c r="H84" i="6"/>
  <c r="G84" i="6"/>
  <c r="F84" i="6"/>
  <c r="E84" i="6"/>
  <c r="B84" i="6"/>
  <c r="I83" i="6"/>
  <c r="H83" i="6"/>
  <c r="G83" i="6"/>
  <c r="F83" i="6"/>
  <c r="E83" i="6"/>
  <c r="B83" i="6"/>
  <c r="I82" i="6"/>
  <c r="H82" i="6"/>
  <c r="G82" i="6"/>
  <c r="F82" i="6"/>
  <c r="E82" i="6"/>
  <c r="B82" i="6"/>
  <c r="I81" i="6"/>
  <c r="H81" i="6"/>
  <c r="G81" i="6"/>
  <c r="F81" i="6"/>
  <c r="E81" i="6"/>
  <c r="B81" i="6"/>
  <c r="I80" i="6"/>
  <c r="H80" i="6"/>
  <c r="G80" i="6"/>
  <c r="F80" i="6"/>
  <c r="E80" i="6"/>
  <c r="B80" i="6"/>
  <c r="I79" i="6"/>
  <c r="H79" i="6"/>
  <c r="G79" i="6"/>
  <c r="F79" i="6"/>
  <c r="E79" i="6"/>
  <c r="B79" i="6"/>
  <c r="I78" i="6"/>
  <c r="H78" i="6"/>
  <c r="G78" i="6"/>
  <c r="F78" i="6"/>
  <c r="E78" i="6"/>
  <c r="B78" i="6"/>
  <c r="I77" i="6"/>
  <c r="H77" i="6"/>
  <c r="G77" i="6"/>
  <c r="F77" i="6"/>
  <c r="E77" i="6"/>
  <c r="B77" i="6"/>
  <c r="I76" i="6"/>
  <c r="H76" i="6"/>
  <c r="G76" i="6"/>
  <c r="F76" i="6"/>
  <c r="E76" i="6"/>
  <c r="B76" i="6"/>
  <c r="I75" i="6"/>
  <c r="H75" i="6"/>
  <c r="G75" i="6"/>
  <c r="F75" i="6"/>
  <c r="E75" i="6"/>
  <c r="B75" i="6"/>
  <c r="I74" i="6"/>
  <c r="H74" i="6"/>
  <c r="G74" i="6"/>
  <c r="F74" i="6"/>
  <c r="E74" i="6"/>
  <c r="B74" i="6"/>
  <c r="I73" i="6"/>
  <c r="H73" i="6"/>
  <c r="G73" i="6"/>
  <c r="F73" i="6"/>
  <c r="E73" i="6"/>
  <c r="B73" i="6"/>
  <c r="I72" i="6"/>
  <c r="H72" i="6"/>
  <c r="G72" i="6"/>
  <c r="F72" i="6"/>
  <c r="E72" i="6"/>
  <c r="B72" i="6"/>
  <c r="I71" i="6"/>
  <c r="H71" i="6"/>
  <c r="G71" i="6"/>
  <c r="F71" i="6"/>
  <c r="E71" i="6"/>
  <c r="B71" i="6"/>
  <c r="I70" i="6"/>
  <c r="H70" i="6"/>
  <c r="G70" i="6"/>
  <c r="F70" i="6"/>
  <c r="E70" i="6"/>
  <c r="B70" i="6"/>
  <c r="I69" i="6"/>
  <c r="H69" i="6"/>
  <c r="G69" i="6"/>
  <c r="F69" i="6"/>
  <c r="E69" i="6"/>
  <c r="B69" i="6"/>
  <c r="I68" i="6"/>
  <c r="H68" i="6"/>
  <c r="G68" i="6"/>
  <c r="F68" i="6"/>
  <c r="E68" i="6"/>
  <c r="B68" i="6"/>
  <c r="I67" i="6"/>
  <c r="H67" i="6"/>
  <c r="G67" i="6"/>
  <c r="F67" i="6"/>
  <c r="E67" i="6"/>
  <c r="B67" i="6"/>
  <c r="I66" i="6"/>
  <c r="H66" i="6"/>
  <c r="G66" i="6"/>
  <c r="F66" i="6"/>
  <c r="E66" i="6"/>
  <c r="B66" i="6"/>
  <c r="I65" i="6"/>
  <c r="H65" i="6"/>
  <c r="G65" i="6"/>
  <c r="F65" i="6"/>
  <c r="E65" i="6"/>
  <c r="B65" i="6"/>
  <c r="I64" i="6"/>
  <c r="H64" i="6"/>
  <c r="G64" i="6"/>
  <c r="F64" i="6"/>
  <c r="E64" i="6"/>
  <c r="B64" i="6"/>
  <c r="I63" i="6"/>
  <c r="H63" i="6"/>
  <c r="G63" i="6"/>
  <c r="F63" i="6"/>
  <c r="E63" i="6"/>
  <c r="B63" i="6"/>
  <c r="I62" i="6"/>
  <c r="H62" i="6"/>
  <c r="G62" i="6"/>
  <c r="F62" i="6"/>
  <c r="E62" i="6"/>
  <c r="B62" i="6"/>
  <c r="I61" i="6"/>
  <c r="H61" i="6"/>
  <c r="G61" i="6"/>
  <c r="F61" i="6"/>
  <c r="E61" i="6"/>
  <c r="B61" i="6"/>
  <c r="I60" i="6"/>
  <c r="H60" i="6"/>
  <c r="G60" i="6"/>
  <c r="F60" i="6"/>
  <c r="E60" i="6"/>
  <c r="B60" i="6"/>
  <c r="I59" i="6"/>
  <c r="H59" i="6"/>
  <c r="G59" i="6"/>
  <c r="F59" i="6"/>
  <c r="E59" i="6"/>
  <c r="B59" i="6"/>
  <c r="I58" i="6"/>
  <c r="H58" i="6"/>
  <c r="G58" i="6"/>
  <c r="F58" i="6"/>
  <c r="E58" i="6"/>
  <c r="B58" i="6"/>
  <c r="I57" i="6"/>
  <c r="H57" i="6"/>
  <c r="G57" i="6"/>
  <c r="F57" i="6"/>
  <c r="E57" i="6"/>
  <c r="B57" i="6"/>
  <c r="I56" i="6"/>
  <c r="H56" i="6"/>
  <c r="G56" i="6"/>
  <c r="F56" i="6"/>
  <c r="E56" i="6"/>
  <c r="B56" i="6"/>
  <c r="I55" i="6"/>
  <c r="H55" i="6"/>
  <c r="G55" i="6"/>
  <c r="F55" i="6"/>
  <c r="E55" i="6"/>
  <c r="B55" i="6"/>
  <c r="I54" i="6"/>
  <c r="H54" i="6"/>
  <c r="G54" i="6"/>
  <c r="F54" i="6"/>
  <c r="E54" i="6"/>
  <c r="B54" i="6"/>
  <c r="I53" i="6"/>
  <c r="H53" i="6"/>
  <c r="G53" i="6"/>
  <c r="F53" i="6"/>
  <c r="E53" i="6"/>
  <c r="B53" i="6"/>
  <c r="I52" i="6"/>
  <c r="H52" i="6"/>
  <c r="G52" i="6"/>
  <c r="F52" i="6"/>
  <c r="E52" i="6"/>
  <c r="B52" i="6"/>
  <c r="I51" i="6"/>
  <c r="H51" i="6"/>
  <c r="G51" i="6"/>
  <c r="F51" i="6"/>
  <c r="E51" i="6"/>
  <c r="B51" i="6"/>
  <c r="I50" i="6"/>
  <c r="H50" i="6"/>
  <c r="G50" i="6"/>
  <c r="F50" i="6"/>
  <c r="E50" i="6"/>
  <c r="B50" i="6"/>
  <c r="I49" i="6"/>
  <c r="H49" i="6"/>
  <c r="G49" i="6"/>
  <c r="F49" i="6"/>
  <c r="E49" i="6"/>
  <c r="B49" i="6"/>
  <c r="I48" i="6"/>
  <c r="H48" i="6"/>
  <c r="G48" i="6"/>
  <c r="F48" i="6"/>
  <c r="E48" i="6"/>
  <c r="B48" i="6"/>
  <c r="I47" i="6"/>
  <c r="H47" i="6"/>
  <c r="G47" i="6"/>
  <c r="F47" i="6"/>
  <c r="E47" i="6"/>
  <c r="B47" i="6"/>
  <c r="I46" i="6"/>
  <c r="H46" i="6"/>
  <c r="G46" i="6"/>
  <c r="F46" i="6"/>
  <c r="E46" i="6"/>
  <c r="B46" i="6"/>
  <c r="I45" i="6"/>
  <c r="H45" i="6"/>
  <c r="G45" i="6"/>
  <c r="F45" i="6"/>
  <c r="E45" i="6"/>
  <c r="B45" i="6"/>
  <c r="I44" i="6"/>
  <c r="H44" i="6"/>
  <c r="G44" i="6"/>
  <c r="F44" i="6"/>
  <c r="E44" i="6"/>
  <c r="B44" i="6"/>
  <c r="I43" i="6"/>
  <c r="H43" i="6"/>
  <c r="G43" i="6"/>
  <c r="F43" i="6"/>
  <c r="E43" i="6"/>
  <c r="B43" i="6"/>
  <c r="I42" i="6"/>
  <c r="H42" i="6"/>
  <c r="G42" i="6"/>
  <c r="F42" i="6"/>
  <c r="E42" i="6"/>
  <c r="B42" i="6"/>
  <c r="I41" i="6"/>
  <c r="H41" i="6"/>
  <c r="G41" i="6"/>
  <c r="F41" i="6"/>
  <c r="E41" i="6"/>
  <c r="B41" i="6"/>
  <c r="I40" i="6"/>
  <c r="H40" i="6"/>
  <c r="G40" i="6"/>
  <c r="F40" i="6"/>
  <c r="E40" i="6"/>
  <c r="B40" i="6"/>
  <c r="I39" i="6"/>
  <c r="H39" i="6"/>
  <c r="G39" i="6"/>
  <c r="F39" i="6"/>
  <c r="E39" i="6"/>
  <c r="B39" i="6"/>
  <c r="I38" i="6"/>
  <c r="H38" i="6"/>
  <c r="G38" i="6"/>
  <c r="F38" i="6"/>
  <c r="E38" i="6"/>
  <c r="B38" i="6"/>
  <c r="I37" i="6"/>
  <c r="H37" i="6"/>
  <c r="G37" i="6"/>
  <c r="F37" i="6"/>
  <c r="E37" i="6"/>
  <c r="B37" i="6"/>
  <c r="I36" i="6"/>
  <c r="H36" i="6"/>
  <c r="G36" i="6"/>
  <c r="F36" i="6"/>
  <c r="E36" i="6"/>
  <c r="B36" i="6"/>
  <c r="I35" i="6"/>
  <c r="H35" i="6"/>
  <c r="G35" i="6"/>
  <c r="F35" i="6"/>
  <c r="E35" i="6"/>
  <c r="B35" i="6"/>
  <c r="I34" i="6"/>
  <c r="H34" i="6"/>
  <c r="G34" i="6"/>
  <c r="F34" i="6"/>
  <c r="E34" i="6"/>
  <c r="B34" i="6"/>
  <c r="I33" i="6"/>
  <c r="H33" i="6"/>
  <c r="G33" i="6"/>
  <c r="F33" i="6"/>
  <c r="E33" i="6"/>
  <c r="B33" i="6"/>
  <c r="I32" i="6"/>
  <c r="H32" i="6"/>
  <c r="G32" i="6"/>
  <c r="F32" i="6"/>
  <c r="E32" i="6"/>
  <c r="B32" i="6"/>
  <c r="I31" i="6"/>
  <c r="H31" i="6"/>
  <c r="G31" i="6"/>
  <c r="F31" i="6"/>
  <c r="E31" i="6"/>
  <c r="B31" i="6"/>
  <c r="I30" i="6"/>
  <c r="H30" i="6"/>
  <c r="G30" i="6"/>
  <c r="F30" i="6"/>
  <c r="E30" i="6"/>
  <c r="B30" i="6"/>
  <c r="I29" i="6"/>
  <c r="H29" i="6"/>
  <c r="G29" i="6"/>
  <c r="F29" i="6"/>
  <c r="E29" i="6"/>
  <c r="B29" i="6"/>
  <c r="I28" i="6"/>
  <c r="H28" i="6"/>
  <c r="G28" i="6"/>
  <c r="F28" i="6"/>
  <c r="E28" i="6"/>
  <c r="B28" i="6"/>
  <c r="I27" i="6"/>
  <c r="H27" i="6"/>
  <c r="G27" i="6"/>
  <c r="F27" i="6"/>
  <c r="E27" i="6"/>
  <c r="B27" i="6"/>
  <c r="I26" i="6"/>
  <c r="H26" i="6"/>
  <c r="G26" i="6"/>
  <c r="F26" i="6"/>
  <c r="E26" i="6"/>
  <c r="B26" i="6"/>
  <c r="I25" i="6"/>
  <c r="H25" i="6"/>
  <c r="G25" i="6"/>
  <c r="F25" i="6"/>
  <c r="E25" i="6"/>
  <c r="B25" i="6"/>
  <c r="I24" i="6"/>
  <c r="H24" i="6"/>
  <c r="G24" i="6"/>
  <c r="F24" i="6"/>
  <c r="E24" i="6"/>
  <c r="B24" i="6"/>
  <c r="I23" i="6"/>
  <c r="H23" i="6"/>
  <c r="G23" i="6"/>
  <c r="F23" i="6"/>
  <c r="E23" i="6"/>
  <c r="B23" i="6"/>
  <c r="I22" i="6"/>
  <c r="H22" i="6"/>
  <c r="G22" i="6"/>
  <c r="F22" i="6"/>
  <c r="E22" i="6"/>
  <c r="B22" i="6"/>
  <c r="I21" i="6"/>
  <c r="H21" i="6"/>
  <c r="G21" i="6"/>
  <c r="F21" i="6"/>
  <c r="E21" i="6"/>
  <c r="B21" i="6"/>
  <c r="I20" i="6"/>
  <c r="H20" i="6"/>
  <c r="G20" i="6"/>
  <c r="F20" i="6"/>
  <c r="E20" i="6"/>
  <c r="B20" i="6"/>
  <c r="I19" i="6"/>
  <c r="H19" i="6"/>
  <c r="G19" i="6"/>
  <c r="F19" i="6"/>
  <c r="E19" i="6"/>
  <c r="B19" i="6"/>
  <c r="I18" i="6"/>
  <c r="H18" i="6"/>
  <c r="G18" i="6"/>
  <c r="F18" i="6"/>
  <c r="E18" i="6"/>
  <c r="B18" i="6"/>
  <c r="I17" i="6"/>
  <c r="H17" i="6"/>
  <c r="G17" i="6"/>
  <c r="F17" i="6"/>
  <c r="E17" i="6"/>
  <c r="B17" i="6"/>
  <c r="I16" i="6"/>
  <c r="H16" i="6"/>
  <c r="G16" i="6"/>
  <c r="F16" i="6"/>
  <c r="E16" i="6"/>
  <c r="B16" i="6"/>
  <c r="I15" i="6"/>
  <c r="H15" i="6"/>
  <c r="G15" i="6"/>
  <c r="F15" i="6"/>
  <c r="E15" i="6"/>
  <c r="B15" i="6"/>
  <c r="I14" i="6"/>
  <c r="H14" i="6"/>
  <c r="G14" i="6"/>
  <c r="F14" i="6"/>
  <c r="E14" i="6"/>
  <c r="B14" i="6"/>
  <c r="I13" i="6"/>
  <c r="H13" i="6"/>
  <c r="G13" i="6"/>
  <c r="F13" i="6"/>
  <c r="E13" i="6"/>
  <c r="B13" i="6"/>
  <c r="I12" i="6"/>
  <c r="H12" i="6"/>
  <c r="G12" i="6"/>
  <c r="F12" i="6"/>
  <c r="E12" i="6"/>
  <c r="B12" i="6"/>
  <c r="I11" i="6"/>
  <c r="H11" i="6"/>
  <c r="G11" i="6"/>
  <c r="F11" i="6"/>
  <c r="E11" i="6"/>
  <c r="B11" i="6"/>
  <c r="I10" i="6"/>
  <c r="H10" i="6"/>
  <c r="G10" i="6"/>
  <c r="F10" i="6"/>
  <c r="E10" i="6"/>
  <c r="B10" i="6"/>
  <c r="I9" i="6"/>
  <c r="H9" i="6"/>
  <c r="G9" i="6"/>
  <c r="F9" i="6"/>
  <c r="E9" i="6"/>
  <c r="B9" i="6"/>
  <c r="I8" i="6"/>
  <c r="H8" i="6"/>
  <c r="G8" i="6"/>
  <c r="F8" i="6"/>
  <c r="E8" i="6"/>
  <c r="B8" i="6"/>
  <c r="I7" i="6"/>
  <c r="H7" i="6"/>
  <c r="G7" i="6"/>
  <c r="F7" i="6"/>
  <c r="E7" i="6"/>
  <c r="B7" i="6"/>
  <c r="I6" i="6"/>
  <c r="H6" i="6"/>
  <c r="G6" i="6"/>
  <c r="F6" i="6"/>
  <c r="E6" i="6"/>
  <c r="B6" i="6"/>
  <c r="I5" i="6"/>
  <c r="H5" i="6"/>
  <c r="G5" i="6"/>
  <c r="F5" i="6"/>
  <c r="E5" i="6"/>
  <c r="B5" i="6"/>
  <c r="I4" i="6"/>
  <c r="H4" i="6"/>
  <c r="G4" i="6"/>
  <c r="F4" i="6"/>
  <c r="E4" i="6"/>
  <c r="B4" i="6"/>
  <c r="E1" i="6"/>
  <c r="B1" i="6"/>
  <c r="A947" i="5"/>
  <c r="A946" i="5"/>
  <c r="A945" i="5"/>
  <c r="A944" i="5"/>
  <c r="A943" i="5"/>
  <c r="A942" i="5"/>
  <c r="A941" i="5"/>
  <c r="A940" i="5"/>
  <c r="A939" i="5"/>
  <c r="A938" i="5"/>
  <c r="A937" i="5"/>
  <c r="A936" i="5"/>
  <c r="A935" i="5"/>
  <c r="A934" i="5"/>
  <c r="A933" i="5"/>
  <c r="A932" i="5"/>
  <c r="A931" i="5"/>
  <c r="A930" i="5"/>
  <c r="A929" i="5"/>
  <c r="A928" i="5"/>
  <c r="A927" i="5"/>
  <c r="A926" i="5"/>
  <c r="B925" i="5"/>
  <c r="A925" i="5"/>
  <c r="A924" i="5"/>
  <c r="A923" i="5"/>
  <c r="A922" i="5"/>
  <c r="A921" i="5"/>
  <c r="A920" i="5"/>
  <c r="A919" i="5"/>
  <c r="A918" i="5"/>
  <c r="A917" i="5"/>
  <c r="A916" i="5"/>
  <c r="A915" i="5"/>
  <c r="A914" i="5"/>
  <c r="A913" i="5"/>
  <c r="A912" i="5"/>
  <c r="A911" i="5"/>
  <c r="A910" i="5"/>
  <c r="A909" i="5"/>
  <c r="A908" i="5"/>
  <c r="A907" i="5"/>
  <c r="A906" i="5"/>
  <c r="H905" i="5"/>
  <c r="F905" i="5"/>
  <c r="G905" i="5" s="1"/>
  <c r="E905" i="5"/>
  <c r="D905" i="5"/>
  <c r="C905" i="5"/>
  <c r="B905" i="5"/>
  <c r="A905" i="5"/>
  <c r="A904" i="5"/>
  <c r="A903" i="5"/>
  <c r="A902" i="5"/>
  <c r="A901" i="5"/>
  <c r="A900" i="5"/>
  <c r="A899" i="5"/>
  <c r="A898" i="5"/>
  <c r="A897" i="5"/>
  <c r="A896" i="5"/>
  <c r="A895" i="5"/>
  <c r="A894" i="5"/>
  <c r="A893" i="5"/>
  <c r="A892" i="5"/>
  <c r="A891" i="5"/>
  <c r="A890" i="5"/>
  <c r="A889" i="5"/>
  <c r="A888" i="5"/>
  <c r="A887" i="5"/>
  <c r="A886" i="5"/>
  <c r="A885" i="5"/>
  <c r="A884" i="5"/>
  <c r="A883" i="5"/>
  <c r="A882" i="5"/>
  <c r="A881" i="5"/>
  <c r="A880" i="5"/>
  <c r="A879" i="5"/>
  <c r="A878" i="5"/>
  <c r="A877" i="5"/>
  <c r="A876" i="5"/>
  <c r="A875" i="5"/>
  <c r="A874" i="5"/>
  <c r="A873" i="5"/>
  <c r="A872" i="5"/>
  <c r="A871" i="5"/>
  <c r="A870" i="5"/>
  <c r="A869" i="5"/>
  <c r="A868" i="5"/>
  <c r="A867" i="5"/>
  <c r="A866" i="5"/>
  <c r="A865" i="5"/>
  <c r="A864" i="5"/>
  <c r="A863" i="5"/>
  <c r="A862" i="5"/>
  <c r="A861" i="5"/>
  <c r="A860" i="5"/>
  <c r="A859" i="5"/>
  <c r="A858" i="5"/>
  <c r="A857" i="5"/>
  <c r="A856" i="5"/>
  <c r="A855" i="5"/>
  <c r="A854" i="5"/>
  <c r="A853" i="5"/>
  <c r="A852" i="5"/>
  <c r="A851" i="5"/>
  <c r="A850" i="5"/>
  <c r="A849" i="5"/>
  <c r="A848" i="5"/>
  <c r="A847" i="5"/>
  <c r="A846" i="5"/>
  <c r="A845" i="5"/>
  <c r="A844" i="5"/>
  <c r="A843" i="5"/>
  <c r="A842" i="5"/>
  <c r="A841" i="5"/>
  <c r="A840" i="5"/>
  <c r="A839" i="5"/>
  <c r="A838" i="5"/>
  <c r="A837" i="5"/>
  <c r="A836" i="5"/>
  <c r="A835" i="5"/>
  <c r="A834" i="5"/>
  <c r="A833" i="5"/>
  <c r="A832" i="5"/>
  <c r="A831" i="5"/>
  <c r="A830" i="5"/>
  <c r="A829" i="5"/>
  <c r="A828" i="5"/>
  <c r="A827" i="5"/>
  <c r="A826" i="5"/>
  <c r="A825" i="5"/>
  <c r="A824" i="5"/>
  <c r="A823" i="5"/>
  <c r="A822" i="5"/>
  <c r="A821" i="5"/>
  <c r="A820" i="5"/>
  <c r="A819" i="5"/>
  <c r="A818" i="5"/>
  <c r="A817" i="5"/>
  <c r="A816" i="5"/>
  <c r="A815" i="5"/>
  <c r="A814" i="5"/>
  <c r="A813" i="5"/>
  <c r="A812" i="5"/>
  <c r="A811" i="5"/>
  <c r="A810" i="5"/>
  <c r="A809" i="5"/>
  <c r="A808" i="5"/>
  <c r="A807" i="5"/>
  <c r="A806" i="5"/>
  <c r="A805" i="5"/>
  <c r="A804" i="5"/>
  <c r="A803" i="5"/>
  <c r="A802" i="5"/>
  <c r="A801" i="5"/>
  <c r="A800" i="5"/>
  <c r="A799" i="5"/>
  <c r="A798" i="5"/>
  <c r="A797" i="5"/>
  <c r="A796" i="5"/>
  <c r="A795" i="5"/>
  <c r="A794" i="5"/>
  <c r="A793" i="5"/>
  <c r="A792" i="5"/>
  <c r="A791" i="5"/>
  <c r="A790" i="5"/>
  <c r="A789" i="5"/>
  <c r="A788" i="5"/>
  <c r="A787" i="5"/>
  <c r="A786" i="5"/>
  <c r="A785" i="5"/>
  <c r="A784" i="5"/>
  <c r="A783" i="5"/>
  <c r="A782" i="5"/>
  <c r="A781" i="5"/>
  <c r="A780" i="5"/>
  <c r="A779" i="5"/>
  <c r="A778" i="5"/>
  <c r="A777" i="5"/>
  <c r="A776" i="5"/>
  <c r="A775" i="5"/>
  <c r="A774" i="5"/>
  <c r="A773" i="5"/>
  <c r="A772" i="5"/>
  <c r="A771" i="5"/>
  <c r="A770" i="5"/>
  <c r="A769" i="5"/>
  <c r="A768" i="5"/>
  <c r="A767" i="5"/>
  <c r="A766" i="5"/>
  <c r="A765" i="5"/>
  <c r="A764" i="5"/>
  <c r="A763" i="5"/>
  <c r="A762" i="5"/>
  <c r="A761" i="5"/>
  <c r="A760" i="5"/>
  <c r="A759" i="5"/>
  <c r="A758" i="5"/>
  <c r="A757" i="5"/>
  <c r="A756" i="5"/>
  <c r="A755" i="5"/>
  <c r="A754" i="5"/>
  <c r="A753" i="5"/>
  <c r="A752" i="5"/>
  <c r="A751" i="5"/>
  <c r="A750" i="5"/>
  <c r="A749" i="5"/>
  <c r="A748" i="5"/>
  <c r="A747" i="5"/>
  <c r="A746" i="5"/>
  <c r="A745" i="5"/>
  <c r="A744" i="5"/>
  <c r="A743" i="5"/>
  <c r="A742" i="5"/>
  <c r="A741" i="5"/>
  <c r="A740" i="5"/>
  <c r="A739" i="5"/>
  <c r="A738" i="5"/>
  <c r="A737" i="5"/>
  <c r="A736" i="5"/>
  <c r="A735" i="5"/>
  <c r="A734" i="5"/>
  <c r="A733" i="5"/>
  <c r="A732" i="5"/>
  <c r="A731" i="5"/>
  <c r="A730" i="5"/>
  <c r="A729" i="5"/>
  <c r="A728" i="5"/>
  <c r="A727" i="5"/>
  <c r="A726" i="5"/>
  <c r="A725" i="5"/>
  <c r="A724" i="5"/>
  <c r="A723" i="5"/>
  <c r="A722" i="5"/>
  <c r="A721" i="5"/>
  <c r="A720" i="5"/>
  <c r="A719" i="5"/>
  <c r="A718" i="5"/>
  <c r="A717" i="5"/>
  <c r="A716" i="5"/>
  <c r="A715" i="5"/>
  <c r="A714" i="5"/>
  <c r="A713" i="5"/>
  <c r="A712" i="5"/>
  <c r="A711" i="5"/>
  <c r="A710" i="5"/>
  <c r="A709" i="5"/>
  <c r="A708" i="5"/>
  <c r="A707" i="5"/>
  <c r="A706" i="5"/>
  <c r="A705" i="5"/>
  <c r="A704" i="5"/>
  <c r="A703" i="5"/>
  <c r="A702" i="5"/>
  <c r="A701" i="5"/>
  <c r="A700" i="5"/>
  <c r="A699" i="5"/>
  <c r="A698" i="5"/>
  <c r="A697" i="5"/>
  <c r="A696" i="5"/>
  <c r="A695" i="5"/>
  <c r="A694" i="5"/>
  <c r="A693" i="5"/>
  <c r="A692" i="5"/>
  <c r="A691" i="5"/>
  <c r="A690" i="5"/>
  <c r="A689" i="5"/>
  <c r="A688" i="5"/>
  <c r="A687" i="5"/>
  <c r="A686" i="5"/>
  <c r="A685" i="5"/>
  <c r="A684" i="5"/>
  <c r="A683" i="5"/>
  <c r="A682" i="5"/>
  <c r="A681" i="5"/>
  <c r="A680" i="5"/>
  <c r="A679" i="5"/>
  <c r="A678" i="5"/>
  <c r="A677" i="5"/>
  <c r="A676" i="5"/>
  <c r="A675" i="5"/>
  <c r="A674" i="5"/>
  <c r="A673" i="5"/>
  <c r="A672" i="5"/>
  <c r="A671" i="5"/>
  <c r="A670" i="5"/>
  <c r="A669" i="5"/>
  <c r="A668" i="5"/>
  <c r="A667" i="5"/>
  <c r="A666" i="5"/>
  <c r="A665" i="5"/>
  <c r="A664" i="5"/>
  <c r="A663" i="5"/>
  <c r="A662" i="5"/>
  <c r="A661" i="5"/>
  <c r="A660" i="5"/>
  <c r="A659" i="5"/>
  <c r="A658" i="5"/>
  <c r="A657" i="5"/>
  <c r="A656" i="5"/>
  <c r="A655" i="5"/>
  <c r="A654" i="5"/>
  <c r="A653" i="5"/>
  <c r="A652" i="5"/>
  <c r="A651" i="5"/>
  <c r="A650" i="5"/>
  <c r="A649" i="5"/>
  <c r="A648" i="5"/>
  <c r="A647" i="5"/>
  <c r="A646" i="5"/>
  <c r="A645" i="5"/>
  <c r="A644" i="5"/>
  <c r="A643" i="5"/>
  <c r="A642" i="5"/>
  <c r="A641" i="5"/>
  <c r="A640" i="5"/>
  <c r="A639" i="5"/>
  <c r="A638" i="5"/>
  <c r="A637" i="5"/>
  <c r="A636" i="5"/>
  <c r="A635" i="5"/>
  <c r="A634" i="5"/>
  <c r="A633" i="5"/>
  <c r="A632" i="5"/>
  <c r="A631" i="5"/>
  <c r="A630" i="5"/>
  <c r="A629" i="5"/>
  <c r="A628" i="5"/>
  <c r="A627" i="5"/>
  <c r="A626" i="5"/>
  <c r="A625" i="5"/>
  <c r="A624" i="5"/>
  <c r="A623" i="5"/>
  <c r="A622" i="5"/>
  <c r="A621" i="5"/>
  <c r="A620" i="5"/>
  <c r="A619" i="5"/>
  <c r="A618" i="5"/>
  <c r="A617" i="5"/>
  <c r="A616" i="5"/>
  <c r="A615" i="5"/>
  <c r="A614" i="5"/>
  <c r="A613" i="5"/>
  <c r="A612" i="5"/>
  <c r="A611" i="5"/>
  <c r="A610" i="5"/>
  <c r="A609" i="5"/>
  <c r="A608" i="5"/>
  <c r="A607" i="5"/>
  <c r="A606" i="5"/>
  <c r="A605" i="5"/>
  <c r="A604" i="5"/>
  <c r="A603" i="5"/>
  <c r="A602" i="5"/>
  <c r="A601" i="5"/>
  <c r="A600" i="5"/>
  <c r="A599" i="5"/>
  <c r="A598" i="5"/>
  <c r="A597" i="5"/>
  <c r="A596" i="5"/>
  <c r="A595" i="5"/>
  <c r="A594" i="5"/>
  <c r="A593" i="5"/>
  <c r="A592" i="5"/>
  <c r="A591" i="5"/>
  <c r="A590" i="5"/>
  <c r="A589" i="5"/>
  <c r="A588" i="5"/>
  <c r="A587" i="5"/>
  <c r="A586" i="5"/>
  <c r="A585" i="5"/>
  <c r="A584" i="5"/>
  <c r="A583" i="5"/>
  <c r="A582" i="5"/>
  <c r="A581" i="5"/>
  <c r="A580" i="5"/>
  <c r="A579" i="5"/>
  <c r="A578" i="5"/>
  <c r="A577" i="5"/>
  <c r="A576" i="5"/>
  <c r="A575" i="5"/>
  <c r="A574" i="5"/>
  <c r="A573" i="5"/>
  <c r="A572" i="5"/>
  <c r="A571" i="5"/>
  <c r="A570" i="5"/>
  <c r="A569" i="5"/>
  <c r="A568" i="5"/>
  <c r="A567" i="5"/>
  <c r="A566" i="5"/>
  <c r="A565" i="5"/>
  <c r="A564" i="5"/>
  <c r="A563" i="5"/>
  <c r="A562" i="5"/>
  <c r="A561" i="5"/>
  <c r="A560" i="5"/>
  <c r="A559" i="5"/>
  <c r="A558" i="5"/>
  <c r="A557" i="5"/>
  <c r="A556" i="5"/>
  <c r="A555" i="5"/>
  <c r="A554" i="5"/>
  <c r="A553" i="5"/>
  <c r="A552" i="5"/>
  <c r="A551" i="5"/>
  <c r="A550" i="5"/>
  <c r="A549" i="5"/>
  <c r="A548" i="5"/>
  <c r="A547" i="5"/>
  <c r="A546" i="5"/>
  <c r="A545" i="5"/>
  <c r="A544" i="5"/>
  <c r="A543" i="5"/>
  <c r="A542" i="5"/>
  <c r="A541" i="5"/>
  <c r="A540" i="5"/>
  <c r="A539" i="5"/>
  <c r="A538" i="5"/>
  <c r="A537" i="5"/>
  <c r="A536" i="5"/>
  <c r="A535" i="5"/>
  <c r="A534" i="5"/>
  <c r="A533" i="5"/>
  <c r="A532" i="5"/>
  <c r="A531" i="5"/>
  <c r="A530" i="5"/>
  <c r="A529" i="5"/>
  <c r="A528" i="5"/>
  <c r="A527" i="5"/>
  <c r="A526" i="5"/>
  <c r="A525" i="5"/>
  <c r="A524" i="5"/>
  <c r="A523" i="5"/>
  <c r="A522" i="5"/>
  <c r="A521" i="5"/>
  <c r="A520" i="5"/>
  <c r="A519" i="5"/>
  <c r="A518" i="5"/>
  <c r="A517" i="5"/>
  <c r="A516" i="5"/>
  <c r="A515" i="5"/>
  <c r="A514" i="5"/>
  <c r="A513" i="5"/>
  <c r="A512" i="5"/>
  <c r="A511" i="5"/>
  <c r="A510" i="5"/>
  <c r="A509" i="5"/>
  <c r="A508" i="5"/>
  <c r="A507" i="5"/>
  <c r="A506" i="5"/>
  <c r="A505" i="5"/>
  <c r="A504" i="5"/>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B1" i="5"/>
  <c r="C7" i="2"/>
  <c r="E4" i="2"/>
  <c r="E3" i="2"/>
  <c r="E2" i="2"/>
  <c r="I11" i="1"/>
  <c r="J11" i="1" s="1"/>
  <c r="I10" i="1"/>
  <c r="J10" i="1" s="1"/>
  <c r="E8" i="1"/>
  <c r="I7" i="1"/>
  <c r="J7" i="1" s="1"/>
  <c r="E7" i="1"/>
  <c r="B7" i="1"/>
  <c r="I6" i="1"/>
  <c r="J6" i="1" s="1"/>
  <c r="E6" i="1"/>
  <c r="B6" i="1"/>
  <c r="I5" i="1"/>
  <c r="J5" i="1" s="1"/>
  <c r="E5" i="1"/>
  <c r="B5" i="1"/>
  <c r="E4" i="1"/>
  <c r="B4" i="1"/>
  <c r="B1" i="7"/>
  <c r="F203" i="8" l="1"/>
  <c r="E203" i="8"/>
  <c r="D203" i="8"/>
  <c r="G203" i="8" s="1"/>
  <c r="F202" i="8"/>
  <c r="E202" i="8"/>
  <c r="D202" i="8"/>
  <c r="G202" i="8" s="1"/>
  <c r="F201" i="8"/>
  <c r="E201" i="8"/>
  <c r="D201" i="8"/>
  <c r="G201" i="8" s="1"/>
  <c r="F200" i="8"/>
  <c r="E200" i="8"/>
  <c r="D200" i="8"/>
  <c r="G200" i="8" s="1"/>
  <c r="F199" i="8"/>
  <c r="E199" i="8"/>
  <c r="D199" i="8"/>
  <c r="G199" i="8" s="1"/>
  <c r="F198" i="8"/>
  <c r="E198" i="8"/>
  <c r="D198" i="8"/>
  <c r="G198" i="8" s="1"/>
  <c r="F197" i="8"/>
  <c r="E197" i="8"/>
  <c r="D197" i="8"/>
  <c r="G197" i="8" s="1"/>
  <c r="F196" i="8"/>
  <c r="E196" i="8"/>
  <c r="D196" i="8"/>
  <c r="G196" i="8" s="1"/>
  <c r="F195" i="8"/>
  <c r="E195" i="8"/>
  <c r="D195" i="8"/>
  <c r="G195" i="8" s="1"/>
  <c r="F194" i="8"/>
  <c r="E194" i="8"/>
  <c r="D194" i="8"/>
  <c r="G194" i="8" s="1"/>
  <c r="F193" i="8"/>
  <c r="E193" i="8"/>
  <c r="D193" i="8"/>
  <c r="G193" i="8" s="1"/>
  <c r="F192" i="8"/>
  <c r="E192" i="8"/>
  <c r="D192" i="8"/>
  <c r="G192" i="8" s="1"/>
  <c r="F191" i="8"/>
  <c r="E191" i="8"/>
  <c r="D191" i="8"/>
  <c r="G191" i="8" s="1"/>
  <c r="F190" i="8"/>
  <c r="E190" i="8"/>
  <c r="D190" i="8"/>
  <c r="G190" i="8" s="1"/>
  <c r="F189" i="8"/>
  <c r="E189" i="8"/>
  <c r="D189" i="8"/>
  <c r="G189" i="8" s="1"/>
  <c r="F188" i="8"/>
  <c r="E188" i="8"/>
  <c r="D188" i="8"/>
  <c r="G188" i="8" s="1"/>
  <c r="F187" i="8"/>
  <c r="E187" i="8"/>
  <c r="D187" i="8"/>
  <c r="G187" i="8" s="1"/>
  <c r="F186" i="8"/>
  <c r="E186" i="8"/>
  <c r="D186" i="8"/>
  <c r="G186" i="8" s="1"/>
  <c r="F185" i="8"/>
  <c r="E185" i="8"/>
  <c r="D185" i="8"/>
  <c r="G185" i="8" s="1"/>
  <c r="F184" i="8"/>
  <c r="E184" i="8"/>
  <c r="D184" i="8"/>
  <c r="G184" i="8" s="1"/>
  <c r="F183" i="8"/>
  <c r="E183" i="8"/>
  <c r="D183" i="8"/>
  <c r="G183" i="8" s="1"/>
  <c r="F182" i="8"/>
  <c r="E182" i="8"/>
  <c r="D182" i="8"/>
  <c r="G182" i="8" s="1"/>
  <c r="F181" i="8"/>
  <c r="E181" i="8"/>
  <c r="D181" i="8"/>
  <c r="G181" i="8" s="1"/>
  <c r="F180" i="8"/>
  <c r="E180" i="8"/>
  <c r="D180" i="8"/>
  <c r="G180" i="8" s="1"/>
  <c r="F179" i="8"/>
  <c r="E179" i="8"/>
  <c r="D179" i="8"/>
  <c r="G179" i="8" s="1"/>
  <c r="F178" i="8"/>
  <c r="E178" i="8"/>
  <c r="D178" i="8"/>
  <c r="G178" i="8" s="1"/>
  <c r="F177" i="8"/>
  <c r="E177" i="8"/>
  <c r="D177" i="8"/>
  <c r="G177" i="8" s="1"/>
  <c r="F176" i="8"/>
  <c r="E176" i="8"/>
  <c r="D176" i="8"/>
  <c r="G176" i="8" s="1"/>
  <c r="F175" i="8"/>
  <c r="E175" i="8"/>
  <c r="D175" i="8"/>
  <c r="G175" i="8" s="1"/>
  <c r="F174" i="8"/>
  <c r="E174" i="8"/>
  <c r="D174" i="8"/>
  <c r="G174" i="8" s="1"/>
  <c r="F173" i="8"/>
  <c r="E173" i="8"/>
  <c r="D173" i="8"/>
  <c r="G173" i="8" s="1"/>
  <c r="F172" i="8"/>
  <c r="E172" i="8"/>
  <c r="D172" i="8"/>
  <c r="G172" i="8" s="1"/>
  <c r="F171" i="8"/>
  <c r="E171" i="8"/>
  <c r="D171" i="8"/>
  <c r="G171" i="8" s="1"/>
  <c r="F170" i="8"/>
  <c r="E170" i="8"/>
  <c r="D170" i="8"/>
  <c r="G170" i="8" s="1"/>
  <c r="F169" i="8"/>
  <c r="E169" i="8"/>
  <c r="D169" i="8"/>
  <c r="G169" i="8" s="1"/>
  <c r="F168" i="8"/>
  <c r="E168" i="8"/>
  <c r="D168" i="8"/>
  <c r="G168" i="8" s="1"/>
  <c r="F167" i="8"/>
  <c r="E167" i="8"/>
  <c r="D167" i="8"/>
  <c r="G167" i="8" s="1"/>
  <c r="F166" i="8"/>
  <c r="E166" i="8"/>
  <c r="D166" i="8"/>
  <c r="G166" i="8" s="1"/>
  <c r="F165" i="8"/>
  <c r="E165" i="8"/>
  <c r="D165" i="8"/>
  <c r="G165" i="8" s="1"/>
  <c r="F164" i="8"/>
  <c r="E164" i="8"/>
  <c r="D164" i="8"/>
  <c r="G164" i="8" s="1"/>
  <c r="F163" i="8"/>
  <c r="E163" i="8"/>
  <c r="D163" i="8"/>
  <c r="G163" i="8" s="1"/>
  <c r="F162" i="8"/>
  <c r="E162" i="8"/>
  <c r="D162" i="8"/>
  <c r="G162" i="8" s="1"/>
  <c r="F161" i="8"/>
  <c r="E161" i="8"/>
  <c r="D161" i="8"/>
  <c r="G161" i="8" s="1"/>
  <c r="F160" i="8"/>
  <c r="E160" i="8"/>
  <c r="D160" i="8"/>
  <c r="G160" i="8" s="1"/>
  <c r="F159" i="8"/>
  <c r="E159" i="8"/>
  <c r="D159" i="8"/>
  <c r="G159" i="8" s="1"/>
  <c r="F158" i="8"/>
  <c r="E158" i="8"/>
  <c r="D158" i="8"/>
  <c r="G158" i="8" s="1"/>
  <c r="F157" i="8"/>
  <c r="E157" i="8"/>
  <c r="D157" i="8"/>
  <c r="G157" i="8" s="1"/>
  <c r="F156" i="8"/>
  <c r="E156" i="8"/>
  <c r="D156" i="8"/>
  <c r="G156" i="8" s="1"/>
  <c r="F155" i="8"/>
  <c r="E155" i="8"/>
  <c r="D155" i="8"/>
  <c r="G155" i="8" s="1"/>
  <c r="F154" i="8"/>
  <c r="E154" i="8"/>
  <c r="D154" i="8"/>
  <c r="G154" i="8" s="1"/>
  <c r="F153" i="8"/>
  <c r="E153" i="8"/>
  <c r="D153" i="8"/>
  <c r="G153" i="8" s="1"/>
  <c r="F152" i="8"/>
  <c r="E152" i="8"/>
  <c r="D152" i="8"/>
  <c r="G152" i="8" s="1"/>
  <c r="F151" i="8"/>
  <c r="E151" i="8"/>
  <c r="D151" i="8"/>
  <c r="G151" i="8" s="1"/>
  <c r="F150" i="8"/>
  <c r="E150" i="8"/>
  <c r="D150" i="8"/>
  <c r="G150" i="8" s="1"/>
  <c r="F149" i="8"/>
  <c r="E149" i="8"/>
  <c r="D149" i="8"/>
  <c r="G149" i="8" s="1"/>
  <c r="F148" i="8"/>
  <c r="E148" i="8"/>
  <c r="D148" i="8"/>
  <c r="G148" i="8" s="1"/>
  <c r="F147" i="8"/>
  <c r="E147" i="8"/>
  <c r="D147" i="8"/>
  <c r="G147" i="8" s="1"/>
  <c r="F146" i="8"/>
  <c r="E146" i="8"/>
  <c r="D146" i="8"/>
  <c r="G146" i="8" s="1"/>
  <c r="F145" i="8"/>
  <c r="E145" i="8"/>
  <c r="D145" i="8"/>
  <c r="G145" i="8" s="1"/>
  <c r="F144" i="8"/>
  <c r="E144" i="8"/>
  <c r="D144" i="8"/>
  <c r="G144" i="8" s="1"/>
  <c r="F143" i="8"/>
  <c r="E143" i="8"/>
  <c r="D143" i="8"/>
  <c r="G143" i="8" s="1"/>
  <c r="F142" i="8"/>
  <c r="E142" i="8"/>
  <c r="D142" i="8"/>
  <c r="G142" i="8" s="1"/>
  <c r="F141" i="8"/>
  <c r="E141" i="8"/>
  <c r="D141" i="8"/>
  <c r="G141" i="8" s="1"/>
  <c r="F140" i="8"/>
  <c r="E140" i="8"/>
  <c r="D140" i="8"/>
  <c r="G140" i="8" s="1"/>
  <c r="F139" i="8"/>
  <c r="E139" i="8"/>
  <c r="D139" i="8"/>
  <c r="G139" i="8" s="1"/>
  <c r="F138" i="8"/>
  <c r="E138" i="8"/>
  <c r="D138" i="8"/>
  <c r="G138" i="8" s="1"/>
  <c r="F137" i="8"/>
  <c r="E137" i="8"/>
  <c r="D137" i="8"/>
  <c r="G137" i="8" s="1"/>
  <c r="F136" i="8"/>
  <c r="E136" i="8"/>
  <c r="D136" i="8"/>
  <c r="G136" i="8" s="1"/>
  <c r="F135" i="8"/>
  <c r="E135" i="8"/>
  <c r="D135" i="8"/>
  <c r="G135" i="8" s="1"/>
  <c r="F134" i="8"/>
  <c r="E134" i="8"/>
  <c r="D134" i="8"/>
  <c r="G134" i="8" s="1"/>
  <c r="F133" i="8"/>
  <c r="E133" i="8"/>
  <c r="D133" i="8"/>
  <c r="G133" i="8" s="1"/>
  <c r="F132" i="8"/>
  <c r="E132" i="8"/>
  <c r="D132" i="8"/>
  <c r="G132" i="8" s="1"/>
  <c r="F131" i="8"/>
  <c r="E131" i="8"/>
  <c r="D131" i="8"/>
  <c r="G131" i="8" s="1"/>
  <c r="F130" i="8"/>
  <c r="E130" i="8"/>
  <c r="D130" i="8"/>
  <c r="G130" i="8" s="1"/>
  <c r="F129" i="8"/>
  <c r="E129" i="8"/>
  <c r="D129" i="8"/>
  <c r="G129" i="8" s="1"/>
  <c r="F128" i="8"/>
  <c r="E128" i="8"/>
  <c r="D128" i="8"/>
  <c r="G128" i="8" s="1"/>
  <c r="F127" i="8"/>
  <c r="E127" i="8"/>
  <c r="D127" i="8"/>
  <c r="G127" i="8" s="1"/>
  <c r="F126" i="8"/>
  <c r="E126" i="8"/>
  <c r="D126" i="8"/>
  <c r="G126" i="8" s="1"/>
  <c r="F125" i="8"/>
  <c r="E125" i="8"/>
  <c r="D125" i="8"/>
  <c r="G125" i="8" s="1"/>
  <c r="F124" i="8"/>
  <c r="E124" i="8"/>
  <c r="D124" i="8"/>
  <c r="G124" i="8" s="1"/>
  <c r="F123" i="8"/>
  <c r="E123" i="8"/>
  <c r="D123" i="8"/>
  <c r="G123" i="8" s="1"/>
  <c r="F122" i="8"/>
  <c r="E122" i="8"/>
  <c r="D122" i="8"/>
  <c r="G122" i="8" s="1"/>
  <c r="F121" i="8"/>
  <c r="E121" i="8"/>
  <c r="D121" i="8"/>
  <c r="G121" i="8" s="1"/>
  <c r="F120" i="8"/>
  <c r="E120" i="8"/>
  <c r="D120" i="8"/>
  <c r="G120" i="8" s="1"/>
  <c r="F119" i="8"/>
  <c r="E119" i="8"/>
  <c r="D119" i="8"/>
  <c r="G119" i="8" s="1"/>
  <c r="F118" i="8"/>
  <c r="E118" i="8"/>
  <c r="D118" i="8"/>
  <c r="G118" i="8" s="1"/>
  <c r="F117" i="8"/>
  <c r="E117" i="8"/>
  <c r="D117" i="8"/>
  <c r="G117" i="8" s="1"/>
  <c r="F116" i="8"/>
  <c r="E116" i="8"/>
  <c r="D116" i="8"/>
  <c r="G116" i="8" s="1"/>
  <c r="F115" i="8"/>
  <c r="E115" i="8"/>
  <c r="D115" i="8"/>
  <c r="G115" i="8" s="1"/>
  <c r="F114" i="8"/>
  <c r="E114" i="8"/>
  <c r="D114" i="8"/>
  <c r="G114" i="8" s="1"/>
  <c r="F113" i="8"/>
  <c r="E113" i="8"/>
  <c r="D113" i="8"/>
  <c r="G113" i="8" s="1"/>
  <c r="F112" i="8"/>
  <c r="E112" i="8"/>
  <c r="D112" i="8"/>
  <c r="G112" i="8" s="1"/>
  <c r="F111" i="8"/>
  <c r="E111" i="8"/>
  <c r="D111" i="8"/>
  <c r="G111" i="8" s="1"/>
  <c r="F110" i="8"/>
  <c r="E110" i="8"/>
  <c r="D110" i="8"/>
  <c r="G110" i="8" s="1"/>
  <c r="F109" i="8"/>
  <c r="E109" i="8"/>
  <c r="D109" i="8"/>
  <c r="G109" i="8" s="1"/>
  <c r="F108" i="8"/>
  <c r="E108" i="8"/>
  <c r="D108" i="8"/>
  <c r="G108" i="8" s="1"/>
  <c r="F107" i="8"/>
  <c r="E107" i="8"/>
  <c r="D107" i="8"/>
  <c r="G107" i="8" s="1"/>
  <c r="F106" i="8"/>
  <c r="E106" i="8"/>
  <c r="D106" i="8"/>
  <c r="G106" i="8" s="1"/>
  <c r="F105" i="8"/>
  <c r="E105" i="8"/>
  <c r="D105" i="8"/>
  <c r="G105" i="8" s="1"/>
  <c r="F104" i="8"/>
  <c r="E104" i="8"/>
  <c r="D104" i="8"/>
  <c r="G104" i="8" s="1"/>
  <c r="F103" i="8"/>
  <c r="E103" i="8"/>
  <c r="D103" i="8"/>
  <c r="G103" i="8" s="1"/>
  <c r="F102" i="8"/>
  <c r="E102" i="8"/>
  <c r="D102" i="8"/>
  <c r="G102" i="8" s="1"/>
  <c r="F101" i="8"/>
  <c r="E101" i="8"/>
  <c r="D101" i="8"/>
  <c r="G101" i="8" s="1"/>
  <c r="F100" i="8"/>
  <c r="E100" i="8"/>
  <c r="D100" i="8"/>
  <c r="G100" i="8" s="1"/>
  <c r="F99" i="8"/>
  <c r="E99" i="8"/>
  <c r="D99" i="8"/>
  <c r="G99" i="8" s="1"/>
  <c r="F98" i="8"/>
  <c r="E98" i="8"/>
  <c r="D98" i="8"/>
  <c r="G98" i="8" s="1"/>
  <c r="F97" i="8"/>
  <c r="E97" i="8"/>
  <c r="D97" i="8"/>
  <c r="G97" i="8" s="1"/>
  <c r="F96" i="8"/>
  <c r="E96" i="8"/>
  <c r="D96" i="8"/>
  <c r="G96" i="8" s="1"/>
  <c r="F95" i="8"/>
  <c r="E95" i="8"/>
  <c r="D95" i="8"/>
  <c r="G95" i="8" s="1"/>
  <c r="F94" i="8"/>
  <c r="E94" i="8"/>
  <c r="D94" i="8"/>
  <c r="G94" i="8" s="1"/>
  <c r="F93" i="8"/>
  <c r="E93" i="8"/>
  <c r="D93" i="8"/>
  <c r="G93" i="8" s="1"/>
  <c r="F92" i="8"/>
  <c r="E92" i="8"/>
  <c r="D92" i="8"/>
  <c r="G92" i="8" s="1"/>
  <c r="F91" i="8"/>
  <c r="E91" i="8"/>
  <c r="D91" i="8"/>
  <c r="G91" i="8" s="1"/>
  <c r="F90" i="8"/>
  <c r="E90" i="8"/>
  <c r="D90" i="8"/>
  <c r="G90" i="8" s="1"/>
  <c r="F89" i="8"/>
  <c r="E89" i="8"/>
  <c r="D89" i="8"/>
  <c r="G89" i="8" s="1"/>
  <c r="F88" i="8"/>
  <c r="E88" i="8"/>
  <c r="D88" i="8"/>
  <c r="G88" i="8" s="1"/>
  <c r="F87" i="8"/>
  <c r="E87" i="8"/>
  <c r="D87" i="8"/>
  <c r="G87" i="8" s="1"/>
  <c r="F86" i="8"/>
  <c r="E86" i="8"/>
  <c r="D86" i="8"/>
  <c r="G86" i="8" s="1"/>
  <c r="F85" i="8"/>
  <c r="E85" i="8"/>
  <c r="D85" i="8"/>
  <c r="G85" i="8" s="1"/>
  <c r="F84" i="8"/>
  <c r="E84" i="8"/>
  <c r="D84" i="8"/>
  <c r="G84" i="8" s="1"/>
  <c r="F83" i="8"/>
  <c r="E83" i="8"/>
  <c r="D83" i="8"/>
  <c r="G83" i="8" s="1"/>
  <c r="F82" i="8"/>
  <c r="E82" i="8"/>
  <c r="D82" i="8"/>
  <c r="G82" i="8" s="1"/>
  <c r="F81" i="8"/>
  <c r="E81" i="8"/>
  <c r="D81" i="8"/>
  <c r="G81" i="8" s="1"/>
  <c r="F80" i="8"/>
  <c r="E80" i="8"/>
  <c r="D80" i="8"/>
  <c r="G80" i="8" s="1"/>
  <c r="F79" i="8"/>
  <c r="E79" i="8"/>
  <c r="D79" i="8"/>
  <c r="G79" i="8" s="1"/>
  <c r="F78" i="8"/>
  <c r="E78" i="8"/>
  <c r="D78" i="8"/>
  <c r="G78" i="8" s="1"/>
  <c r="F77" i="8"/>
  <c r="E77" i="8"/>
  <c r="D77" i="8"/>
  <c r="G77" i="8" s="1"/>
  <c r="F76" i="8"/>
  <c r="E76" i="8"/>
  <c r="D76" i="8"/>
  <c r="G76" i="8" s="1"/>
  <c r="F75" i="8"/>
  <c r="E75" i="8"/>
  <c r="D75" i="8"/>
  <c r="G75" i="8" s="1"/>
  <c r="F74" i="8"/>
  <c r="E74" i="8"/>
  <c r="D74" i="8"/>
  <c r="G74" i="8" s="1"/>
  <c r="F73" i="8"/>
  <c r="E73" i="8"/>
  <c r="D73" i="8"/>
  <c r="G73" i="8" s="1"/>
  <c r="F72" i="8"/>
  <c r="E72" i="8"/>
  <c r="D72" i="8"/>
  <c r="G72" i="8" s="1"/>
  <c r="F71" i="8"/>
  <c r="E71" i="8"/>
  <c r="D71" i="8"/>
  <c r="G71" i="8" s="1"/>
  <c r="F70" i="8"/>
  <c r="E70" i="8"/>
  <c r="D70" i="8"/>
  <c r="G70" i="8" s="1"/>
  <c r="F69" i="8"/>
  <c r="E69" i="8"/>
  <c r="D69" i="8"/>
  <c r="G69" i="8" s="1"/>
  <c r="F68" i="8"/>
  <c r="E68" i="8"/>
  <c r="D68" i="8"/>
  <c r="G68" i="8" s="1"/>
  <c r="F67" i="8"/>
  <c r="E67" i="8"/>
  <c r="D67" i="8"/>
  <c r="G67" i="8" s="1"/>
  <c r="F66" i="8"/>
  <c r="E66" i="8"/>
  <c r="D66" i="8"/>
  <c r="G66" i="8" s="1"/>
  <c r="F65" i="8"/>
  <c r="E65" i="8"/>
  <c r="D65" i="8"/>
  <c r="G65" i="8" s="1"/>
  <c r="F64" i="8"/>
  <c r="E64" i="8"/>
  <c r="D64" i="8"/>
  <c r="G64" i="8" s="1"/>
  <c r="F63" i="8"/>
  <c r="E63" i="8"/>
  <c r="D63" i="8"/>
  <c r="G63" i="8" s="1"/>
  <c r="F62" i="8"/>
  <c r="E62" i="8"/>
  <c r="D62" i="8"/>
  <c r="G62" i="8" s="1"/>
  <c r="F61" i="8"/>
  <c r="E61" i="8"/>
  <c r="D61" i="8"/>
  <c r="G61" i="8" s="1"/>
  <c r="F60" i="8"/>
  <c r="E60" i="8"/>
  <c r="D60" i="8"/>
  <c r="G60" i="8" s="1"/>
  <c r="F59" i="8"/>
  <c r="E59" i="8"/>
  <c r="D59" i="8"/>
  <c r="G59" i="8" s="1"/>
  <c r="F58" i="8"/>
  <c r="E58" i="8"/>
  <c r="D58" i="8"/>
  <c r="G58" i="8" s="1"/>
  <c r="F57" i="8"/>
  <c r="E57" i="8"/>
  <c r="D57" i="8"/>
  <c r="G57" i="8" s="1"/>
  <c r="F56" i="8"/>
  <c r="E56" i="8"/>
  <c r="D56" i="8"/>
  <c r="G56" i="8" s="1"/>
  <c r="F55" i="8"/>
  <c r="E55" i="8"/>
  <c r="D55" i="8"/>
  <c r="G55" i="8" s="1"/>
  <c r="F54" i="8"/>
  <c r="E54" i="8"/>
  <c r="D54" i="8"/>
  <c r="G54" i="8" s="1"/>
  <c r="F53" i="8"/>
  <c r="E53" i="8"/>
  <c r="D53" i="8"/>
  <c r="G53" i="8" s="1"/>
  <c r="F52" i="8"/>
  <c r="E52" i="8"/>
  <c r="D52" i="8"/>
  <c r="G52" i="8" s="1"/>
  <c r="F51" i="8"/>
  <c r="E51" i="8"/>
  <c r="D51" i="8"/>
  <c r="G51" i="8" s="1"/>
  <c r="F50" i="8"/>
  <c r="E50" i="8"/>
  <c r="D50" i="8"/>
  <c r="G50" i="8" s="1"/>
  <c r="F49" i="8"/>
  <c r="E49" i="8"/>
  <c r="D49" i="8"/>
  <c r="G49" i="8" s="1"/>
  <c r="F48" i="8"/>
  <c r="E48" i="8"/>
  <c r="D48" i="8"/>
  <c r="G48" i="8" s="1"/>
  <c r="F47" i="8"/>
  <c r="E47" i="8"/>
  <c r="D47" i="8"/>
  <c r="G47" i="8" s="1"/>
  <c r="F46" i="8"/>
  <c r="E46" i="8"/>
  <c r="D46" i="8"/>
  <c r="G46" i="8" s="1"/>
  <c r="F45" i="8"/>
  <c r="E45" i="8"/>
  <c r="D45" i="8"/>
  <c r="G45" i="8" s="1"/>
  <c r="F44" i="8"/>
  <c r="E44" i="8"/>
  <c r="D44" i="8"/>
  <c r="G44" i="8" s="1"/>
  <c r="F43" i="8"/>
  <c r="E43" i="8"/>
  <c r="D43" i="8"/>
  <c r="G43" i="8" s="1"/>
  <c r="F42" i="8"/>
  <c r="E42" i="8"/>
  <c r="D42" i="8"/>
  <c r="G42" i="8" s="1"/>
  <c r="F41" i="8"/>
  <c r="E41" i="8"/>
  <c r="D41" i="8"/>
  <c r="G41" i="8" s="1"/>
  <c r="F40" i="8"/>
  <c r="E40" i="8"/>
  <c r="D40" i="8"/>
  <c r="G40" i="8" s="1"/>
  <c r="F39" i="8"/>
  <c r="E39" i="8"/>
  <c r="D39" i="8"/>
  <c r="G39" i="8" s="1"/>
  <c r="F38" i="8"/>
  <c r="E38" i="8"/>
  <c r="D38" i="8"/>
  <c r="G38" i="8" s="1"/>
  <c r="F37" i="8"/>
  <c r="E37" i="8"/>
  <c r="D37" i="8"/>
  <c r="G37" i="8" s="1"/>
  <c r="F36" i="8"/>
  <c r="E36" i="8"/>
  <c r="D36" i="8"/>
  <c r="G36" i="8" s="1"/>
  <c r="F35" i="8"/>
  <c r="E35" i="8"/>
  <c r="D35" i="8"/>
  <c r="G35" i="8" s="1"/>
  <c r="F34" i="8"/>
  <c r="E34" i="8"/>
  <c r="D34" i="8"/>
  <c r="G34" i="8" s="1"/>
  <c r="F33" i="8"/>
  <c r="E33" i="8"/>
  <c r="D33" i="8"/>
  <c r="G33" i="8" s="1"/>
  <c r="F32" i="8"/>
  <c r="E32" i="8"/>
  <c r="D32" i="8"/>
  <c r="G32" i="8" s="1"/>
  <c r="F31" i="8"/>
  <c r="E31" i="8"/>
  <c r="D31" i="8"/>
  <c r="G31" i="8" s="1"/>
  <c r="F30" i="8"/>
  <c r="E30" i="8"/>
  <c r="D30" i="8"/>
  <c r="G30" i="8" s="1"/>
  <c r="F29" i="8"/>
  <c r="E29" i="8"/>
  <c r="D29" i="8"/>
  <c r="G29" i="8" s="1"/>
  <c r="F28" i="8"/>
  <c r="E28" i="8"/>
  <c r="D28" i="8"/>
  <c r="G28" i="8" s="1"/>
  <c r="F27" i="8"/>
  <c r="E27" i="8"/>
  <c r="D27" i="8"/>
  <c r="G27" i="8" s="1"/>
  <c r="F26" i="8"/>
  <c r="E26" i="8"/>
  <c r="D26" i="8"/>
  <c r="G26" i="8" s="1"/>
  <c r="F25" i="8"/>
  <c r="E25" i="8"/>
  <c r="D25" i="8"/>
  <c r="G25" i="8" s="1"/>
  <c r="F24" i="8"/>
  <c r="E24" i="8"/>
  <c r="D24" i="8"/>
  <c r="G24" i="8" s="1"/>
  <c r="F23" i="8"/>
  <c r="E23" i="8"/>
  <c r="D23" i="8"/>
  <c r="G23" i="8" s="1"/>
  <c r="F22" i="8"/>
  <c r="E22" i="8"/>
  <c r="D22" i="8"/>
  <c r="G22" i="8" s="1"/>
  <c r="F21" i="8"/>
  <c r="E21" i="8"/>
  <c r="D21" i="8"/>
  <c r="G21" i="8" s="1"/>
  <c r="F20" i="8"/>
  <c r="E20" i="8"/>
  <c r="D20" i="8"/>
  <c r="G20" i="8" s="1"/>
  <c r="F19" i="8"/>
  <c r="E19" i="8"/>
  <c r="D19" i="8"/>
  <c r="G19" i="8" s="1"/>
  <c r="F18" i="8"/>
  <c r="E18" i="8"/>
  <c r="D18" i="8"/>
  <c r="G18" i="8" s="1"/>
  <c r="F17" i="8"/>
  <c r="E17" i="8"/>
  <c r="D17" i="8"/>
  <c r="G17" i="8" s="1"/>
  <c r="F16" i="8"/>
  <c r="E16" i="8"/>
  <c r="D16" i="8"/>
  <c r="G16" i="8" s="1"/>
  <c r="F15" i="8"/>
  <c r="E15" i="8"/>
  <c r="D15" i="8"/>
  <c r="G15" i="8" s="1"/>
  <c r="F14" i="8"/>
  <c r="E14" i="8"/>
  <c r="D14" i="8"/>
  <c r="G14" i="8" s="1"/>
  <c r="F13" i="8"/>
  <c r="E13" i="8"/>
  <c r="D13" i="8"/>
  <c r="G13" i="8" s="1"/>
  <c r="F12" i="8"/>
  <c r="E12" i="8"/>
  <c r="D12" i="8"/>
  <c r="G12" i="8" s="1"/>
  <c r="F11" i="8"/>
  <c r="E11" i="8"/>
  <c r="D11" i="8"/>
  <c r="G11" i="8" s="1"/>
  <c r="F10" i="8"/>
  <c r="E10" i="8"/>
  <c r="D10" i="8"/>
  <c r="G10" i="8" s="1"/>
  <c r="F9" i="8"/>
  <c r="E9" i="8"/>
  <c r="D9" i="8"/>
  <c r="G9" i="8" s="1"/>
  <c r="F8" i="8"/>
  <c r="E8" i="8"/>
  <c r="D8" i="8"/>
  <c r="G8" i="8" s="1"/>
  <c r="F7" i="8"/>
  <c r="E7" i="8"/>
  <c r="D7" i="8"/>
  <c r="G7" i="8" s="1"/>
  <c r="F6" i="8"/>
  <c r="E6" i="8"/>
  <c r="D6" i="8"/>
  <c r="G6" i="8" s="1"/>
  <c r="F5" i="8"/>
  <c r="E5" i="8"/>
  <c r="D5" i="8"/>
  <c r="G5" i="8" s="1"/>
  <c r="F4" i="8"/>
  <c r="F1" i="8" s="1"/>
  <c r="E4" i="8"/>
  <c r="D4" i="8"/>
  <c r="G4" i="8" s="1"/>
  <c r="H947" i="5"/>
  <c r="F947" i="5"/>
  <c r="G947" i="5" s="1"/>
  <c r="D947" i="5"/>
  <c r="B947" i="5"/>
  <c r="C947" i="5"/>
  <c r="E947" i="5"/>
  <c r="H946" i="5"/>
  <c r="F946" i="5"/>
  <c r="G946" i="5" s="1"/>
  <c r="D946" i="5"/>
  <c r="C946" i="5"/>
  <c r="B946" i="5"/>
  <c r="E946" i="5"/>
  <c r="E945" i="5"/>
  <c r="B945" i="5"/>
  <c r="D945" i="5"/>
  <c r="F945" i="5"/>
  <c r="G945" i="5" s="1"/>
  <c r="H945" i="5"/>
  <c r="C945" i="5"/>
  <c r="F944" i="5"/>
  <c r="G944" i="5" s="1"/>
  <c r="D944" i="5"/>
  <c r="B944" i="5"/>
  <c r="H944" i="5"/>
  <c r="E944" i="5"/>
  <c r="C944" i="5"/>
  <c r="H943" i="5"/>
  <c r="C943" i="5"/>
  <c r="D943" i="5"/>
  <c r="B943" i="5"/>
  <c r="F943" i="5"/>
  <c r="G943" i="5" s="1"/>
  <c r="E943" i="5"/>
  <c r="D942" i="5"/>
  <c r="C942" i="5"/>
  <c r="B942" i="5"/>
  <c r="F942" i="5"/>
  <c r="G942" i="5" s="1"/>
  <c r="H942" i="5"/>
  <c r="E942" i="5"/>
  <c r="H941" i="5"/>
  <c r="E941" i="5"/>
  <c r="C941" i="5"/>
  <c r="F941" i="5"/>
  <c r="G941" i="5" s="1"/>
  <c r="D941" i="5"/>
  <c r="B941" i="5"/>
  <c r="E940" i="5"/>
  <c r="B940" i="5"/>
  <c r="D940" i="5"/>
  <c r="F940" i="5"/>
  <c r="G940" i="5" s="1"/>
  <c r="H940" i="5"/>
  <c r="C940" i="5"/>
  <c r="F939" i="5"/>
  <c r="G939" i="5" s="1"/>
  <c r="H939" i="5"/>
  <c r="D939" i="5"/>
  <c r="B939" i="5"/>
  <c r="E939" i="5"/>
  <c r="C939" i="5"/>
  <c r="D938" i="5"/>
  <c r="F938" i="5"/>
  <c r="G938" i="5" s="1"/>
  <c r="B938" i="5"/>
  <c r="C938" i="5"/>
  <c r="E938" i="5"/>
  <c r="H938" i="5"/>
  <c r="B937" i="5"/>
  <c r="C937" i="5"/>
  <c r="E937" i="5"/>
  <c r="H937" i="5"/>
  <c r="D937" i="5"/>
  <c r="F937" i="5"/>
  <c r="G937" i="5" s="1"/>
  <c r="C936" i="5"/>
  <c r="E936" i="5"/>
  <c r="B936" i="5"/>
  <c r="F936" i="5"/>
  <c r="G936" i="5" s="1"/>
  <c r="D936" i="5"/>
  <c r="H936" i="5"/>
  <c r="C935" i="5"/>
  <c r="E935" i="5"/>
  <c r="B935" i="5"/>
  <c r="D935" i="5"/>
  <c r="F935" i="5"/>
  <c r="G935" i="5" s="1"/>
  <c r="H935" i="5"/>
  <c r="H934" i="5"/>
  <c r="B934" i="5"/>
  <c r="E934" i="5"/>
  <c r="F934" i="5"/>
  <c r="G934" i="5" s="1"/>
  <c r="C934" i="5"/>
  <c r="D934" i="5"/>
  <c r="E933" i="5"/>
  <c r="D933" i="5"/>
  <c r="C933" i="5"/>
  <c r="F933" i="5"/>
  <c r="G933" i="5" s="1"/>
  <c r="B933" i="5"/>
  <c r="H933" i="5"/>
  <c r="C932" i="5"/>
  <c r="E932" i="5"/>
  <c r="B932" i="5"/>
  <c r="H932" i="5"/>
  <c r="F932" i="5"/>
  <c r="G932" i="5" s="1"/>
  <c r="D932" i="5"/>
  <c r="D931" i="5"/>
  <c r="F931" i="5"/>
  <c r="G931" i="5" s="1"/>
  <c r="H931" i="5"/>
  <c r="C931" i="5"/>
  <c r="E931" i="5"/>
  <c r="B931" i="5"/>
  <c r="C930" i="5"/>
  <c r="H930" i="5"/>
  <c r="F930" i="5"/>
  <c r="G930" i="5" s="1"/>
  <c r="E930" i="5"/>
  <c r="D930" i="5"/>
  <c r="B930" i="5"/>
  <c r="D929" i="5"/>
  <c r="F929" i="5"/>
  <c r="G929" i="5" s="1"/>
  <c r="H929" i="5"/>
  <c r="E929" i="5"/>
  <c r="C929" i="5"/>
  <c r="B929" i="5"/>
  <c r="E928" i="5"/>
  <c r="C928" i="5"/>
  <c r="H928" i="5"/>
  <c r="F928" i="5"/>
  <c r="G928" i="5" s="1"/>
  <c r="D928" i="5"/>
  <c r="B928" i="5"/>
  <c r="F927" i="5"/>
  <c r="D927" i="5"/>
  <c r="B927" i="5"/>
  <c r="H927" i="5"/>
  <c r="G927" i="5"/>
  <c r="E927" i="5"/>
  <c r="C927" i="5"/>
  <c r="F926" i="5"/>
  <c r="G926" i="5" s="1"/>
  <c r="H926" i="5"/>
  <c r="E926" i="5"/>
  <c r="C926" i="5"/>
  <c r="B926" i="5"/>
  <c r="D926" i="5"/>
  <c r="F925" i="5"/>
  <c r="G925" i="5" s="1"/>
  <c r="C925" i="5"/>
  <c r="D925" i="5"/>
  <c r="E925" i="5"/>
  <c r="H925" i="5"/>
  <c r="F924" i="5"/>
  <c r="G924" i="5" s="1"/>
  <c r="E924" i="5"/>
  <c r="D924" i="5"/>
  <c r="C924" i="5"/>
  <c r="B924" i="5"/>
  <c r="H924" i="5"/>
  <c r="H923" i="5"/>
  <c r="B923" i="5"/>
  <c r="C923" i="5"/>
  <c r="D923" i="5"/>
  <c r="E923" i="5"/>
  <c r="F923" i="5"/>
  <c r="G923" i="5" s="1"/>
  <c r="C922" i="5"/>
  <c r="D922" i="5"/>
  <c r="E922" i="5"/>
  <c r="F922" i="5"/>
  <c r="G922" i="5" s="1"/>
  <c r="H922" i="5"/>
  <c r="B922" i="5"/>
  <c r="H921" i="5"/>
  <c r="F921" i="5"/>
  <c r="G921" i="5" s="1"/>
  <c r="E921" i="5"/>
  <c r="D921" i="5"/>
  <c r="C921" i="5"/>
  <c r="B921" i="5"/>
  <c r="B920" i="5"/>
  <c r="D920" i="5"/>
  <c r="E920" i="5"/>
  <c r="F920" i="5"/>
  <c r="G920" i="5" s="1"/>
  <c r="H920" i="5"/>
  <c r="C920" i="5"/>
  <c r="C919" i="5"/>
  <c r="E919" i="5"/>
  <c r="F919" i="5"/>
  <c r="G919" i="5" s="1"/>
  <c r="H919" i="5"/>
  <c r="D919" i="5"/>
  <c r="B919" i="5"/>
  <c r="C918" i="5"/>
  <c r="B918" i="5"/>
  <c r="D918" i="5"/>
  <c r="H918" i="5"/>
  <c r="E918" i="5"/>
  <c r="F918" i="5"/>
  <c r="G918" i="5" s="1"/>
  <c r="H917" i="5"/>
  <c r="F917" i="5"/>
  <c r="G917" i="5" s="1"/>
  <c r="C917" i="5"/>
  <c r="B917" i="5"/>
  <c r="E917" i="5"/>
  <c r="D917" i="5"/>
  <c r="B916" i="5"/>
  <c r="H916" i="5"/>
  <c r="F916" i="5"/>
  <c r="G916" i="5" s="1"/>
  <c r="D916" i="5"/>
  <c r="E916" i="5"/>
  <c r="C916" i="5"/>
  <c r="D915" i="5"/>
  <c r="E915" i="5"/>
  <c r="H915" i="5"/>
  <c r="F915" i="5"/>
  <c r="G915" i="5" s="1"/>
  <c r="C915" i="5"/>
  <c r="B915" i="5"/>
  <c r="B914" i="5"/>
  <c r="F914" i="5"/>
  <c r="G914" i="5" s="1"/>
  <c r="D914" i="5"/>
  <c r="C914" i="5"/>
  <c r="H914" i="5"/>
  <c r="E914" i="5"/>
  <c r="C913" i="5"/>
  <c r="B913" i="5"/>
  <c r="F913" i="5"/>
  <c r="G913" i="5" s="1"/>
  <c r="D913" i="5"/>
  <c r="H913" i="5"/>
  <c r="E913" i="5"/>
  <c r="D912" i="5"/>
  <c r="B912" i="5"/>
  <c r="E912" i="5"/>
  <c r="H912" i="5"/>
  <c r="C912" i="5"/>
  <c r="F912" i="5"/>
  <c r="G912" i="5" s="1"/>
  <c r="F911" i="5"/>
  <c r="H911" i="5"/>
  <c r="G911" i="5"/>
  <c r="D911" i="5"/>
  <c r="B911" i="5"/>
  <c r="E911" i="5"/>
  <c r="C911" i="5"/>
  <c r="B910" i="5"/>
  <c r="D910" i="5"/>
  <c r="F910" i="5"/>
  <c r="E910" i="5"/>
  <c r="H910" i="5"/>
  <c r="G910" i="5"/>
  <c r="C910" i="5"/>
  <c r="D909" i="5"/>
  <c r="C909" i="5"/>
  <c r="B909" i="5"/>
  <c r="H909" i="5"/>
  <c r="F909" i="5"/>
  <c r="G909" i="5" s="1"/>
  <c r="E909" i="5"/>
  <c r="D908" i="5"/>
  <c r="B908" i="5"/>
  <c r="C908" i="5"/>
  <c r="F908" i="5"/>
  <c r="G908" i="5" s="1"/>
  <c r="E908" i="5"/>
  <c r="H908" i="5"/>
  <c r="H907" i="5"/>
  <c r="E907" i="5"/>
  <c r="D907" i="5"/>
  <c r="F907" i="5"/>
  <c r="G907" i="5" s="1"/>
  <c r="C907" i="5"/>
  <c r="B907" i="5"/>
  <c r="D906" i="5"/>
  <c r="C906" i="5"/>
  <c r="B906" i="5"/>
  <c r="E906" i="5"/>
  <c r="F906" i="5"/>
  <c r="G906" i="5" s="1"/>
  <c r="H906" i="5"/>
  <c r="D904" i="5"/>
  <c r="C904" i="5"/>
  <c r="B904" i="5"/>
  <c r="F904" i="5"/>
  <c r="G904" i="5" s="1"/>
  <c r="H904" i="5"/>
  <c r="E904" i="5"/>
  <c r="B903" i="5"/>
  <c r="F903" i="5"/>
  <c r="G903" i="5" s="1"/>
  <c r="E903" i="5"/>
  <c r="C903" i="5"/>
  <c r="D903" i="5"/>
  <c r="H903" i="5"/>
  <c r="B902" i="5"/>
  <c r="H902" i="5"/>
  <c r="F902" i="5"/>
  <c r="G902" i="5" s="1"/>
  <c r="E902" i="5"/>
  <c r="D902" i="5"/>
  <c r="C902" i="5"/>
  <c r="E901" i="5"/>
  <c r="H901" i="5"/>
  <c r="F901" i="5"/>
  <c r="G901" i="5" s="1"/>
  <c r="B901" i="5"/>
  <c r="C901" i="5"/>
  <c r="D901" i="5"/>
  <c r="F900" i="5"/>
  <c r="G900" i="5" s="1"/>
  <c r="E900" i="5"/>
  <c r="D900" i="5"/>
  <c r="C900" i="5"/>
  <c r="B900" i="5"/>
  <c r="H900" i="5"/>
  <c r="B899" i="5"/>
  <c r="H899" i="5"/>
  <c r="C899" i="5"/>
  <c r="F899" i="5"/>
  <c r="G899" i="5" s="1"/>
  <c r="E899" i="5"/>
  <c r="D899" i="5"/>
  <c r="B898" i="5"/>
  <c r="E898" i="5"/>
  <c r="H898" i="5"/>
  <c r="F898" i="5"/>
  <c r="G898" i="5" s="1"/>
  <c r="D898" i="5"/>
  <c r="C898" i="5"/>
  <c r="F897" i="5"/>
  <c r="G897" i="5" s="1"/>
  <c r="D897" i="5"/>
  <c r="C897" i="5"/>
  <c r="B897" i="5"/>
  <c r="E897" i="5"/>
  <c r="H897" i="5"/>
  <c r="H896" i="5"/>
  <c r="E896" i="5"/>
  <c r="C896" i="5"/>
  <c r="B896" i="5"/>
  <c r="D896" i="5"/>
  <c r="F896" i="5"/>
  <c r="G896" i="5" s="1"/>
  <c r="F895" i="5"/>
  <c r="G895" i="5" s="1"/>
  <c r="E895" i="5"/>
  <c r="D895" i="5"/>
  <c r="C895" i="5"/>
  <c r="B895" i="5"/>
  <c r="H895" i="5"/>
  <c r="B894" i="5"/>
  <c r="H894" i="5"/>
  <c r="F894" i="5"/>
  <c r="G894" i="5" s="1"/>
  <c r="E894" i="5"/>
  <c r="D894" i="5"/>
  <c r="C894" i="5"/>
  <c r="H893" i="5"/>
  <c r="B893" i="5"/>
  <c r="C893" i="5"/>
  <c r="D893" i="5"/>
  <c r="E893" i="5"/>
  <c r="F893" i="5"/>
  <c r="G893" i="5" s="1"/>
  <c r="D892" i="5"/>
  <c r="C892" i="5"/>
  <c r="B892" i="5"/>
  <c r="F892" i="5"/>
  <c r="G892" i="5" s="1"/>
  <c r="H892" i="5"/>
  <c r="E892" i="5"/>
  <c r="H891" i="5"/>
  <c r="F891" i="5"/>
  <c r="G891" i="5" s="1"/>
  <c r="C891" i="5"/>
  <c r="E891" i="5"/>
  <c r="B891" i="5"/>
  <c r="D891" i="5"/>
  <c r="E890" i="5"/>
  <c r="F890" i="5"/>
  <c r="G890" i="5" s="1"/>
  <c r="H890" i="5"/>
  <c r="B890" i="5"/>
  <c r="D890" i="5"/>
  <c r="C890" i="5"/>
  <c r="H889" i="5"/>
  <c r="E889" i="5"/>
  <c r="D889" i="5"/>
  <c r="C889" i="5"/>
  <c r="B889" i="5"/>
  <c r="F889" i="5"/>
  <c r="G889" i="5" s="1"/>
  <c r="H888" i="5"/>
  <c r="E888" i="5"/>
  <c r="D888" i="5"/>
  <c r="C888" i="5"/>
  <c r="B888" i="5"/>
  <c r="F888" i="5"/>
  <c r="G888" i="5" s="1"/>
  <c r="B887" i="5"/>
  <c r="C887" i="5"/>
  <c r="D887" i="5"/>
  <c r="E887" i="5"/>
  <c r="F887" i="5"/>
  <c r="G887" i="5" s="1"/>
  <c r="H887" i="5"/>
  <c r="F886" i="5"/>
  <c r="G886" i="5" s="1"/>
  <c r="C886" i="5"/>
  <c r="D886" i="5"/>
  <c r="E886" i="5"/>
  <c r="H886" i="5"/>
  <c r="B886" i="5"/>
  <c r="F885" i="5"/>
  <c r="G885" i="5" s="1"/>
  <c r="E885" i="5"/>
  <c r="D885" i="5"/>
  <c r="C885" i="5"/>
  <c r="B885" i="5"/>
  <c r="H885" i="5"/>
  <c r="H884" i="5"/>
  <c r="B884" i="5"/>
  <c r="C884" i="5"/>
  <c r="D884" i="5"/>
  <c r="E884" i="5"/>
  <c r="F884" i="5"/>
  <c r="G884" i="5" s="1"/>
  <c r="B883" i="5"/>
  <c r="C883" i="5"/>
  <c r="H883" i="5"/>
  <c r="D883" i="5"/>
  <c r="F883" i="5"/>
  <c r="G883" i="5" s="1"/>
  <c r="E883" i="5"/>
  <c r="E882" i="5"/>
  <c r="F882" i="5"/>
  <c r="G882" i="5" s="1"/>
  <c r="H882" i="5"/>
  <c r="B882" i="5"/>
  <c r="C882" i="5"/>
  <c r="D882" i="5"/>
  <c r="C881" i="5"/>
  <c r="B881" i="5"/>
  <c r="H881" i="5"/>
  <c r="F881" i="5"/>
  <c r="G881" i="5" s="1"/>
  <c r="E881" i="5"/>
  <c r="D881" i="5"/>
  <c r="F880" i="5"/>
  <c r="G880" i="5" s="1"/>
  <c r="E880" i="5"/>
  <c r="D880" i="5"/>
  <c r="B880" i="5"/>
  <c r="C880" i="5"/>
  <c r="H880" i="5"/>
  <c r="D879" i="5"/>
  <c r="B879" i="5"/>
  <c r="C879" i="5"/>
  <c r="E879" i="5"/>
  <c r="F879" i="5"/>
  <c r="G879" i="5" s="1"/>
  <c r="H879" i="5"/>
  <c r="H878" i="5"/>
  <c r="F878" i="5"/>
  <c r="G878" i="5" s="1"/>
  <c r="E878" i="5"/>
  <c r="D878" i="5"/>
  <c r="C878" i="5"/>
  <c r="B878" i="5"/>
  <c r="B877" i="5"/>
  <c r="H877" i="5"/>
  <c r="F877" i="5"/>
  <c r="G877" i="5" s="1"/>
  <c r="E877" i="5"/>
  <c r="D877" i="5"/>
  <c r="C877" i="5"/>
  <c r="B876" i="5"/>
  <c r="C876" i="5"/>
  <c r="D876" i="5"/>
  <c r="H876" i="5"/>
  <c r="F876" i="5"/>
  <c r="G876" i="5" s="1"/>
  <c r="E876" i="5"/>
  <c r="F875" i="5"/>
  <c r="G875" i="5" s="1"/>
  <c r="E875" i="5"/>
  <c r="D875" i="5"/>
  <c r="C875" i="5"/>
  <c r="B875" i="5"/>
  <c r="H875" i="5"/>
  <c r="H874" i="5"/>
  <c r="F874" i="5"/>
  <c r="G874" i="5" s="1"/>
  <c r="D874" i="5"/>
  <c r="B874" i="5"/>
  <c r="C874" i="5"/>
  <c r="E874" i="5"/>
  <c r="B873" i="5"/>
  <c r="C873" i="5"/>
  <c r="D873" i="5"/>
  <c r="H873" i="5"/>
  <c r="F873" i="5"/>
  <c r="G873" i="5" s="1"/>
  <c r="E873" i="5"/>
  <c r="D872" i="5"/>
  <c r="B872" i="5"/>
  <c r="C872" i="5"/>
  <c r="F872" i="5"/>
  <c r="G872" i="5" s="1"/>
  <c r="E872" i="5"/>
  <c r="H872" i="5"/>
  <c r="H871" i="5"/>
  <c r="F871" i="5"/>
  <c r="G871" i="5" s="1"/>
  <c r="E871" i="5"/>
  <c r="D871" i="5"/>
  <c r="C871" i="5"/>
  <c r="B871" i="5"/>
  <c r="D870" i="5"/>
  <c r="H870" i="5"/>
  <c r="F870" i="5"/>
  <c r="G870" i="5" s="1"/>
  <c r="E870" i="5"/>
  <c r="C870" i="5"/>
  <c r="B870" i="5"/>
  <c r="H869" i="5"/>
  <c r="F869" i="5"/>
  <c r="G869" i="5" s="1"/>
  <c r="E869" i="5"/>
  <c r="B869" i="5"/>
  <c r="C869" i="5"/>
  <c r="D869" i="5"/>
  <c r="F868" i="5"/>
  <c r="G868" i="5" s="1"/>
  <c r="E868" i="5"/>
  <c r="D868" i="5"/>
  <c r="C868" i="5"/>
  <c r="B868" i="5"/>
  <c r="H868" i="5"/>
  <c r="E867" i="5"/>
  <c r="C867" i="5"/>
  <c r="B867" i="5"/>
  <c r="F867" i="5"/>
  <c r="G867" i="5" s="1"/>
  <c r="H867" i="5"/>
  <c r="D867" i="5"/>
  <c r="B866" i="5"/>
  <c r="C866" i="5"/>
  <c r="D866" i="5"/>
  <c r="E866" i="5"/>
  <c r="F866" i="5"/>
  <c r="G866" i="5" s="1"/>
  <c r="H866" i="5"/>
  <c r="H865" i="5"/>
  <c r="E865" i="5"/>
  <c r="D865" i="5"/>
  <c r="C865" i="5"/>
  <c r="B865" i="5"/>
  <c r="F865" i="5"/>
  <c r="G865" i="5" s="1"/>
  <c r="H864" i="5"/>
  <c r="F864" i="5"/>
  <c r="G864" i="5" s="1"/>
  <c r="E864" i="5"/>
  <c r="D864" i="5"/>
  <c r="C864" i="5"/>
  <c r="B864" i="5"/>
  <c r="H863" i="5"/>
  <c r="F863" i="5"/>
  <c r="G863" i="5" s="1"/>
  <c r="E863" i="5"/>
  <c r="D863" i="5"/>
  <c r="C863" i="5"/>
  <c r="B863" i="5"/>
  <c r="H862" i="5"/>
  <c r="F862" i="5"/>
  <c r="G862" i="5" s="1"/>
  <c r="E862" i="5"/>
  <c r="D862" i="5"/>
  <c r="C862" i="5"/>
  <c r="B862" i="5"/>
  <c r="H861" i="5"/>
  <c r="F861" i="5"/>
  <c r="G861" i="5" s="1"/>
  <c r="E861" i="5"/>
  <c r="D861" i="5"/>
  <c r="C861" i="5"/>
  <c r="B861" i="5"/>
  <c r="H860" i="5"/>
  <c r="F860" i="5"/>
  <c r="G860" i="5" s="1"/>
  <c r="E860" i="5"/>
  <c r="D860" i="5"/>
  <c r="C860" i="5"/>
  <c r="B860" i="5"/>
  <c r="H859" i="5"/>
  <c r="F859" i="5"/>
  <c r="G859" i="5" s="1"/>
  <c r="E859" i="5"/>
  <c r="D859" i="5"/>
  <c r="C859" i="5"/>
  <c r="B859" i="5"/>
  <c r="H858" i="5"/>
  <c r="F858" i="5"/>
  <c r="G858" i="5" s="1"/>
  <c r="E858" i="5"/>
  <c r="D858" i="5"/>
  <c r="C858" i="5"/>
  <c r="B858" i="5"/>
  <c r="H857" i="5"/>
  <c r="F857" i="5"/>
  <c r="G857" i="5" s="1"/>
  <c r="E857" i="5"/>
  <c r="D857" i="5"/>
  <c r="C857" i="5"/>
  <c r="B857" i="5"/>
  <c r="H856" i="5"/>
  <c r="F856" i="5"/>
  <c r="G856" i="5" s="1"/>
  <c r="E856" i="5"/>
  <c r="D856" i="5"/>
  <c r="C856" i="5"/>
  <c r="B856" i="5"/>
  <c r="H855" i="5"/>
  <c r="F855" i="5"/>
  <c r="G855" i="5" s="1"/>
  <c r="E855" i="5"/>
  <c r="D855" i="5"/>
  <c r="C855" i="5"/>
  <c r="B855" i="5"/>
  <c r="H854" i="5"/>
  <c r="F854" i="5"/>
  <c r="G854" i="5" s="1"/>
  <c r="E854" i="5"/>
  <c r="D854" i="5"/>
  <c r="C854" i="5"/>
  <c r="B854" i="5"/>
  <c r="H853" i="5"/>
  <c r="C853" i="5"/>
  <c r="B853" i="5"/>
  <c r="F853" i="5"/>
  <c r="G853" i="5" s="1"/>
  <c r="E853" i="5"/>
  <c r="D853" i="5"/>
  <c r="E852" i="5"/>
  <c r="F852" i="5"/>
  <c r="G852" i="5" s="1"/>
  <c r="H852" i="5"/>
  <c r="C852" i="5"/>
  <c r="B852" i="5"/>
  <c r="D852" i="5"/>
  <c r="B851" i="5"/>
  <c r="C851" i="5"/>
  <c r="D851" i="5"/>
  <c r="E851" i="5"/>
  <c r="F851" i="5"/>
  <c r="G851" i="5" s="1"/>
  <c r="H851" i="5"/>
  <c r="H850" i="5"/>
  <c r="F850" i="5"/>
  <c r="G850" i="5" s="1"/>
  <c r="E850" i="5"/>
  <c r="B850" i="5"/>
  <c r="C850" i="5"/>
  <c r="D850" i="5"/>
  <c r="B849" i="5"/>
  <c r="E849" i="5"/>
  <c r="D849" i="5"/>
  <c r="C849" i="5"/>
  <c r="H849" i="5"/>
  <c r="F849" i="5"/>
  <c r="G849" i="5" s="1"/>
  <c r="B848" i="5"/>
  <c r="H848" i="5"/>
  <c r="F848" i="5"/>
  <c r="G848" i="5" s="1"/>
  <c r="D848" i="5"/>
  <c r="C848" i="5"/>
  <c r="E848" i="5"/>
  <c r="H847" i="5"/>
  <c r="E847" i="5"/>
  <c r="F847" i="5"/>
  <c r="G847" i="5" s="1"/>
  <c r="D847" i="5"/>
  <c r="C847" i="5"/>
  <c r="B847" i="5"/>
  <c r="C846" i="5"/>
  <c r="H846" i="5"/>
  <c r="F846" i="5"/>
  <c r="G846" i="5" s="1"/>
  <c r="E846" i="5"/>
  <c r="D846" i="5"/>
  <c r="B846" i="5"/>
  <c r="H845" i="5"/>
  <c r="F845" i="5"/>
  <c r="G845" i="5" s="1"/>
  <c r="E845" i="5"/>
  <c r="D845" i="5"/>
  <c r="C845" i="5"/>
  <c r="B845" i="5"/>
  <c r="F844" i="5"/>
  <c r="G844" i="5" s="1"/>
  <c r="C844" i="5"/>
  <c r="E844" i="5"/>
  <c r="D844" i="5"/>
  <c r="B844" i="5"/>
  <c r="H844" i="5"/>
  <c r="B843" i="5"/>
  <c r="C843" i="5"/>
  <c r="D843" i="5"/>
  <c r="E843" i="5"/>
  <c r="F843" i="5"/>
  <c r="G843" i="5" s="1"/>
  <c r="H843" i="5"/>
  <c r="H842" i="5"/>
  <c r="F842" i="5"/>
  <c r="G842" i="5" s="1"/>
  <c r="B842" i="5"/>
  <c r="C842" i="5"/>
  <c r="D842" i="5"/>
  <c r="E842" i="5"/>
  <c r="C841" i="5"/>
  <c r="B841" i="5"/>
  <c r="D841" i="5"/>
  <c r="E841" i="5"/>
  <c r="F841" i="5"/>
  <c r="G841" i="5" s="1"/>
  <c r="H841" i="5"/>
  <c r="H840" i="5"/>
  <c r="D840" i="5"/>
  <c r="B840" i="5"/>
  <c r="C840" i="5"/>
  <c r="E840" i="5"/>
  <c r="F840" i="5"/>
  <c r="G840" i="5" s="1"/>
  <c r="F839" i="5"/>
  <c r="G839" i="5" s="1"/>
  <c r="E839" i="5"/>
  <c r="D839" i="5"/>
  <c r="C839" i="5"/>
  <c r="B839" i="5"/>
  <c r="H839" i="5"/>
  <c r="B838" i="5"/>
  <c r="H838" i="5"/>
  <c r="F838" i="5"/>
  <c r="G838" i="5" s="1"/>
  <c r="E838" i="5"/>
  <c r="D838" i="5"/>
  <c r="C838" i="5"/>
  <c r="D837" i="5"/>
  <c r="H837" i="5"/>
  <c r="B837" i="5"/>
  <c r="C837" i="5"/>
  <c r="F837" i="5"/>
  <c r="G837" i="5" s="1"/>
  <c r="E837" i="5"/>
  <c r="D836" i="5"/>
  <c r="C836" i="5"/>
  <c r="B836" i="5"/>
  <c r="H836" i="5"/>
  <c r="F836" i="5"/>
  <c r="G836" i="5" s="1"/>
  <c r="E836" i="5"/>
  <c r="H835" i="5"/>
  <c r="C835" i="5"/>
  <c r="B835" i="5"/>
  <c r="F835" i="5"/>
  <c r="G835" i="5" s="1"/>
  <c r="E835" i="5"/>
  <c r="D835" i="5"/>
  <c r="D834" i="5"/>
  <c r="C834" i="5"/>
  <c r="F834" i="5"/>
  <c r="G834" i="5" s="1"/>
  <c r="H834" i="5"/>
  <c r="B834" i="5"/>
  <c r="E834" i="5"/>
  <c r="C833" i="5"/>
  <c r="D833" i="5"/>
  <c r="E833" i="5"/>
  <c r="H833" i="5"/>
  <c r="B833" i="5"/>
  <c r="F833" i="5"/>
  <c r="G833" i="5" s="1"/>
  <c r="D832" i="5"/>
  <c r="C832" i="5"/>
  <c r="B832" i="5"/>
  <c r="H832" i="5"/>
  <c r="F832" i="5"/>
  <c r="G832" i="5" s="1"/>
  <c r="E832" i="5"/>
  <c r="E831" i="5"/>
  <c r="D831" i="5"/>
  <c r="C831" i="5"/>
  <c r="B831" i="5"/>
  <c r="F831" i="5"/>
  <c r="G831" i="5" s="1"/>
  <c r="H831" i="5"/>
  <c r="D830" i="5"/>
  <c r="E830" i="5"/>
  <c r="H830" i="5"/>
  <c r="F830" i="5"/>
  <c r="G830" i="5" s="1"/>
  <c r="B830" i="5"/>
  <c r="C830" i="5"/>
  <c r="B829" i="5"/>
  <c r="H829" i="5"/>
  <c r="C829" i="5"/>
  <c r="D829" i="5"/>
  <c r="E829" i="5"/>
  <c r="F829" i="5"/>
  <c r="G829" i="5" s="1"/>
  <c r="H828" i="5"/>
  <c r="D828" i="5"/>
  <c r="B828" i="5"/>
  <c r="F828" i="5"/>
  <c r="G828" i="5" s="1"/>
  <c r="C828" i="5"/>
  <c r="E828" i="5"/>
  <c r="F827" i="5"/>
  <c r="G827" i="5" s="1"/>
  <c r="E827" i="5"/>
  <c r="B827" i="5"/>
  <c r="C827" i="5"/>
  <c r="D827" i="5"/>
  <c r="H827" i="5"/>
  <c r="D826" i="5"/>
  <c r="B826" i="5"/>
  <c r="E826" i="5"/>
  <c r="F826" i="5"/>
  <c r="G826" i="5" s="1"/>
  <c r="C826" i="5"/>
  <c r="H826" i="5"/>
  <c r="B825" i="5"/>
  <c r="C825" i="5"/>
  <c r="D825" i="5"/>
  <c r="E825" i="5"/>
  <c r="F825" i="5"/>
  <c r="G825" i="5" s="1"/>
  <c r="H825" i="5"/>
  <c r="H824" i="5"/>
  <c r="F824" i="5"/>
  <c r="G824" i="5" s="1"/>
  <c r="E824" i="5"/>
  <c r="D824" i="5"/>
  <c r="C824" i="5"/>
  <c r="B824" i="5"/>
  <c r="H823" i="5"/>
  <c r="F823" i="5"/>
  <c r="G823" i="5" s="1"/>
  <c r="E823" i="5"/>
  <c r="D823" i="5"/>
  <c r="C823" i="5"/>
  <c r="B823" i="5"/>
  <c r="B822" i="5"/>
  <c r="C822" i="5"/>
  <c r="D822" i="5"/>
  <c r="H822" i="5"/>
  <c r="F822" i="5"/>
  <c r="G822" i="5" s="1"/>
  <c r="E822" i="5"/>
  <c r="H821" i="5"/>
  <c r="F821" i="5"/>
  <c r="G821" i="5" s="1"/>
  <c r="E821" i="5"/>
  <c r="D821" i="5"/>
  <c r="C821" i="5"/>
  <c r="B821" i="5"/>
  <c r="B820" i="5"/>
  <c r="H820" i="5"/>
  <c r="F820" i="5"/>
  <c r="G820" i="5" s="1"/>
  <c r="E820" i="5"/>
  <c r="D820" i="5"/>
  <c r="C820" i="5"/>
  <c r="F819" i="5"/>
  <c r="G819" i="5" s="1"/>
  <c r="H819" i="5"/>
  <c r="E819" i="5"/>
  <c r="D819" i="5"/>
  <c r="C819" i="5"/>
  <c r="B819" i="5"/>
  <c r="E818" i="5"/>
  <c r="D818" i="5"/>
  <c r="B818" i="5"/>
  <c r="C818" i="5"/>
  <c r="F818" i="5"/>
  <c r="G818" i="5" s="1"/>
  <c r="H818" i="5"/>
  <c r="E817" i="5"/>
  <c r="D817" i="5"/>
  <c r="C817" i="5"/>
  <c r="F817" i="5"/>
  <c r="G817" i="5" s="1"/>
  <c r="B817" i="5"/>
  <c r="H817" i="5"/>
  <c r="D816" i="5"/>
  <c r="B816" i="5"/>
  <c r="C816" i="5"/>
  <c r="E816" i="5"/>
  <c r="F816" i="5"/>
  <c r="G816" i="5" s="1"/>
  <c r="H816" i="5"/>
  <c r="E815" i="5"/>
  <c r="B815" i="5"/>
  <c r="C815" i="5"/>
  <c r="D815" i="5"/>
  <c r="F815" i="5"/>
  <c r="G815" i="5" s="1"/>
  <c r="H815" i="5"/>
  <c r="H814" i="5"/>
  <c r="B814" i="5"/>
  <c r="D814" i="5"/>
  <c r="F814" i="5"/>
  <c r="G814" i="5" s="1"/>
  <c r="E814" i="5"/>
  <c r="C814" i="5"/>
  <c r="H813" i="5"/>
  <c r="F813" i="5"/>
  <c r="G813" i="5" s="1"/>
  <c r="D813" i="5"/>
  <c r="C813" i="5"/>
  <c r="E813" i="5"/>
  <c r="B813" i="5"/>
  <c r="F812" i="5"/>
  <c r="G812" i="5" s="1"/>
  <c r="E812" i="5"/>
  <c r="D812" i="5"/>
  <c r="C812" i="5"/>
  <c r="B812" i="5"/>
  <c r="H812" i="5"/>
  <c r="H811" i="5"/>
  <c r="F811" i="5"/>
  <c r="G811" i="5" s="1"/>
  <c r="E811" i="5"/>
  <c r="D811" i="5"/>
  <c r="C811" i="5"/>
  <c r="B811" i="5"/>
  <c r="F810" i="5"/>
  <c r="G810" i="5" s="1"/>
  <c r="E810" i="5"/>
  <c r="D810" i="5"/>
  <c r="C810" i="5"/>
  <c r="B810" i="5"/>
  <c r="H810" i="5"/>
  <c r="H809" i="5"/>
  <c r="F809" i="5"/>
  <c r="G809" i="5" s="1"/>
  <c r="E809" i="5"/>
  <c r="D809" i="5"/>
  <c r="C809" i="5"/>
  <c r="B809" i="5"/>
  <c r="F808" i="5"/>
  <c r="G808" i="5" s="1"/>
  <c r="H808" i="5"/>
  <c r="B808" i="5"/>
  <c r="C808" i="5"/>
  <c r="D808" i="5"/>
  <c r="E808" i="5"/>
  <c r="D807" i="5"/>
  <c r="F807" i="5"/>
  <c r="G807" i="5" s="1"/>
  <c r="C807" i="5"/>
  <c r="B807" i="5"/>
  <c r="H807" i="5"/>
  <c r="E807" i="5"/>
  <c r="C806" i="5"/>
  <c r="H806" i="5"/>
  <c r="B806" i="5"/>
  <c r="D806" i="5"/>
  <c r="E806" i="5"/>
  <c r="F806" i="5"/>
  <c r="G806" i="5" s="1"/>
  <c r="D805" i="5"/>
  <c r="B805" i="5"/>
  <c r="E805" i="5"/>
  <c r="F805" i="5"/>
  <c r="G805" i="5" s="1"/>
  <c r="C805" i="5"/>
  <c r="H805" i="5"/>
  <c r="B804" i="5"/>
  <c r="C804" i="5"/>
  <c r="D804" i="5"/>
  <c r="E804" i="5"/>
  <c r="F804" i="5"/>
  <c r="G804" i="5" s="1"/>
  <c r="H804" i="5"/>
  <c r="H803" i="5"/>
  <c r="B803" i="5"/>
  <c r="C803" i="5"/>
  <c r="E803" i="5"/>
  <c r="F803" i="5"/>
  <c r="G803" i="5" s="1"/>
  <c r="D803" i="5"/>
  <c r="C802" i="5"/>
  <c r="B802" i="5"/>
  <c r="D802" i="5"/>
  <c r="H802" i="5"/>
  <c r="F802" i="5"/>
  <c r="G802" i="5" s="1"/>
  <c r="E802" i="5"/>
  <c r="C801" i="5"/>
  <c r="B801" i="5"/>
  <c r="D801" i="5"/>
  <c r="E801" i="5"/>
  <c r="F801" i="5"/>
  <c r="G801" i="5" s="1"/>
  <c r="H801" i="5"/>
  <c r="F800" i="5"/>
  <c r="G800" i="5" s="1"/>
  <c r="H800" i="5"/>
  <c r="E800" i="5"/>
  <c r="B800" i="5"/>
  <c r="C800" i="5"/>
  <c r="D800" i="5"/>
  <c r="H799" i="5"/>
  <c r="B799" i="5"/>
  <c r="F799" i="5"/>
  <c r="G799" i="5" s="1"/>
  <c r="E799" i="5"/>
  <c r="D799" i="5"/>
  <c r="C799" i="5"/>
  <c r="E798" i="5"/>
  <c r="B798" i="5"/>
  <c r="H798" i="5"/>
  <c r="D798" i="5"/>
  <c r="C798" i="5"/>
  <c r="F798" i="5"/>
  <c r="G798" i="5" s="1"/>
  <c r="B797" i="5"/>
  <c r="C797" i="5"/>
  <c r="D797" i="5"/>
  <c r="F797" i="5"/>
  <c r="G797" i="5" s="1"/>
  <c r="E797" i="5"/>
  <c r="H797" i="5"/>
  <c r="D796" i="5"/>
  <c r="F796" i="5"/>
  <c r="G796" i="5" s="1"/>
  <c r="E796" i="5"/>
  <c r="H796" i="5"/>
  <c r="C796" i="5"/>
  <c r="B796" i="5"/>
  <c r="H795" i="5"/>
  <c r="F795" i="5"/>
  <c r="G795" i="5" s="1"/>
  <c r="E795" i="5"/>
  <c r="D795" i="5"/>
  <c r="C795" i="5"/>
  <c r="B795" i="5"/>
  <c r="B794" i="5"/>
  <c r="C794" i="5"/>
  <c r="D794" i="5"/>
  <c r="E794" i="5"/>
  <c r="F794" i="5"/>
  <c r="G794" i="5" s="1"/>
  <c r="H794" i="5"/>
  <c r="B793" i="5"/>
  <c r="C793" i="5"/>
  <c r="D793" i="5"/>
  <c r="E793" i="5"/>
  <c r="F793" i="5"/>
  <c r="G793" i="5" s="1"/>
  <c r="H793" i="5"/>
  <c r="F792" i="5"/>
  <c r="E792" i="5"/>
  <c r="C792" i="5"/>
  <c r="B792" i="5"/>
  <c r="D792" i="5"/>
  <c r="G792" i="5"/>
  <c r="H792" i="5"/>
  <c r="C791" i="5"/>
  <c r="D791" i="5"/>
  <c r="E791" i="5"/>
  <c r="F791" i="5"/>
  <c r="G791" i="5" s="1"/>
  <c r="H791" i="5"/>
  <c r="B791" i="5"/>
  <c r="F790" i="5"/>
  <c r="G790" i="5" s="1"/>
  <c r="E790" i="5"/>
  <c r="D790" i="5"/>
  <c r="C790" i="5"/>
  <c r="B790" i="5"/>
  <c r="H790" i="5"/>
  <c r="F789" i="5"/>
  <c r="G789" i="5" s="1"/>
  <c r="E789" i="5"/>
  <c r="D789" i="5"/>
  <c r="C789" i="5"/>
  <c r="B789" i="5"/>
  <c r="H789" i="5"/>
  <c r="H788" i="5"/>
  <c r="B788" i="5"/>
  <c r="F788" i="5"/>
  <c r="G788" i="5" s="1"/>
  <c r="E788" i="5"/>
  <c r="D788" i="5"/>
  <c r="C788" i="5"/>
  <c r="D787" i="5"/>
  <c r="C787" i="5"/>
  <c r="B787" i="5"/>
  <c r="E787" i="5"/>
  <c r="H787" i="5"/>
  <c r="F787" i="5"/>
  <c r="G787" i="5" s="1"/>
  <c r="D786" i="5"/>
  <c r="E786" i="5"/>
  <c r="F786" i="5"/>
  <c r="G786" i="5" s="1"/>
  <c r="H786" i="5"/>
  <c r="B786" i="5"/>
  <c r="C786" i="5"/>
  <c r="E785" i="5"/>
  <c r="D785" i="5"/>
  <c r="C785" i="5"/>
  <c r="B785" i="5"/>
  <c r="F785" i="5"/>
  <c r="G785" i="5" s="1"/>
  <c r="H785" i="5"/>
  <c r="H784" i="5"/>
  <c r="F784" i="5"/>
  <c r="G784" i="5" s="1"/>
  <c r="E784" i="5"/>
  <c r="D784" i="5"/>
  <c r="C784" i="5"/>
  <c r="B784" i="5"/>
  <c r="D783" i="5"/>
  <c r="E783" i="5"/>
  <c r="F783" i="5"/>
  <c r="G783" i="5" s="1"/>
  <c r="H783" i="5"/>
  <c r="B783" i="5"/>
  <c r="C783" i="5"/>
  <c r="F782" i="5"/>
  <c r="G782" i="5" s="1"/>
  <c r="E782" i="5"/>
  <c r="D782" i="5"/>
  <c r="C782" i="5"/>
  <c r="B782" i="5"/>
  <c r="H782" i="5"/>
  <c r="F781" i="5"/>
  <c r="G781" i="5" s="1"/>
  <c r="E781" i="5"/>
  <c r="D781" i="5"/>
  <c r="H781" i="5"/>
  <c r="B781" i="5"/>
  <c r="C781" i="5"/>
  <c r="F780" i="5"/>
  <c r="G780" i="5" s="1"/>
  <c r="E780" i="5"/>
  <c r="H780" i="5"/>
  <c r="C780" i="5"/>
  <c r="D780" i="5"/>
  <c r="B780" i="5"/>
  <c r="D779" i="5"/>
  <c r="B779" i="5"/>
  <c r="H779" i="5"/>
  <c r="F779" i="5"/>
  <c r="G779" i="5" s="1"/>
  <c r="E779" i="5"/>
  <c r="C779" i="5"/>
  <c r="D778" i="5"/>
  <c r="F778" i="5"/>
  <c r="G778" i="5" s="1"/>
  <c r="E778" i="5"/>
  <c r="C778" i="5"/>
  <c r="B778" i="5"/>
  <c r="H778" i="5"/>
  <c r="F777" i="5"/>
  <c r="G777" i="5" s="1"/>
  <c r="B777" i="5"/>
  <c r="C777" i="5"/>
  <c r="D777" i="5"/>
  <c r="E777" i="5"/>
  <c r="H777" i="5"/>
  <c r="F776" i="5"/>
  <c r="H776" i="5"/>
  <c r="E776" i="5"/>
  <c r="D776" i="5"/>
  <c r="C776" i="5"/>
  <c r="B776" i="5"/>
  <c r="G776" i="5"/>
  <c r="E775" i="5"/>
  <c r="H775" i="5"/>
  <c r="D775" i="5"/>
  <c r="C775" i="5"/>
  <c r="F775" i="5"/>
  <c r="G775" i="5" s="1"/>
  <c r="B775" i="5"/>
  <c r="C774" i="5"/>
  <c r="B774" i="5"/>
  <c r="D774" i="5"/>
  <c r="E774" i="5"/>
  <c r="F774" i="5"/>
  <c r="G774" i="5" s="1"/>
  <c r="H774" i="5"/>
  <c r="D773" i="5"/>
  <c r="C773" i="5"/>
  <c r="B773" i="5"/>
  <c r="H773" i="5"/>
  <c r="F773" i="5"/>
  <c r="G773" i="5" s="1"/>
  <c r="E773" i="5"/>
  <c r="H772" i="5"/>
  <c r="F772" i="5"/>
  <c r="G772" i="5" s="1"/>
  <c r="B772" i="5"/>
  <c r="C772" i="5"/>
  <c r="D772" i="5"/>
  <c r="E772" i="5"/>
  <c r="D771" i="5"/>
  <c r="C771" i="5"/>
  <c r="B771" i="5"/>
  <c r="E771" i="5"/>
  <c r="F771" i="5"/>
  <c r="G771" i="5" s="1"/>
  <c r="H771" i="5"/>
  <c r="F770" i="5"/>
  <c r="E770" i="5"/>
  <c r="D770" i="5"/>
  <c r="C770" i="5"/>
  <c r="B770" i="5"/>
  <c r="H770" i="5"/>
  <c r="G770" i="5"/>
  <c r="E769" i="5"/>
  <c r="D769" i="5"/>
  <c r="C769" i="5"/>
  <c r="B769" i="5"/>
  <c r="F769" i="5"/>
  <c r="G769" i="5" s="1"/>
  <c r="H769" i="5"/>
  <c r="F768" i="5"/>
  <c r="G768" i="5" s="1"/>
  <c r="E768" i="5"/>
  <c r="D768" i="5"/>
  <c r="C768" i="5"/>
  <c r="B768" i="5"/>
  <c r="H768" i="5"/>
  <c r="B767" i="5"/>
  <c r="H767" i="5"/>
  <c r="F767" i="5"/>
  <c r="G767" i="5" s="1"/>
  <c r="E767" i="5"/>
  <c r="D767" i="5"/>
  <c r="C767" i="5"/>
  <c r="H766" i="5"/>
  <c r="B766" i="5"/>
  <c r="C766" i="5"/>
  <c r="D766" i="5"/>
  <c r="E766" i="5"/>
  <c r="F766" i="5"/>
  <c r="G766" i="5" s="1"/>
  <c r="B765" i="5"/>
  <c r="C765" i="5"/>
  <c r="D765" i="5"/>
  <c r="E765" i="5"/>
  <c r="F765" i="5"/>
  <c r="G765" i="5" s="1"/>
  <c r="H765" i="5"/>
  <c r="H764" i="5"/>
  <c r="F764" i="5"/>
  <c r="G764" i="5" s="1"/>
  <c r="E764" i="5"/>
  <c r="D764" i="5"/>
  <c r="C764" i="5"/>
  <c r="B764" i="5"/>
  <c r="B763" i="5"/>
  <c r="C763" i="5"/>
  <c r="E763" i="5"/>
  <c r="F763" i="5"/>
  <c r="G763" i="5" s="1"/>
  <c r="H763" i="5"/>
  <c r="D763" i="5"/>
  <c r="B762" i="5"/>
  <c r="C762" i="5"/>
  <c r="D762" i="5"/>
  <c r="E762" i="5"/>
  <c r="F762" i="5"/>
  <c r="G762" i="5" s="1"/>
  <c r="H762" i="5"/>
  <c r="H761" i="5"/>
  <c r="F761" i="5"/>
  <c r="G761" i="5" s="1"/>
  <c r="E761" i="5"/>
  <c r="D761" i="5"/>
  <c r="C761" i="5"/>
  <c r="B761" i="5"/>
  <c r="H760" i="5"/>
  <c r="C760" i="5"/>
  <c r="B760" i="5"/>
  <c r="F760" i="5"/>
  <c r="G760" i="5" s="1"/>
  <c r="E760" i="5"/>
  <c r="D760" i="5"/>
  <c r="H759" i="5"/>
  <c r="F759" i="5"/>
  <c r="G759" i="5" s="1"/>
  <c r="E759" i="5"/>
  <c r="D759" i="5"/>
  <c r="C759" i="5"/>
  <c r="B759" i="5"/>
  <c r="E758" i="5"/>
  <c r="B758" i="5"/>
  <c r="C758" i="5"/>
  <c r="D758" i="5"/>
  <c r="H758" i="5"/>
  <c r="F758" i="5"/>
  <c r="G758" i="5" s="1"/>
  <c r="B757" i="5"/>
  <c r="C757" i="5"/>
  <c r="D757" i="5"/>
  <c r="E757" i="5"/>
  <c r="F757" i="5"/>
  <c r="G757" i="5" s="1"/>
  <c r="H757" i="5"/>
  <c r="F756" i="5"/>
  <c r="G756" i="5" s="1"/>
  <c r="H756" i="5"/>
  <c r="E756" i="5"/>
  <c r="D756" i="5"/>
  <c r="C756" i="5"/>
  <c r="B756" i="5"/>
  <c r="B755" i="5"/>
  <c r="H755" i="5"/>
  <c r="F755" i="5"/>
  <c r="G755" i="5" s="1"/>
  <c r="E755" i="5"/>
  <c r="D755" i="5"/>
  <c r="C755" i="5"/>
  <c r="H754" i="5"/>
  <c r="F754" i="5"/>
  <c r="G754" i="5" s="1"/>
  <c r="E754" i="5"/>
  <c r="D754" i="5"/>
  <c r="C754" i="5"/>
  <c r="B754" i="5"/>
  <c r="D753" i="5"/>
  <c r="E753" i="5"/>
  <c r="F753" i="5"/>
  <c r="G753" i="5" s="1"/>
  <c r="H753" i="5"/>
  <c r="B753" i="5"/>
  <c r="C753" i="5"/>
  <c r="B752" i="5"/>
  <c r="C752" i="5"/>
  <c r="D752" i="5"/>
  <c r="E752" i="5"/>
  <c r="F752" i="5"/>
  <c r="G752" i="5" s="1"/>
  <c r="H752" i="5"/>
  <c r="B751" i="5"/>
  <c r="C751" i="5"/>
  <c r="D751" i="5"/>
  <c r="E751" i="5"/>
  <c r="F751" i="5"/>
  <c r="G751" i="5" s="1"/>
  <c r="H751" i="5"/>
  <c r="H750" i="5"/>
  <c r="C750" i="5"/>
  <c r="B750" i="5"/>
  <c r="D750" i="5"/>
  <c r="E750" i="5"/>
  <c r="F750" i="5"/>
  <c r="G750" i="5" s="1"/>
  <c r="H749" i="5"/>
  <c r="D749" i="5"/>
  <c r="C749" i="5"/>
  <c r="B749" i="5"/>
  <c r="E749" i="5"/>
  <c r="F749" i="5"/>
  <c r="G749" i="5" s="1"/>
  <c r="F748" i="5"/>
  <c r="G748" i="5" s="1"/>
  <c r="E748" i="5"/>
  <c r="D748" i="5"/>
  <c r="C748" i="5"/>
  <c r="B748" i="5"/>
  <c r="H748" i="5"/>
  <c r="D747" i="5"/>
  <c r="C747" i="5"/>
  <c r="B747" i="5"/>
  <c r="H747" i="5"/>
  <c r="F747" i="5"/>
  <c r="G747" i="5" s="1"/>
  <c r="E747" i="5"/>
  <c r="E746" i="5"/>
  <c r="C746" i="5"/>
  <c r="B746" i="5"/>
  <c r="F746" i="5"/>
  <c r="G746" i="5" s="1"/>
  <c r="D746" i="5"/>
  <c r="H746" i="5"/>
  <c r="H745" i="5"/>
  <c r="B745" i="5"/>
  <c r="C745" i="5"/>
  <c r="D745" i="5"/>
  <c r="F745" i="5"/>
  <c r="G745" i="5" s="1"/>
  <c r="E745" i="5"/>
  <c r="B744" i="5"/>
  <c r="F744" i="5"/>
  <c r="G744" i="5" s="1"/>
  <c r="H744" i="5"/>
  <c r="E744" i="5"/>
  <c r="D744" i="5"/>
  <c r="C744" i="5"/>
  <c r="H743" i="5"/>
  <c r="F743" i="5"/>
  <c r="G743" i="5" s="1"/>
  <c r="E743" i="5"/>
  <c r="D743" i="5"/>
  <c r="C743" i="5"/>
  <c r="B743" i="5"/>
  <c r="C742" i="5"/>
  <c r="D742" i="5"/>
  <c r="E742" i="5"/>
  <c r="F742" i="5"/>
  <c r="G742" i="5" s="1"/>
  <c r="H742" i="5"/>
  <c r="B742" i="5"/>
  <c r="H741" i="5"/>
  <c r="F741" i="5"/>
  <c r="G741" i="5" s="1"/>
  <c r="E741" i="5"/>
  <c r="C741" i="5"/>
  <c r="B741" i="5"/>
  <c r="D741" i="5"/>
  <c r="B740" i="5"/>
  <c r="H740" i="5"/>
  <c r="F740" i="5"/>
  <c r="G740" i="5" s="1"/>
  <c r="E740" i="5"/>
  <c r="D740" i="5"/>
  <c r="C740" i="5"/>
  <c r="H739" i="5"/>
  <c r="F739" i="5"/>
  <c r="G739" i="5" s="1"/>
  <c r="E739" i="5"/>
  <c r="D739" i="5"/>
  <c r="C739" i="5"/>
  <c r="B739" i="5"/>
  <c r="H738" i="5"/>
  <c r="B738" i="5"/>
  <c r="C738" i="5"/>
  <c r="D738" i="5"/>
  <c r="E738" i="5"/>
  <c r="F738" i="5"/>
  <c r="G738" i="5" s="1"/>
  <c r="F737" i="5"/>
  <c r="G737" i="5" s="1"/>
  <c r="C737" i="5"/>
  <c r="D737" i="5"/>
  <c r="E737" i="5"/>
  <c r="H737" i="5"/>
  <c r="B737" i="5"/>
  <c r="E736" i="5"/>
  <c r="B736" i="5"/>
  <c r="C736" i="5"/>
  <c r="D736" i="5"/>
  <c r="F736" i="5"/>
  <c r="G736" i="5" s="1"/>
  <c r="H736" i="5"/>
  <c r="B735" i="5"/>
  <c r="H735" i="5"/>
  <c r="F735" i="5"/>
  <c r="G735" i="5" s="1"/>
  <c r="E735" i="5"/>
  <c r="D735" i="5"/>
  <c r="C735" i="5"/>
  <c r="E734" i="5"/>
  <c r="D734" i="5"/>
  <c r="B734" i="5"/>
  <c r="C734" i="5"/>
  <c r="H734" i="5"/>
  <c r="F734" i="5"/>
  <c r="G734" i="5" s="1"/>
  <c r="B733" i="5"/>
  <c r="C733" i="5"/>
  <c r="D733" i="5"/>
  <c r="E733" i="5"/>
  <c r="F733" i="5"/>
  <c r="G733" i="5" s="1"/>
  <c r="H733" i="5"/>
  <c r="B732" i="5"/>
  <c r="C732" i="5"/>
  <c r="D732" i="5"/>
  <c r="F732" i="5"/>
  <c r="G732" i="5" s="1"/>
  <c r="H732" i="5"/>
  <c r="E732" i="5"/>
  <c r="H731" i="5"/>
  <c r="F731" i="5"/>
  <c r="G731" i="5" s="1"/>
  <c r="D731" i="5"/>
  <c r="E731" i="5"/>
  <c r="C731" i="5"/>
  <c r="B731" i="5"/>
  <c r="H730" i="5"/>
  <c r="E730" i="5"/>
  <c r="D730" i="5"/>
  <c r="C730" i="5"/>
  <c r="B730" i="5"/>
  <c r="F730" i="5"/>
  <c r="G730" i="5" s="1"/>
  <c r="H729" i="5"/>
  <c r="F729" i="5"/>
  <c r="G729" i="5" s="1"/>
  <c r="E729" i="5"/>
  <c r="D729" i="5"/>
  <c r="C729" i="5"/>
  <c r="B729" i="5"/>
  <c r="H728" i="5"/>
  <c r="F728" i="5"/>
  <c r="G728" i="5" s="1"/>
  <c r="E728" i="5"/>
  <c r="D728" i="5"/>
  <c r="C728" i="5"/>
  <c r="B728" i="5"/>
  <c r="H727" i="5"/>
  <c r="F727" i="5"/>
  <c r="G727" i="5" s="1"/>
  <c r="E727" i="5"/>
  <c r="D727" i="5"/>
  <c r="C727" i="5"/>
  <c r="B727" i="5"/>
  <c r="H726" i="5"/>
  <c r="F726" i="5"/>
  <c r="G726" i="5" s="1"/>
  <c r="E726" i="5"/>
  <c r="D726" i="5"/>
  <c r="C726" i="5"/>
  <c r="B726" i="5"/>
  <c r="H725" i="5"/>
  <c r="F725" i="5"/>
  <c r="G725" i="5" s="1"/>
  <c r="E725" i="5"/>
  <c r="D725" i="5"/>
  <c r="C725" i="5"/>
  <c r="B725" i="5"/>
  <c r="H724" i="5"/>
  <c r="F724" i="5"/>
  <c r="G724" i="5" s="1"/>
  <c r="E724" i="5"/>
  <c r="D724" i="5"/>
  <c r="C724" i="5"/>
  <c r="B724" i="5"/>
  <c r="H723" i="5"/>
  <c r="F723" i="5"/>
  <c r="G723" i="5" s="1"/>
  <c r="E723" i="5"/>
  <c r="D723" i="5"/>
  <c r="C723" i="5"/>
  <c r="B723" i="5"/>
  <c r="H722" i="5"/>
  <c r="F722" i="5"/>
  <c r="G722" i="5" s="1"/>
  <c r="E722" i="5"/>
  <c r="D722" i="5"/>
  <c r="C722" i="5"/>
  <c r="B722" i="5"/>
  <c r="H721" i="5"/>
  <c r="F721" i="5"/>
  <c r="G721" i="5" s="1"/>
  <c r="E721" i="5"/>
  <c r="D721" i="5"/>
  <c r="C721" i="5"/>
  <c r="B721" i="5"/>
  <c r="H720" i="5"/>
  <c r="F720" i="5"/>
  <c r="G720" i="5" s="1"/>
  <c r="E720" i="5"/>
  <c r="D720" i="5"/>
  <c r="C720" i="5"/>
  <c r="B720" i="5"/>
  <c r="H719" i="5"/>
  <c r="F719" i="5"/>
  <c r="G719" i="5" s="1"/>
  <c r="E719" i="5"/>
  <c r="D719" i="5"/>
  <c r="C719" i="5"/>
  <c r="B719" i="5"/>
  <c r="H718" i="5"/>
  <c r="F718" i="5"/>
  <c r="G718" i="5" s="1"/>
  <c r="E718" i="5"/>
  <c r="D718" i="5"/>
  <c r="C718" i="5"/>
  <c r="B718" i="5"/>
  <c r="H717" i="5"/>
  <c r="F717" i="5"/>
  <c r="G717" i="5" s="1"/>
  <c r="E717" i="5"/>
  <c r="D717" i="5"/>
  <c r="C717" i="5"/>
  <c r="B717" i="5"/>
  <c r="H716" i="5"/>
  <c r="F716" i="5"/>
  <c r="G716" i="5" s="1"/>
  <c r="E716" i="5"/>
  <c r="D716" i="5"/>
  <c r="C716" i="5"/>
  <c r="B716" i="5"/>
  <c r="H715" i="5"/>
  <c r="F715" i="5"/>
  <c r="G715" i="5" s="1"/>
  <c r="E715" i="5"/>
  <c r="D715" i="5"/>
  <c r="C715" i="5"/>
  <c r="B715" i="5"/>
  <c r="H714" i="5"/>
  <c r="F714" i="5"/>
  <c r="G714" i="5" s="1"/>
  <c r="E714" i="5"/>
  <c r="D714" i="5"/>
  <c r="C714" i="5"/>
  <c r="B714" i="5"/>
  <c r="H713" i="5"/>
  <c r="F713" i="5"/>
  <c r="G713" i="5" s="1"/>
  <c r="E713" i="5"/>
  <c r="D713" i="5"/>
  <c r="C713" i="5"/>
  <c r="B713" i="5"/>
  <c r="H712" i="5"/>
  <c r="F712" i="5"/>
  <c r="G712" i="5" s="1"/>
  <c r="E712" i="5"/>
  <c r="D712" i="5"/>
  <c r="C712" i="5"/>
  <c r="B712" i="5"/>
  <c r="H711" i="5"/>
  <c r="F711" i="5"/>
  <c r="G711" i="5" s="1"/>
  <c r="E711" i="5"/>
  <c r="D711" i="5"/>
  <c r="C711" i="5"/>
  <c r="B711" i="5"/>
  <c r="H710" i="5"/>
  <c r="F710" i="5"/>
  <c r="G710" i="5" s="1"/>
  <c r="E710" i="5"/>
  <c r="D710" i="5"/>
  <c r="C710" i="5"/>
  <c r="B710" i="5"/>
  <c r="H709" i="5"/>
  <c r="F709" i="5"/>
  <c r="G709" i="5" s="1"/>
  <c r="E709" i="5"/>
  <c r="D709" i="5"/>
  <c r="C709" i="5"/>
  <c r="B709" i="5"/>
  <c r="H708" i="5"/>
  <c r="F708" i="5"/>
  <c r="G708" i="5" s="1"/>
  <c r="E708" i="5"/>
  <c r="D708" i="5"/>
  <c r="C708" i="5"/>
  <c r="B708" i="5"/>
  <c r="H707" i="5"/>
  <c r="F707" i="5"/>
  <c r="G707" i="5" s="1"/>
  <c r="E707" i="5"/>
  <c r="D707" i="5"/>
  <c r="C707" i="5"/>
  <c r="B707" i="5"/>
  <c r="H706" i="5"/>
  <c r="F706" i="5"/>
  <c r="G706" i="5" s="1"/>
  <c r="E706" i="5"/>
  <c r="D706" i="5"/>
  <c r="C706" i="5"/>
  <c r="B706" i="5"/>
  <c r="H705" i="5"/>
  <c r="F705" i="5"/>
  <c r="G705" i="5" s="1"/>
  <c r="E705" i="5"/>
  <c r="D705" i="5"/>
  <c r="C705" i="5"/>
  <c r="B705" i="5"/>
  <c r="H704" i="5"/>
  <c r="F704" i="5"/>
  <c r="G704" i="5" s="1"/>
  <c r="E704" i="5"/>
  <c r="D704" i="5"/>
  <c r="C704" i="5"/>
  <c r="B704" i="5"/>
  <c r="H703" i="5"/>
  <c r="F703" i="5"/>
  <c r="G703" i="5" s="1"/>
  <c r="E703" i="5"/>
  <c r="D703" i="5"/>
  <c r="C703" i="5"/>
  <c r="B703" i="5"/>
  <c r="H702" i="5"/>
  <c r="F702" i="5"/>
  <c r="G702" i="5" s="1"/>
  <c r="E702" i="5"/>
  <c r="D702" i="5"/>
  <c r="C702" i="5"/>
  <c r="B702" i="5"/>
  <c r="H701" i="5"/>
  <c r="F701" i="5"/>
  <c r="G701" i="5" s="1"/>
  <c r="E701" i="5"/>
  <c r="D701" i="5"/>
  <c r="C701" i="5"/>
  <c r="B701" i="5"/>
  <c r="H700" i="5"/>
  <c r="F700" i="5"/>
  <c r="G700" i="5" s="1"/>
  <c r="E700" i="5"/>
  <c r="D700" i="5"/>
  <c r="C700" i="5"/>
  <c r="B700" i="5"/>
  <c r="H699" i="5"/>
  <c r="F699" i="5"/>
  <c r="G699" i="5" s="1"/>
  <c r="E699" i="5"/>
  <c r="D699" i="5"/>
  <c r="C699" i="5"/>
  <c r="B699" i="5"/>
  <c r="H698" i="5"/>
  <c r="F698" i="5"/>
  <c r="G698" i="5" s="1"/>
  <c r="E698" i="5"/>
  <c r="D698" i="5"/>
  <c r="C698" i="5"/>
  <c r="B698" i="5"/>
  <c r="H697" i="5"/>
  <c r="F697" i="5"/>
  <c r="G697" i="5" s="1"/>
  <c r="E697" i="5"/>
  <c r="D697" i="5"/>
  <c r="C697" i="5"/>
  <c r="B697" i="5"/>
  <c r="H696" i="5"/>
  <c r="F696" i="5"/>
  <c r="G696" i="5" s="1"/>
  <c r="E696" i="5"/>
  <c r="D696" i="5"/>
  <c r="C696" i="5"/>
  <c r="B696" i="5"/>
  <c r="H695" i="5"/>
  <c r="F695" i="5"/>
  <c r="G695" i="5" s="1"/>
  <c r="E695" i="5"/>
  <c r="D695" i="5"/>
  <c r="C695" i="5"/>
  <c r="B695" i="5"/>
  <c r="H694" i="5"/>
  <c r="E694" i="5"/>
  <c r="D694" i="5"/>
  <c r="C694" i="5"/>
  <c r="B694" i="5"/>
  <c r="F694" i="5"/>
  <c r="G694" i="5" s="1"/>
  <c r="E693" i="5"/>
  <c r="H693" i="5"/>
  <c r="F693" i="5"/>
  <c r="G693" i="5" s="1"/>
  <c r="D693" i="5"/>
  <c r="C693" i="5"/>
  <c r="B693" i="5"/>
  <c r="D692" i="5"/>
  <c r="C692" i="5"/>
  <c r="E692" i="5"/>
  <c r="F692" i="5"/>
  <c r="G692" i="5" s="1"/>
  <c r="H692" i="5"/>
  <c r="B692" i="5"/>
  <c r="H691" i="5"/>
  <c r="B691" i="5"/>
  <c r="C691" i="5"/>
  <c r="D691" i="5"/>
  <c r="E691" i="5"/>
  <c r="F691" i="5"/>
  <c r="G691" i="5" s="1"/>
  <c r="H690" i="5"/>
  <c r="E690" i="5"/>
  <c r="D690" i="5"/>
  <c r="C690" i="5"/>
  <c r="B690" i="5"/>
  <c r="F690" i="5"/>
  <c r="G690" i="5" s="1"/>
  <c r="C689" i="5"/>
  <c r="E689" i="5"/>
  <c r="H689" i="5"/>
  <c r="F689" i="5"/>
  <c r="G689" i="5" s="1"/>
  <c r="D689" i="5"/>
  <c r="B689" i="5"/>
  <c r="F688" i="5"/>
  <c r="G688" i="5" s="1"/>
  <c r="H688" i="5"/>
  <c r="D688" i="5"/>
  <c r="C688" i="5"/>
  <c r="B688" i="5"/>
  <c r="E688" i="5"/>
  <c r="E687" i="5"/>
  <c r="B687" i="5"/>
  <c r="D687" i="5"/>
  <c r="F687" i="5"/>
  <c r="G687" i="5" s="1"/>
  <c r="C687" i="5"/>
  <c r="H687" i="5"/>
  <c r="F686" i="5"/>
  <c r="G686" i="5" s="1"/>
  <c r="E686" i="5"/>
  <c r="D686" i="5"/>
  <c r="B686" i="5"/>
  <c r="C686" i="5"/>
  <c r="H686" i="5"/>
  <c r="E685" i="5"/>
  <c r="F685" i="5"/>
  <c r="G685" i="5" s="1"/>
  <c r="H685" i="5"/>
  <c r="B685" i="5"/>
  <c r="C685" i="5"/>
  <c r="D685" i="5"/>
  <c r="H684" i="5"/>
  <c r="D684" i="5"/>
  <c r="F684" i="5"/>
  <c r="G684" i="5" s="1"/>
  <c r="E684" i="5"/>
  <c r="C684" i="5"/>
  <c r="B684" i="5"/>
  <c r="H683" i="5"/>
  <c r="E683" i="5"/>
  <c r="C683" i="5"/>
  <c r="B683" i="5"/>
  <c r="F683" i="5"/>
  <c r="G683" i="5" s="1"/>
  <c r="D683" i="5"/>
  <c r="D682" i="5"/>
  <c r="H682" i="5"/>
  <c r="E682" i="5"/>
  <c r="C682" i="5"/>
  <c r="F682" i="5"/>
  <c r="G682" i="5" s="1"/>
  <c r="B682" i="5"/>
  <c r="B681" i="5"/>
  <c r="H681" i="5"/>
  <c r="E681" i="5"/>
  <c r="C681" i="5"/>
  <c r="D681" i="5"/>
  <c r="F681" i="5"/>
  <c r="G681" i="5" s="1"/>
  <c r="B680" i="5"/>
  <c r="C680" i="5"/>
  <c r="F680" i="5"/>
  <c r="G680" i="5" s="1"/>
  <c r="E680" i="5"/>
  <c r="H680" i="5"/>
  <c r="D680" i="5"/>
  <c r="E679" i="5"/>
  <c r="H679" i="5"/>
  <c r="F679" i="5"/>
  <c r="G679" i="5" s="1"/>
  <c r="D679" i="5"/>
  <c r="C679" i="5"/>
  <c r="B679" i="5"/>
  <c r="F678" i="5"/>
  <c r="G678" i="5" s="1"/>
  <c r="H678" i="5"/>
  <c r="B678" i="5"/>
  <c r="C678" i="5"/>
  <c r="D678" i="5"/>
  <c r="E678" i="5"/>
  <c r="D677" i="5"/>
  <c r="H677" i="5"/>
  <c r="F677" i="5"/>
  <c r="G677" i="5" s="1"/>
  <c r="E677" i="5"/>
  <c r="C677" i="5"/>
  <c r="B677" i="5"/>
  <c r="D676" i="5"/>
  <c r="H676" i="5"/>
  <c r="C676" i="5"/>
  <c r="B676" i="5"/>
  <c r="E676" i="5"/>
  <c r="F676" i="5"/>
  <c r="G676" i="5" s="1"/>
  <c r="B675" i="5"/>
  <c r="C675" i="5"/>
  <c r="D675" i="5"/>
  <c r="H675" i="5"/>
  <c r="F675" i="5"/>
  <c r="G675" i="5" s="1"/>
  <c r="E675" i="5"/>
  <c r="F674" i="5"/>
  <c r="G674" i="5" s="1"/>
  <c r="B674" i="5"/>
  <c r="H674" i="5"/>
  <c r="E674" i="5"/>
  <c r="C674" i="5"/>
  <c r="D674" i="5"/>
  <c r="B673" i="5"/>
  <c r="C673" i="5"/>
  <c r="D673" i="5"/>
  <c r="H673" i="5"/>
  <c r="F673" i="5"/>
  <c r="G673" i="5" s="1"/>
  <c r="E673" i="5"/>
  <c r="F672" i="5"/>
  <c r="G672" i="5" s="1"/>
  <c r="H672" i="5"/>
  <c r="E672" i="5"/>
  <c r="D672" i="5"/>
  <c r="C672" i="5"/>
  <c r="B672" i="5"/>
  <c r="F671" i="5"/>
  <c r="G671" i="5" s="1"/>
  <c r="E671" i="5"/>
  <c r="C671" i="5"/>
  <c r="B671" i="5"/>
  <c r="H671" i="5"/>
  <c r="D671" i="5"/>
  <c r="B670" i="5"/>
  <c r="H670" i="5"/>
  <c r="F670" i="5"/>
  <c r="G670" i="5" s="1"/>
  <c r="E670" i="5"/>
  <c r="D670" i="5"/>
  <c r="C670" i="5"/>
  <c r="C669" i="5"/>
  <c r="H669" i="5"/>
  <c r="F669" i="5"/>
  <c r="G669" i="5" s="1"/>
  <c r="E669" i="5"/>
  <c r="D669" i="5"/>
  <c r="B669" i="5"/>
  <c r="H668" i="5"/>
  <c r="B668" i="5"/>
  <c r="C668" i="5"/>
  <c r="D668" i="5"/>
  <c r="E668" i="5"/>
  <c r="F668" i="5"/>
  <c r="G668" i="5" s="1"/>
  <c r="E667" i="5"/>
  <c r="D667" i="5"/>
  <c r="C667" i="5"/>
  <c r="B667" i="5"/>
  <c r="H667" i="5"/>
  <c r="F667" i="5"/>
  <c r="G667" i="5" s="1"/>
  <c r="H666" i="5"/>
  <c r="F666" i="5"/>
  <c r="G666" i="5" s="1"/>
  <c r="E666" i="5"/>
  <c r="D666" i="5"/>
  <c r="C666" i="5"/>
  <c r="B666" i="5"/>
  <c r="B665" i="5"/>
  <c r="C665" i="5"/>
  <c r="D665" i="5"/>
  <c r="E665" i="5"/>
  <c r="F665" i="5"/>
  <c r="G665" i="5" s="1"/>
  <c r="H665" i="5"/>
  <c r="B664" i="5"/>
  <c r="C664" i="5"/>
  <c r="D664" i="5"/>
  <c r="E664" i="5"/>
  <c r="F664" i="5"/>
  <c r="G664" i="5" s="1"/>
  <c r="H664" i="5"/>
  <c r="B663" i="5"/>
  <c r="C663" i="5"/>
  <c r="D663" i="5"/>
  <c r="H663" i="5"/>
  <c r="F663" i="5"/>
  <c r="G663" i="5" s="1"/>
  <c r="E663" i="5"/>
  <c r="F662" i="5"/>
  <c r="G662" i="5" s="1"/>
  <c r="E662" i="5"/>
  <c r="C662" i="5"/>
  <c r="B662" i="5"/>
  <c r="D662" i="5"/>
  <c r="H662" i="5"/>
  <c r="E661" i="5"/>
  <c r="H661" i="5"/>
  <c r="F661" i="5"/>
  <c r="G661" i="5" s="1"/>
  <c r="D661" i="5"/>
  <c r="C661" i="5"/>
  <c r="B661" i="5"/>
  <c r="H660" i="5"/>
  <c r="F660" i="5"/>
  <c r="G660" i="5" s="1"/>
  <c r="E660" i="5"/>
  <c r="D660" i="5"/>
  <c r="C660" i="5"/>
  <c r="B660" i="5"/>
  <c r="F659" i="5"/>
  <c r="G659" i="5" s="1"/>
  <c r="E659" i="5"/>
  <c r="D659" i="5"/>
  <c r="C659" i="5"/>
  <c r="B659" i="5"/>
  <c r="H659" i="5"/>
  <c r="F658" i="5"/>
  <c r="G658" i="5" s="1"/>
  <c r="E658" i="5"/>
  <c r="H658" i="5"/>
  <c r="C658" i="5"/>
  <c r="B658" i="5"/>
  <c r="D658" i="5"/>
  <c r="C657" i="5"/>
  <c r="H657" i="5"/>
  <c r="B657" i="5"/>
  <c r="E657" i="5"/>
  <c r="F657" i="5"/>
  <c r="G657" i="5" s="1"/>
  <c r="D657" i="5"/>
  <c r="F656" i="5"/>
  <c r="G656" i="5" s="1"/>
  <c r="E656" i="5"/>
  <c r="D656" i="5"/>
  <c r="C656" i="5"/>
  <c r="B656" i="5"/>
  <c r="H656" i="5"/>
  <c r="E655" i="5"/>
  <c r="D655" i="5"/>
  <c r="C655" i="5"/>
  <c r="B655" i="5"/>
  <c r="H655" i="5"/>
  <c r="F655" i="5"/>
  <c r="G655" i="5" s="1"/>
  <c r="H654" i="5"/>
  <c r="F654" i="5"/>
  <c r="G654" i="5" s="1"/>
  <c r="E654" i="5"/>
  <c r="D654" i="5"/>
  <c r="C654" i="5"/>
  <c r="B654" i="5"/>
  <c r="H653" i="5"/>
  <c r="F653" i="5"/>
  <c r="G653" i="5" s="1"/>
  <c r="B653" i="5"/>
  <c r="E653" i="5"/>
  <c r="D653" i="5"/>
  <c r="C653" i="5"/>
  <c r="H652" i="5"/>
  <c r="F652" i="5"/>
  <c r="G652" i="5" s="1"/>
  <c r="E652" i="5"/>
  <c r="D652" i="5"/>
  <c r="C652" i="5"/>
  <c r="B652" i="5"/>
  <c r="F651" i="5"/>
  <c r="G651" i="5" s="1"/>
  <c r="H651" i="5"/>
  <c r="E651" i="5"/>
  <c r="B651" i="5"/>
  <c r="C651" i="5"/>
  <c r="D651" i="5"/>
  <c r="H650" i="5"/>
  <c r="F650" i="5"/>
  <c r="G650" i="5" s="1"/>
  <c r="E650" i="5"/>
  <c r="D650" i="5"/>
  <c r="C650" i="5"/>
  <c r="B650" i="5"/>
  <c r="E649" i="5"/>
  <c r="H649" i="5"/>
  <c r="F649" i="5"/>
  <c r="G649" i="5" s="1"/>
  <c r="D649" i="5"/>
  <c r="C649" i="5"/>
  <c r="B649" i="5"/>
  <c r="F648" i="5"/>
  <c r="G648" i="5" s="1"/>
  <c r="B648" i="5"/>
  <c r="C648" i="5"/>
  <c r="H648" i="5"/>
  <c r="D648" i="5"/>
  <c r="E648" i="5"/>
  <c r="E647" i="5"/>
  <c r="F647" i="5"/>
  <c r="G647" i="5" s="1"/>
  <c r="H647" i="5"/>
  <c r="D647" i="5"/>
  <c r="B647" i="5"/>
  <c r="C647" i="5"/>
  <c r="C646" i="5"/>
  <c r="B646" i="5"/>
  <c r="D646" i="5"/>
  <c r="E646" i="5"/>
  <c r="F646" i="5"/>
  <c r="G646" i="5" s="1"/>
  <c r="H646" i="5"/>
  <c r="D645" i="5"/>
  <c r="C645" i="5"/>
  <c r="E645" i="5"/>
  <c r="H645" i="5"/>
  <c r="F645" i="5"/>
  <c r="G645" i="5" s="1"/>
  <c r="B645" i="5"/>
  <c r="F644" i="5"/>
  <c r="G644" i="5" s="1"/>
  <c r="E644" i="5"/>
  <c r="D644" i="5"/>
  <c r="C644" i="5"/>
  <c r="B644" i="5"/>
  <c r="H644" i="5"/>
  <c r="E643" i="5"/>
  <c r="D643" i="5"/>
  <c r="B643" i="5"/>
  <c r="F643" i="5"/>
  <c r="G643" i="5" s="1"/>
  <c r="H643" i="5"/>
  <c r="C643" i="5"/>
  <c r="H642" i="5"/>
  <c r="E642" i="5"/>
  <c r="C642" i="5"/>
  <c r="F642" i="5"/>
  <c r="G642" i="5" s="1"/>
  <c r="B642" i="5"/>
  <c r="D642" i="5"/>
  <c r="C641" i="5"/>
  <c r="D641" i="5"/>
  <c r="E641" i="5"/>
  <c r="F641" i="5"/>
  <c r="G641" i="5" s="1"/>
  <c r="B641" i="5"/>
  <c r="H641" i="5"/>
  <c r="H640" i="5"/>
  <c r="F640" i="5"/>
  <c r="G640" i="5" s="1"/>
  <c r="E640" i="5"/>
  <c r="D640" i="5"/>
  <c r="C640" i="5"/>
  <c r="B640" i="5"/>
  <c r="E639" i="5"/>
  <c r="F639" i="5"/>
  <c r="G639" i="5" s="1"/>
  <c r="H639" i="5"/>
  <c r="C639" i="5"/>
  <c r="B639" i="5"/>
  <c r="D639" i="5"/>
  <c r="F638" i="5"/>
  <c r="G638" i="5" s="1"/>
  <c r="H638" i="5"/>
  <c r="C638" i="5"/>
  <c r="D638" i="5"/>
  <c r="E638" i="5"/>
  <c r="B638" i="5"/>
  <c r="D637" i="5"/>
  <c r="E637" i="5"/>
  <c r="F637" i="5"/>
  <c r="G637" i="5" s="1"/>
  <c r="H637" i="5"/>
  <c r="B637" i="5"/>
  <c r="C637" i="5"/>
  <c r="F636" i="5"/>
  <c r="G636" i="5" s="1"/>
  <c r="E636" i="5"/>
  <c r="D636" i="5"/>
  <c r="C636" i="5"/>
  <c r="B636" i="5"/>
  <c r="H636" i="5"/>
  <c r="H635" i="5"/>
  <c r="E635" i="5"/>
  <c r="D635" i="5"/>
  <c r="C635" i="5"/>
  <c r="B635" i="5"/>
  <c r="F635" i="5"/>
  <c r="G635" i="5" s="1"/>
  <c r="H634" i="5"/>
  <c r="F634" i="5"/>
  <c r="G634" i="5" s="1"/>
  <c r="E634" i="5"/>
  <c r="D634" i="5"/>
  <c r="C634" i="5"/>
  <c r="B634" i="5"/>
  <c r="E633" i="5"/>
  <c r="D633" i="5"/>
  <c r="C633" i="5"/>
  <c r="B633" i="5"/>
  <c r="H633" i="5"/>
  <c r="F633" i="5"/>
  <c r="G633" i="5" s="1"/>
  <c r="H632" i="5"/>
  <c r="E632" i="5"/>
  <c r="B632" i="5"/>
  <c r="F632" i="5"/>
  <c r="G632" i="5" s="1"/>
  <c r="C632" i="5"/>
  <c r="D632" i="5"/>
  <c r="C631" i="5"/>
  <c r="F631" i="5"/>
  <c r="G631" i="5" s="1"/>
  <c r="B631" i="5"/>
  <c r="H631" i="5"/>
  <c r="D631" i="5"/>
  <c r="E631" i="5"/>
  <c r="H630" i="5"/>
  <c r="F630" i="5"/>
  <c r="G630" i="5" s="1"/>
  <c r="E630" i="5"/>
  <c r="D630" i="5"/>
  <c r="C630" i="5"/>
  <c r="B630" i="5"/>
  <c r="H629" i="5"/>
  <c r="B629" i="5"/>
  <c r="C629" i="5"/>
  <c r="D629" i="5"/>
  <c r="E629" i="5"/>
  <c r="F629" i="5"/>
  <c r="G629" i="5" s="1"/>
  <c r="B628" i="5"/>
  <c r="D628" i="5"/>
  <c r="E628" i="5"/>
  <c r="F628" i="5"/>
  <c r="G628" i="5" s="1"/>
  <c r="H628" i="5"/>
  <c r="C628" i="5"/>
  <c r="B627" i="5"/>
  <c r="E627" i="5"/>
  <c r="F627" i="5"/>
  <c r="G627" i="5" s="1"/>
  <c r="H627" i="5"/>
  <c r="C627" i="5"/>
  <c r="D627" i="5"/>
  <c r="H626" i="5"/>
  <c r="F626" i="5"/>
  <c r="G626" i="5" s="1"/>
  <c r="E626" i="5"/>
  <c r="C626" i="5"/>
  <c r="B626" i="5"/>
  <c r="D626" i="5"/>
  <c r="H625" i="5"/>
  <c r="F625" i="5"/>
  <c r="G625" i="5" s="1"/>
  <c r="C625" i="5"/>
  <c r="B625" i="5"/>
  <c r="D625" i="5"/>
  <c r="E625" i="5"/>
  <c r="D624" i="5"/>
  <c r="C624" i="5"/>
  <c r="B624" i="5"/>
  <c r="E624" i="5"/>
  <c r="F624" i="5"/>
  <c r="G624" i="5" s="1"/>
  <c r="H624" i="5"/>
  <c r="H623" i="5"/>
  <c r="E623" i="5"/>
  <c r="D623" i="5"/>
  <c r="C623" i="5"/>
  <c r="B623" i="5"/>
  <c r="F623" i="5"/>
  <c r="G623" i="5" s="1"/>
  <c r="F622" i="5"/>
  <c r="E622" i="5"/>
  <c r="D622" i="5"/>
  <c r="C622" i="5"/>
  <c r="B622" i="5"/>
  <c r="H622" i="5"/>
  <c r="G622" i="5"/>
  <c r="F621" i="5"/>
  <c r="G621" i="5" s="1"/>
  <c r="E621" i="5"/>
  <c r="D621" i="5"/>
  <c r="C621" i="5"/>
  <c r="B621" i="5"/>
  <c r="H621" i="5"/>
  <c r="H620" i="5"/>
  <c r="F620" i="5"/>
  <c r="G620" i="5" s="1"/>
  <c r="E620" i="5"/>
  <c r="C620" i="5"/>
  <c r="B620" i="5"/>
  <c r="D620" i="5"/>
  <c r="F619" i="5"/>
  <c r="G619" i="5" s="1"/>
  <c r="D619" i="5"/>
  <c r="E619" i="5"/>
  <c r="C619" i="5"/>
  <c r="B619" i="5"/>
  <c r="H619" i="5"/>
  <c r="C618" i="5"/>
  <c r="F618" i="5"/>
  <c r="G618" i="5" s="1"/>
  <c r="E618" i="5"/>
  <c r="D618" i="5"/>
  <c r="H618" i="5"/>
  <c r="B618" i="5"/>
  <c r="E617" i="5"/>
  <c r="C617" i="5"/>
  <c r="B617" i="5"/>
  <c r="H617" i="5"/>
  <c r="F617" i="5"/>
  <c r="G617" i="5" s="1"/>
  <c r="D617" i="5"/>
  <c r="H616" i="5"/>
  <c r="E616" i="5"/>
  <c r="D616" i="5"/>
  <c r="C616" i="5"/>
  <c r="B616" i="5"/>
  <c r="F616" i="5"/>
  <c r="G616" i="5" s="1"/>
  <c r="D615" i="5"/>
  <c r="E615" i="5"/>
  <c r="F615" i="5"/>
  <c r="G615" i="5" s="1"/>
  <c r="H615" i="5"/>
  <c r="C615" i="5"/>
  <c r="B615" i="5"/>
  <c r="H614" i="5"/>
  <c r="B614" i="5"/>
  <c r="C614" i="5"/>
  <c r="D614" i="5"/>
  <c r="E614" i="5"/>
  <c r="F614" i="5"/>
  <c r="G614" i="5" s="1"/>
  <c r="B613" i="5"/>
  <c r="C613" i="5"/>
  <c r="D613" i="5"/>
  <c r="E613" i="5"/>
  <c r="H613" i="5"/>
  <c r="F613" i="5"/>
  <c r="G613" i="5" s="1"/>
  <c r="B612" i="5"/>
  <c r="C612" i="5"/>
  <c r="D612" i="5"/>
  <c r="E612" i="5"/>
  <c r="F612" i="5"/>
  <c r="G612" i="5" s="1"/>
  <c r="H612" i="5"/>
  <c r="E611" i="5"/>
  <c r="F611" i="5"/>
  <c r="G611" i="5" s="1"/>
  <c r="H611" i="5"/>
  <c r="B611" i="5"/>
  <c r="C611" i="5"/>
  <c r="D611" i="5"/>
  <c r="C610" i="5"/>
  <c r="B610" i="5"/>
  <c r="E610" i="5"/>
  <c r="H610" i="5"/>
  <c r="F610" i="5"/>
  <c r="G610" i="5" s="1"/>
  <c r="D610" i="5"/>
  <c r="D609" i="5"/>
  <c r="B609" i="5"/>
  <c r="C609" i="5"/>
  <c r="E609" i="5"/>
  <c r="F609" i="5"/>
  <c r="G609" i="5" s="1"/>
  <c r="H609" i="5"/>
  <c r="C608" i="5"/>
  <c r="B608" i="5"/>
  <c r="H608" i="5"/>
  <c r="F608" i="5"/>
  <c r="G608" i="5" s="1"/>
  <c r="E608" i="5"/>
  <c r="D608" i="5"/>
  <c r="H607" i="5"/>
  <c r="F607" i="5"/>
  <c r="G607" i="5" s="1"/>
  <c r="E607" i="5"/>
  <c r="D607" i="5"/>
  <c r="C607" i="5"/>
  <c r="B607" i="5"/>
  <c r="F606" i="5"/>
  <c r="G606" i="5" s="1"/>
  <c r="E606" i="5"/>
  <c r="D606" i="5"/>
  <c r="C606" i="5"/>
  <c r="H606" i="5"/>
  <c r="B606" i="5"/>
  <c r="H605" i="5"/>
  <c r="F605" i="5"/>
  <c r="G605" i="5" s="1"/>
  <c r="E605" i="5"/>
  <c r="D605" i="5"/>
  <c r="C605" i="5"/>
  <c r="B605" i="5"/>
  <c r="H604" i="5"/>
  <c r="B604" i="5"/>
  <c r="C604" i="5"/>
  <c r="D604" i="5"/>
  <c r="E604" i="5"/>
  <c r="F604" i="5"/>
  <c r="G604" i="5" s="1"/>
  <c r="F603" i="5"/>
  <c r="G603" i="5" s="1"/>
  <c r="C603" i="5"/>
  <c r="D603" i="5"/>
  <c r="E603" i="5"/>
  <c r="H603" i="5"/>
  <c r="B603" i="5"/>
  <c r="C602" i="5"/>
  <c r="D602" i="5"/>
  <c r="E602" i="5"/>
  <c r="F602" i="5"/>
  <c r="G602" i="5" s="1"/>
  <c r="H602" i="5"/>
  <c r="B602" i="5"/>
  <c r="F601" i="5"/>
  <c r="G601" i="5" s="1"/>
  <c r="E601" i="5"/>
  <c r="D601" i="5"/>
  <c r="C601" i="5"/>
  <c r="B601" i="5"/>
  <c r="H601" i="5"/>
  <c r="D600" i="5"/>
  <c r="C600" i="5"/>
  <c r="B600" i="5"/>
  <c r="H600" i="5"/>
  <c r="F600" i="5"/>
  <c r="G600" i="5" s="1"/>
  <c r="E600" i="5"/>
  <c r="C599" i="5"/>
  <c r="B599" i="5"/>
  <c r="D599" i="5"/>
  <c r="E599" i="5"/>
  <c r="F599" i="5"/>
  <c r="G599" i="5" s="1"/>
  <c r="H599" i="5"/>
  <c r="D598" i="5"/>
  <c r="H598" i="5"/>
  <c r="B598" i="5"/>
  <c r="C598" i="5"/>
  <c r="E598" i="5"/>
  <c r="F598" i="5"/>
  <c r="G598" i="5" s="1"/>
  <c r="E597" i="5"/>
  <c r="B597" i="5"/>
  <c r="C597" i="5"/>
  <c r="D597" i="5"/>
  <c r="F597" i="5"/>
  <c r="G597" i="5" s="1"/>
  <c r="H597" i="5"/>
  <c r="H596" i="5"/>
  <c r="C596" i="5"/>
  <c r="B596" i="5"/>
  <c r="D596" i="5"/>
  <c r="E596" i="5"/>
  <c r="F596" i="5"/>
  <c r="G596" i="5" s="1"/>
  <c r="F595" i="5"/>
  <c r="G595" i="5" s="1"/>
  <c r="E595" i="5"/>
  <c r="D595" i="5"/>
  <c r="C595" i="5"/>
  <c r="B595" i="5"/>
  <c r="H595" i="5"/>
  <c r="B594" i="5"/>
  <c r="H594" i="5"/>
  <c r="F594" i="5"/>
  <c r="G594" i="5" s="1"/>
  <c r="E594" i="5"/>
  <c r="D594" i="5"/>
  <c r="C594" i="5"/>
  <c r="H593" i="5"/>
  <c r="B593" i="5"/>
  <c r="C593" i="5"/>
  <c r="D593" i="5"/>
  <c r="E593" i="5"/>
  <c r="F593" i="5"/>
  <c r="G593" i="5" s="1"/>
  <c r="H592" i="5"/>
  <c r="F592" i="5"/>
  <c r="E592" i="5"/>
  <c r="D592" i="5"/>
  <c r="C592" i="5"/>
  <c r="B592" i="5"/>
  <c r="G592" i="5"/>
  <c r="H591" i="5"/>
  <c r="F591" i="5"/>
  <c r="G591" i="5" s="1"/>
  <c r="E591" i="5"/>
  <c r="D591" i="5"/>
  <c r="C591" i="5"/>
  <c r="B591" i="5"/>
  <c r="H590" i="5"/>
  <c r="F590" i="5"/>
  <c r="G590" i="5" s="1"/>
  <c r="E590" i="5"/>
  <c r="D590" i="5"/>
  <c r="C590" i="5"/>
  <c r="B590" i="5"/>
  <c r="H589" i="5"/>
  <c r="F589" i="5"/>
  <c r="G589" i="5" s="1"/>
  <c r="E589" i="5"/>
  <c r="D589" i="5"/>
  <c r="C589" i="5"/>
  <c r="B589" i="5"/>
  <c r="H588" i="5"/>
  <c r="F588" i="5"/>
  <c r="G588" i="5" s="1"/>
  <c r="E588" i="5"/>
  <c r="D588" i="5"/>
  <c r="C588" i="5"/>
  <c r="B588" i="5"/>
  <c r="H587" i="5"/>
  <c r="F587" i="5"/>
  <c r="G587" i="5" s="1"/>
  <c r="E587" i="5"/>
  <c r="D587" i="5"/>
  <c r="C587" i="5"/>
  <c r="B587" i="5"/>
  <c r="H586" i="5"/>
  <c r="F586" i="5"/>
  <c r="G586" i="5" s="1"/>
  <c r="E586" i="5"/>
  <c r="D586" i="5"/>
  <c r="C586" i="5"/>
  <c r="B586" i="5"/>
  <c r="H585" i="5"/>
  <c r="F585" i="5"/>
  <c r="G585" i="5" s="1"/>
  <c r="E585" i="5"/>
  <c r="D585" i="5"/>
  <c r="C585" i="5"/>
  <c r="B585" i="5"/>
  <c r="H584" i="5"/>
  <c r="D584" i="5"/>
  <c r="C584" i="5"/>
  <c r="B584" i="5"/>
  <c r="E584" i="5"/>
  <c r="F584" i="5"/>
  <c r="G584" i="5" s="1"/>
  <c r="H583" i="5"/>
  <c r="F583" i="5"/>
  <c r="G583" i="5" s="1"/>
  <c r="E583" i="5"/>
  <c r="D583" i="5"/>
  <c r="C583" i="5"/>
  <c r="B583" i="5"/>
  <c r="F582" i="5"/>
  <c r="G582" i="5" s="1"/>
  <c r="D582" i="5"/>
  <c r="C582" i="5"/>
  <c r="B582" i="5"/>
  <c r="E582" i="5"/>
  <c r="H582" i="5"/>
  <c r="E581" i="5"/>
  <c r="D581" i="5"/>
  <c r="C581" i="5"/>
  <c r="H581" i="5"/>
  <c r="F581" i="5"/>
  <c r="G581" i="5" s="1"/>
  <c r="B581" i="5"/>
  <c r="H580" i="5"/>
  <c r="F580" i="5"/>
  <c r="G580" i="5" s="1"/>
  <c r="E580" i="5"/>
  <c r="D580" i="5"/>
  <c r="C580" i="5"/>
  <c r="B580" i="5"/>
  <c r="F579" i="5"/>
  <c r="G579" i="5" s="1"/>
  <c r="H579" i="5"/>
  <c r="E579" i="5"/>
  <c r="B579" i="5"/>
  <c r="C579" i="5"/>
  <c r="D579" i="5"/>
  <c r="B578" i="5"/>
  <c r="C578" i="5"/>
  <c r="H578" i="5"/>
  <c r="F578" i="5"/>
  <c r="G578" i="5" s="1"/>
  <c r="E578" i="5"/>
  <c r="D578" i="5"/>
  <c r="H577" i="5"/>
  <c r="F577" i="5"/>
  <c r="G577" i="5" s="1"/>
  <c r="E577" i="5"/>
  <c r="D577" i="5"/>
  <c r="C577" i="5"/>
  <c r="B577" i="5"/>
  <c r="H576" i="5"/>
  <c r="F576" i="5"/>
  <c r="G576" i="5" s="1"/>
  <c r="E576" i="5"/>
  <c r="D576" i="5"/>
  <c r="C576" i="5"/>
  <c r="B576" i="5"/>
  <c r="H575" i="5"/>
  <c r="F575" i="5"/>
  <c r="G575" i="5" s="1"/>
  <c r="E575" i="5"/>
  <c r="D575" i="5"/>
  <c r="C575" i="5"/>
  <c r="B575" i="5"/>
  <c r="C574" i="5"/>
  <c r="B574" i="5"/>
  <c r="H574" i="5"/>
  <c r="F574" i="5"/>
  <c r="G574" i="5" s="1"/>
  <c r="D574" i="5"/>
  <c r="E574" i="5"/>
  <c r="B573" i="5"/>
  <c r="H573" i="5"/>
  <c r="F573" i="5"/>
  <c r="G573" i="5" s="1"/>
  <c r="E573" i="5"/>
  <c r="D573" i="5"/>
  <c r="C573" i="5"/>
  <c r="H572" i="5"/>
  <c r="F572" i="5"/>
  <c r="G572" i="5" s="1"/>
  <c r="E572" i="5"/>
  <c r="D572" i="5"/>
  <c r="B572" i="5"/>
  <c r="C572" i="5"/>
  <c r="H571" i="5"/>
  <c r="F571" i="5"/>
  <c r="G571" i="5" s="1"/>
  <c r="E571" i="5"/>
  <c r="D571" i="5"/>
  <c r="B571" i="5"/>
  <c r="C571" i="5"/>
  <c r="B570" i="5"/>
  <c r="C570" i="5"/>
  <c r="D570" i="5"/>
  <c r="E570" i="5"/>
  <c r="F570" i="5"/>
  <c r="G570" i="5" s="1"/>
  <c r="H570" i="5"/>
  <c r="B569" i="5"/>
  <c r="H569" i="5"/>
  <c r="D569" i="5"/>
  <c r="E569" i="5"/>
  <c r="C569" i="5"/>
  <c r="F569" i="5"/>
  <c r="G569" i="5" s="1"/>
  <c r="B568" i="5"/>
  <c r="C568" i="5"/>
  <c r="D568" i="5"/>
  <c r="E568" i="5"/>
  <c r="F568" i="5"/>
  <c r="G568" i="5" s="1"/>
  <c r="H568" i="5"/>
  <c r="H567" i="5"/>
  <c r="F567" i="5"/>
  <c r="G567" i="5" s="1"/>
  <c r="E567" i="5"/>
  <c r="D567" i="5"/>
  <c r="C567" i="5"/>
  <c r="B567" i="5"/>
  <c r="F566" i="5"/>
  <c r="H566" i="5"/>
  <c r="E566" i="5"/>
  <c r="C566" i="5"/>
  <c r="B566" i="5"/>
  <c r="G566" i="5"/>
  <c r="D566" i="5"/>
  <c r="F565" i="5"/>
  <c r="E565" i="5"/>
  <c r="D565" i="5"/>
  <c r="C565" i="5"/>
  <c r="B565" i="5"/>
  <c r="H565" i="5"/>
  <c r="G565" i="5"/>
  <c r="B564" i="5"/>
  <c r="C564" i="5"/>
  <c r="D564" i="5"/>
  <c r="E564" i="5"/>
  <c r="F564" i="5"/>
  <c r="G564" i="5" s="1"/>
  <c r="H564" i="5"/>
  <c r="H563" i="5"/>
  <c r="F563" i="5"/>
  <c r="G563" i="5" s="1"/>
  <c r="E563" i="5"/>
  <c r="D563" i="5"/>
  <c r="B563" i="5"/>
  <c r="C563" i="5"/>
  <c r="H562" i="5"/>
  <c r="F562" i="5"/>
  <c r="G562" i="5" s="1"/>
  <c r="E562" i="5"/>
  <c r="D562" i="5"/>
  <c r="C562" i="5"/>
  <c r="B562" i="5"/>
  <c r="F561" i="5"/>
  <c r="G561" i="5" s="1"/>
  <c r="E561" i="5"/>
  <c r="D561" i="5"/>
  <c r="C561" i="5"/>
  <c r="B561" i="5"/>
  <c r="H561" i="5"/>
  <c r="H560" i="5"/>
  <c r="F560" i="5"/>
  <c r="G560" i="5" s="1"/>
  <c r="E560" i="5"/>
  <c r="D560" i="5"/>
  <c r="C560" i="5"/>
  <c r="B560" i="5"/>
  <c r="H559" i="5"/>
  <c r="F559" i="5"/>
  <c r="G559" i="5" s="1"/>
  <c r="E559" i="5"/>
  <c r="C559" i="5"/>
  <c r="B559" i="5"/>
  <c r="D559" i="5"/>
  <c r="F558" i="5"/>
  <c r="G558" i="5" s="1"/>
  <c r="D558" i="5"/>
  <c r="E558" i="5"/>
  <c r="H558" i="5"/>
  <c r="C558" i="5"/>
  <c r="B558" i="5"/>
  <c r="B557" i="5"/>
  <c r="E557" i="5"/>
  <c r="H557" i="5"/>
  <c r="F557" i="5"/>
  <c r="G557" i="5" s="1"/>
  <c r="C557" i="5"/>
  <c r="D557" i="5"/>
  <c r="H556" i="5"/>
  <c r="D556" i="5"/>
  <c r="E556" i="5"/>
  <c r="F556" i="5"/>
  <c r="G556" i="5" s="1"/>
  <c r="C556" i="5"/>
  <c r="B556" i="5"/>
  <c r="C555" i="5"/>
  <c r="D555" i="5"/>
  <c r="E555" i="5"/>
  <c r="F555" i="5"/>
  <c r="G555" i="5" s="1"/>
  <c r="H555" i="5"/>
  <c r="B555" i="5"/>
  <c r="D554" i="5"/>
  <c r="E554" i="5"/>
  <c r="H554" i="5"/>
  <c r="F554" i="5"/>
  <c r="G554" i="5" s="1"/>
  <c r="C554" i="5"/>
  <c r="B554" i="5"/>
  <c r="B553" i="5"/>
  <c r="C553" i="5"/>
  <c r="D553" i="5"/>
  <c r="E553" i="5"/>
  <c r="F553" i="5"/>
  <c r="G553" i="5" s="1"/>
  <c r="H553" i="5"/>
  <c r="E552" i="5"/>
  <c r="F552" i="5"/>
  <c r="G552" i="5" s="1"/>
  <c r="H552" i="5"/>
  <c r="B552" i="5"/>
  <c r="C552" i="5"/>
  <c r="D552" i="5"/>
  <c r="E551" i="5"/>
  <c r="D551" i="5"/>
  <c r="C551" i="5"/>
  <c r="B551" i="5"/>
  <c r="F551" i="5"/>
  <c r="G551" i="5" s="1"/>
  <c r="H551" i="5"/>
  <c r="D550" i="5"/>
  <c r="C550" i="5"/>
  <c r="B550" i="5"/>
  <c r="H550" i="5"/>
  <c r="F550" i="5"/>
  <c r="G550" i="5" s="1"/>
  <c r="E550" i="5"/>
  <c r="C549" i="5"/>
  <c r="B549" i="5"/>
  <c r="F549" i="5"/>
  <c r="G549" i="5" s="1"/>
  <c r="E549" i="5"/>
  <c r="D549" i="5"/>
  <c r="H549" i="5"/>
  <c r="F548" i="5"/>
  <c r="G548" i="5" s="1"/>
  <c r="E548" i="5"/>
  <c r="D548" i="5"/>
  <c r="C548" i="5"/>
  <c r="B548" i="5"/>
  <c r="H548" i="5"/>
  <c r="E547" i="5"/>
  <c r="D547" i="5"/>
  <c r="C547" i="5"/>
  <c r="B547" i="5"/>
  <c r="H547" i="5"/>
  <c r="F547" i="5"/>
  <c r="G547" i="5" s="1"/>
  <c r="H546" i="5"/>
  <c r="F546" i="5"/>
  <c r="G546" i="5" s="1"/>
  <c r="E546" i="5"/>
  <c r="D546" i="5"/>
  <c r="C546" i="5"/>
  <c r="B546" i="5"/>
  <c r="H545" i="5"/>
  <c r="F545" i="5"/>
  <c r="G545" i="5" s="1"/>
  <c r="B545" i="5"/>
  <c r="E545" i="5"/>
  <c r="D545" i="5"/>
  <c r="C545" i="5"/>
  <c r="H544" i="5"/>
  <c r="F544" i="5"/>
  <c r="G544" i="5" s="1"/>
  <c r="E544" i="5"/>
  <c r="D544" i="5"/>
  <c r="C544" i="5"/>
  <c r="B544" i="5"/>
  <c r="E543" i="5"/>
  <c r="H543" i="5"/>
  <c r="F543" i="5"/>
  <c r="G543" i="5" s="1"/>
  <c r="B543" i="5"/>
  <c r="C543" i="5"/>
  <c r="D543" i="5"/>
  <c r="H542" i="5"/>
  <c r="F542" i="5"/>
  <c r="G542" i="5" s="1"/>
  <c r="E542" i="5"/>
  <c r="D542" i="5"/>
  <c r="C542" i="5"/>
  <c r="B542" i="5"/>
  <c r="H541" i="5"/>
  <c r="E541" i="5"/>
  <c r="F541" i="5"/>
  <c r="G541" i="5" s="1"/>
  <c r="D541" i="5"/>
  <c r="C541" i="5"/>
  <c r="B541" i="5"/>
  <c r="B540" i="5"/>
  <c r="C540" i="5"/>
  <c r="D540" i="5"/>
  <c r="E540" i="5"/>
  <c r="H540" i="5"/>
  <c r="F540" i="5"/>
  <c r="G540" i="5" s="1"/>
  <c r="F539" i="5"/>
  <c r="G539" i="5"/>
  <c r="H539" i="5"/>
  <c r="E539" i="5"/>
  <c r="B539" i="5"/>
  <c r="C539" i="5"/>
  <c r="D539" i="5"/>
  <c r="E538" i="5"/>
  <c r="C538" i="5"/>
  <c r="D538" i="5"/>
  <c r="F538" i="5"/>
  <c r="G538" i="5" s="1"/>
  <c r="B538" i="5"/>
  <c r="H538" i="5"/>
  <c r="D537" i="5"/>
  <c r="E537" i="5"/>
  <c r="H537" i="5"/>
  <c r="F537" i="5"/>
  <c r="G537" i="5" s="1"/>
  <c r="B537" i="5"/>
  <c r="C537" i="5"/>
  <c r="F536" i="5"/>
  <c r="G536" i="5" s="1"/>
  <c r="E536" i="5"/>
  <c r="D536" i="5"/>
  <c r="C536" i="5"/>
  <c r="B536" i="5"/>
  <c r="H536" i="5"/>
  <c r="E535" i="5"/>
  <c r="D535" i="5"/>
  <c r="F535" i="5"/>
  <c r="G535" i="5" s="1"/>
  <c r="B535" i="5"/>
  <c r="H535" i="5"/>
  <c r="C535" i="5"/>
  <c r="F534" i="5"/>
  <c r="G534" i="5" s="1"/>
  <c r="C534" i="5"/>
  <c r="H534" i="5"/>
  <c r="D534" i="5"/>
  <c r="E534" i="5"/>
  <c r="B534" i="5"/>
  <c r="C533" i="5"/>
  <c r="D533" i="5"/>
  <c r="E533" i="5"/>
  <c r="F533" i="5"/>
  <c r="G533" i="5" s="1"/>
  <c r="H533" i="5"/>
  <c r="B533" i="5"/>
  <c r="H532" i="5"/>
  <c r="F532" i="5"/>
  <c r="G532" i="5" s="1"/>
  <c r="E532" i="5"/>
  <c r="D532" i="5"/>
  <c r="C532" i="5"/>
  <c r="B532" i="5"/>
  <c r="F531" i="5"/>
  <c r="G531" i="5"/>
  <c r="H531" i="5"/>
  <c r="B531" i="5"/>
  <c r="C531" i="5"/>
  <c r="D531" i="5"/>
  <c r="E531" i="5"/>
  <c r="H530" i="5"/>
  <c r="C530" i="5"/>
  <c r="D530" i="5"/>
  <c r="E530" i="5"/>
  <c r="F530" i="5"/>
  <c r="G530" i="5" s="1"/>
  <c r="B530" i="5"/>
  <c r="C529" i="5"/>
  <c r="D529" i="5"/>
  <c r="E529" i="5"/>
  <c r="F529" i="5"/>
  <c r="G529" i="5"/>
  <c r="H529" i="5"/>
  <c r="B529" i="5"/>
  <c r="F528" i="5"/>
  <c r="E528" i="5"/>
  <c r="D528" i="5"/>
  <c r="C528" i="5"/>
  <c r="B528" i="5"/>
  <c r="G528" i="5"/>
  <c r="H528" i="5"/>
  <c r="H527" i="5"/>
  <c r="E527" i="5"/>
  <c r="D527" i="5"/>
  <c r="C527" i="5"/>
  <c r="B527" i="5"/>
  <c r="F527" i="5"/>
  <c r="G527" i="5" s="1"/>
  <c r="H526" i="5"/>
  <c r="D526" i="5"/>
  <c r="E526" i="5"/>
  <c r="C526" i="5"/>
  <c r="F526" i="5"/>
  <c r="G526" i="5" s="1"/>
  <c r="B526" i="5"/>
  <c r="C525" i="5"/>
  <c r="B525" i="5"/>
  <c r="F525" i="5"/>
  <c r="G525" i="5"/>
  <c r="D525" i="5"/>
  <c r="H525" i="5"/>
  <c r="E525" i="5"/>
  <c r="H524" i="5"/>
  <c r="E524" i="5"/>
  <c r="D524" i="5"/>
  <c r="C524" i="5"/>
  <c r="F524" i="5"/>
  <c r="G524" i="5" s="1"/>
  <c r="B524" i="5"/>
  <c r="H523" i="5"/>
  <c r="F523" i="5"/>
  <c r="G523" i="5" s="1"/>
  <c r="E523" i="5"/>
  <c r="D523" i="5"/>
  <c r="B523" i="5"/>
  <c r="C523" i="5"/>
  <c r="E522" i="5"/>
  <c r="D522" i="5"/>
  <c r="C522" i="5"/>
  <c r="B522" i="5"/>
  <c r="H522" i="5"/>
  <c r="F522" i="5"/>
  <c r="G522" i="5" s="1"/>
  <c r="B521" i="5"/>
  <c r="C521" i="5"/>
  <c r="D521" i="5"/>
  <c r="F521" i="5"/>
  <c r="G521" i="5"/>
  <c r="H521" i="5"/>
  <c r="E521" i="5"/>
  <c r="C520" i="5"/>
  <c r="B520" i="5"/>
  <c r="D520" i="5"/>
  <c r="E520" i="5"/>
  <c r="F520" i="5"/>
  <c r="G520" i="5"/>
  <c r="H520" i="5"/>
  <c r="D519" i="5"/>
  <c r="F519" i="5"/>
  <c r="E519" i="5"/>
  <c r="G519" i="5"/>
  <c r="H519" i="5"/>
  <c r="B519" i="5"/>
  <c r="C519" i="5"/>
  <c r="H518" i="5"/>
  <c r="F518" i="5"/>
  <c r="G518" i="5" s="1"/>
  <c r="E518" i="5"/>
  <c r="D518" i="5"/>
  <c r="B518" i="5"/>
  <c r="C518" i="5"/>
  <c r="H517" i="5"/>
  <c r="F517" i="5"/>
  <c r="G517" i="5" s="1"/>
  <c r="D517" i="5"/>
  <c r="B517" i="5"/>
  <c r="C517" i="5"/>
  <c r="E517" i="5"/>
  <c r="D516" i="5"/>
  <c r="C516" i="5"/>
  <c r="B516" i="5"/>
  <c r="E516" i="5"/>
  <c r="F516" i="5"/>
  <c r="G516" i="5"/>
  <c r="H516" i="5"/>
  <c r="H515" i="5"/>
  <c r="E515" i="5"/>
  <c r="D515" i="5"/>
  <c r="C515" i="5"/>
  <c r="F515" i="5"/>
  <c r="G515" i="5" s="1"/>
  <c r="B515" i="5"/>
  <c r="F514" i="5"/>
  <c r="G514" i="5" s="1"/>
  <c r="H514" i="5"/>
  <c r="E514" i="5"/>
  <c r="D514" i="5"/>
  <c r="C514" i="5"/>
  <c r="B514" i="5"/>
  <c r="F513" i="5"/>
  <c r="G513" i="5" s="1"/>
  <c r="E513" i="5"/>
  <c r="D513" i="5"/>
  <c r="C513" i="5"/>
  <c r="B513" i="5"/>
  <c r="H513" i="5"/>
  <c r="B512" i="5"/>
  <c r="H512" i="5"/>
  <c r="F512" i="5"/>
  <c r="G512" i="5" s="1"/>
  <c r="E512" i="5"/>
  <c r="D512" i="5"/>
  <c r="C512" i="5"/>
  <c r="E511" i="5"/>
  <c r="D511" i="5"/>
  <c r="C511" i="5"/>
  <c r="B511" i="5"/>
  <c r="H511" i="5"/>
  <c r="F511" i="5"/>
  <c r="G511" i="5" s="1"/>
  <c r="B510" i="5"/>
  <c r="C510" i="5"/>
  <c r="F510" i="5"/>
  <c r="G510" i="5" s="1"/>
  <c r="D510" i="5"/>
  <c r="E510" i="5"/>
  <c r="H510" i="5"/>
  <c r="D509" i="5"/>
  <c r="E509" i="5"/>
  <c r="F509" i="5"/>
  <c r="G509" i="5"/>
  <c r="H509" i="5"/>
  <c r="C509" i="5"/>
  <c r="B509" i="5"/>
  <c r="C508" i="5"/>
  <c r="D508" i="5"/>
  <c r="F508" i="5"/>
  <c r="E508" i="5"/>
  <c r="G508" i="5"/>
  <c r="B508" i="5"/>
  <c r="H508" i="5"/>
  <c r="H507" i="5"/>
  <c r="E507" i="5"/>
  <c r="D507" i="5"/>
  <c r="B507" i="5"/>
  <c r="C507" i="5"/>
  <c r="F507" i="5"/>
  <c r="G507" i="5" s="1"/>
  <c r="H506" i="5"/>
  <c r="C506" i="5"/>
  <c r="F506" i="5"/>
  <c r="G506" i="5" s="1"/>
  <c r="E506" i="5"/>
  <c r="D506" i="5"/>
  <c r="B506" i="5"/>
  <c r="H505" i="5"/>
  <c r="F505" i="5"/>
  <c r="G505" i="5" s="1"/>
  <c r="E505" i="5"/>
  <c r="D505" i="5"/>
  <c r="C505" i="5"/>
  <c r="B505" i="5"/>
  <c r="H504" i="5"/>
  <c r="F504" i="5"/>
  <c r="G504" i="5" s="1"/>
  <c r="E504" i="5"/>
  <c r="D504" i="5"/>
  <c r="C504" i="5"/>
  <c r="B504" i="5"/>
  <c r="H503" i="5"/>
  <c r="F503" i="5"/>
  <c r="G503" i="5" s="1"/>
  <c r="C503" i="5"/>
  <c r="E503" i="5"/>
  <c r="D503" i="5"/>
  <c r="B503" i="5"/>
  <c r="B502" i="5"/>
  <c r="H502" i="5"/>
  <c r="F502" i="5"/>
  <c r="G502" i="5" s="1"/>
  <c r="E502" i="5"/>
  <c r="D502" i="5"/>
  <c r="C502" i="5"/>
  <c r="E501" i="5"/>
  <c r="F501" i="5"/>
  <c r="G501" i="5"/>
  <c r="H501" i="5"/>
  <c r="B501" i="5"/>
  <c r="C501" i="5"/>
  <c r="D501" i="5"/>
  <c r="E500" i="5"/>
  <c r="B500" i="5"/>
  <c r="C500" i="5"/>
  <c r="D500" i="5"/>
  <c r="F500" i="5"/>
  <c r="G500" i="5"/>
  <c r="H500" i="5"/>
  <c r="H499" i="5"/>
  <c r="B499" i="5"/>
  <c r="C499" i="5"/>
  <c r="D499" i="5"/>
  <c r="E499" i="5"/>
  <c r="F499" i="5"/>
  <c r="G499" i="5"/>
  <c r="H498" i="5"/>
  <c r="F498" i="5"/>
  <c r="G498" i="5" s="1"/>
  <c r="E498" i="5"/>
  <c r="D498" i="5"/>
  <c r="C498" i="5"/>
  <c r="B498" i="5"/>
  <c r="B497" i="5"/>
  <c r="F497" i="5"/>
  <c r="C497" i="5"/>
  <c r="D497" i="5"/>
  <c r="E497" i="5"/>
  <c r="H497" i="5"/>
  <c r="G497" i="5"/>
  <c r="B496" i="5"/>
  <c r="C496" i="5"/>
  <c r="D496" i="5"/>
  <c r="E496" i="5"/>
  <c r="F496" i="5"/>
  <c r="G496" i="5"/>
  <c r="H496" i="5"/>
  <c r="D495" i="5"/>
  <c r="B495" i="5"/>
  <c r="C495" i="5"/>
  <c r="H495" i="5"/>
  <c r="F495" i="5"/>
  <c r="G495" i="5" s="1"/>
  <c r="E495" i="5"/>
  <c r="F494" i="5"/>
  <c r="E494" i="5"/>
  <c r="B494" i="5"/>
  <c r="H494" i="5"/>
  <c r="C494" i="5"/>
  <c r="G494" i="5"/>
  <c r="D494" i="5"/>
  <c r="E493" i="5"/>
  <c r="F493" i="5"/>
  <c r="G493" i="5"/>
  <c r="H493" i="5"/>
  <c r="B493" i="5"/>
  <c r="C493" i="5"/>
  <c r="D493" i="5"/>
  <c r="B492" i="5"/>
  <c r="C492" i="5"/>
  <c r="D492" i="5"/>
  <c r="E492" i="5"/>
  <c r="H492" i="5"/>
  <c r="F492" i="5"/>
  <c r="G492" i="5"/>
  <c r="H491" i="5"/>
  <c r="C491" i="5"/>
  <c r="D491" i="5"/>
  <c r="F491" i="5"/>
  <c r="G491" i="5" s="1"/>
  <c r="E491" i="5"/>
  <c r="B491" i="5"/>
  <c r="F490" i="5"/>
  <c r="E490" i="5"/>
  <c r="D490" i="5"/>
  <c r="C490" i="5"/>
  <c r="B490" i="5"/>
  <c r="G490" i="5"/>
  <c r="H490" i="5"/>
  <c r="B489" i="5"/>
  <c r="F489" i="5"/>
  <c r="G489" i="5" s="1"/>
  <c r="H489" i="5"/>
  <c r="D489" i="5"/>
  <c r="C489" i="5"/>
  <c r="E489" i="5"/>
  <c r="B488" i="5"/>
  <c r="C488" i="5"/>
  <c r="D488" i="5"/>
  <c r="E488" i="5"/>
  <c r="F488" i="5"/>
  <c r="G488" i="5"/>
  <c r="H488" i="5"/>
  <c r="B487" i="5"/>
  <c r="C487" i="5"/>
  <c r="D487" i="5"/>
  <c r="E487" i="5"/>
  <c r="F487" i="5"/>
  <c r="G487" i="5"/>
  <c r="H487" i="5"/>
  <c r="E486" i="5"/>
  <c r="H486" i="5"/>
  <c r="F486" i="5"/>
  <c r="G486" i="5" s="1"/>
  <c r="B486" i="5"/>
  <c r="C486" i="5"/>
  <c r="D486" i="5"/>
  <c r="H485" i="5"/>
  <c r="C485" i="5"/>
  <c r="D485" i="5"/>
  <c r="E485" i="5"/>
  <c r="F485" i="5"/>
  <c r="G485" i="5" s="1"/>
  <c r="B485" i="5"/>
  <c r="H484" i="5"/>
  <c r="F484" i="5"/>
  <c r="G484" i="5" s="1"/>
  <c r="E484" i="5"/>
  <c r="D484" i="5"/>
  <c r="C484" i="5"/>
  <c r="B484" i="5"/>
  <c r="B483" i="5"/>
  <c r="H483" i="5"/>
  <c r="F483" i="5"/>
  <c r="G483" i="5" s="1"/>
  <c r="E483" i="5"/>
  <c r="D483" i="5"/>
  <c r="C483" i="5"/>
  <c r="H482" i="5"/>
  <c r="F482" i="5"/>
  <c r="G482" i="5" s="1"/>
  <c r="E482" i="5"/>
  <c r="D482" i="5"/>
  <c r="B482" i="5"/>
  <c r="C482" i="5"/>
  <c r="H481" i="5"/>
  <c r="F481" i="5"/>
  <c r="E481" i="5"/>
  <c r="D481" i="5"/>
  <c r="C481" i="5"/>
  <c r="B481" i="5"/>
  <c r="G481" i="5"/>
  <c r="H480" i="5"/>
  <c r="F480" i="5"/>
  <c r="G480" i="5" s="1"/>
  <c r="E480" i="5"/>
  <c r="D480" i="5"/>
  <c r="C480" i="5"/>
  <c r="B480" i="5"/>
  <c r="H479" i="5"/>
  <c r="F479" i="5"/>
  <c r="G479" i="5" s="1"/>
  <c r="E479" i="5"/>
  <c r="D479" i="5"/>
  <c r="C479" i="5"/>
  <c r="B479" i="5"/>
  <c r="H478" i="5"/>
  <c r="F478" i="5"/>
  <c r="G478" i="5" s="1"/>
  <c r="E478" i="5"/>
  <c r="D478" i="5"/>
  <c r="C478" i="5"/>
  <c r="B478" i="5"/>
  <c r="H477" i="5"/>
  <c r="F477" i="5"/>
  <c r="G477" i="5" s="1"/>
  <c r="E477" i="5"/>
  <c r="D477" i="5"/>
  <c r="C477" i="5"/>
  <c r="B477" i="5"/>
  <c r="H476" i="5"/>
  <c r="F476" i="5"/>
  <c r="G476" i="5" s="1"/>
  <c r="E476" i="5"/>
  <c r="D476" i="5"/>
  <c r="C476" i="5"/>
  <c r="B476" i="5"/>
  <c r="H475" i="5"/>
  <c r="F475" i="5"/>
  <c r="G475" i="5" s="1"/>
  <c r="E475" i="5"/>
  <c r="D475" i="5"/>
  <c r="C475" i="5"/>
  <c r="B475" i="5"/>
  <c r="H474" i="5"/>
  <c r="F474" i="5"/>
  <c r="G474" i="5" s="1"/>
  <c r="E474" i="5"/>
  <c r="D474" i="5"/>
  <c r="C474" i="5"/>
  <c r="B474" i="5"/>
  <c r="H473" i="5"/>
  <c r="F473" i="5"/>
  <c r="G473" i="5" s="1"/>
  <c r="E473" i="5"/>
  <c r="D473" i="5"/>
  <c r="C473" i="5"/>
  <c r="B473" i="5"/>
  <c r="H472" i="5"/>
  <c r="F472" i="5"/>
  <c r="G472" i="5" s="1"/>
  <c r="E472" i="5"/>
  <c r="D472" i="5"/>
  <c r="C472" i="5"/>
  <c r="B472" i="5"/>
  <c r="H471" i="5"/>
  <c r="F471" i="5"/>
  <c r="G471" i="5" s="1"/>
  <c r="E471" i="5"/>
  <c r="D471" i="5"/>
  <c r="C471" i="5"/>
  <c r="B471" i="5"/>
  <c r="H470" i="5"/>
  <c r="F470" i="5"/>
  <c r="G470" i="5" s="1"/>
  <c r="E470" i="5"/>
  <c r="D470" i="5"/>
  <c r="C470" i="5"/>
  <c r="B470" i="5"/>
  <c r="H469" i="5"/>
  <c r="F469" i="5"/>
  <c r="G469" i="5" s="1"/>
  <c r="E469" i="5"/>
  <c r="D469" i="5"/>
  <c r="C469" i="5"/>
  <c r="B469" i="5"/>
  <c r="H468" i="5"/>
  <c r="F468" i="5"/>
  <c r="G468" i="5" s="1"/>
  <c r="E468" i="5"/>
  <c r="D468" i="5"/>
  <c r="C468" i="5"/>
  <c r="B468" i="5"/>
  <c r="H467" i="5"/>
  <c r="F467" i="5"/>
  <c r="G467" i="5" s="1"/>
  <c r="E467" i="5"/>
  <c r="D467" i="5"/>
  <c r="C467" i="5"/>
  <c r="B467" i="5"/>
  <c r="H466" i="5"/>
  <c r="F466" i="5"/>
  <c r="G466" i="5" s="1"/>
  <c r="E466" i="5"/>
  <c r="D466" i="5"/>
  <c r="C466" i="5"/>
  <c r="B466" i="5"/>
  <c r="H465" i="5"/>
  <c r="F465" i="5"/>
  <c r="G465" i="5" s="1"/>
  <c r="E465" i="5"/>
  <c r="D465" i="5"/>
  <c r="C465" i="5"/>
  <c r="B465" i="5"/>
  <c r="H464" i="5"/>
  <c r="F464" i="5"/>
  <c r="G464" i="5" s="1"/>
  <c r="E464" i="5"/>
  <c r="D464" i="5"/>
  <c r="C464" i="5"/>
  <c r="B464" i="5"/>
  <c r="E463" i="5"/>
  <c r="H463" i="5"/>
  <c r="F463" i="5"/>
  <c r="G463" i="5" s="1"/>
  <c r="D463" i="5"/>
  <c r="C463" i="5"/>
  <c r="B463" i="5"/>
  <c r="E462" i="5"/>
  <c r="H462" i="5"/>
  <c r="F462" i="5"/>
  <c r="G462" i="5" s="1"/>
  <c r="D462" i="5"/>
  <c r="C462" i="5"/>
  <c r="B462" i="5"/>
  <c r="D461" i="5"/>
  <c r="C461" i="5"/>
  <c r="B461" i="5"/>
  <c r="H461" i="5"/>
  <c r="F461" i="5"/>
  <c r="G461" i="5" s="1"/>
  <c r="E461" i="5"/>
  <c r="C460" i="5"/>
  <c r="B460" i="5"/>
  <c r="F460" i="5"/>
  <c r="H460" i="5"/>
  <c r="G460" i="5"/>
  <c r="E460" i="5"/>
  <c r="D460" i="5"/>
  <c r="H459" i="5"/>
  <c r="F459" i="5"/>
  <c r="G459" i="5" s="1"/>
  <c r="E459" i="5"/>
  <c r="D459" i="5"/>
  <c r="C459" i="5"/>
  <c r="B459" i="5"/>
  <c r="H458" i="5"/>
  <c r="F458" i="5"/>
  <c r="G458" i="5" s="1"/>
  <c r="E458" i="5"/>
  <c r="D458" i="5"/>
  <c r="C458" i="5"/>
  <c r="B458" i="5"/>
  <c r="D457" i="5"/>
  <c r="C457" i="5"/>
  <c r="B457" i="5"/>
  <c r="H457" i="5"/>
  <c r="F457" i="5"/>
  <c r="G457" i="5" s="1"/>
  <c r="E457" i="5"/>
  <c r="C456" i="5"/>
  <c r="E456" i="5"/>
  <c r="B456" i="5"/>
  <c r="H456" i="5"/>
  <c r="F456" i="5"/>
  <c r="G456" i="5" s="1"/>
  <c r="D456" i="5"/>
  <c r="D455" i="5"/>
  <c r="H455" i="5"/>
  <c r="F455" i="5"/>
  <c r="G455" i="5" s="1"/>
  <c r="E455" i="5"/>
  <c r="C455" i="5"/>
  <c r="B455" i="5"/>
  <c r="E454" i="5"/>
  <c r="H454" i="5"/>
  <c r="F454" i="5"/>
  <c r="G454" i="5" s="1"/>
  <c r="D454" i="5"/>
  <c r="C454" i="5"/>
  <c r="B454" i="5"/>
  <c r="C453" i="5"/>
  <c r="B453" i="5"/>
  <c r="H453" i="5"/>
  <c r="F453" i="5"/>
  <c r="G453" i="5" s="1"/>
  <c r="E453" i="5"/>
  <c r="D453" i="5"/>
  <c r="C452" i="5"/>
  <c r="B452" i="5"/>
  <c r="H452" i="5"/>
  <c r="F452" i="5"/>
  <c r="G452" i="5" s="1"/>
  <c r="E452" i="5"/>
  <c r="D452" i="5"/>
  <c r="H451" i="5"/>
  <c r="F451" i="5"/>
  <c r="G451" i="5" s="1"/>
  <c r="E451" i="5"/>
  <c r="D451" i="5"/>
  <c r="C451" i="5"/>
  <c r="B451" i="5"/>
  <c r="H450" i="5"/>
  <c r="F450" i="5"/>
  <c r="G450" i="5" s="1"/>
  <c r="E450" i="5"/>
  <c r="D450" i="5"/>
  <c r="C450" i="5"/>
  <c r="B450" i="5"/>
  <c r="C449" i="5"/>
  <c r="B449" i="5"/>
  <c r="H449" i="5"/>
  <c r="F449" i="5"/>
  <c r="G449" i="5" s="1"/>
  <c r="E449" i="5"/>
  <c r="D449" i="5"/>
  <c r="E448" i="5"/>
  <c r="H448" i="5"/>
  <c r="F448" i="5"/>
  <c r="G448" i="5" s="1"/>
  <c r="B448" i="5"/>
  <c r="C448" i="5"/>
  <c r="D448" i="5"/>
  <c r="D447" i="5"/>
  <c r="E447" i="5"/>
  <c r="F447" i="5"/>
  <c r="H447" i="5"/>
  <c r="G447" i="5"/>
  <c r="B447" i="5"/>
  <c r="C447" i="5"/>
  <c r="C446" i="5"/>
  <c r="B446" i="5"/>
  <c r="F446" i="5"/>
  <c r="G446" i="5" s="1"/>
  <c r="E446" i="5"/>
  <c r="H446" i="5"/>
  <c r="D446" i="5"/>
  <c r="B445" i="5"/>
  <c r="F445" i="5"/>
  <c r="G445" i="5" s="1"/>
  <c r="C445" i="5"/>
  <c r="E445" i="5"/>
  <c r="H445" i="5"/>
  <c r="D445" i="5"/>
  <c r="H444" i="5"/>
  <c r="F444" i="5"/>
  <c r="G444" i="5" s="1"/>
  <c r="E444" i="5"/>
  <c r="D444" i="5"/>
  <c r="C444" i="5"/>
  <c r="B444" i="5"/>
  <c r="F443" i="5"/>
  <c r="G443" i="5" s="1"/>
  <c r="E443" i="5"/>
  <c r="D443" i="5"/>
  <c r="C443" i="5"/>
  <c r="B443" i="5"/>
  <c r="H443" i="5"/>
  <c r="H442" i="5"/>
  <c r="F442" i="5"/>
  <c r="G442" i="5" s="1"/>
  <c r="D442" i="5"/>
  <c r="C442" i="5"/>
  <c r="B442" i="5"/>
  <c r="E442" i="5"/>
  <c r="F441" i="5"/>
  <c r="G441" i="5" s="1"/>
  <c r="E441" i="5"/>
  <c r="D441" i="5"/>
  <c r="C441" i="5"/>
  <c r="B441" i="5"/>
  <c r="H441" i="5"/>
  <c r="H440" i="5"/>
  <c r="B440" i="5"/>
  <c r="C440" i="5"/>
  <c r="D440" i="5"/>
  <c r="E440" i="5"/>
  <c r="F440" i="5"/>
  <c r="G440" i="5" s="1"/>
  <c r="C439" i="5"/>
  <c r="B439" i="5"/>
  <c r="E439" i="5"/>
  <c r="H439" i="5"/>
  <c r="F439" i="5"/>
  <c r="G439" i="5" s="1"/>
  <c r="D439" i="5"/>
  <c r="H438" i="5"/>
  <c r="F438" i="5"/>
  <c r="E438" i="5"/>
  <c r="D438" i="5"/>
  <c r="C438" i="5"/>
  <c r="B438" i="5"/>
  <c r="G438" i="5"/>
  <c r="H437" i="5"/>
  <c r="F437" i="5"/>
  <c r="G437" i="5" s="1"/>
  <c r="E437" i="5"/>
  <c r="D437" i="5"/>
  <c r="C437" i="5"/>
  <c r="B437" i="5"/>
  <c r="H436" i="5"/>
  <c r="F436" i="5"/>
  <c r="G436" i="5" s="1"/>
  <c r="E436" i="5"/>
  <c r="D436" i="5"/>
  <c r="C436" i="5"/>
  <c r="B436" i="5"/>
  <c r="H435" i="5"/>
  <c r="F435" i="5"/>
  <c r="G435" i="5" s="1"/>
  <c r="E435" i="5"/>
  <c r="C435" i="5"/>
  <c r="B435" i="5"/>
  <c r="D435" i="5"/>
  <c r="C434" i="5"/>
  <c r="D434" i="5"/>
  <c r="E434" i="5"/>
  <c r="F434" i="5"/>
  <c r="G434" i="5"/>
  <c r="H434" i="5"/>
  <c r="B434" i="5"/>
  <c r="C433" i="5"/>
  <c r="F433" i="5"/>
  <c r="G433" i="5" s="1"/>
  <c r="E433" i="5"/>
  <c r="D433" i="5"/>
  <c r="B433" i="5"/>
  <c r="H433" i="5"/>
  <c r="B432" i="5"/>
  <c r="C432" i="5"/>
  <c r="F432" i="5"/>
  <c r="G432" i="5" s="1"/>
  <c r="E432" i="5"/>
  <c r="D432" i="5"/>
  <c r="H432" i="5"/>
  <c r="B431" i="5"/>
  <c r="C431" i="5"/>
  <c r="D431" i="5"/>
  <c r="E431" i="5"/>
  <c r="F431" i="5"/>
  <c r="G431" i="5"/>
  <c r="H431" i="5"/>
  <c r="D430" i="5"/>
  <c r="E430" i="5"/>
  <c r="F430" i="5"/>
  <c r="G430" i="5"/>
  <c r="H430" i="5"/>
  <c r="B430" i="5"/>
  <c r="C430" i="5"/>
  <c r="B429" i="5"/>
  <c r="E429" i="5"/>
  <c r="F429" i="5"/>
  <c r="G429" i="5"/>
  <c r="H429" i="5"/>
  <c r="C429" i="5"/>
  <c r="D429" i="5"/>
  <c r="F428" i="5"/>
  <c r="E428" i="5"/>
  <c r="D428" i="5"/>
  <c r="C428" i="5"/>
  <c r="B428" i="5"/>
  <c r="H428" i="5"/>
  <c r="G428" i="5"/>
  <c r="D427" i="5"/>
  <c r="C427" i="5"/>
  <c r="B427" i="5"/>
  <c r="F427" i="5"/>
  <c r="G427" i="5" s="1"/>
  <c r="H427" i="5"/>
  <c r="E427" i="5"/>
  <c r="F426" i="5"/>
  <c r="H426" i="5"/>
  <c r="G426" i="5"/>
  <c r="E426" i="5"/>
  <c r="D426" i="5"/>
  <c r="C426" i="5"/>
  <c r="B426" i="5"/>
  <c r="C425" i="5"/>
  <c r="D425" i="5"/>
  <c r="E425" i="5"/>
  <c r="F425" i="5"/>
  <c r="G425" i="5"/>
  <c r="H425" i="5"/>
  <c r="B425" i="5"/>
  <c r="B424" i="5"/>
  <c r="C424" i="5"/>
  <c r="F424" i="5"/>
  <c r="H424" i="5"/>
  <c r="E424" i="5"/>
  <c r="G424" i="5"/>
  <c r="D424" i="5"/>
  <c r="B423" i="5"/>
  <c r="C423" i="5"/>
  <c r="D423" i="5"/>
  <c r="E423" i="5"/>
  <c r="H423" i="5"/>
  <c r="F423" i="5"/>
  <c r="G423" i="5" s="1"/>
  <c r="B422" i="5"/>
  <c r="H422" i="5"/>
  <c r="F422" i="5"/>
  <c r="G422" i="5" s="1"/>
  <c r="E422" i="5"/>
  <c r="C422" i="5"/>
  <c r="D422" i="5"/>
  <c r="D421" i="5"/>
  <c r="B421" i="5"/>
  <c r="C421" i="5"/>
  <c r="E421" i="5"/>
  <c r="F421" i="5"/>
  <c r="G421" i="5"/>
  <c r="H421" i="5"/>
  <c r="B420" i="5"/>
  <c r="F420" i="5"/>
  <c r="G420" i="5" s="1"/>
  <c r="E420" i="5"/>
  <c r="D420" i="5"/>
  <c r="C420" i="5"/>
  <c r="H420" i="5"/>
  <c r="H419" i="5"/>
  <c r="B419" i="5"/>
  <c r="C419" i="5"/>
  <c r="D419" i="5"/>
  <c r="E419" i="5"/>
  <c r="F419" i="5"/>
  <c r="G419" i="5"/>
  <c r="H418" i="5"/>
  <c r="F418" i="5"/>
  <c r="G418" i="5" s="1"/>
  <c r="E418" i="5"/>
  <c r="D418" i="5"/>
  <c r="C418" i="5"/>
  <c r="B418" i="5"/>
  <c r="C417" i="5"/>
  <c r="D417" i="5"/>
  <c r="E417" i="5"/>
  <c r="F417" i="5"/>
  <c r="G417" i="5"/>
  <c r="H417" i="5"/>
  <c r="B417" i="5"/>
  <c r="H416" i="5"/>
  <c r="F416" i="5"/>
  <c r="E416" i="5"/>
  <c r="D416" i="5"/>
  <c r="C416" i="5"/>
  <c r="B416" i="5"/>
  <c r="G416" i="5"/>
  <c r="F415" i="5"/>
  <c r="G415" i="5" s="1"/>
  <c r="E415" i="5"/>
  <c r="D415" i="5"/>
  <c r="C415" i="5"/>
  <c r="B415" i="5"/>
  <c r="H415" i="5"/>
  <c r="C414" i="5"/>
  <c r="B414" i="5"/>
  <c r="H414" i="5"/>
  <c r="D414" i="5"/>
  <c r="E414" i="5"/>
  <c r="F414" i="5"/>
  <c r="G414" i="5"/>
  <c r="F413" i="5"/>
  <c r="H413" i="5"/>
  <c r="G413" i="5"/>
  <c r="E413" i="5"/>
  <c r="B413" i="5"/>
  <c r="D413" i="5"/>
  <c r="C413" i="5"/>
  <c r="E412" i="5"/>
  <c r="F412" i="5"/>
  <c r="G412" i="5"/>
  <c r="D412" i="5"/>
  <c r="B412" i="5"/>
  <c r="C412" i="5"/>
  <c r="H412" i="5"/>
  <c r="C411" i="5"/>
  <c r="F411" i="5"/>
  <c r="E411" i="5"/>
  <c r="D411" i="5"/>
  <c r="B411" i="5"/>
  <c r="G411" i="5"/>
  <c r="H411" i="5"/>
  <c r="C410" i="5"/>
  <c r="D410" i="5"/>
  <c r="E410" i="5"/>
  <c r="F410" i="5"/>
  <c r="G410" i="5"/>
  <c r="H410" i="5"/>
  <c r="B410" i="5"/>
  <c r="H409" i="5"/>
  <c r="F409" i="5"/>
  <c r="G409" i="5" s="1"/>
  <c r="E409" i="5"/>
  <c r="D409" i="5"/>
  <c r="C409" i="5"/>
  <c r="B409" i="5"/>
  <c r="B408" i="5"/>
  <c r="F408" i="5"/>
  <c r="H408" i="5"/>
  <c r="G408" i="5"/>
  <c r="E408" i="5"/>
  <c r="D408" i="5"/>
  <c r="C408" i="5"/>
  <c r="F407" i="5"/>
  <c r="G407" i="5"/>
  <c r="B407" i="5"/>
  <c r="H407" i="5"/>
  <c r="C407" i="5"/>
  <c r="D407" i="5"/>
  <c r="E407" i="5"/>
  <c r="H406" i="5"/>
  <c r="C406" i="5"/>
  <c r="F406" i="5"/>
  <c r="B406" i="5"/>
  <c r="G406" i="5"/>
  <c r="E406" i="5"/>
  <c r="D406" i="5"/>
  <c r="E405" i="5"/>
  <c r="F405" i="5"/>
  <c r="H405" i="5"/>
  <c r="D405" i="5"/>
  <c r="C405" i="5"/>
  <c r="B405" i="5"/>
  <c r="G405" i="5"/>
  <c r="H404" i="5"/>
  <c r="F404" i="5"/>
  <c r="G404" i="5" s="1"/>
  <c r="E404" i="5"/>
  <c r="D404" i="5"/>
  <c r="C404" i="5"/>
  <c r="B404" i="5"/>
  <c r="B403" i="5"/>
  <c r="H403" i="5"/>
  <c r="C403" i="5"/>
  <c r="D403" i="5"/>
  <c r="E403" i="5"/>
  <c r="F403" i="5"/>
  <c r="G403" i="5"/>
  <c r="B402" i="5"/>
  <c r="C402" i="5"/>
  <c r="D402" i="5"/>
  <c r="E402" i="5"/>
  <c r="F402" i="5"/>
  <c r="G402" i="5"/>
  <c r="H402" i="5"/>
  <c r="D401" i="5"/>
  <c r="F401" i="5"/>
  <c r="E401" i="5"/>
  <c r="C401" i="5"/>
  <c r="B401" i="5"/>
  <c r="H401" i="5"/>
  <c r="G401" i="5"/>
  <c r="F400" i="5"/>
  <c r="G400" i="5"/>
  <c r="H400" i="5"/>
  <c r="E400" i="5"/>
  <c r="B400" i="5"/>
  <c r="C400" i="5"/>
  <c r="D400" i="5"/>
  <c r="H399" i="5"/>
  <c r="B399" i="5"/>
  <c r="C399" i="5"/>
  <c r="D399" i="5"/>
  <c r="E399" i="5"/>
  <c r="F399" i="5"/>
  <c r="G399" i="5" s="1"/>
  <c r="H398" i="5"/>
  <c r="F398" i="5"/>
  <c r="G398" i="5" s="1"/>
  <c r="E398" i="5"/>
  <c r="D398" i="5"/>
  <c r="C398" i="5"/>
  <c r="B398" i="5"/>
  <c r="F397" i="5"/>
  <c r="G397" i="5" s="1"/>
  <c r="E397" i="5"/>
  <c r="D397" i="5"/>
  <c r="C397" i="5"/>
  <c r="B397" i="5"/>
  <c r="H397" i="5"/>
  <c r="F396" i="5"/>
  <c r="G396" i="5" s="1"/>
  <c r="E396" i="5"/>
  <c r="D396" i="5"/>
  <c r="C396" i="5"/>
  <c r="B396" i="5"/>
  <c r="H396" i="5"/>
  <c r="F395" i="5"/>
  <c r="E395" i="5"/>
  <c r="D395" i="5"/>
  <c r="C395" i="5"/>
  <c r="B395" i="5"/>
  <c r="G395" i="5"/>
  <c r="H395" i="5"/>
  <c r="C394" i="5"/>
  <c r="B394" i="5"/>
  <c r="H394" i="5"/>
  <c r="F394" i="5"/>
  <c r="G394" i="5" s="1"/>
  <c r="E394" i="5"/>
  <c r="D394" i="5"/>
  <c r="F393" i="5"/>
  <c r="G393" i="5"/>
  <c r="H393" i="5"/>
  <c r="C393" i="5"/>
  <c r="B393" i="5"/>
  <c r="D393" i="5"/>
  <c r="E393" i="5"/>
  <c r="D392" i="5"/>
  <c r="E392" i="5"/>
  <c r="H392" i="5"/>
  <c r="B392" i="5"/>
  <c r="C392" i="5"/>
  <c r="F392" i="5"/>
  <c r="G392" i="5" s="1"/>
  <c r="F391" i="5"/>
  <c r="C391" i="5"/>
  <c r="D391" i="5"/>
  <c r="G391" i="5"/>
  <c r="H391" i="5"/>
  <c r="E391" i="5"/>
  <c r="B391" i="5"/>
  <c r="B390" i="5"/>
  <c r="C390" i="5"/>
  <c r="D390" i="5"/>
  <c r="F390" i="5"/>
  <c r="H390" i="5"/>
  <c r="G390" i="5"/>
  <c r="E390" i="5"/>
  <c r="B389" i="5"/>
  <c r="C389" i="5"/>
  <c r="D389" i="5"/>
  <c r="E389" i="5"/>
  <c r="F389" i="5"/>
  <c r="G389" i="5"/>
  <c r="H389" i="5"/>
  <c r="H388" i="5"/>
  <c r="E388" i="5"/>
  <c r="D388" i="5"/>
  <c r="C388" i="5"/>
  <c r="B388" i="5"/>
  <c r="F388" i="5"/>
  <c r="G388" i="5" s="1"/>
  <c r="H387" i="5"/>
  <c r="F387" i="5"/>
  <c r="G387" i="5" s="1"/>
  <c r="E387" i="5"/>
  <c r="D387" i="5"/>
  <c r="C387" i="5"/>
  <c r="B387" i="5"/>
  <c r="H386" i="5"/>
  <c r="F386" i="5"/>
  <c r="G386" i="5" s="1"/>
  <c r="E386" i="5"/>
  <c r="D386" i="5"/>
  <c r="C386" i="5"/>
  <c r="B386" i="5"/>
  <c r="H385" i="5"/>
  <c r="F385" i="5"/>
  <c r="G385" i="5" s="1"/>
  <c r="E385" i="5"/>
  <c r="D385" i="5"/>
  <c r="C385" i="5"/>
  <c r="B385" i="5"/>
  <c r="E384" i="5"/>
  <c r="B384" i="5"/>
  <c r="C384" i="5"/>
  <c r="D384" i="5"/>
  <c r="F384" i="5"/>
  <c r="G384" i="5" s="1"/>
  <c r="H384" i="5"/>
  <c r="F383" i="5"/>
  <c r="G383" i="5" s="1"/>
  <c r="E383" i="5"/>
  <c r="D383" i="5"/>
  <c r="C383" i="5"/>
  <c r="B383" i="5"/>
  <c r="H383" i="5"/>
  <c r="H382" i="5"/>
  <c r="F382" i="5"/>
  <c r="G382" i="5" s="1"/>
  <c r="E382" i="5"/>
  <c r="D382" i="5"/>
  <c r="C382" i="5"/>
  <c r="B382" i="5"/>
  <c r="B381" i="5"/>
  <c r="H381" i="5"/>
  <c r="F381" i="5"/>
  <c r="G381" i="5" s="1"/>
  <c r="E381" i="5"/>
  <c r="D381" i="5"/>
  <c r="C381" i="5"/>
  <c r="F380" i="5"/>
  <c r="G380" i="5" s="1"/>
  <c r="E380" i="5"/>
  <c r="D380" i="5"/>
  <c r="C380" i="5"/>
  <c r="H380" i="5"/>
  <c r="B380" i="5"/>
  <c r="C379" i="5"/>
  <c r="D379" i="5"/>
  <c r="E379" i="5"/>
  <c r="B379" i="5"/>
  <c r="F379" i="5"/>
  <c r="G379" i="5" s="1"/>
  <c r="H379" i="5"/>
  <c r="F378" i="5"/>
  <c r="G378" i="5" s="1"/>
  <c r="E378" i="5"/>
  <c r="H378" i="5"/>
  <c r="D378" i="5"/>
  <c r="C378" i="5"/>
  <c r="B378" i="5"/>
  <c r="H377" i="5"/>
  <c r="F377" i="5"/>
  <c r="G377" i="5" s="1"/>
  <c r="E377" i="5"/>
  <c r="D377" i="5"/>
  <c r="C377" i="5"/>
  <c r="B377" i="5"/>
  <c r="B376" i="5"/>
  <c r="C376" i="5"/>
  <c r="D376" i="5"/>
  <c r="E376" i="5"/>
  <c r="F376" i="5"/>
  <c r="G376" i="5" s="1"/>
  <c r="H376" i="5"/>
  <c r="H375" i="5"/>
  <c r="E375" i="5"/>
  <c r="B375" i="5"/>
  <c r="C375" i="5"/>
  <c r="D375" i="5"/>
  <c r="F375" i="5"/>
  <c r="G375" i="5" s="1"/>
  <c r="F374" i="5"/>
  <c r="G374" i="5" s="1"/>
  <c r="E374" i="5"/>
  <c r="D374" i="5"/>
  <c r="B374" i="5"/>
  <c r="C374" i="5"/>
  <c r="H374" i="5"/>
  <c r="H373" i="5"/>
  <c r="B373" i="5"/>
  <c r="C373" i="5"/>
  <c r="D373" i="5"/>
  <c r="E373" i="5"/>
  <c r="F373" i="5"/>
  <c r="G373" i="5" s="1"/>
  <c r="B372" i="5"/>
  <c r="C372" i="5"/>
  <c r="D372" i="5"/>
  <c r="E372" i="5"/>
  <c r="F372" i="5"/>
  <c r="G372" i="5" s="1"/>
  <c r="H372" i="5"/>
  <c r="F371" i="5"/>
  <c r="E371" i="5"/>
  <c r="D371" i="5"/>
  <c r="C371" i="5"/>
  <c r="H371" i="5"/>
  <c r="G371" i="5"/>
  <c r="B371" i="5"/>
  <c r="B370" i="5"/>
  <c r="C370" i="5"/>
  <c r="D370" i="5"/>
  <c r="E370" i="5"/>
  <c r="F370" i="5"/>
  <c r="G370" i="5" s="1"/>
  <c r="H370" i="5"/>
  <c r="D369" i="5"/>
  <c r="B369" i="5"/>
  <c r="C369" i="5"/>
  <c r="E369" i="5"/>
  <c r="F369" i="5"/>
  <c r="G369" i="5" s="1"/>
  <c r="H369" i="5"/>
  <c r="H368" i="5"/>
  <c r="B368" i="5"/>
  <c r="F368" i="5"/>
  <c r="G368" i="5" s="1"/>
  <c r="E368" i="5"/>
  <c r="D368" i="5"/>
  <c r="C368" i="5"/>
  <c r="F367" i="5"/>
  <c r="G367" i="5" s="1"/>
  <c r="E367" i="5"/>
  <c r="D367" i="5"/>
  <c r="C367" i="5"/>
  <c r="H367" i="5"/>
  <c r="B367" i="5"/>
  <c r="H366" i="5"/>
  <c r="F366" i="5"/>
  <c r="G366" i="5" s="1"/>
  <c r="E366" i="5"/>
  <c r="D366" i="5"/>
  <c r="C366" i="5"/>
  <c r="B366" i="5"/>
  <c r="F365" i="5"/>
  <c r="G365" i="5" s="1"/>
  <c r="H365" i="5"/>
  <c r="E365" i="5"/>
  <c r="D365" i="5"/>
  <c r="C365" i="5"/>
  <c r="B365" i="5"/>
  <c r="B364" i="5"/>
  <c r="H364" i="5"/>
  <c r="F364" i="5"/>
  <c r="G364" i="5" s="1"/>
  <c r="E364" i="5"/>
  <c r="D364" i="5"/>
  <c r="C364" i="5"/>
  <c r="F363" i="5"/>
  <c r="G363" i="5" s="1"/>
  <c r="E363" i="5"/>
  <c r="D363" i="5"/>
  <c r="C363" i="5"/>
  <c r="H363" i="5"/>
  <c r="B363" i="5"/>
  <c r="H362" i="5"/>
  <c r="B362" i="5"/>
  <c r="C362" i="5"/>
  <c r="D362" i="5"/>
  <c r="E362" i="5"/>
  <c r="F362" i="5"/>
  <c r="G362" i="5" s="1"/>
  <c r="B361" i="5"/>
  <c r="H361" i="5"/>
  <c r="F361" i="5"/>
  <c r="G361" i="5" s="1"/>
  <c r="E361" i="5"/>
  <c r="D361" i="5"/>
  <c r="C361" i="5"/>
  <c r="H360" i="5"/>
  <c r="F360" i="5"/>
  <c r="G360" i="5" s="1"/>
  <c r="E360" i="5"/>
  <c r="D360" i="5"/>
  <c r="C360" i="5"/>
  <c r="B360" i="5"/>
  <c r="H359" i="5"/>
  <c r="F359" i="5"/>
  <c r="G359" i="5" s="1"/>
  <c r="E359" i="5"/>
  <c r="D359" i="5"/>
  <c r="C359" i="5"/>
  <c r="B359" i="5"/>
  <c r="B358" i="5"/>
  <c r="H358" i="5"/>
  <c r="F358" i="5"/>
  <c r="G358" i="5" s="1"/>
  <c r="E358" i="5"/>
  <c r="D358" i="5"/>
  <c r="C358" i="5"/>
  <c r="H357" i="5"/>
  <c r="F357" i="5"/>
  <c r="G357" i="5" s="1"/>
  <c r="E357" i="5"/>
  <c r="C357" i="5"/>
  <c r="B357" i="5"/>
  <c r="D357" i="5"/>
  <c r="F356" i="5"/>
  <c r="G356" i="5" s="1"/>
  <c r="E356" i="5"/>
  <c r="D356" i="5"/>
  <c r="C356" i="5"/>
  <c r="B356" i="5"/>
  <c r="H356" i="5"/>
  <c r="B355" i="5"/>
  <c r="C355" i="5"/>
  <c r="D355" i="5"/>
  <c r="E355" i="5"/>
  <c r="H355" i="5"/>
  <c r="F355" i="5"/>
  <c r="G355" i="5" s="1"/>
  <c r="C354" i="5"/>
  <c r="E354" i="5"/>
  <c r="F354" i="5"/>
  <c r="G354" i="5" s="1"/>
  <c r="H354" i="5"/>
  <c r="D354" i="5"/>
  <c r="B354" i="5"/>
  <c r="D353" i="5"/>
  <c r="H353" i="5"/>
  <c r="E353" i="5"/>
  <c r="C353" i="5"/>
  <c r="B353" i="5"/>
  <c r="F353" i="5"/>
  <c r="G353" i="5" s="1"/>
  <c r="F352" i="5"/>
  <c r="G352" i="5" s="1"/>
  <c r="H352" i="5"/>
  <c r="C352" i="5"/>
  <c r="B352" i="5"/>
  <c r="D352" i="5"/>
  <c r="E352" i="5"/>
  <c r="D351" i="5"/>
  <c r="E351" i="5"/>
  <c r="B351" i="5"/>
  <c r="C351" i="5"/>
  <c r="H351" i="5"/>
  <c r="F351" i="5"/>
  <c r="G351" i="5" s="1"/>
  <c r="H350" i="5"/>
  <c r="E350" i="5"/>
  <c r="D350" i="5"/>
  <c r="C350" i="5"/>
  <c r="B350" i="5"/>
  <c r="F350" i="5"/>
  <c r="G350" i="5" s="1"/>
  <c r="F349" i="5"/>
  <c r="G349" i="5" s="1"/>
  <c r="H349" i="5"/>
  <c r="B349" i="5"/>
  <c r="C349" i="5"/>
  <c r="D349" i="5"/>
  <c r="E349" i="5"/>
  <c r="F348" i="5"/>
  <c r="G348" i="5" s="1"/>
  <c r="H348" i="5"/>
  <c r="B348" i="5"/>
  <c r="C348" i="5"/>
  <c r="D348" i="5"/>
  <c r="E348" i="5"/>
  <c r="C347" i="5"/>
  <c r="H347" i="5"/>
  <c r="E347" i="5"/>
  <c r="B347" i="5"/>
  <c r="F347" i="5"/>
  <c r="G347" i="5" s="1"/>
  <c r="D347" i="5"/>
  <c r="F346" i="5"/>
  <c r="G346" i="5" s="1"/>
  <c r="H346" i="5"/>
  <c r="D346" i="5"/>
  <c r="E346" i="5"/>
  <c r="B346" i="5"/>
  <c r="C346" i="5"/>
  <c r="C345" i="5"/>
  <c r="B345" i="5"/>
  <c r="H345" i="5"/>
  <c r="F345" i="5"/>
  <c r="G345" i="5" s="1"/>
  <c r="D345" i="5"/>
  <c r="E345" i="5"/>
  <c r="C344" i="5"/>
  <c r="D344" i="5"/>
  <c r="E344" i="5"/>
  <c r="F344" i="5"/>
  <c r="G344" i="5" s="1"/>
  <c r="H344" i="5"/>
  <c r="B344" i="5"/>
  <c r="B343" i="5"/>
  <c r="C343" i="5"/>
  <c r="D343" i="5"/>
  <c r="E343" i="5"/>
  <c r="F343" i="5"/>
  <c r="G343" i="5" s="1"/>
  <c r="H343" i="5"/>
  <c r="B342" i="5"/>
  <c r="C342" i="5"/>
  <c r="D342" i="5"/>
  <c r="E342" i="5"/>
  <c r="F342" i="5"/>
  <c r="G342" i="5" s="1"/>
  <c r="H342" i="5"/>
  <c r="H341" i="5"/>
  <c r="F341" i="5"/>
  <c r="G341" i="5" s="1"/>
  <c r="E341" i="5"/>
  <c r="D341" i="5"/>
  <c r="C341" i="5"/>
  <c r="B341" i="5"/>
  <c r="D340" i="5"/>
  <c r="H340" i="5"/>
  <c r="F340" i="5"/>
  <c r="G340" i="5" s="1"/>
  <c r="E340" i="5"/>
  <c r="C340" i="5"/>
  <c r="B340" i="5"/>
  <c r="H339" i="5"/>
  <c r="B339" i="5"/>
  <c r="C339" i="5"/>
  <c r="D339" i="5"/>
  <c r="E339" i="5"/>
  <c r="F339" i="5"/>
  <c r="G339" i="5" s="1"/>
  <c r="F338" i="5"/>
  <c r="G338" i="5" s="1"/>
  <c r="D338" i="5"/>
  <c r="C338" i="5"/>
  <c r="B338" i="5"/>
  <c r="E338" i="5"/>
  <c r="H338" i="5"/>
  <c r="E337" i="5"/>
  <c r="B337" i="5"/>
  <c r="C337" i="5"/>
  <c r="D337" i="5"/>
  <c r="F337" i="5"/>
  <c r="G337" i="5" s="1"/>
  <c r="H337" i="5"/>
  <c r="B336" i="5"/>
  <c r="H336" i="5"/>
  <c r="C336" i="5"/>
  <c r="D336" i="5"/>
  <c r="E336" i="5"/>
  <c r="F336" i="5"/>
  <c r="G336" i="5" s="1"/>
  <c r="H335" i="5"/>
  <c r="B335" i="5"/>
  <c r="C335" i="5"/>
  <c r="D335" i="5"/>
  <c r="E335" i="5"/>
  <c r="F335" i="5"/>
  <c r="G335" i="5" s="1"/>
  <c r="F334" i="5"/>
  <c r="G334" i="5" s="1"/>
  <c r="C334" i="5"/>
  <c r="B334" i="5"/>
  <c r="D334" i="5"/>
  <c r="E334" i="5"/>
  <c r="H334" i="5"/>
  <c r="C333" i="5"/>
  <c r="E333" i="5"/>
  <c r="F333" i="5"/>
  <c r="G333" i="5" s="1"/>
  <c r="H333" i="5"/>
  <c r="B333" i="5"/>
  <c r="D333" i="5"/>
  <c r="C332" i="5"/>
  <c r="D332" i="5"/>
  <c r="E332" i="5"/>
  <c r="F332" i="5"/>
  <c r="G332" i="5" s="1"/>
  <c r="H332" i="5"/>
  <c r="B332" i="5"/>
  <c r="B331" i="5"/>
  <c r="F331" i="5"/>
  <c r="G331" i="5" s="1"/>
  <c r="E331" i="5"/>
  <c r="D331" i="5"/>
  <c r="C331" i="5"/>
  <c r="H331" i="5"/>
  <c r="H330" i="5"/>
  <c r="F330" i="5"/>
  <c r="G330" i="5" s="1"/>
  <c r="E330" i="5"/>
  <c r="D330" i="5"/>
  <c r="C330" i="5"/>
  <c r="B330" i="5"/>
  <c r="H329" i="5"/>
  <c r="C329" i="5"/>
  <c r="B329" i="5"/>
  <c r="D329" i="5"/>
  <c r="F329" i="5"/>
  <c r="G329" i="5" s="1"/>
  <c r="E329" i="5"/>
  <c r="H328" i="5"/>
  <c r="C328" i="5"/>
  <c r="B328" i="5"/>
  <c r="E328" i="5"/>
  <c r="D328" i="5"/>
  <c r="F328" i="5"/>
  <c r="G328" i="5" s="1"/>
  <c r="H327" i="5"/>
  <c r="F327" i="5"/>
  <c r="G327" i="5" s="1"/>
  <c r="E327" i="5"/>
  <c r="D327" i="5"/>
  <c r="B327" i="5"/>
  <c r="C327" i="5"/>
  <c r="H326" i="5"/>
  <c r="F326" i="5"/>
  <c r="G326" i="5" s="1"/>
  <c r="E326" i="5"/>
  <c r="D326" i="5"/>
  <c r="C326" i="5"/>
  <c r="B326" i="5"/>
  <c r="H325" i="5"/>
  <c r="F325" i="5"/>
  <c r="G325" i="5" s="1"/>
  <c r="E325" i="5"/>
  <c r="D325" i="5"/>
  <c r="C325" i="5"/>
  <c r="B325" i="5"/>
  <c r="H324" i="5"/>
  <c r="F324" i="5"/>
  <c r="G324" i="5" s="1"/>
  <c r="E324" i="5"/>
  <c r="D324" i="5"/>
  <c r="C324" i="5"/>
  <c r="B324" i="5"/>
  <c r="H323" i="5"/>
  <c r="F323" i="5"/>
  <c r="G323" i="5" s="1"/>
  <c r="E323" i="5"/>
  <c r="D323" i="5"/>
  <c r="C323" i="5"/>
  <c r="B323" i="5"/>
  <c r="H322" i="5"/>
  <c r="F322" i="5"/>
  <c r="G322" i="5" s="1"/>
  <c r="E322" i="5"/>
  <c r="D322" i="5"/>
  <c r="C322" i="5"/>
  <c r="B322" i="5"/>
  <c r="H321" i="5"/>
  <c r="F321" i="5"/>
  <c r="G321" i="5" s="1"/>
  <c r="E321" i="5"/>
  <c r="D321" i="5"/>
  <c r="C321" i="5"/>
  <c r="B321" i="5"/>
  <c r="H320" i="5"/>
  <c r="F320" i="5"/>
  <c r="G320" i="5" s="1"/>
  <c r="E320" i="5"/>
  <c r="D320" i="5"/>
  <c r="C320" i="5"/>
  <c r="B320" i="5"/>
  <c r="H319" i="5"/>
  <c r="F319" i="5"/>
  <c r="G319" i="5" s="1"/>
  <c r="E319" i="5"/>
  <c r="D319" i="5"/>
  <c r="C319" i="5"/>
  <c r="B319" i="5"/>
  <c r="H318" i="5"/>
  <c r="F318" i="5"/>
  <c r="G318" i="5" s="1"/>
  <c r="E318" i="5"/>
  <c r="D318" i="5"/>
  <c r="C318" i="5"/>
  <c r="B318" i="5"/>
  <c r="H317" i="5"/>
  <c r="F317" i="5"/>
  <c r="G317" i="5" s="1"/>
  <c r="E317" i="5"/>
  <c r="B317" i="5"/>
  <c r="C317" i="5"/>
  <c r="D317" i="5"/>
  <c r="D316" i="5"/>
  <c r="C316" i="5"/>
  <c r="B316" i="5"/>
  <c r="H316" i="5"/>
  <c r="F316" i="5"/>
  <c r="G316" i="5" s="1"/>
  <c r="E316" i="5"/>
  <c r="B315" i="5"/>
  <c r="H315" i="5"/>
  <c r="C315" i="5"/>
  <c r="D315" i="5"/>
  <c r="E315" i="5"/>
  <c r="F315" i="5"/>
  <c r="G315" i="5" s="1"/>
  <c r="B314" i="5"/>
  <c r="C314" i="5"/>
  <c r="D314" i="5"/>
  <c r="E314" i="5"/>
  <c r="F314" i="5"/>
  <c r="G314" i="5" s="1"/>
  <c r="H314" i="5"/>
  <c r="H313" i="5"/>
  <c r="B313" i="5"/>
  <c r="C313" i="5"/>
  <c r="D313" i="5"/>
  <c r="E313" i="5"/>
  <c r="F313" i="5"/>
  <c r="G313" i="5" s="1"/>
  <c r="H312" i="5"/>
  <c r="F312" i="5"/>
  <c r="G312" i="5" s="1"/>
  <c r="E312" i="5"/>
  <c r="D312" i="5"/>
  <c r="C312" i="5"/>
  <c r="B312" i="5"/>
  <c r="E311" i="5"/>
  <c r="H311" i="5"/>
  <c r="F311" i="5"/>
  <c r="G311" i="5" s="1"/>
  <c r="D311" i="5"/>
  <c r="C311" i="5"/>
  <c r="B311" i="5"/>
  <c r="B310" i="5"/>
  <c r="H310" i="5"/>
  <c r="F310" i="5"/>
  <c r="G310" i="5" s="1"/>
  <c r="E310" i="5"/>
  <c r="D310" i="5"/>
  <c r="C310" i="5"/>
  <c r="H309" i="5"/>
  <c r="F309" i="5"/>
  <c r="G309" i="5" s="1"/>
  <c r="E309" i="5"/>
  <c r="D309" i="5"/>
  <c r="C309" i="5"/>
  <c r="B309" i="5"/>
  <c r="D308" i="5"/>
  <c r="C308" i="5"/>
  <c r="B308" i="5"/>
  <c r="E308" i="5"/>
  <c r="F308" i="5"/>
  <c r="G308" i="5" s="1"/>
  <c r="H308" i="5"/>
  <c r="H307" i="5"/>
  <c r="B307" i="5"/>
  <c r="C307" i="5"/>
  <c r="D307" i="5"/>
  <c r="E307" i="5"/>
  <c r="F307" i="5"/>
  <c r="G307" i="5" s="1"/>
  <c r="B306" i="5"/>
  <c r="D306" i="5"/>
  <c r="E306" i="5"/>
  <c r="F306" i="5"/>
  <c r="G306" i="5" s="1"/>
  <c r="H306" i="5"/>
  <c r="C306" i="5"/>
  <c r="F305" i="5"/>
  <c r="G305" i="5" s="1"/>
  <c r="B305" i="5"/>
  <c r="C305" i="5"/>
  <c r="D305" i="5"/>
  <c r="E305" i="5"/>
  <c r="H305" i="5"/>
  <c r="H304" i="5"/>
  <c r="F304" i="5"/>
  <c r="G304" i="5" s="1"/>
  <c r="E304" i="5"/>
  <c r="D304" i="5"/>
  <c r="C304" i="5"/>
  <c r="B304" i="5"/>
  <c r="H303" i="5"/>
  <c r="C303" i="5"/>
  <c r="B303" i="5"/>
  <c r="E303" i="5"/>
  <c r="D303" i="5"/>
  <c r="F303" i="5"/>
  <c r="G303" i="5" s="1"/>
  <c r="E302" i="5"/>
  <c r="H302" i="5"/>
  <c r="F302" i="5"/>
  <c r="G302" i="5" s="1"/>
  <c r="D302" i="5"/>
  <c r="C302" i="5"/>
  <c r="B302" i="5"/>
  <c r="B301" i="5"/>
  <c r="E301" i="5"/>
  <c r="D301" i="5"/>
  <c r="C301" i="5"/>
  <c r="H301" i="5"/>
  <c r="F301" i="5"/>
  <c r="G301" i="5" s="1"/>
  <c r="B300" i="5"/>
  <c r="C300" i="5"/>
  <c r="H300" i="5"/>
  <c r="F300" i="5"/>
  <c r="G300" i="5" s="1"/>
  <c r="E300" i="5"/>
  <c r="D300" i="5"/>
  <c r="E299" i="5"/>
  <c r="F299" i="5"/>
  <c r="G299" i="5" s="1"/>
  <c r="H299" i="5"/>
  <c r="D299" i="5"/>
  <c r="B299" i="5"/>
  <c r="C299" i="5"/>
  <c r="H298" i="5"/>
  <c r="C298" i="5"/>
  <c r="B298" i="5"/>
  <c r="D298" i="5"/>
  <c r="F298" i="5"/>
  <c r="G298" i="5" s="1"/>
  <c r="E298" i="5"/>
  <c r="C297" i="5"/>
  <c r="H297" i="5"/>
  <c r="B297" i="5"/>
  <c r="D297" i="5"/>
  <c r="E297" i="5"/>
  <c r="F297" i="5"/>
  <c r="G297" i="5" s="1"/>
  <c r="E296" i="5"/>
  <c r="C296" i="5"/>
  <c r="B296" i="5"/>
  <c r="D296" i="5"/>
  <c r="H296" i="5"/>
  <c r="F296" i="5"/>
  <c r="G296" i="5" s="1"/>
  <c r="F295" i="5"/>
  <c r="G295" i="5" s="1"/>
  <c r="H295" i="5"/>
  <c r="C295" i="5"/>
  <c r="D295" i="5"/>
  <c r="E295" i="5"/>
  <c r="B295" i="5"/>
  <c r="C294" i="5"/>
  <c r="B294" i="5"/>
  <c r="E294" i="5"/>
  <c r="D294" i="5"/>
  <c r="F294" i="5"/>
  <c r="G294" i="5" s="1"/>
  <c r="H294" i="5"/>
  <c r="H293" i="5"/>
  <c r="E293" i="5"/>
  <c r="F293" i="5"/>
  <c r="G293" i="5" s="1"/>
  <c r="B293" i="5"/>
  <c r="C293" i="5"/>
  <c r="D293" i="5"/>
  <c r="H292" i="5"/>
  <c r="B292" i="5"/>
  <c r="D292" i="5"/>
  <c r="E292" i="5"/>
  <c r="F292" i="5"/>
  <c r="G292" i="5" s="1"/>
  <c r="C292" i="5"/>
  <c r="E291" i="5"/>
  <c r="H291" i="5"/>
  <c r="F291" i="5"/>
  <c r="G291" i="5" s="1"/>
  <c r="C291" i="5"/>
  <c r="B291" i="5"/>
  <c r="D291" i="5"/>
  <c r="C290" i="5"/>
  <c r="B290" i="5"/>
  <c r="F290" i="5"/>
  <c r="G290" i="5" s="1"/>
  <c r="E290" i="5"/>
  <c r="H290" i="5"/>
  <c r="D290" i="5"/>
  <c r="C289" i="5"/>
  <c r="B289" i="5"/>
  <c r="D289" i="5"/>
  <c r="E289" i="5"/>
  <c r="F289" i="5"/>
  <c r="G289" i="5" s="1"/>
  <c r="H289" i="5"/>
  <c r="E288" i="5"/>
  <c r="C288" i="5"/>
  <c r="F288" i="5"/>
  <c r="G288" i="5" s="1"/>
  <c r="B288" i="5"/>
  <c r="D288" i="5"/>
  <c r="H288" i="5"/>
  <c r="H287" i="5"/>
  <c r="B287" i="5"/>
  <c r="C287" i="5"/>
  <c r="D287" i="5"/>
  <c r="E287" i="5"/>
  <c r="F287" i="5"/>
  <c r="G287" i="5" s="1"/>
  <c r="B286" i="5"/>
  <c r="C286" i="5"/>
  <c r="E286" i="5"/>
  <c r="F286" i="5"/>
  <c r="G286" i="5" s="1"/>
  <c r="H286" i="5"/>
  <c r="D286" i="5"/>
  <c r="H285" i="5"/>
  <c r="F285" i="5"/>
  <c r="G285" i="5" s="1"/>
  <c r="B285" i="5"/>
  <c r="C285" i="5"/>
  <c r="D285" i="5"/>
  <c r="E285" i="5"/>
  <c r="C284" i="5"/>
  <c r="E284" i="5"/>
  <c r="B284" i="5"/>
  <c r="F284" i="5"/>
  <c r="G284" i="5" s="1"/>
  <c r="H284" i="5"/>
  <c r="D284" i="5"/>
  <c r="D283" i="5"/>
  <c r="C283" i="5"/>
  <c r="B283" i="5"/>
  <c r="F283" i="5"/>
  <c r="G283" i="5" s="1"/>
  <c r="E283" i="5"/>
  <c r="H283" i="5"/>
  <c r="E282" i="5"/>
  <c r="F282" i="5"/>
  <c r="G282" i="5" s="1"/>
  <c r="B282" i="5"/>
  <c r="C282" i="5"/>
  <c r="D282" i="5"/>
  <c r="H282" i="5"/>
  <c r="H281" i="5"/>
  <c r="C281" i="5"/>
  <c r="B281" i="5"/>
  <c r="D281" i="5"/>
  <c r="E281" i="5"/>
  <c r="F281" i="5"/>
  <c r="G281" i="5" s="1"/>
  <c r="D280" i="5"/>
  <c r="E280" i="5"/>
  <c r="F280" i="5"/>
  <c r="G280" i="5" s="1"/>
  <c r="H280" i="5"/>
  <c r="B280" i="5"/>
  <c r="C280" i="5"/>
  <c r="H279" i="5"/>
  <c r="F279" i="5"/>
  <c r="G279" i="5" s="1"/>
  <c r="E279" i="5"/>
  <c r="D279" i="5"/>
  <c r="C279" i="5"/>
  <c r="B279" i="5"/>
  <c r="F278" i="5"/>
  <c r="G278" i="5" s="1"/>
  <c r="E278" i="5"/>
  <c r="D278" i="5"/>
  <c r="C278" i="5"/>
  <c r="B278" i="5"/>
  <c r="H278" i="5"/>
  <c r="B277" i="5"/>
  <c r="C277" i="5"/>
  <c r="D277" i="5"/>
  <c r="E277" i="5"/>
  <c r="F277" i="5"/>
  <c r="G277" i="5" s="1"/>
  <c r="H277" i="5"/>
  <c r="H276" i="5"/>
  <c r="C276" i="5"/>
  <c r="B276" i="5"/>
  <c r="F276" i="5"/>
  <c r="G276" i="5" s="1"/>
  <c r="E276" i="5"/>
  <c r="D276" i="5"/>
  <c r="E275" i="5"/>
  <c r="D275" i="5"/>
  <c r="C275" i="5"/>
  <c r="B275" i="5"/>
  <c r="H275" i="5"/>
  <c r="F275" i="5"/>
  <c r="G275" i="5" s="1"/>
  <c r="H274" i="5"/>
  <c r="F274" i="5"/>
  <c r="G274" i="5" s="1"/>
  <c r="E274" i="5"/>
  <c r="D274" i="5"/>
  <c r="C274" i="5"/>
  <c r="B274" i="5"/>
  <c r="C273" i="5"/>
  <c r="H273" i="5"/>
  <c r="F273" i="5"/>
  <c r="G273" i="5" s="1"/>
  <c r="E273" i="5"/>
  <c r="D273" i="5"/>
  <c r="B273" i="5"/>
  <c r="E272" i="5"/>
  <c r="H272" i="5"/>
  <c r="F272" i="5"/>
  <c r="G272" i="5" s="1"/>
  <c r="B272" i="5"/>
  <c r="C272" i="5"/>
  <c r="D272" i="5"/>
  <c r="B271" i="5"/>
  <c r="F271" i="5"/>
  <c r="G271" i="5" s="1"/>
  <c r="C271" i="5"/>
  <c r="E271" i="5"/>
  <c r="D271" i="5"/>
  <c r="H271" i="5"/>
  <c r="E270" i="5"/>
  <c r="D270" i="5"/>
  <c r="C270" i="5"/>
  <c r="B270" i="5"/>
  <c r="H270" i="5"/>
  <c r="F270" i="5"/>
  <c r="G270" i="5" s="1"/>
  <c r="F269" i="5"/>
  <c r="G269" i="5" s="1"/>
  <c r="E269" i="5"/>
  <c r="D269" i="5"/>
  <c r="H269" i="5"/>
  <c r="C269" i="5"/>
  <c r="B269" i="5"/>
  <c r="D268" i="5"/>
  <c r="C268" i="5"/>
  <c r="B268" i="5"/>
  <c r="E268" i="5"/>
  <c r="F268" i="5"/>
  <c r="G268" i="5" s="1"/>
  <c r="H268" i="5"/>
  <c r="D267" i="5"/>
  <c r="E267" i="5"/>
  <c r="F267" i="5"/>
  <c r="G267" i="5" s="1"/>
  <c r="H267" i="5"/>
  <c r="B267" i="5"/>
  <c r="C267" i="5"/>
  <c r="H266" i="5"/>
  <c r="E266" i="5"/>
  <c r="B266" i="5"/>
  <c r="C266" i="5"/>
  <c r="D266" i="5"/>
  <c r="F266" i="5"/>
  <c r="G266" i="5" s="1"/>
  <c r="F265" i="5"/>
  <c r="G265" i="5" s="1"/>
  <c r="D265" i="5"/>
  <c r="C265" i="5"/>
  <c r="B265" i="5"/>
  <c r="H265" i="5"/>
  <c r="E265" i="5"/>
  <c r="H264" i="5"/>
  <c r="F264" i="5"/>
  <c r="G264" i="5" s="1"/>
  <c r="E264" i="5"/>
  <c r="D264" i="5"/>
  <c r="B264" i="5"/>
  <c r="C264" i="5"/>
  <c r="C263" i="5"/>
  <c r="D263" i="5"/>
  <c r="E263" i="5"/>
  <c r="H263" i="5"/>
  <c r="B263" i="5"/>
  <c r="F263" i="5"/>
  <c r="G263" i="5" s="1"/>
  <c r="H262" i="5"/>
  <c r="F262" i="5"/>
  <c r="G262" i="5" s="1"/>
  <c r="E262" i="5"/>
  <c r="D262" i="5"/>
  <c r="C262" i="5"/>
  <c r="B262" i="5"/>
  <c r="F261" i="5"/>
  <c r="G261" i="5" s="1"/>
  <c r="E261" i="5"/>
  <c r="D261" i="5"/>
  <c r="C261" i="5"/>
  <c r="B261" i="5"/>
  <c r="H261" i="5"/>
  <c r="F260" i="5"/>
  <c r="G260" i="5" s="1"/>
  <c r="E260" i="5"/>
  <c r="D260" i="5"/>
  <c r="C260" i="5"/>
  <c r="B260" i="5"/>
  <c r="H260" i="5"/>
  <c r="F259" i="5"/>
  <c r="G259" i="5" s="1"/>
  <c r="E259" i="5"/>
  <c r="D259" i="5"/>
  <c r="H259" i="5"/>
  <c r="C259" i="5"/>
  <c r="B259" i="5"/>
  <c r="D258" i="5"/>
  <c r="C258" i="5"/>
  <c r="B258" i="5"/>
  <c r="F258" i="5"/>
  <c r="G258" i="5" s="1"/>
  <c r="E258" i="5"/>
  <c r="H258" i="5"/>
  <c r="F257" i="5"/>
  <c r="G257" i="5" s="1"/>
  <c r="E257" i="5"/>
  <c r="D257" i="5"/>
  <c r="C257" i="5"/>
  <c r="B257" i="5"/>
  <c r="H257" i="5"/>
  <c r="H256" i="5"/>
  <c r="F256" i="5"/>
  <c r="G256" i="5" s="1"/>
  <c r="E256" i="5"/>
  <c r="D256" i="5"/>
  <c r="B256" i="5"/>
  <c r="C256" i="5"/>
  <c r="H255" i="5"/>
  <c r="F255" i="5"/>
  <c r="G255" i="5" s="1"/>
  <c r="E255" i="5"/>
  <c r="D255" i="5"/>
  <c r="C255" i="5"/>
  <c r="B255" i="5"/>
  <c r="H254" i="5"/>
  <c r="F254" i="5"/>
  <c r="G254" i="5" s="1"/>
  <c r="E254" i="5"/>
  <c r="D254" i="5"/>
  <c r="C254" i="5"/>
  <c r="B254" i="5"/>
  <c r="E253" i="5"/>
  <c r="D253" i="5"/>
  <c r="C253" i="5"/>
  <c r="B253" i="5"/>
  <c r="F253" i="5"/>
  <c r="G253" i="5" s="1"/>
  <c r="H253" i="5"/>
  <c r="F252" i="5"/>
  <c r="G252" i="5" s="1"/>
  <c r="E252" i="5"/>
  <c r="D252" i="5"/>
  <c r="C252" i="5"/>
  <c r="B252" i="5"/>
  <c r="H252" i="5"/>
  <c r="H251" i="5"/>
  <c r="F251" i="5"/>
  <c r="G251" i="5" s="1"/>
  <c r="E251" i="5"/>
  <c r="D251" i="5"/>
  <c r="B251" i="5"/>
  <c r="C251" i="5"/>
  <c r="H250" i="5"/>
  <c r="F250" i="5"/>
  <c r="G250" i="5" s="1"/>
  <c r="E250" i="5"/>
  <c r="D250" i="5"/>
  <c r="C250" i="5"/>
  <c r="B250" i="5"/>
  <c r="H249" i="5"/>
  <c r="F249" i="5"/>
  <c r="G249" i="5" s="1"/>
  <c r="E249" i="5"/>
  <c r="D249" i="5"/>
  <c r="C249" i="5"/>
  <c r="B249" i="5"/>
  <c r="D248" i="5"/>
  <c r="F248" i="5"/>
  <c r="G248" i="5" s="1"/>
  <c r="H248" i="5"/>
  <c r="B248" i="5"/>
  <c r="E248" i="5"/>
  <c r="C248" i="5"/>
  <c r="E247" i="5"/>
  <c r="D247" i="5"/>
  <c r="C247" i="5"/>
  <c r="B247" i="5"/>
  <c r="H247" i="5"/>
  <c r="F247" i="5"/>
  <c r="G247" i="5" s="1"/>
  <c r="H246" i="5"/>
  <c r="F246" i="5"/>
  <c r="G246" i="5" s="1"/>
  <c r="D246" i="5"/>
  <c r="C246" i="5"/>
  <c r="B246" i="5"/>
  <c r="E246" i="5"/>
  <c r="H245" i="5"/>
  <c r="F245" i="5"/>
  <c r="G245" i="5" s="1"/>
  <c r="E245" i="5"/>
  <c r="D245" i="5"/>
  <c r="C245" i="5"/>
  <c r="B245" i="5"/>
  <c r="F244" i="5"/>
  <c r="G244" i="5" s="1"/>
  <c r="E244" i="5"/>
  <c r="D244" i="5"/>
  <c r="B244" i="5"/>
  <c r="C244" i="5"/>
  <c r="H244" i="5"/>
  <c r="C243" i="5"/>
  <c r="B243" i="5"/>
  <c r="F243" i="5"/>
  <c r="G243" i="5" s="1"/>
  <c r="E243" i="5"/>
  <c r="D243" i="5"/>
  <c r="H243" i="5"/>
  <c r="E242" i="5"/>
  <c r="D242" i="5"/>
  <c r="B242" i="5"/>
  <c r="C242" i="5"/>
  <c r="H242" i="5"/>
  <c r="F242" i="5"/>
  <c r="G242" i="5" s="1"/>
  <c r="E241" i="5"/>
  <c r="D241" i="5"/>
  <c r="C241" i="5"/>
  <c r="B241" i="5"/>
  <c r="H241" i="5"/>
  <c r="F241" i="5"/>
  <c r="G241" i="5" s="1"/>
  <c r="H240" i="5"/>
  <c r="F240" i="5"/>
  <c r="G240" i="5" s="1"/>
  <c r="E240" i="5"/>
  <c r="D240" i="5"/>
  <c r="C240" i="5"/>
  <c r="B240" i="5"/>
  <c r="E239" i="5"/>
  <c r="H239" i="5"/>
  <c r="F239" i="5"/>
  <c r="G239" i="5" s="1"/>
  <c r="D239" i="5"/>
  <c r="C239" i="5"/>
  <c r="B239" i="5"/>
  <c r="F238" i="5"/>
  <c r="G238" i="5" s="1"/>
  <c r="E238" i="5"/>
  <c r="D238" i="5"/>
  <c r="C238" i="5"/>
  <c r="B238" i="5"/>
  <c r="H238" i="5"/>
  <c r="C237" i="5"/>
  <c r="B237" i="5"/>
  <c r="H237" i="5"/>
  <c r="D237" i="5"/>
  <c r="F237" i="5"/>
  <c r="G237" i="5" s="1"/>
  <c r="E237" i="5"/>
  <c r="H236" i="5"/>
  <c r="C236" i="5"/>
  <c r="F236" i="5"/>
  <c r="G236" i="5" s="1"/>
  <c r="E236" i="5"/>
  <c r="D236" i="5"/>
  <c r="B236" i="5"/>
  <c r="B235" i="5"/>
  <c r="F235" i="5"/>
  <c r="G235" i="5" s="1"/>
  <c r="E235" i="5"/>
  <c r="D235" i="5"/>
  <c r="C235" i="5"/>
  <c r="H235" i="5"/>
  <c r="E234" i="5"/>
  <c r="F234" i="5"/>
  <c r="G234" i="5" s="1"/>
  <c r="H234" i="5"/>
  <c r="B234" i="5"/>
  <c r="C234" i="5"/>
  <c r="D234" i="5"/>
  <c r="E233" i="5"/>
  <c r="D233" i="5"/>
  <c r="C233" i="5"/>
  <c r="B233" i="5"/>
  <c r="H233" i="5"/>
  <c r="F233" i="5"/>
  <c r="G233" i="5" s="1"/>
  <c r="D232" i="5"/>
  <c r="H232" i="5"/>
  <c r="F232" i="5"/>
  <c r="G232" i="5" s="1"/>
  <c r="E232" i="5"/>
  <c r="C232" i="5"/>
  <c r="B232" i="5"/>
  <c r="D231" i="5"/>
  <c r="C231" i="5"/>
  <c r="B231" i="5"/>
  <c r="H231" i="5"/>
  <c r="F231" i="5"/>
  <c r="G231" i="5" s="1"/>
  <c r="E231" i="5"/>
  <c r="E230" i="5"/>
  <c r="B230" i="5"/>
  <c r="C230" i="5"/>
  <c r="D230" i="5"/>
  <c r="F230" i="5"/>
  <c r="G230" i="5" s="1"/>
  <c r="H230" i="5"/>
  <c r="H229" i="5"/>
  <c r="F229" i="5"/>
  <c r="G229" i="5" s="1"/>
  <c r="C229" i="5"/>
  <c r="D229" i="5"/>
  <c r="B229" i="5"/>
  <c r="E229" i="5"/>
  <c r="F228" i="5"/>
  <c r="G228" i="5" s="1"/>
  <c r="H228" i="5"/>
  <c r="E228" i="5"/>
  <c r="B228" i="5"/>
  <c r="C228" i="5"/>
  <c r="D228" i="5"/>
  <c r="F227" i="5"/>
  <c r="G227" i="5" s="1"/>
  <c r="E227" i="5"/>
  <c r="D227" i="5"/>
  <c r="H227" i="5"/>
  <c r="C227" i="5"/>
  <c r="B227" i="5"/>
  <c r="C226" i="5"/>
  <c r="E226" i="5"/>
  <c r="B226" i="5"/>
  <c r="D226" i="5"/>
  <c r="H226" i="5"/>
  <c r="F226" i="5"/>
  <c r="G226" i="5" s="1"/>
  <c r="B225" i="5"/>
  <c r="H225" i="5"/>
  <c r="E225" i="5"/>
  <c r="D225" i="5"/>
  <c r="C225" i="5"/>
  <c r="F225" i="5"/>
  <c r="G225" i="5" s="1"/>
  <c r="H224" i="5"/>
  <c r="B224" i="5"/>
  <c r="C224" i="5"/>
  <c r="D224" i="5"/>
  <c r="E224" i="5"/>
  <c r="F224" i="5"/>
  <c r="G224" i="5" s="1"/>
  <c r="D223" i="5"/>
  <c r="C223" i="5"/>
  <c r="B223" i="5"/>
  <c r="H223" i="5"/>
  <c r="F223" i="5"/>
  <c r="G223" i="5" s="1"/>
  <c r="E223" i="5"/>
  <c r="C222" i="5"/>
  <c r="H222" i="5"/>
  <c r="F222" i="5"/>
  <c r="G222" i="5" s="1"/>
  <c r="E222" i="5"/>
  <c r="D222" i="5"/>
  <c r="B222" i="5"/>
  <c r="F221" i="5"/>
  <c r="G221" i="5" s="1"/>
  <c r="B221" i="5"/>
  <c r="C221" i="5"/>
  <c r="D221" i="5"/>
  <c r="E221" i="5"/>
  <c r="H221" i="5"/>
  <c r="B220" i="5"/>
  <c r="C220" i="5"/>
  <c r="D220" i="5"/>
  <c r="F220" i="5"/>
  <c r="G220" i="5" s="1"/>
  <c r="H220" i="5"/>
  <c r="E220" i="5"/>
  <c r="C219" i="5"/>
  <c r="B219" i="5"/>
  <c r="H219" i="5"/>
  <c r="F219" i="5"/>
  <c r="G219" i="5" s="1"/>
  <c r="D219" i="5"/>
  <c r="E219" i="5"/>
  <c r="F218" i="5"/>
  <c r="G218" i="5" s="1"/>
  <c r="H218" i="5"/>
  <c r="B218" i="5"/>
  <c r="C218" i="5"/>
  <c r="D218" i="5"/>
  <c r="E218" i="5"/>
  <c r="B217" i="5"/>
  <c r="C217" i="5"/>
  <c r="D217" i="5"/>
  <c r="E217" i="5"/>
  <c r="F217" i="5"/>
  <c r="G217" i="5" s="1"/>
  <c r="H217" i="5"/>
  <c r="H216" i="5"/>
  <c r="F216" i="5"/>
  <c r="G216" i="5" s="1"/>
  <c r="E216" i="5"/>
  <c r="D216" i="5"/>
  <c r="C216" i="5"/>
  <c r="B216" i="5"/>
  <c r="H215" i="5"/>
  <c r="F215" i="5"/>
  <c r="G215" i="5" s="1"/>
  <c r="E215" i="5"/>
  <c r="D215" i="5"/>
  <c r="C215" i="5"/>
  <c r="B215" i="5"/>
  <c r="H214" i="5"/>
  <c r="F214" i="5"/>
  <c r="G214" i="5" s="1"/>
  <c r="E214" i="5"/>
  <c r="C214" i="5"/>
  <c r="B214" i="5"/>
  <c r="D214" i="5"/>
  <c r="H213" i="5"/>
  <c r="F213" i="5"/>
  <c r="G213" i="5" s="1"/>
  <c r="E213" i="5"/>
  <c r="D213" i="5"/>
  <c r="C213" i="5"/>
  <c r="B213" i="5"/>
  <c r="D212" i="5"/>
  <c r="E212" i="5"/>
  <c r="F212" i="5"/>
  <c r="G212" i="5" s="1"/>
  <c r="B212" i="5"/>
  <c r="C212" i="5"/>
  <c r="H212" i="5"/>
  <c r="B211" i="5"/>
  <c r="E211" i="5"/>
  <c r="C211" i="5"/>
  <c r="D211" i="5"/>
  <c r="F211" i="5"/>
  <c r="G211" i="5" s="1"/>
  <c r="H211" i="5"/>
  <c r="C210" i="5"/>
  <c r="B210" i="5"/>
  <c r="H210" i="5"/>
  <c r="F210" i="5"/>
  <c r="G210" i="5" s="1"/>
  <c r="E210" i="5"/>
  <c r="D210" i="5"/>
  <c r="H209" i="5"/>
  <c r="B209" i="5"/>
  <c r="C209" i="5"/>
  <c r="D209" i="5"/>
  <c r="E209" i="5"/>
  <c r="F209" i="5"/>
  <c r="G209" i="5" s="1"/>
  <c r="C208" i="5"/>
  <c r="F208" i="5"/>
  <c r="G208" i="5" s="1"/>
  <c r="E208" i="5"/>
  <c r="D208" i="5"/>
  <c r="B208" i="5"/>
  <c r="H208" i="5"/>
  <c r="E207" i="5"/>
  <c r="H207" i="5"/>
  <c r="F207" i="5"/>
  <c r="G207" i="5" s="1"/>
  <c r="C207" i="5"/>
  <c r="D207" i="5"/>
  <c r="B207" i="5"/>
  <c r="D206" i="5"/>
  <c r="C206" i="5"/>
  <c r="B206" i="5"/>
  <c r="H206" i="5"/>
  <c r="F206" i="5"/>
  <c r="G206" i="5" s="1"/>
  <c r="E206" i="5"/>
  <c r="C205" i="5"/>
  <c r="H205" i="5"/>
  <c r="F205" i="5"/>
  <c r="G205" i="5" s="1"/>
  <c r="E205" i="5"/>
  <c r="D205" i="5"/>
  <c r="B205" i="5"/>
  <c r="H204" i="5"/>
  <c r="F204" i="5"/>
  <c r="G204" i="5" s="1"/>
  <c r="E204" i="5"/>
  <c r="D204" i="5"/>
  <c r="C204" i="5"/>
  <c r="B204" i="5"/>
  <c r="C203" i="5"/>
  <c r="D203" i="5"/>
  <c r="E203" i="5"/>
  <c r="F203" i="5"/>
  <c r="B203" i="5"/>
  <c r="H203" i="5"/>
  <c r="G203" i="5"/>
  <c r="H202" i="5"/>
  <c r="C202" i="5"/>
  <c r="D202" i="5"/>
  <c r="E202" i="5"/>
  <c r="F202" i="5"/>
  <c r="G202" i="5" s="1"/>
  <c r="B202" i="5"/>
  <c r="H201" i="5"/>
  <c r="F201" i="5"/>
  <c r="E201" i="5"/>
  <c r="D201" i="5"/>
  <c r="C201" i="5"/>
  <c r="B201" i="5"/>
  <c r="G201" i="5"/>
  <c r="H200" i="5"/>
  <c r="F200" i="5"/>
  <c r="G200" i="5" s="1"/>
  <c r="E200" i="5"/>
  <c r="D200" i="5"/>
  <c r="C200" i="5"/>
  <c r="B200" i="5"/>
  <c r="H199" i="5"/>
  <c r="F199" i="5"/>
  <c r="G199" i="5" s="1"/>
  <c r="E199" i="5"/>
  <c r="D199" i="5"/>
  <c r="C199" i="5"/>
  <c r="B199" i="5"/>
  <c r="H198" i="5"/>
  <c r="F198" i="5"/>
  <c r="G198" i="5" s="1"/>
  <c r="E198" i="5"/>
  <c r="D198" i="5"/>
  <c r="C198" i="5"/>
  <c r="B198" i="5"/>
  <c r="H197" i="5"/>
  <c r="F197" i="5"/>
  <c r="G197" i="5" s="1"/>
  <c r="E197" i="5"/>
  <c r="D197" i="5"/>
  <c r="C197" i="5"/>
  <c r="B197" i="5"/>
  <c r="H196" i="5"/>
  <c r="F196" i="5"/>
  <c r="G196" i="5" s="1"/>
  <c r="E196" i="5"/>
  <c r="D196" i="5"/>
  <c r="C196" i="5"/>
  <c r="B196" i="5"/>
  <c r="H195" i="5"/>
  <c r="F195" i="5"/>
  <c r="G195" i="5" s="1"/>
  <c r="E195" i="5"/>
  <c r="D195" i="5"/>
  <c r="C195" i="5"/>
  <c r="B195" i="5"/>
  <c r="H194" i="5"/>
  <c r="F194" i="5"/>
  <c r="G194" i="5" s="1"/>
  <c r="E194" i="5"/>
  <c r="D194" i="5"/>
  <c r="C194" i="5"/>
  <c r="B194" i="5"/>
  <c r="H193" i="5"/>
  <c r="F193" i="5"/>
  <c r="G193" i="5" s="1"/>
  <c r="E193" i="5"/>
  <c r="D193" i="5"/>
  <c r="C193" i="5"/>
  <c r="B193" i="5"/>
  <c r="H192" i="5"/>
  <c r="F192" i="5"/>
  <c r="G192" i="5" s="1"/>
  <c r="E192" i="5"/>
  <c r="D192" i="5"/>
  <c r="C192" i="5"/>
  <c r="B192" i="5"/>
  <c r="H191" i="5"/>
  <c r="F191" i="5"/>
  <c r="G191" i="5" s="1"/>
  <c r="E191" i="5"/>
  <c r="D191" i="5"/>
  <c r="C191" i="5"/>
  <c r="B191" i="5"/>
  <c r="H190" i="5"/>
  <c r="F190" i="5"/>
  <c r="G190" i="5" s="1"/>
  <c r="E190" i="5"/>
  <c r="D190" i="5"/>
  <c r="C190" i="5"/>
  <c r="B190" i="5"/>
  <c r="H189" i="5"/>
  <c r="F189" i="5"/>
  <c r="G189" i="5" s="1"/>
  <c r="E189" i="5"/>
  <c r="D189" i="5"/>
  <c r="C189" i="5"/>
  <c r="B189" i="5"/>
  <c r="H188" i="5"/>
  <c r="F188" i="5"/>
  <c r="G188" i="5" s="1"/>
  <c r="E188" i="5"/>
  <c r="D188" i="5"/>
  <c r="C188" i="5"/>
  <c r="B188" i="5"/>
  <c r="H187" i="5"/>
  <c r="F187" i="5"/>
  <c r="G187" i="5" s="1"/>
  <c r="E187" i="5"/>
  <c r="D187" i="5"/>
  <c r="C187" i="5"/>
  <c r="B187" i="5"/>
  <c r="H186" i="5"/>
  <c r="F186" i="5"/>
  <c r="G186" i="5" s="1"/>
  <c r="E186" i="5"/>
  <c r="D186" i="5"/>
  <c r="C186" i="5"/>
  <c r="B186" i="5"/>
  <c r="H185" i="5"/>
  <c r="F185" i="5"/>
  <c r="G185" i="5" s="1"/>
  <c r="E185" i="5"/>
  <c r="D185" i="5"/>
  <c r="C185" i="5"/>
  <c r="B185" i="5"/>
  <c r="H184" i="5"/>
  <c r="F184" i="5"/>
  <c r="G184" i="5" s="1"/>
  <c r="E184" i="5"/>
  <c r="D184" i="5"/>
  <c r="C184" i="5"/>
  <c r="B184" i="5"/>
  <c r="H183" i="5"/>
  <c r="F183" i="5"/>
  <c r="G183" i="5" s="1"/>
  <c r="E183" i="5"/>
  <c r="D183" i="5"/>
  <c r="C183" i="5"/>
  <c r="B183" i="5"/>
  <c r="H182" i="5"/>
  <c r="F182" i="5"/>
  <c r="G182" i="5" s="1"/>
  <c r="E182" i="5"/>
  <c r="D182" i="5"/>
  <c r="C182" i="5"/>
  <c r="B182" i="5"/>
  <c r="H181" i="5"/>
  <c r="F181" i="5"/>
  <c r="G181" i="5" s="1"/>
  <c r="E181" i="5"/>
  <c r="D181" i="5"/>
  <c r="C181" i="5"/>
  <c r="B181" i="5"/>
  <c r="H180" i="5"/>
  <c r="F180" i="5"/>
  <c r="G180" i="5" s="1"/>
  <c r="E180" i="5"/>
  <c r="D180" i="5"/>
  <c r="C180" i="5"/>
  <c r="B180" i="5"/>
  <c r="H179" i="5"/>
  <c r="F179" i="5"/>
  <c r="G179" i="5" s="1"/>
  <c r="E179" i="5"/>
  <c r="D179" i="5"/>
  <c r="C179" i="5"/>
  <c r="B179" i="5"/>
  <c r="H178" i="5"/>
  <c r="F178" i="5"/>
  <c r="G178" i="5" s="1"/>
  <c r="E178" i="5"/>
  <c r="D178" i="5"/>
  <c r="C178" i="5"/>
  <c r="B178" i="5"/>
  <c r="H177" i="5"/>
  <c r="F177" i="5"/>
  <c r="G177" i="5" s="1"/>
  <c r="E177" i="5"/>
  <c r="D177" i="5"/>
  <c r="C177" i="5"/>
  <c r="B177" i="5"/>
  <c r="H176" i="5"/>
  <c r="F176" i="5"/>
  <c r="G176" i="5" s="1"/>
  <c r="E176" i="5"/>
  <c r="D176" i="5"/>
  <c r="C176" i="5"/>
  <c r="B176" i="5"/>
  <c r="H175" i="5"/>
  <c r="F175" i="5"/>
  <c r="G175" i="5" s="1"/>
  <c r="E175" i="5"/>
  <c r="D175" i="5"/>
  <c r="C175" i="5"/>
  <c r="B175" i="5"/>
  <c r="H174" i="5"/>
  <c r="F174" i="5"/>
  <c r="G174" i="5" s="1"/>
  <c r="E174" i="5"/>
  <c r="D174" i="5"/>
  <c r="C174" i="5"/>
  <c r="B174" i="5"/>
  <c r="H173" i="5"/>
  <c r="F173" i="5"/>
  <c r="G173" i="5" s="1"/>
  <c r="E173" i="5"/>
  <c r="D173" i="5"/>
  <c r="C173" i="5"/>
  <c r="B173" i="5"/>
  <c r="H172" i="5"/>
  <c r="F172" i="5"/>
  <c r="G172" i="5" s="1"/>
  <c r="E172" i="5"/>
  <c r="D172" i="5"/>
  <c r="C172" i="5"/>
  <c r="B172" i="5"/>
  <c r="H171" i="5"/>
  <c r="F171" i="5"/>
  <c r="G171" i="5" s="1"/>
  <c r="E171" i="5"/>
  <c r="D171" i="5"/>
  <c r="C171" i="5"/>
  <c r="B171" i="5"/>
  <c r="H170" i="5"/>
  <c r="F170" i="5"/>
  <c r="G170" i="5" s="1"/>
  <c r="E170" i="5"/>
  <c r="D170" i="5"/>
  <c r="C170" i="5"/>
  <c r="B170" i="5"/>
  <c r="H169" i="5"/>
  <c r="F169" i="5"/>
  <c r="G169" i="5" s="1"/>
  <c r="E169" i="5"/>
  <c r="D169" i="5"/>
  <c r="C169" i="5"/>
  <c r="B169" i="5"/>
  <c r="H168" i="5"/>
  <c r="E168" i="5"/>
  <c r="D168" i="5"/>
  <c r="C168" i="5"/>
  <c r="B168" i="5"/>
  <c r="F168" i="5"/>
  <c r="G168" i="5" s="1"/>
  <c r="H167" i="5"/>
  <c r="D167" i="5"/>
  <c r="F167" i="5"/>
  <c r="G167" i="5" s="1"/>
  <c r="B167" i="5"/>
  <c r="C167" i="5"/>
  <c r="E167" i="5"/>
  <c r="F166" i="5"/>
  <c r="G166" i="5" s="1"/>
  <c r="H166" i="5"/>
  <c r="C166" i="5"/>
  <c r="B166" i="5"/>
  <c r="D166" i="5"/>
  <c r="E166" i="5"/>
  <c r="E165" i="5"/>
  <c r="D165" i="5"/>
  <c r="H165" i="5"/>
  <c r="F165" i="5"/>
  <c r="G165" i="5" s="1"/>
  <c r="B165" i="5"/>
  <c r="C165" i="5"/>
  <c r="D164" i="5"/>
  <c r="C164" i="5"/>
  <c r="B164" i="5"/>
  <c r="F164" i="5"/>
  <c r="G164" i="5" s="1"/>
  <c r="H164" i="5"/>
  <c r="E164" i="5"/>
  <c r="F163" i="5"/>
  <c r="G163" i="5" s="1"/>
  <c r="H163" i="5"/>
  <c r="E163" i="5"/>
  <c r="B163" i="5"/>
  <c r="C163" i="5"/>
  <c r="D163" i="5"/>
  <c r="B162" i="5"/>
  <c r="C162" i="5"/>
  <c r="E162" i="5"/>
  <c r="F162" i="5"/>
  <c r="G162" i="5" s="1"/>
  <c r="H162" i="5"/>
  <c r="D162" i="5"/>
  <c r="D161" i="5"/>
  <c r="B161" i="5"/>
  <c r="C161" i="5"/>
  <c r="E161" i="5"/>
  <c r="F161" i="5"/>
  <c r="G161" i="5" s="1"/>
  <c r="H161" i="5"/>
  <c r="B160" i="5"/>
  <c r="C160" i="5"/>
  <c r="D160" i="5"/>
  <c r="E160" i="5"/>
  <c r="H160" i="5"/>
  <c r="F160" i="5"/>
  <c r="G160" i="5" s="1"/>
  <c r="B159" i="5"/>
  <c r="H159" i="5"/>
  <c r="F159" i="5"/>
  <c r="G159" i="5" s="1"/>
  <c r="E159" i="5"/>
  <c r="C159" i="5"/>
  <c r="D159" i="5"/>
  <c r="H158" i="5"/>
  <c r="F158" i="5"/>
  <c r="G158" i="5" s="1"/>
  <c r="E158" i="5"/>
  <c r="D158" i="5"/>
  <c r="B158" i="5"/>
  <c r="C158" i="5"/>
  <c r="D157" i="5"/>
  <c r="B157" i="5"/>
  <c r="C157" i="5"/>
  <c r="E157" i="5"/>
  <c r="H157" i="5"/>
  <c r="F157" i="5"/>
  <c r="G157" i="5" s="1"/>
  <c r="F156" i="5"/>
  <c r="G156" i="5" s="1"/>
  <c r="D156" i="5"/>
  <c r="C156" i="5"/>
  <c r="B156" i="5"/>
  <c r="H156" i="5"/>
  <c r="E156" i="5"/>
  <c r="C155" i="5"/>
  <c r="F155" i="5"/>
  <c r="G155" i="5" s="1"/>
  <c r="D155" i="5"/>
  <c r="B155" i="5"/>
  <c r="E155" i="5"/>
  <c r="H155" i="5"/>
  <c r="B154" i="5"/>
  <c r="F154" i="5"/>
  <c r="G154" i="5" s="1"/>
  <c r="H154" i="5"/>
  <c r="E154" i="5"/>
  <c r="D154" i="5"/>
  <c r="C154" i="5"/>
  <c r="H153" i="5"/>
  <c r="F153" i="5"/>
  <c r="G153" i="5" s="1"/>
  <c r="B153" i="5"/>
  <c r="C153" i="5"/>
  <c r="D153" i="5"/>
  <c r="E153" i="5"/>
  <c r="E152" i="5"/>
  <c r="H152" i="5"/>
  <c r="B152" i="5"/>
  <c r="C152" i="5"/>
  <c r="D152" i="5"/>
  <c r="F152" i="5"/>
  <c r="G152" i="5" s="1"/>
  <c r="C151" i="5"/>
  <c r="D151" i="5"/>
  <c r="E151" i="5"/>
  <c r="F151" i="5"/>
  <c r="G151" i="5" s="1"/>
  <c r="H151" i="5"/>
  <c r="B151" i="5"/>
  <c r="F150" i="5"/>
  <c r="G150" i="5" s="1"/>
  <c r="H150" i="5"/>
  <c r="B150" i="5"/>
  <c r="C150" i="5"/>
  <c r="D150" i="5"/>
  <c r="E150" i="5"/>
  <c r="B149" i="5"/>
  <c r="C149" i="5"/>
  <c r="D149" i="5"/>
  <c r="E149" i="5"/>
  <c r="F149" i="5"/>
  <c r="G149" i="5" s="1"/>
  <c r="H149" i="5"/>
  <c r="H148" i="5"/>
  <c r="B148" i="5"/>
  <c r="C148" i="5"/>
  <c r="D148" i="5"/>
  <c r="E148" i="5"/>
  <c r="F148" i="5"/>
  <c r="G148" i="5" s="1"/>
  <c r="H147" i="5"/>
  <c r="C147" i="5"/>
  <c r="D147" i="5"/>
  <c r="E147" i="5"/>
  <c r="F147" i="5"/>
  <c r="G147" i="5" s="1"/>
  <c r="B147" i="5"/>
  <c r="H146" i="5"/>
  <c r="E146" i="5"/>
  <c r="F146" i="5"/>
  <c r="G146" i="5" s="1"/>
  <c r="D146" i="5"/>
  <c r="C146" i="5"/>
  <c r="B146" i="5"/>
  <c r="D145" i="5"/>
  <c r="B145" i="5"/>
  <c r="C145" i="5"/>
  <c r="H145" i="5"/>
  <c r="F145" i="5"/>
  <c r="G145" i="5" s="1"/>
  <c r="E145" i="5"/>
  <c r="F144" i="5"/>
  <c r="G144" i="5" s="1"/>
  <c r="H144" i="5"/>
  <c r="B144" i="5"/>
  <c r="C144" i="5"/>
  <c r="D144" i="5"/>
  <c r="E144" i="5"/>
  <c r="H143" i="5"/>
  <c r="D143" i="5"/>
  <c r="C143" i="5"/>
  <c r="E143" i="5"/>
  <c r="B143" i="5"/>
  <c r="F143" i="5"/>
  <c r="G143" i="5" s="1"/>
  <c r="E142" i="5"/>
  <c r="H142" i="5"/>
  <c r="F142" i="5"/>
  <c r="G142" i="5" s="1"/>
  <c r="D142" i="5"/>
  <c r="C142" i="5"/>
  <c r="B142" i="5"/>
  <c r="F141" i="5"/>
  <c r="G141" i="5" s="1"/>
  <c r="E141" i="5"/>
  <c r="B141" i="5"/>
  <c r="C141" i="5"/>
  <c r="D141" i="5"/>
  <c r="H141" i="5"/>
  <c r="B140" i="5"/>
  <c r="C140" i="5"/>
  <c r="D140" i="5"/>
  <c r="E140" i="5"/>
  <c r="F140" i="5"/>
  <c r="G140" i="5" s="1"/>
  <c r="H140" i="5"/>
  <c r="F139" i="5"/>
  <c r="G139" i="5" s="1"/>
  <c r="D139" i="5"/>
  <c r="H139" i="5"/>
  <c r="B139" i="5"/>
  <c r="C139" i="5"/>
  <c r="E139" i="5"/>
  <c r="B138" i="5"/>
  <c r="F138" i="5"/>
  <c r="G138" i="5" s="1"/>
  <c r="E138" i="5"/>
  <c r="C138" i="5"/>
  <c r="H138" i="5"/>
  <c r="D138" i="5"/>
  <c r="H137" i="5"/>
  <c r="C137" i="5"/>
  <c r="F137" i="5"/>
  <c r="G137" i="5" s="1"/>
  <c r="E137" i="5"/>
  <c r="D137" i="5"/>
  <c r="B137" i="5"/>
  <c r="H136" i="5"/>
  <c r="F136" i="5"/>
  <c r="G136" i="5" s="1"/>
  <c r="E136" i="5"/>
  <c r="D136" i="5"/>
  <c r="C136" i="5"/>
  <c r="B136" i="5"/>
  <c r="F135" i="5"/>
  <c r="G135" i="5" s="1"/>
  <c r="E135" i="5"/>
  <c r="D135" i="5"/>
  <c r="C135" i="5"/>
  <c r="B135" i="5"/>
  <c r="H135" i="5"/>
  <c r="F134" i="5"/>
  <c r="G134" i="5" s="1"/>
  <c r="D134" i="5"/>
  <c r="C134" i="5"/>
  <c r="B134" i="5"/>
  <c r="E134" i="5"/>
  <c r="H134" i="5"/>
  <c r="D133" i="5"/>
  <c r="B133" i="5"/>
  <c r="H133" i="5"/>
  <c r="F133" i="5"/>
  <c r="G133" i="5" s="1"/>
  <c r="C133" i="5"/>
  <c r="E133" i="5"/>
  <c r="F132" i="5"/>
  <c r="G132" i="5" s="1"/>
  <c r="E132" i="5"/>
  <c r="D132" i="5"/>
  <c r="C132" i="5"/>
  <c r="B132" i="5"/>
  <c r="H132" i="5"/>
  <c r="H131" i="5"/>
  <c r="F131" i="5"/>
  <c r="G131" i="5" s="1"/>
  <c r="B131" i="5"/>
  <c r="C131" i="5"/>
  <c r="D131" i="5"/>
  <c r="E131" i="5"/>
  <c r="B130" i="5"/>
  <c r="C130" i="5"/>
  <c r="D130" i="5"/>
  <c r="E130" i="5"/>
  <c r="F130" i="5"/>
  <c r="G130" i="5" s="1"/>
  <c r="H130" i="5"/>
  <c r="B129" i="5"/>
  <c r="C129" i="5"/>
  <c r="D129" i="5"/>
  <c r="F129" i="5"/>
  <c r="G129" i="5" s="1"/>
  <c r="H129" i="5"/>
  <c r="E129" i="5"/>
  <c r="C128" i="5"/>
  <c r="D128" i="5"/>
  <c r="E128" i="5"/>
  <c r="F128" i="5"/>
  <c r="G128" i="5" s="1"/>
  <c r="H128" i="5"/>
  <c r="B128" i="5"/>
  <c r="F127" i="5"/>
  <c r="G127" i="5" s="1"/>
  <c r="C127" i="5"/>
  <c r="D127" i="5"/>
  <c r="H127" i="5"/>
  <c r="E127" i="5"/>
  <c r="B127" i="5"/>
  <c r="D126" i="5"/>
  <c r="F126" i="5"/>
  <c r="G126" i="5" s="1"/>
  <c r="H126" i="5"/>
  <c r="C126" i="5"/>
  <c r="B126" i="5"/>
  <c r="E126" i="5"/>
  <c r="H125" i="5"/>
  <c r="D125" i="5"/>
  <c r="F125" i="5"/>
  <c r="G125" i="5" s="1"/>
  <c r="E125" i="5"/>
  <c r="C125" i="5"/>
  <c r="B125" i="5"/>
  <c r="E124" i="5"/>
  <c r="H124" i="5"/>
  <c r="D124" i="5"/>
  <c r="F124" i="5"/>
  <c r="G124" i="5" s="1"/>
  <c r="C124" i="5"/>
  <c r="B124" i="5"/>
  <c r="H123" i="5"/>
  <c r="F123" i="5"/>
  <c r="G123" i="5" s="1"/>
  <c r="D123" i="5"/>
  <c r="C123" i="5"/>
  <c r="B123" i="5"/>
  <c r="E123" i="5"/>
  <c r="C122" i="5"/>
  <c r="H122" i="5"/>
  <c r="B122" i="5"/>
  <c r="F122" i="5"/>
  <c r="G122" i="5" s="1"/>
  <c r="E122" i="5"/>
  <c r="D122" i="5"/>
  <c r="C121" i="5"/>
  <c r="H121" i="5"/>
  <c r="F121" i="5"/>
  <c r="G121" i="5" s="1"/>
  <c r="E121" i="5"/>
  <c r="D121" i="5"/>
  <c r="B121" i="5"/>
  <c r="D120" i="5"/>
  <c r="C120" i="5"/>
  <c r="B120" i="5"/>
  <c r="H120" i="5"/>
  <c r="F120" i="5"/>
  <c r="G120" i="5" s="1"/>
  <c r="E120" i="5"/>
  <c r="D119" i="5"/>
  <c r="C119" i="5"/>
  <c r="B119" i="5"/>
  <c r="H119" i="5"/>
  <c r="F119" i="5"/>
  <c r="G119" i="5" s="1"/>
  <c r="E119" i="5"/>
  <c r="H118" i="5"/>
  <c r="E118" i="5"/>
  <c r="D118" i="5"/>
  <c r="B118" i="5"/>
  <c r="C118" i="5"/>
  <c r="F118" i="5"/>
  <c r="G118" i="5" s="1"/>
  <c r="B117" i="5"/>
  <c r="H117" i="5"/>
  <c r="F117" i="5"/>
  <c r="G117" i="5" s="1"/>
  <c r="E117" i="5"/>
  <c r="D117" i="5"/>
  <c r="C117" i="5"/>
  <c r="E116" i="5"/>
  <c r="H116" i="5"/>
  <c r="F116" i="5"/>
  <c r="G116" i="5" s="1"/>
  <c r="D116" i="5"/>
  <c r="C116" i="5"/>
  <c r="B116" i="5"/>
  <c r="H115" i="5"/>
  <c r="B115" i="5"/>
  <c r="C115" i="5"/>
  <c r="D115" i="5"/>
  <c r="E115" i="5"/>
  <c r="F115" i="5"/>
  <c r="G115" i="5" s="1"/>
  <c r="H114" i="5"/>
  <c r="E114" i="5"/>
  <c r="B114" i="5"/>
  <c r="C114" i="5"/>
  <c r="D114" i="5"/>
  <c r="F114" i="5"/>
  <c r="G114" i="5" s="1"/>
  <c r="B113" i="5"/>
  <c r="C113" i="5"/>
  <c r="H113" i="5"/>
  <c r="D113" i="5"/>
  <c r="E113" i="5"/>
  <c r="F113" i="5"/>
  <c r="G113" i="5" s="1"/>
  <c r="H112" i="5"/>
  <c r="F112" i="5"/>
  <c r="G112" i="5" s="1"/>
  <c r="E112" i="5"/>
  <c r="D112" i="5"/>
  <c r="C112" i="5"/>
  <c r="B112" i="5"/>
  <c r="B111" i="5"/>
  <c r="C111" i="5"/>
  <c r="D111" i="5"/>
  <c r="E111" i="5"/>
  <c r="H111" i="5"/>
  <c r="F111" i="5"/>
  <c r="G111" i="5" s="1"/>
  <c r="C110" i="5"/>
  <c r="B110" i="5"/>
  <c r="E110" i="5"/>
  <c r="F110" i="5"/>
  <c r="G110" i="5" s="1"/>
  <c r="H110" i="5"/>
  <c r="D110" i="5"/>
  <c r="B109" i="5"/>
  <c r="C109" i="5"/>
  <c r="D109" i="5"/>
  <c r="E109" i="5"/>
  <c r="F109" i="5"/>
  <c r="G109" i="5" s="1"/>
  <c r="H109" i="5"/>
  <c r="H108" i="5"/>
  <c r="C108" i="5"/>
  <c r="D108" i="5"/>
  <c r="E108" i="5"/>
  <c r="B108" i="5"/>
  <c r="F108" i="5"/>
  <c r="G108" i="5" s="1"/>
  <c r="E107" i="5"/>
  <c r="B107" i="5"/>
  <c r="C107" i="5"/>
  <c r="D107" i="5"/>
  <c r="F107" i="5"/>
  <c r="G107" i="5" s="1"/>
  <c r="H107" i="5"/>
  <c r="H106" i="5"/>
  <c r="B106" i="5"/>
  <c r="F106" i="5"/>
  <c r="G106" i="5" s="1"/>
  <c r="E106" i="5"/>
  <c r="D106" i="5"/>
  <c r="C106" i="5"/>
  <c r="B105" i="5"/>
  <c r="H105" i="5"/>
  <c r="F105" i="5"/>
  <c r="G105" i="5" s="1"/>
  <c r="E105" i="5"/>
  <c r="D105" i="5"/>
  <c r="C105" i="5"/>
  <c r="H104" i="5"/>
  <c r="F104" i="5"/>
  <c r="G104" i="5" s="1"/>
  <c r="E104" i="5"/>
  <c r="C104" i="5"/>
  <c r="D104" i="5"/>
  <c r="B104" i="5"/>
  <c r="E103" i="5"/>
  <c r="D103" i="5"/>
  <c r="C103" i="5"/>
  <c r="B103" i="5"/>
  <c r="H103" i="5"/>
  <c r="F103" i="5"/>
  <c r="G103" i="5" s="1"/>
  <c r="B102" i="5"/>
  <c r="H102" i="5"/>
  <c r="F102" i="5"/>
  <c r="G102" i="5" s="1"/>
  <c r="D102" i="5"/>
  <c r="C102" i="5"/>
  <c r="E102" i="5"/>
  <c r="F101" i="5"/>
  <c r="G101" i="5" s="1"/>
  <c r="E101" i="5"/>
  <c r="D101" i="5"/>
  <c r="C101" i="5"/>
  <c r="B101" i="5"/>
  <c r="H101" i="5"/>
  <c r="B100" i="5"/>
  <c r="C100" i="5"/>
  <c r="D100" i="5"/>
  <c r="E100" i="5"/>
  <c r="F100" i="5"/>
  <c r="G100" i="5" s="1"/>
  <c r="H100" i="5"/>
  <c r="F99" i="5"/>
  <c r="G99" i="5" s="1"/>
  <c r="B99" i="5"/>
  <c r="C99" i="5"/>
  <c r="D99" i="5"/>
  <c r="E99" i="5"/>
  <c r="H99" i="5"/>
  <c r="E98" i="5"/>
  <c r="B98" i="5"/>
  <c r="C98" i="5"/>
  <c r="D98" i="5"/>
  <c r="F98" i="5"/>
  <c r="G98" i="5" s="1"/>
  <c r="H98" i="5"/>
  <c r="B97" i="5"/>
  <c r="C97" i="5"/>
  <c r="D97" i="5"/>
  <c r="E97" i="5"/>
  <c r="F97" i="5"/>
  <c r="G97" i="5" s="1"/>
  <c r="H97" i="5"/>
  <c r="E96" i="5"/>
  <c r="F96" i="5"/>
  <c r="G96" i="5" s="1"/>
  <c r="H96" i="5"/>
  <c r="C96" i="5"/>
  <c r="D96" i="5"/>
  <c r="B96" i="5"/>
  <c r="H95" i="5"/>
  <c r="F95" i="5"/>
  <c r="G95" i="5" s="1"/>
  <c r="E95" i="5"/>
  <c r="D95" i="5"/>
  <c r="C95" i="5"/>
  <c r="B95" i="5"/>
  <c r="H94" i="5"/>
  <c r="D94" i="5"/>
  <c r="B94" i="5"/>
  <c r="C94" i="5"/>
  <c r="F94" i="5"/>
  <c r="G94" i="5" s="1"/>
  <c r="E94" i="5"/>
  <c r="C93" i="5"/>
  <c r="H93" i="5"/>
  <c r="B93" i="5"/>
  <c r="D93" i="5"/>
  <c r="E93" i="5"/>
  <c r="F93" i="5"/>
  <c r="G93" i="5" s="1"/>
  <c r="B92" i="5"/>
  <c r="F92" i="5"/>
  <c r="G92" i="5" s="1"/>
  <c r="E92" i="5"/>
  <c r="H92" i="5"/>
  <c r="D92" i="5"/>
  <c r="C92" i="5"/>
  <c r="B91" i="5"/>
  <c r="C91" i="5"/>
  <c r="D91" i="5"/>
  <c r="E91" i="5"/>
  <c r="F91" i="5"/>
  <c r="G91" i="5" s="1"/>
  <c r="H91" i="5"/>
  <c r="H90" i="5"/>
  <c r="D90" i="5"/>
  <c r="F90" i="5"/>
  <c r="G90" i="5" s="1"/>
  <c r="B90" i="5"/>
  <c r="C90" i="5"/>
  <c r="E90" i="5"/>
  <c r="C89" i="5"/>
  <c r="B89" i="5"/>
  <c r="H89" i="5"/>
  <c r="F89" i="5"/>
  <c r="G89" i="5" s="1"/>
  <c r="E89" i="5"/>
  <c r="D89" i="5"/>
  <c r="H88" i="5"/>
  <c r="F88" i="5"/>
  <c r="G88" i="5" s="1"/>
  <c r="E88" i="5"/>
  <c r="D88" i="5"/>
  <c r="C88" i="5"/>
  <c r="B88" i="5"/>
  <c r="F87" i="5"/>
  <c r="G87" i="5" s="1"/>
  <c r="E87" i="5"/>
  <c r="D87" i="5"/>
  <c r="B87" i="5"/>
  <c r="C87" i="5"/>
  <c r="H87" i="5"/>
  <c r="H86" i="5"/>
  <c r="F86" i="5"/>
  <c r="G86" i="5" s="1"/>
  <c r="E86" i="5"/>
  <c r="D86" i="5"/>
  <c r="C86" i="5"/>
  <c r="B86" i="5"/>
  <c r="H85" i="5"/>
  <c r="B85" i="5"/>
  <c r="C85" i="5"/>
  <c r="D85" i="5"/>
  <c r="E85" i="5"/>
  <c r="F85" i="5"/>
  <c r="G85" i="5" s="1"/>
  <c r="B84" i="5"/>
  <c r="H84" i="5"/>
  <c r="F84" i="5"/>
  <c r="G84" i="5" s="1"/>
  <c r="E84" i="5"/>
  <c r="D84" i="5"/>
  <c r="C84" i="5"/>
  <c r="F83" i="5"/>
  <c r="G83" i="5" s="1"/>
  <c r="E83" i="5"/>
  <c r="D83" i="5"/>
  <c r="C83" i="5"/>
  <c r="H83" i="5"/>
  <c r="B83" i="5"/>
  <c r="F82" i="5"/>
  <c r="G82" i="5" s="1"/>
  <c r="H82" i="5"/>
  <c r="B82" i="5"/>
  <c r="C82" i="5"/>
  <c r="D82" i="5"/>
  <c r="E82" i="5"/>
  <c r="F81" i="5"/>
  <c r="G81" i="5" s="1"/>
  <c r="E81" i="5"/>
  <c r="D81" i="5"/>
  <c r="C81" i="5"/>
  <c r="B81" i="5"/>
  <c r="H81" i="5"/>
  <c r="H80" i="5"/>
  <c r="F80" i="5"/>
  <c r="G80" i="5" s="1"/>
  <c r="D80" i="5"/>
  <c r="C80" i="5"/>
  <c r="B80" i="5"/>
  <c r="E80" i="5"/>
  <c r="H79" i="5"/>
  <c r="F79" i="5"/>
  <c r="G79" i="5" s="1"/>
  <c r="E79" i="5"/>
  <c r="D79" i="5"/>
  <c r="B79" i="5"/>
  <c r="C79" i="5"/>
  <c r="B78" i="5"/>
  <c r="F78" i="5"/>
  <c r="G78" i="5" s="1"/>
  <c r="H78" i="5"/>
  <c r="D78" i="5"/>
  <c r="C78" i="5"/>
  <c r="E78" i="5"/>
  <c r="C77" i="5"/>
  <c r="B77" i="5"/>
  <c r="D77" i="5"/>
  <c r="E77" i="5"/>
  <c r="F77" i="5"/>
  <c r="G77" i="5" s="1"/>
  <c r="H77" i="5"/>
  <c r="F76" i="5"/>
  <c r="G76" i="5" s="1"/>
  <c r="H76" i="5"/>
  <c r="E76" i="5"/>
  <c r="B76" i="5"/>
  <c r="C76" i="5"/>
  <c r="D76" i="5"/>
  <c r="E75" i="5"/>
  <c r="D75" i="5"/>
  <c r="C75" i="5"/>
  <c r="B75" i="5"/>
  <c r="F75" i="5"/>
  <c r="G75" i="5" s="1"/>
  <c r="H75" i="5"/>
  <c r="H74" i="5"/>
  <c r="B74" i="5"/>
  <c r="C74" i="5"/>
  <c r="F74" i="5"/>
  <c r="G74" i="5" s="1"/>
  <c r="E74" i="5"/>
  <c r="D74" i="5"/>
  <c r="H73" i="5"/>
  <c r="F73" i="5"/>
  <c r="G73" i="5" s="1"/>
  <c r="E73" i="5"/>
  <c r="C73" i="5"/>
  <c r="B73" i="5"/>
  <c r="D73" i="5"/>
  <c r="H72" i="5"/>
  <c r="F72" i="5"/>
  <c r="G72" i="5" s="1"/>
  <c r="E72" i="5"/>
  <c r="D72" i="5"/>
  <c r="C72" i="5"/>
  <c r="B72" i="5"/>
  <c r="H71" i="5"/>
  <c r="F71" i="5"/>
  <c r="G71" i="5" s="1"/>
  <c r="E71" i="5"/>
  <c r="D71" i="5"/>
  <c r="C71" i="5"/>
  <c r="B71" i="5"/>
  <c r="H70" i="5"/>
  <c r="F70" i="5"/>
  <c r="G70" i="5" s="1"/>
  <c r="E70" i="5"/>
  <c r="D70" i="5"/>
  <c r="C70" i="5"/>
  <c r="B70" i="5"/>
  <c r="H69" i="5"/>
  <c r="F69" i="5"/>
  <c r="G69" i="5" s="1"/>
  <c r="E69" i="5"/>
  <c r="D69" i="5"/>
  <c r="C69" i="5"/>
  <c r="B69" i="5"/>
  <c r="H68" i="5"/>
  <c r="F68" i="5"/>
  <c r="G68" i="5" s="1"/>
  <c r="E68" i="5"/>
  <c r="D68" i="5"/>
  <c r="C68" i="5"/>
  <c r="B68" i="5"/>
  <c r="H67" i="5"/>
  <c r="F67" i="5"/>
  <c r="G67" i="5" s="1"/>
  <c r="E67" i="5"/>
  <c r="D67" i="5"/>
  <c r="C67" i="5"/>
  <c r="B67" i="5"/>
  <c r="H66" i="5"/>
  <c r="B66" i="5"/>
  <c r="F66" i="5"/>
  <c r="G66" i="5" s="1"/>
  <c r="E66" i="5"/>
  <c r="D66" i="5"/>
  <c r="C66" i="5"/>
  <c r="H65" i="5"/>
  <c r="F65" i="5"/>
  <c r="G65" i="5" s="1"/>
  <c r="E65" i="5"/>
  <c r="D65" i="5"/>
  <c r="C65" i="5"/>
  <c r="B65" i="5"/>
  <c r="H64" i="5"/>
  <c r="F64" i="5"/>
  <c r="G64" i="5" s="1"/>
  <c r="E64" i="5"/>
  <c r="D64" i="5"/>
  <c r="C64" i="5"/>
  <c r="B64" i="5"/>
  <c r="B63" i="5"/>
  <c r="H63" i="5"/>
  <c r="F63" i="5"/>
  <c r="G63" i="5" s="1"/>
  <c r="E63" i="5"/>
  <c r="D63" i="5"/>
  <c r="C63" i="5"/>
  <c r="B62" i="5"/>
  <c r="F62" i="5"/>
  <c r="G62" i="5" s="1"/>
  <c r="H62" i="5"/>
  <c r="D62" i="5"/>
  <c r="C62" i="5"/>
  <c r="E62" i="5"/>
  <c r="B61" i="5"/>
  <c r="C61" i="5"/>
  <c r="D61" i="5"/>
  <c r="E61" i="5"/>
  <c r="F61" i="5"/>
  <c r="G61" i="5" s="1"/>
  <c r="H61" i="5"/>
  <c r="C60" i="5"/>
  <c r="H60" i="5"/>
  <c r="F60" i="5"/>
  <c r="G60" i="5" s="1"/>
  <c r="E60" i="5"/>
  <c r="D60" i="5"/>
  <c r="B60" i="5"/>
  <c r="D59" i="5"/>
  <c r="H59" i="5"/>
  <c r="F59" i="5"/>
  <c r="G59" i="5" s="1"/>
  <c r="E59" i="5"/>
  <c r="C59" i="5"/>
  <c r="B59" i="5"/>
  <c r="B58" i="5"/>
  <c r="H58" i="5"/>
  <c r="F58" i="5"/>
  <c r="G58" i="5" s="1"/>
  <c r="E58" i="5"/>
  <c r="D58" i="5"/>
  <c r="C58" i="5"/>
  <c r="C57" i="5"/>
  <c r="H57" i="5"/>
  <c r="B57" i="5"/>
  <c r="F57" i="5"/>
  <c r="G57" i="5" s="1"/>
  <c r="E57" i="5"/>
  <c r="D57" i="5"/>
  <c r="E56" i="5"/>
  <c r="H56" i="5"/>
  <c r="F56" i="5"/>
  <c r="G56" i="5" s="1"/>
  <c r="D56" i="5"/>
  <c r="C56" i="5"/>
  <c r="B56" i="5"/>
  <c r="H55" i="5"/>
  <c r="F55" i="5"/>
  <c r="G55" i="5" s="1"/>
  <c r="E55" i="5"/>
  <c r="D55" i="5"/>
  <c r="C55" i="5"/>
  <c r="B55" i="5"/>
  <c r="B54" i="5"/>
  <c r="H54" i="5"/>
  <c r="F54" i="5"/>
  <c r="G54" i="5" s="1"/>
  <c r="E54" i="5"/>
  <c r="D54" i="5"/>
  <c r="C54" i="5"/>
  <c r="B53" i="5"/>
  <c r="C53" i="5"/>
  <c r="D53" i="5"/>
  <c r="E53" i="5"/>
  <c r="F53" i="5"/>
  <c r="G53" i="5" s="1"/>
  <c r="H53" i="5"/>
  <c r="H52" i="5"/>
  <c r="B52" i="5"/>
  <c r="F52" i="5"/>
  <c r="G52" i="5" s="1"/>
  <c r="E52" i="5"/>
  <c r="D52" i="5"/>
  <c r="C52" i="5"/>
  <c r="D51" i="5"/>
  <c r="B51" i="5"/>
  <c r="C51" i="5"/>
  <c r="H51" i="5"/>
  <c r="F51" i="5"/>
  <c r="G51" i="5" s="1"/>
  <c r="E51" i="5"/>
  <c r="B50" i="5"/>
  <c r="D50" i="5"/>
  <c r="E50" i="5"/>
  <c r="F50" i="5"/>
  <c r="G50" i="5" s="1"/>
  <c r="H50" i="5"/>
  <c r="C50" i="5"/>
  <c r="F49" i="5"/>
  <c r="G49" i="5" s="1"/>
  <c r="H49" i="5"/>
  <c r="B49" i="5"/>
  <c r="C49" i="5"/>
  <c r="D49" i="5"/>
  <c r="E49" i="5"/>
  <c r="F48" i="5"/>
  <c r="G48" i="5" s="1"/>
  <c r="H48" i="5"/>
  <c r="B48" i="5"/>
  <c r="C48" i="5"/>
  <c r="D48" i="5"/>
  <c r="E48" i="5"/>
  <c r="D47" i="5"/>
  <c r="E47" i="5"/>
  <c r="F47" i="5"/>
  <c r="G47" i="5" s="1"/>
  <c r="B47" i="5"/>
  <c r="H47" i="5"/>
  <c r="C47" i="5"/>
  <c r="B46" i="5"/>
  <c r="C46" i="5"/>
  <c r="D46" i="5"/>
  <c r="E46" i="5"/>
  <c r="F46" i="5"/>
  <c r="G46" i="5" s="1"/>
  <c r="H46" i="5"/>
  <c r="H45" i="5"/>
  <c r="F45" i="5"/>
  <c r="G45" i="5" s="1"/>
  <c r="E45" i="5"/>
  <c r="D45" i="5"/>
  <c r="B45" i="5"/>
  <c r="C45" i="5"/>
  <c r="H44" i="5"/>
  <c r="F44" i="5"/>
  <c r="G44" i="5" s="1"/>
  <c r="E44" i="5"/>
  <c r="D44" i="5"/>
  <c r="B44" i="5"/>
  <c r="C44" i="5"/>
  <c r="H43" i="5"/>
  <c r="F43" i="5"/>
  <c r="G43" i="5" s="1"/>
  <c r="E43" i="5"/>
  <c r="D43" i="5"/>
  <c r="C43" i="5"/>
  <c r="B43" i="5"/>
  <c r="H42" i="5"/>
  <c r="F42" i="5"/>
  <c r="G42" i="5" s="1"/>
  <c r="B42" i="5"/>
  <c r="C42" i="5"/>
  <c r="D42" i="5"/>
  <c r="E42" i="5"/>
  <c r="B41" i="5"/>
  <c r="C41" i="5"/>
  <c r="D41" i="5"/>
  <c r="E41" i="5"/>
  <c r="F41" i="5"/>
  <c r="G41" i="5" s="1"/>
  <c r="H41" i="5"/>
  <c r="D40" i="5"/>
  <c r="F40" i="5"/>
  <c r="G40" i="5" s="1"/>
  <c r="H40" i="5"/>
  <c r="E40" i="5"/>
  <c r="B40" i="5"/>
  <c r="C40" i="5"/>
  <c r="B39" i="5"/>
  <c r="C39" i="5"/>
  <c r="D39" i="5"/>
  <c r="E39" i="5"/>
  <c r="F39" i="5"/>
  <c r="G39" i="5" s="1"/>
  <c r="H39" i="5"/>
  <c r="B38" i="5"/>
  <c r="H38" i="5"/>
  <c r="C38" i="5"/>
  <c r="D38" i="5"/>
  <c r="E38" i="5"/>
  <c r="F38" i="5"/>
  <c r="G38" i="5" s="1"/>
  <c r="H37" i="5"/>
  <c r="F37" i="5"/>
  <c r="G37" i="5" s="1"/>
  <c r="E37" i="5"/>
  <c r="C37" i="5"/>
  <c r="B37" i="5"/>
  <c r="D37" i="5"/>
  <c r="F36" i="5"/>
  <c r="G36" i="5" s="1"/>
  <c r="H36" i="5"/>
  <c r="E36" i="5"/>
  <c r="D36" i="5"/>
  <c r="C36" i="5"/>
  <c r="B36" i="5"/>
  <c r="H35" i="5"/>
  <c r="C35" i="5"/>
  <c r="B35" i="5"/>
  <c r="E35" i="5"/>
  <c r="F35" i="5"/>
  <c r="G35" i="5" s="1"/>
  <c r="D35" i="5"/>
  <c r="C34" i="5"/>
  <c r="B34" i="5"/>
  <c r="D34" i="5"/>
  <c r="H34" i="5"/>
  <c r="F34" i="5"/>
  <c r="G34" i="5" s="1"/>
  <c r="E34" i="5"/>
  <c r="B33" i="5"/>
  <c r="C33" i="5"/>
  <c r="D33" i="5"/>
  <c r="E33" i="5"/>
  <c r="F33" i="5"/>
  <c r="G33" i="5" s="1"/>
  <c r="H33" i="5"/>
  <c r="F32" i="5"/>
  <c r="G32" i="5" s="1"/>
  <c r="E32" i="5"/>
  <c r="D32" i="5"/>
  <c r="C32" i="5"/>
  <c r="B32" i="5"/>
  <c r="H32" i="5"/>
  <c r="D31" i="5"/>
  <c r="C31" i="5"/>
  <c r="B31" i="5"/>
  <c r="H31" i="5"/>
  <c r="E31" i="5"/>
  <c r="F31" i="5"/>
  <c r="G31" i="5" s="1"/>
  <c r="H30" i="5"/>
  <c r="F30" i="5"/>
  <c r="G30" i="5" s="1"/>
  <c r="C30" i="5"/>
  <c r="D30" i="5"/>
  <c r="E30" i="5"/>
  <c r="B30" i="5"/>
  <c r="B29" i="5"/>
  <c r="H29" i="5"/>
  <c r="C29" i="5"/>
  <c r="D29" i="5"/>
  <c r="E29" i="5"/>
  <c r="F29" i="5"/>
  <c r="G29" i="5" s="1"/>
  <c r="F28" i="5"/>
  <c r="G28" i="5" s="1"/>
  <c r="H28" i="5"/>
  <c r="B28" i="5"/>
  <c r="D28" i="5"/>
  <c r="E28" i="5"/>
  <c r="C28" i="5"/>
  <c r="F27" i="5"/>
  <c r="G27" i="5" s="1"/>
  <c r="E27" i="5"/>
  <c r="D27" i="5"/>
  <c r="C27" i="5"/>
  <c r="H27" i="5"/>
  <c r="B27" i="5"/>
  <c r="H26" i="5"/>
  <c r="E26" i="5"/>
  <c r="C26" i="5"/>
  <c r="B26" i="5"/>
  <c r="F26" i="5"/>
  <c r="G26" i="5" s="1"/>
  <c r="D26" i="5"/>
  <c r="H25" i="5"/>
  <c r="E25" i="5"/>
  <c r="D25" i="5"/>
  <c r="C25" i="5"/>
  <c r="B25" i="5"/>
  <c r="F25" i="5"/>
  <c r="G25" i="5" s="1"/>
  <c r="D24" i="5"/>
  <c r="E24" i="5"/>
  <c r="F24" i="5"/>
  <c r="G24" i="5" s="1"/>
  <c r="H24" i="5"/>
  <c r="B24" i="5"/>
  <c r="C24" i="5"/>
  <c r="F23" i="5"/>
  <c r="G23" i="5" s="1"/>
  <c r="E23" i="5"/>
  <c r="D23" i="5"/>
  <c r="C23" i="5"/>
  <c r="B23" i="5"/>
  <c r="H23" i="5"/>
  <c r="F22" i="5"/>
  <c r="G22" i="5" s="1"/>
  <c r="E22" i="5"/>
  <c r="D22" i="5"/>
  <c r="H22" i="5"/>
  <c r="C22" i="5"/>
  <c r="B22" i="5"/>
  <c r="H21" i="5"/>
  <c r="F21" i="5"/>
  <c r="G21" i="5" s="1"/>
  <c r="E21" i="5"/>
  <c r="D21" i="5"/>
  <c r="C21" i="5"/>
  <c r="B21" i="5"/>
  <c r="H20" i="5"/>
  <c r="F20" i="5"/>
  <c r="G20" i="5" s="1"/>
  <c r="B20" i="5"/>
  <c r="D20" i="5"/>
  <c r="C20" i="5"/>
  <c r="E20" i="5"/>
  <c r="H19" i="5"/>
  <c r="F19" i="5"/>
  <c r="G19" i="5" s="1"/>
  <c r="D19" i="5"/>
  <c r="C19" i="5"/>
  <c r="B19" i="5"/>
  <c r="E19" i="5"/>
  <c r="H18" i="5"/>
  <c r="F18" i="5"/>
  <c r="G18" i="5" s="1"/>
  <c r="D18" i="5"/>
  <c r="C18" i="5"/>
  <c r="B18" i="5"/>
  <c r="E18" i="5"/>
  <c r="F17" i="5"/>
  <c r="G17" i="5" s="1"/>
  <c r="H17" i="5"/>
  <c r="E17" i="5"/>
  <c r="D17" i="5"/>
  <c r="C17" i="5"/>
  <c r="B17" i="5"/>
  <c r="H16" i="5"/>
  <c r="F16" i="5"/>
  <c r="G16" i="5" s="1"/>
  <c r="E16" i="5"/>
  <c r="C16" i="5"/>
  <c r="B16" i="5"/>
  <c r="D16" i="5"/>
  <c r="B15" i="5"/>
  <c r="C15" i="5"/>
  <c r="D15" i="5"/>
  <c r="E15" i="5"/>
  <c r="F15" i="5"/>
  <c r="G15" i="5" s="1"/>
  <c r="H15" i="5"/>
  <c r="B14" i="5"/>
  <c r="H14" i="5"/>
  <c r="C14" i="5"/>
  <c r="E14" i="5"/>
  <c r="F14" i="5"/>
  <c r="G14" i="5" s="1"/>
  <c r="D14" i="5"/>
  <c r="F13" i="5"/>
  <c r="G13" i="5" s="1"/>
  <c r="E13" i="5"/>
  <c r="H13" i="5"/>
  <c r="D13" i="5"/>
  <c r="C13" i="5"/>
  <c r="B13" i="5"/>
  <c r="E12" i="5"/>
  <c r="D12" i="5"/>
  <c r="C12" i="5"/>
  <c r="B12" i="5"/>
  <c r="H12" i="5"/>
  <c r="F12" i="5"/>
  <c r="G12" i="5" s="1"/>
  <c r="E11" i="5"/>
  <c r="H11" i="5"/>
  <c r="B11" i="5"/>
  <c r="D11" i="5"/>
  <c r="C11" i="5"/>
  <c r="F11" i="5"/>
  <c r="G11" i="5" s="1"/>
  <c r="F10" i="5"/>
  <c r="G10" i="5" s="1"/>
  <c r="B10" i="5"/>
  <c r="H10" i="5"/>
  <c r="D10" i="5"/>
  <c r="E10" i="5"/>
  <c r="C10" i="5"/>
  <c r="F9" i="5"/>
  <c r="G9" i="5" s="1"/>
  <c r="H9" i="5"/>
  <c r="C9" i="5"/>
  <c r="B9" i="5"/>
  <c r="D9" i="5"/>
  <c r="E9" i="5"/>
  <c r="C8" i="5"/>
  <c r="B8" i="5"/>
  <c r="F8" i="5"/>
  <c r="G8" i="5" s="1"/>
  <c r="H8" i="5"/>
  <c r="D8" i="5"/>
  <c r="E8" i="5"/>
  <c r="B7" i="5"/>
  <c r="F7" i="5"/>
  <c r="G7" i="5" s="1"/>
  <c r="E7" i="5"/>
  <c r="H7" i="5"/>
  <c r="D7" i="5"/>
  <c r="C7" i="5"/>
  <c r="F6" i="5"/>
  <c r="G6" i="5" s="1"/>
  <c r="E6" i="5"/>
  <c r="H6" i="5"/>
  <c r="C6" i="5"/>
  <c r="B6" i="5"/>
  <c r="D6" i="5"/>
  <c r="E5" i="5"/>
  <c r="D5" i="5"/>
  <c r="C5" i="5"/>
  <c r="B5" i="5"/>
  <c r="H5" i="5"/>
  <c r="F5" i="5"/>
  <c r="G5" i="5" s="1"/>
  <c r="B4" i="5"/>
  <c r="C4" i="5"/>
  <c r="D4" i="5"/>
  <c r="E4" i="5"/>
  <c r="F4" i="5"/>
  <c r="G4" i="5" s="1"/>
  <c r="E1" i="5" s="1"/>
  <c r="C2" i="5" s="1"/>
  <c r="H4" i="5"/>
  <c r="I8" i="1" l="1"/>
  <c r="J8" i="1" s="1"/>
  <c r="I9" i="1"/>
  <c r="J9" i="1" s="1"/>
  <c r="D1" i="8"/>
  <c r="H1" i="8"/>
</calcChain>
</file>

<file path=xl/sharedStrings.xml><?xml version="1.0" encoding="utf-8"?>
<sst xmlns="http://schemas.openxmlformats.org/spreadsheetml/2006/main" count="32587" uniqueCount="6488">
  <si>
    <t>Total Interns</t>
  </si>
  <si>
    <t>Employee ID</t>
  </si>
  <si>
    <t>Full Name</t>
  </si>
  <si>
    <t>Cohort</t>
  </si>
  <si>
    <t>F8884130</t>
  </si>
  <si>
    <t>Innocent Ntsako Chauke</t>
  </si>
  <si>
    <t>Cohort 1 - 2026</t>
  </si>
  <si>
    <t>F8884211</t>
  </si>
  <si>
    <t>Zanele Mboweni</t>
  </si>
  <si>
    <t>F8885591</t>
  </si>
  <si>
    <t>Anelisa Mankayi</t>
  </si>
  <si>
    <t>F8885847</t>
  </si>
  <si>
    <t>Gift Sikhulile Mashele</t>
  </si>
  <si>
    <t>F8885589</t>
  </si>
  <si>
    <t>Gratitude Monareng</t>
  </si>
  <si>
    <t>F8884143</t>
  </si>
  <si>
    <t>Nkhensani Shibambo</t>
  </si>
  <si>
    <t>F8884358</t>
  </si>
  <si>
    <t>Chesley Gustav</t>
  </si>
  <si>
    <t>F8885583</t>
  </si>
  <si>
    <t>Kgothatso Phillep Lebese</t>
  </si>
  <si>
    <t>F8885759</t>
  </si>
  <si>
    <t>Kgotatso Madela</t>
  </si>
  <si>
    <t>F8885825</t>
  </si>
  <si>
    <t>Noluthando Ndlovu</t>
  </si>
  <si>
    <t>F8885615</t>
  </si>
  <si>
    <t>Ncediwe Mphantsi</t>
  </si>
  <si>
    <t>F8885674</t>
  </si>
  <si>
    <t>Oratile Mathibe</t>
  </si>
  <si>
    <t>F8885559</t>
  </si>
  <si>
    <t>Aviwe Mdingi</t>
  </si>
  <si>
    <t>F8884139</t>
  </si>
  <si>
    <t>Mulisa Nthangeni</t>
  </si>
  <si>
    <t>F8885552</t>
  </si>
  <si>
    <t>Fanelesibonge Cele</t>
  </si>
  <si>
    <t>F8885587</t>
  </si>
  <si>
    <t>Morongwa Masuku</t>
  </si>
  <si>
    <t>F8885797</t>
  </si>
  <si>
    <t>Lwando Shange</t>
  </si>
  <si>
    <t>F8884248</t>
  </si>
  <si>
    <t>Tebogo Matoko</t>
  </si>
  <si>
    <t>F8884261</t>
  </si>
  <si>
    <t>Thabiso Thobejane</t>
  </si>
  <si>
    <t>F8885560</t>
  </si>
  <si>
    <t>Shalom Mosime</t>
  </si>
  <si>
    <t>F8885633</t>
  </si>
  <si>
    <t>Khomotso Sekoba</t>
  </si>
  <si>
    <t>F8884149</t>
  </si>
  <si>
    <t>Lyla Maluleke</t>
  </si>
  <si>
    <t>F8885762</t>
  </si>
  <si>
    <t>Stella Lekhoaba</t>
  </si>
  <si>
    <t>F8884241</t>
  </si>
  <si>
    <t>Timyiko Ndobe</t>
  </si>
  <si>
    <t>F8885760</t>
  </si>
  <si>
    <t>Karabo Machaka</t>
  </si>
  <si>
    <t>F8884136</t>
  </si>
  <si>
    <t>Katleho Sondlo</t>
  </si>
  <si>
    <t>F8885681</t>
  </si>
  <si>
    <t>Dikeledi Masiteng</t>
  </si>
  <si>
    <t>F8885677</t>
  </si>
  <si>
    <t>Maketa Mogajane</t>
  </si>
  <si>
    <t>F8885675</t>
  </si>
  <si>
    <t>Zamashenge Nkosi</t>
  </si>
  <si>
    <t>F8884350</t>
  </si>
  <si>
    <t>Busisiwe Masombuka</t>
  </si>
  <si>
    <t>F8885744</t>
  </si>
  <si>
    <t>Nontokozo Maphanga</t>
  </si>
  <si>
    <t>F8885592</t>
  </si>
  <si>
    <t>Dithapelo Mabilo</t>
  </si>
  <si>
    <t>F8884247</t>
  </si>
  <si>
    <t>Masesi Motaung</t>
  </si>
  <si>
    <t>F8885676</t>
  </si>
  <si>
    <t>Londeka Nxumalo</t>
  </si>
  <si>
    <t>F8885678</t>
  </si>
  <si>
    <t>Bakhusele Mayekiso</t>
  </si>
  <si>
    <t>F8885566</t>
  </si>
  <si>
    <t>Gaolatlheope Moraka</t>
  </si>
  <si>
    <t>F8885557</t>
  </si>
  <si>
    <t>Ntanganedzeni Phidzaulima</t>
  </si>
  <si>
    <t>F8885634</t>
  </si>
  <si>
    <t>Nondumiso Mthembu</t>
  </si>
  <si>
    <t>F8885632</t>
  </si>
  <si>
    <t>Muzivukile Gcabashe</t>
  </si>
  <si>
    <t>F8885550</t>
  </si>
  <si>
    <t>Melusi Ngubeni</t>
  </si>
  <si>
    <t>F8884202</t>
  </si>
  <si>
    <t>Sithembile Mzinya</t>
  </si>
  <si>
    <t>F8885801</t>
  </si>
  <si>
    <t>Maela Monareng</t>
  </si>
  <si>
    <t>F8885702</t>
  </si>
  <si>
    <t>Erron Goliath</t>
  </si>
  <si>
    <t>F8885703</t>
  </si>
  <si>
    <t>Lebohang Majoro</t>
  </si>
  <si>
    <t>F8885685</t>
  </si>
  <si>
    <t>Phumlani Ncewula</t>
  </si>
  <si>
    <t>F8884126</t>
  </si>
  <si>
    <t>Shrika Jaikishor</t>
  </si>
  <si>
    <t>F8885610</t>
  </si>
  <si>
    <t>Thaveesh Singh Narrandes</t>
  </si>
  <si>
    <t>F8885849</t>
  </si>
  <si>
    <t>Goobamang Matlhako</t>
  </si>
  <si>
    <t>F8884295</t>
  </si>
  <si>
    <t>Rudzani Ravele</t>
  </si>
  <si>
    <t>F8884207</t>
  </si>
  <si>
    <t>Kutlwano Lekgetho</t>
  </si>
  <si>
    <t>F8885564</t>
  </si>
  <si>
    <t>Gugu Yeni</t>
  </si>
  <si>
    <t>F8885698</t>
  </si>
  <si>
    <t>Keletso Mabula</t>
  </si>
  <si>
    <t>F8885705</t>
  </si>
  <si>
    <t>Sibusiso Shezi</t>
  </si>
  <si>
    <t>F8885622</t>
  </si>
  <si>
    <t>Phindile Mpumelelo Nimrod Mayeke</t>
  </si>
  <si>
    <t>F8884205</t>
  </si>
  <si>
    <t>Trecia Ndlovu</t>
  </si>
  <si>
    <t>F8884140</t>
  </si>
  <si>
    <t>Lwazi Jakalase</t>
  </si>
  <si>
    <t>F8884142</t>
  </si>
  <si>
    <t>Gugu Vananda</t>
  </si>
  <si>
    <t>F8884366</t>
  </si>
  <si>
    <t>Zellne Botha</t>
  </si>
  <si>
    <t>F8884145</t>
  </si>
  <si>
    <t>Khwezi Ntsele</t>
  </si>
  <si>
    <t>F8884172</t>
  </si>
  <si>
    <t>Nthabiseng Letsoalo</t>
  </si>
  <si>
    <t>F8885545</t>
  </si>
  <si>
    <t>Papi Tsotetsi</t>
  </si>
  <si>
    <t>F8884134</t>
  </si>
  <si>
    <t>Kopano Mpya</t>
  </si>
  <si>
    <t>F8885692</t>
  </si>
  <si>
    <t>Nondumiso Magongo</t>
  </si>
  <si>
    <t xml:space="preserve"> DASHBOARD</t>
  </si>
  <si>
    <t>SESSION ACTIVITY</t>
  </si>
  <si>
    <t xml:space="preserve"> MONTHLY PULSE RATINGS</t>
  </si>
  <si>
    <t xml:space="preserve">  ACTIVE ALERTS  </t>
  </si>
  <si>
    <t>Total Sessions Logged</t>
  </si>
  <si>
    <t>Avg Meeting Value (Q1 /5)</t>
  </si>
  <si>
    <t>Alert Type</t>
  </si>
  <si>
    <t>Threshold</t>
  </si>
  <si>
    <t>Current Value</t>
  </si>
  <si>
    <t>Status</t>
  </si>
  <si>
    <t>Sessions – This Month</t>
  </si>
  <si>
    <t>Avg Goal Progress (Q2 /5)</t>
  </si>
  <si>
    <t>Low Meeting Value</t>
  </si>
  <si>
    <t>&lt; 3.0 avg</t>
  </si>
  <si>
    <t>Unique Interns with Sessions</t>
  </si>
  <si>
    <t>Avg Support Felt (Q3 /5)</t>
  </si>
  <si>
    <t>Low Goal Progress</t>
  </si>
  <si>
    <t>Sessions with Concerns</t>
  </si>
  <si>
    <t>Avg Next-Step Clarity (Q4 /5)</t>
  </si>
  <si>
    <t>Low Support Felt</t>
  </si>
  <si>
    <t>Avg Days Between Sessions</t>
  </si>
  <si>
    <t>–</t>
  </si>
  <si>
    <t>% Meeting 2x+ per Month</t>
  </si>
  <si>
    <t>Overdue Sessions</t>
  </si>
  <si>
    <t>&gt; 0 interns</t>
  </si>
  <si>
    <t>Missed Sessions</t>
  </si>
  <si>
    <t>Concerns Flagged (Pulse)</t>
  </si>
  <si>
    <t>&gt; 0 this month</t>
  </si>
  <si>
    <t>Low 2x Meeting Rate</t>
  </si>
  <si>
    <t>&lt; 60% of pairs</t>
  </si>
  <si>
    <t>Cohort Name</t>
  </si>
  <si>
    <t>Start Date</t>
  </si>
  <si>
    <t>End Date</t>
  </si>
  <si>
    <t>Intern Count</t>
  </si>
  <si>
    <t>Notes</t>
  </si>
  <si>
    <t>01/01/2026</t>
  </si>
  <si>
    <t>30/04/2026</t>
  </si>
  <si>
    <t>Active</t>
  </si>
  <si>
    <t>Q1 intake</t>
  </si>
  <si>
    <t>Cohort 2 - 2026</t>
  </si>
  <si>
    <t>01/05/2026</t>
  </si>
  <si>
    <t>31/08/2026</t>
  </si>
  <si>
    <t>Planned</t>
  </si>
  <si>
    <t>Q2 intake</t>
  </si>
  <si>
    <t>Cohort 3 - 2026</t>
  </si>
  <si>
    <t>01/09/2026</t>
  </si>
  <si>
    <t>31/12/2026</t>
  </si>
  <si>
    <t>Q3 intake</t>
  </si>
  <si>
    <t>Active Cohort:</t>
  </si>
  <si>
    <t>📥  PASTE MENTOR LISTING HERE (Workday Export — Monthly)</t>
  </si>
  <si>
    <t>Keep headers in row 3. Replace data from row 4 downwards each month.</t>
  </si>
  <si>
    <t>Employee</t>
  </si>
  <si>
    <t>Available to Mentor</t>
  </si>
  <si>
    <t>Mentor Types</t>
  </si>
  <si>
    <t>Location Address - Country</t>
  </si>
  <si>
    <t>Franchise</t>
  </si>
  <si>
    <t>Supervisory Organization</t>
  </si>
  <si>
    <t>Cost Center</t>
  </si>
  <si>
    <t>Employee Type</t>
  </si>
  <si>
    <t>Job Family Group</t>
  </si>
  <si>
    <t>Job Title</t>
  </si>
  <si>
    <t>Worker's Tenure At Company</t>
  </si>
  <si>
    <t>Age Group</t>
  </si>
  <si>
    <t>Gender (Locale Sensitive)</t>
  </si>
  <si>
    <t>Race/Ethnicity (Locale Sensitive and Country Securable)</t>
  </si>
  <si>
    <t>Gerald Maunda</t>
  </si>
  <si>
    <t>Yes</t>
  </si>
  <si>
    <t>Career Mentor</t>
  </si>
  <si>
    <t>Zambia</t>
  </si>
  <si>
    <t>FNB</t>
  </si>
  <si>
    <t>FNB Zambia Operations (Mubukwanu Mutiti (Inherited))</t>
  </si>
  <si>
    <t>55300003086 FNB Zambia Operations</t>
  </si>
  <si>
    <t>Full Time Employee</t>
  </si>
  <si>
    <t>Process, Operations and Administration</t>
  </si>
  <si>
    <t>Administration Assistant</t>
  </si>
  <si>
    <t>4 year(s), 6 month(s), 23 day(s)</t>
  </si>
  <si>
    <t>30 - 39</t>
  </si>
  <si>
    <t>Male</t>
  </si>
  <si>
    <t>N/A (Zambia)</t>
  </si>
  <si>
    <t>Bonolo Molebatsi</t>
  </si>
  <si>
    <t>Botswana</t>
  </si>
  <si>
    <t>FNB Botswana Channels (Mpho Nthutang)</t>
  </si>
  <si>
    <t>501071600 FNB Botswana Kanye Branch</t>
  </si>
  <si>
    <t>Sales and Client Services</t>
  </si>
  <si>
    <t>Sales and Service Consultant</t>
  </si>
  <si>
    <t>3 year(s), 5 month(s), 23 day(s)</t>
  </si>
  <si>
    <t>Female</t>
  </si>
  <si>
    <t>African (Botswana)</t>
  </si>
  <si>
    <t>Otisitswe Faith Rathedi</t>
  </si>
  <si>
    <t>Career Mentor
Leadership Mentor</t>
  </si>
  <si>
    <t>FNB Botswana Marketing and Communications (Peo Porogo)</t>
  </si>
  <si>
    <t>5010152700 FNB Botswana Marketing and Communications</t>
  </si>
  <si>
    <t>Marketing and Communication</t>
  </si>
  <si>
    <t>Marketing Manager</t>
  </si>
  <si>
    <t>7 year(s), 8 month(s), 23 day(s)</t>
  </si>
  <si>
    <t>Bydon Longwe</t>
  </si>
  <si>
    <t>South Africa</t>
  </si>
  <si>
    <t>FNB Chief Executive Office (Harry Kellan)</t>
  </si>
  <si>
    <t>83300001939 FNB Executives</t>
  </si>
  <si>
    <t>Expatriate - In</t>
  </si>
  <si>
    <t>Chief Executive Officer Broader Africa</t>
  </si>
  <si>
    <t>8 year(s), 0 month(s), 24 day(s)</t>
  </si>
  <si>
    <t>50 - 59</t>
  </si>
  <si>
    <t>African (South Africa)</t>
  </si>
  <si>
    <t>Patrick Bontsibokae</t>
  </si>
  <si>
    <t>FNB Botswana Commercial (Tiro Kgasa)</t>
  </si>
  <si>
    <t>5010160150 FNB Botswana Commercial SME Banking</t>
  </si>
  <si>
    <t>Relationship Manager</t>
  </si>
  <si>
    <t>6 year(s), 11 month(s), 12 day(s)</t>
  </si>
  <si>
    <t>Caroline Kepaletswe</t>
  </si>
  <si>
    <t>FNB Rand Merchant Bank Botswana (Harriet Mlalazi)</t>
  </si>
  <si>
    <t>5010160660 FNB Botswana Service Centre</t>
  </si>
  <si>
    <t>Service Head</t>
  </si>
  <si>
    <t>9 year(s), 8 month(s), 3 day(s)</t>
  </si>
  <si>
    <t>40 - 49</t>
  </si>
  <si>
    <t>Chapita Mbuzi</t>
  </si>
  <si>
    <t>FNB Zambia Retail Segment (Chileshe Bwali-sakala)</t>
  </si>
  <si>
    <t>55300016152 FNB Zambia Corporate Sales</t>
  </si>
  <si>
    <t>12 year(s), 5 month(s), 23 day(s)</t>
  </si>
  <si>
    <t>Wiza Phiri</t>
  </si>
  <si>
    <t>FNB Zambia Credit (Martin Mukonje)</t>
  </si>
  <si>
    <t>55300003075 FNB Zambia Credit</t>
  </si>
  <si>
    <t>Credit</t>
  </si>
  <si>
    <t>Credit Analyst</t>
  </si>
  <si>
    <t>13 year(s), 9 month(s), 23 day(s)</t>
  </si>
  <si>
    <t>Retselisitsoe Sylvia Khet'semane</t>
  </si>
  <si>
    <t>Lesotho</t>
  </si>
  <si>
    <t>FNB Lesotho (Lehlohonolo Seitlheko)</t>
  </si>
  <si>
    <t>51800000189 FNB Lesotho Pioneer Branch</t>
  </si>
  <si>
    <t>Client Service Representative</t>
  </si>
  <si>
    <t>9 year(s), 10 month(s), 23 day(s)</t>
  </si>
  <si>
    <t>African (Lesotho)</t>
  </si>
  <si>
    <t>Borethe Mogwe</t>
  </si>
  <si>
    <t>FNB Botswana Wealth (Tshepiso Scheffers)</t>
  </si>
  <si>
    <t>5010160500 FNB Botswana Consumer Banking</t>
  </si>
  <si>
    <t>Product</t>
  </si>
  <si>
    <t>Customer Value Proposition Manager</t>
  </si>
  <si>
    <t>9 year(s), 9 month(s), 9 day(s)</t>
  </si>
  <si>
    <t>Gofaone Mokalake</t>
  </si>
  <si>
    <t>FNB Botswana Executive Suite (Onkarabile Kono)</t>
  </si>
  <si>
    <t>5010164200 FNB Botswana Client Services</t>
  </si>
  <si>
    <t>Service Manager</t>
  </si>
  <si>
    <t>10 year(s), 10 month(s), 23 day(s)</t>
  </si>
  <si>
    <t>Tshepo Sentle</t>
  </si>
  <si>
    <t>FNB Botswana Commercial (Thapelo Kamodi)</t>
  </si>
  <si>
    <t>5010717300 FNB Botswana Cash Plus</t>
  </si>
  <si>
    <t>Cash Plus Banker</t>
  </si>
  <si>
    <t>10 year(s), 9 month(s), 23 day(s)</t>
  </si>
  <si>
    <t>Collen Tshebo</t>
  </si>
  <si>
    <t>Career Mentor
Leadership Mentor
Technical Mentor
Transition Mentor
Workplace  Buddy</t>
  </si>
  <si>
    <t>FNB Botswana Business Support WesBank (Goeme Ganetsang)</t>
  </si>
  <si>
    <t>5010394500 FNB Botswana Business Support</t>
  </si>
  <si>
    <t>Client Portfolio Analyst</t>
  </si>
  <si>
    <t>10 year(s), 5 month(s), 9 day(s)</t>
  </si>
  <si>
    <t>Mothibi Tangane</t>
  </si>
  <si>
    <t>FNB Botswana Operations (Nonofo Molwane)</t>
  </si>
  <si>
    <t>501070500 FNB Botswana Cash Centre</t>
  </si>
  <si>
    <t>Cash Operations Manager</t>
  </si>
  <si>
    <t>22 year(s), 7 month(s), 13 day(s)</t>
  </si>
  <si>
    <t>Chipo Mwenya</t>
  </si>
  <si>
    <t>FNB Zambia Retail Segment (Jeremiah Namitondo)</t>
  </si>
  <si>
    <t>55300009179 FNB Zambia Choma Branch</t>
  </si>
  <si>
    <t>Branch Manager</t>
  </si>
  <si>
    <t>12 year(s), 8 month(s), 2 day(s)</t>
  </si>
  <si>
    <t>Phetso Ntsowe</t>
  </si>
  <si>
    <t>FNB Botswana Retail Banking (Boniface Seane)</t>
  </si>
  <si>
    <t>5010292200 FNB Botswana Channels Head Office</t>
  </si>
  <si>
    <t>Legal, Risk and Compliance</t>
  </si>
  <si>
    <t>Risk Manager</t>
  </si>
  <si>
    <t>17 year(s), 6 month(s), 16 day(s)</t>
  </si>
  <si>
    <t>Likenkeng Lylian Morojele</t>
  </si>
  <si>
    <t>FNB Lesotho (Fusi Sefatsane)</t>
  </si>
  <si>
    <t>51800001851 FNB Lesotho Kingway Branch</t>
  </si>
  <si>
    <t>17 year(s), 3 month(s), 2 day(s)</t>
  </si>
  <si>
    <t>Neo Thebeng-Phuthego</t>
  </si>
  <si>
    <t>FNB Botswana Audit Management (Theetso Nkwe)</t>
  </si>
  <si>
    <t>5010166100 FNB Botswana Audit</t>
  </si>
  <si>
    <t>Senior Audit Manager</t>
  </si>
  <si>
    <t>12 year(s), 2 month(s), 23 day(s)</t>
  </si>
  <si>
    <t>Stephinah Magetse</t>
  </si>
  <si>
    <t>FNB Botswana Channels (Benni Dikobe)</t>
  </si>
  <si>
    <t>501073600 FNB Botswana Mall Branch</t>
  </si>
  <si>
    <t>11 year(s), 4 month(s), 25 day(s)</t>
  </si>
  <si>
    <t>Baile Corrigan</t>
  </si>
  <si>
    <t>5010342500 RMB Botswana Flow Risk</t>
  </si>
  <si>
    <t>Capital Markets and Invest</t>
  </si>
  <si>
    <t>Global Market Head</t>
  </si>
  <si>
    <t>10 year(s), 8 month(s), 11 day(s)</t>
  </si>
  <si>
    <t>Billy Samuel Mwape</t>
  </si>
  <si>
    <t>Career Mentor
Leadership Mentor
Transition Mentor
Workplace  Buddy</t>
  </si>
  <si>
    <t>FNB Zambia Chief Executive Office (Kapumpe Chola)</t>
  </si>
  <si>
    <t>55300003079 FNB Zambia Information Technology</t>
  </si>
  <si>
    <t>Technology</t>
  </si>
  <si>
    <t>Chief Information Officer</t>
  </si>
  <si>
    <t>4 year(s), 6 month(s), 4 day(s)</t>
  </si>
  <si>
    <t>Jj Jongman</t>
  </si>
  <si>
    <t>FNB Botswana Human Capital (Kaone Kopi)</t>
  </si>
  <si>
    <t>5010152800 FNB Botswana Human Capital</t>
  </si>
  <si>
    <t>Human Capital</t>
  </si>
  <si>
    <t>Human Capital Business Partner</t>
  </si>
  <si>
    <t>8 year(s), 7 month(s), 23 day(s)</t>
  </si>
  <si>
    <t>Mwamba Musambo</t>
  </si>
  <si>
    <t>55300003061 FNB Zambia Retail Segment</t>
  </si>
  <si>
    <t>Retail Banking Executive</t>
  </si>
  <si>
    <t>5 year(s), 0 month(s), 27 day(s)</t>
  </si>
  <si>
    <t>Charity Mubitelela</t>
  </si>
  <si>
    <t>FNB Zambia Retail Segment (Mike Nyimbili)</t>
  </si>
  <si>
    <t>55300003645 FNB Zambia Kasama Branch</t>
  </si>
  <si>
    <t>Multi Skilled Consultant</t>
  </si>
  <si>
    <t>8 year(s), 2 month(s), 0 day(s)</t>
  </si>
  <si>
    <t>Kgosi Modisaeman</t>
  </si>
  <si>
    <t>Career Mentor
Leadership Mentor
Workplace  Buddy</t>
  </si>
  <si>
    <t>FNB Botswana Brokerage (Govern Maseba)</t>
  </si>
  <si>
    <t>5010166400 FNB Botswana Brokerage</t>
  </si>
  <si>
    <t>Finance</t>
  </si>
  <si>
    <t>Reconciliation Officer</t>
  </si>
  <si>
    <t>8 year(s), 4 month(s), 23 day(s)</t>
  </si>
  <si>
    <t>Mcintire Luke</t>
  </si>
  <si>
    <t>FNB Botswana Retail (One Molefe)</t>
  </si>
  <si>
    <t>5010344300 FNB Botswana Wesbank Retail Segment</t>
  </si>
  <si>
    <t>Business Development Officer</t>
  </si>
  <si>
    <t>9 year(s), 7 month(s), 23 day(s)</t>
  </si>
  <si>
    <t>Maleseli Lorraine Chefa</t>
  </si>
  <si>
    <t>Leadership Mentor</t>
  </si>
  <si>
    <t>FNB Lesotho (Daniel Mohau)</t>
  </si>
  <si>
    <t>51800001852 FNB Lesotho OPC</t>
  </si>
  <si>
    <t>Team Leader Back Office</t>
  </si>
  <si>
    <t>8 year(s), 10 month(s), 23 day(s)</t>
  </si>
  <si>
    <t>Kapumpe Chola</t>
  </si>
  <si>
    <t>FNB Broader Africa (Bydon Longwe)</t>
  </si>
  <si>
    <t>55300004651 FNB Zambia FCC</t>
  </si>
  <si>
    <t>Chief Executive Officer</t>
  </si>
  <si>
    <t>11 year(s), 2 month(s), 18 day(s)</t>
  </si>
  <si>
    <t>Mike Nyimbili</t>
  </si>
  <si>
    <t>FNB Zambia Retail Segment (Njavwa Nakapizye)</t>
  </si>
  <si>
    <t>11 year(s), 9 month(s), 23 day(s)</t>
  </si>
  <si>
    <t>Alfred Mwanza</t>
  </si>
  <si>
    <t>FNB Zambia Compliance (Eugenius Hambokoma)</t>
  </si>
  <si>
    <t>55300003087 FNB Zambia Compliance</t>
  </si>
  <si>
    <t>Financial Crime Analyst</t>
  </si>
  <si>
    <t>11 year(s), 0 month(s), 23 day(s)</t>
  </si>
  <si>
    <t>Ronald Mvula</t>
  </si>
  <si>
    <t>FNB Zambia Retail Segment (Kateule Musonda)</t>
  </si>
  <si>
    <t>55300009187 FNB Zambia Lusaka Private Suite</t>
  </si>
  <si>
    <t>Branch Administrator</t>
  </si>
  <si>
    <t>Palesa Moeng</t>
  </si>
  <si>
    <t>Career Mentor
Leadership Mentor
Technical Mentor
Workplace  Buddy</t>
  </si>
  <si>
    <t>FNB Botswana Operations (Bookeditswe Matladi-Molebatsi)</t>
  </si>
  <si>
    <t>5010343200 FNB Botswana RMB Operations</t>
  </si>
  <si>
    <t>13 year(s), 0 month(s), 23 day(s)</t>
  </si>
  <si>
    <t>Lesego Nkepe</t>
  </si>
  <si>
    <t>FNB Botswana Retail (Serwalo Mabotho)</t>
  </si>
  <si>
    <t>9 year(s), 6 month(s), 23 day(s)</t>
  </si>
  <si>
    <t>Lydia Oakile</t>
  </si>
  <si>
    <t>FNB Botswana Operations (Otile Olekantse)</t>
  </si>
  <si>
    <t>5010123600 FNB Botswana Francistown Mini Cash Centre</t>
  </si>
  <si>
    <t>Cash Centre Bulk Teller</t>
  </si>
  <si>
    <t>18 year(s), 4 month(s), 23 day(s)</t>
  </si>
  <si>
    <t>Kelebogile Disang</t>
  </si>
  <si>
    <t>FNB Botswana Commercial (Valentine Harward)</t>
  </si>
  <si>
    <t>5010160140 FNB Botswana Commercial Sales P100M+</t>
  </si>
  <si>
    <t>24 year(s), 8 month(s), 21 day(s)</t>
  </si>
  <si>
    <t>Amantle Mphoeng</t>
  </si>
  <si>
    <t>FNB Botswana Operations (Lesego Tamajobe)</t>
  </si>
  <si>
    <t>5010164100 FNB Botswana Call Centre</t>
  </si>
  <si>
    <t>12 year(s), 8 month(s), 23 day(s)</t>
  </si>
  <si>
    <t>Tekolo Rasenyai</t>
  </si>
  <si>
    <t>FNB Botswana Enabler (Mike Rammelane)</t>
  </si>
  <si>
    <t>5010151500 FNB Botswana Credit Head Office</t>
  </si>
  <si>
    <t>Credit Manager</t>
  </si>
  <si>
    <t>16 year(s), 1 month(s), 23 day(s)</t>
  </si>
  <si>
    <t>Shana Machado</t>
  </si>
  <si>
    <t>Mozambique</t>
  </si>
  <si>
    <t>FNB Mozambique Retail (Nasser Meggi)</t>
  </si>
  <si>
    <t>5150MOZ7100 FNB Mozambique Growth</t>
  </si>
  <si>
    <t>2 year(s), 10 month(s), 9 day(s)</t>
  </si>
  <si>
    <t>Linda Nengwenani</t>
  </si>
  <si>
    <t>FNB Points of Presence (Jacques Ackerman)</t>
  </si>
  <si>
    <t>771037100 FNB POP Branch Delivery Woodlands Boulevard</t>
  </si>
  <si>
    <t>Universal Advisor</t>
  </si>
  <si>
    <t>18 year(s), 8 month(s), 23 day(s)</t>
  </si>
  <si>
    <t>Sachin Arjun</t>
  </si>
  <si>
    <t>RMB</t>
  </si>
  <si>
    <t>FR Hyphen Sales and Solutions (Gerrie Butler (Inherited))</t>
  </si>
  <si>
    <t>23300002345 FR Hyphen Commercial and Client Management</t>
  </si>
  <si>
    <t>Business Solutions Head</t>
  </si>
  <si>
    <t>18 year(s), 9 month(s), 12 day(s)</t>
  </si>
  <si>
    <t>Indian (South Africa)</t>
  </si>
  <si>
    <t>Yvonne September</t>
  </si>
  <si>
    <t>FNB Commercial Credit (Lenashan Chetty)</t>
  </si>
  <si>
    <t>34200005513 FNB Commercial Credit Public Sector</t>
  </si>
  <si>
    <t>Credit Head</t>
  </si>
  <si>
    <t>10 year(s), 6 month(s), 23 day(s)</t>
  </si>
  <si>
    <t>Poloko Makhosane</t>
  </si>
  <si>
    <t>FNB Points of Presence (Llewellyn Phillips)</t>
  </si>
  <si>
    <t>771014200 FNB POP Branch Delivery Pretoria</t>
  </si>
  <si>
    <t>Local Market Sales and Service Manager</t>
  </si>
  <si>
    <t>18 year(s), 10 month(s), 8 day(s)</t>
  </si>
  <si>
    <t>Marilaine de Lange</t>
  </si>
  <si>
    <t>FNB Commercial EFT (Hossain Ally)</t>
  </si>
  <si>
    <t>68400009949 FNB Commercial EFT Product House</t>
  </si>
  <si>
    <t>18 year(s), 9 month(s), 9 day(s)</t>
  </si>
  <si>
    <t>White (South Africa)</t>
  </si>
  <si>
    <t>Renusha Moodley</t>
  </si>
  <si>
    <t>FNB Chief Risk Office (Emma Mer)</t>
  </si>
  <si>
    <t>39400001871 FNB Chief Risk Office Executive</t>
  </si>
  <si>
    <t>Chief Operating Officer</t>
  </si>
  <si>
    <t>19 year(s), 2 month(s), 2 day(s)</t>
  </si>
  <si>
    <t>Wayne Fick</t>
  </si>
  <si>
    <t>FNB Loans (Alpheus Legodi)</t>
  </si>
  <si>
    <t>79100001943 FNB Consumer Loans Product</t>
  </si>
  <si>
    <t>Product Manager</t>
  </si>
  <si>
    <t>19 year(s), 0 month(s), 23 day(s)</t>
  </si>
  <si>
    <t>Coloured (South Africa)</t>
  </si>
  <si>
    <t>Venothan Padayachee</t>
  </si>
  <si>
    <t>RMBSA Client Group Technology Application Support (Subhash Panday)</t>
  </si>
  <si>
    <t>77800000MTY RMB - RMB Marketing Technology</t>
  </si>
  <si>
    <t>Scrum Master</t>
  </si>
  <si>
    <t>Pinkie Ngcobo</t>
  </si>
  <si>
    <t>FNB HSL (Mamazile Zikalala)</t>
  </si>
  <si>
    <t>21200001437 HSL Middle Sub Segment</t>
  </si>
  <si>
    <t>Administrator</t>
  </si>
  <si>
    <t>7 year(s), 1 month(s), 23 day(s)</t>
  </si>
  <si>
    <t>Zunairah Ismail</t>
  </si>
  <si>
    <t>CDO Kernel iNterfaceX (Leonna Pillay)</t>
  </si>
  <si>
    <t>21800002561 CDO Kernel iNterfaceX Contact Centre</t>
  </si>
  <si>
    <t>Product Support Specialist</t>
  </si>
  <si>
    <t>18 year(s), 7 month(s), 23 day(s)</t>
  </si>
  <si>
    <t>Johan Terblanche</t>
  </si>
  <si>
    <t>CDO Infrastructure and Security Services (Grant Hassett)</t>
  </si>
  <si>
    <t>20700001974 CDO Infrastructure and Security Services Information Security Management</t>
  </si>
  <si>
    <t>IT Governance Specialist</t>
  </si>
  <si>
    <t>18 year(s), 11 month(s), 8 day(s)</t>
  </si>
  <si>
    <t>Diran Gajoo</t>
  </si>
  <si>
    <t>FNB Chief Risk Office Executive (Brandon Olivier)</t>
  </si>
  <si>
    <t>39400004555 FNB Chief Risk Office Screening Services COO</t>
  </si>
  <si>
    <t>Operations Head</t>
  </si>
  <si>
    <t>13 year(s), 2 month(s), 3 day(s)</t>
  </si>
  <si>
    <t>Violet Mayeza</t>
  </si>
  <si>
    <t>FNB Commercial Cash Centre Johannesburg (Ningi Mbhele)</t>
  </si>
  <si>
    <t>76100000483 FNB Commercial Cash Centre Johannesburg</t>
  </si>
  <si>
    <t>Cash Supervisor</t>
  </si>
  <si>
    <t>20 year(s), 0 month(s), 23 day(s)</t>
  </si>
  <si>
    <t>Thami Simelani</t>
  </si>
  <si>
    <t>FNB Points of Presence (Mpho Maloka)</t>
  </si>
  <si>
    <t>7710276700 FNB POP Branch Delivery Mall Of Africa</t>
  </si>
  <si>
    <t>Local Market Operations Manager</t>
  </si>
  <si>
    <t>19 year(s), 10 month(s), 16 day(s)</t>
  </si>
  <si>
    <t>Sibo Buthelezi</t>
  </si>
  <si>
    <t>FNB Points of Presence (Poovan Pillay)</t>
  </si>
  <si>
    <t>771045200 FNB POP Branch Delivery Ulundi</t>
  </si>
  <si>
    <t>Associate</t>
  </si>
  <si>
    <t>19 year(s), 11 month(s), 23 day(s)</t>
  </si>
  <si>
    <t>Gail Jacobs</t>
  </si>
  <si>
    <t>FNB Central Finance (Renier Van Der Merwe)</t>
  </si>
  <si>
    <t>39400001373 FNB CFP Service Delivery</t>
  </si>
  <si>
    <t>Agile Coach</t>
  </si>
  <si>
    <t>6 year(s), 0 month(s), 15 day(s)</t>
  </si>
  <si>
    <t>Tsholofelo Rakumakoe</t>
  </si>
  <si>
    <t>FNB Points of Presence (Baldwin Mashaba)</t>
  </si>
  <si>
    <t>771099400 FNB POP Branch Delivery Waterfall Mall</t>
  </si>
  <si>
    <t>19 year(s), 10 month(s), 9 day(s)</t>
  </si>
  <si>
    <t>Monique Swart</t>
  </si>
  <si>
    <t>Career Mentor
Technical Mentor</t>
  </si>
  <si>
    <t>FNB Wealth (Lisle Ellapen)</t>
  </si>
  <si>
    <t>34100003291 PB&amp;A Advice Academy</t>
  </si>
  <si>
    <t>Learning Specialist</t>
  </si>
  <si>
    <t>20 year(s), 5 month(s), 14 day(s)</t>
  </si>
  <si>
    <t>Vanessa Maharaj</t>
  </si>
  <si>
    <t>FNB Commercial Sales Kwa-Zulu Natal (Asheen Magjee)</t>
  </si>
  <si>
    <t>34200006953 FNB Commercial Sales Shared Services KwaZulu Natal</t>
  </si>
  <si>
    <t>15 year(s), 0 month(s), 16 day(s)</t>
  </si>
  <si>
    <t>Carrie Anne Feldman</t>
  </si>
  <si>
    <t>FNB Commercial Merchant Services (John Mlangeni (Inherited))</t>
  </si>
  <si>
    <t>22800008303 FNB Commercial Merchant Services Pricing Analytics</t>
  </si>
  <si>
    <t>Data and Analytics</t>
  </si>
  <si>
    <t>Business Intelligence Head</t>
  </si>
  <si>
    <t>Willem Richard</t>
  </si>
  <si>
    <t>Rest of Africa (Luke Woodford (Inherited))</t>
  </si>
  <si>
    <t>77800000CCA RMBSA Broader Africa Finance Team</t>
  </si>
  <si>
    <t>Finance Head</t>
  </si>
  <si>
    <t>20 year(s), 10 month(s), 23 day(s)</t>
  </si>
  <si>
    <t>Malebo Phahlamohlaka</t>
  </si>
  <si>
    <t>FNB Commercial Chief Information Office (Ismail Sibda)</t>
  </si>
  <si>
    <t>34200007536 FNB Commercial CJP Exco</t>
  </si>
  <si>
    <t>Business Unit Chief Information Officer</t>
  </si>
  <si>
    <t>17 year(s), 9 month(s), 21 day(s)</t>
  </si>
  <si>
    <t>Thuli Nkosi</t>
  </si>
  <si>
    <t>FNB Points of Presence (Craig Field)</t>
  </si>
  <si>
    <t>7710236900 FNB POP Regional Office Gauteng South</t>
  </si>
  <si>
    <t>Client Experience Manager</t>
  </si>
  <si>
    <t>3 year(s), 4 month(s), 27 day(s)</t>
  </si>
  <si>
    <t>Pontsho Njoro</t>
  </si>
  <si>
    <t>FNB Commercial Sales Inland (Regita Lawrence)</t>
  </si>
  <si>
    <t>34200006563 FNB Commercial Sales North West Enterprise</t>
  </si>
  <si>
    <t>Client Portfolio Executive</t>
  </si>
  <si>
    <t>Puleng Montseng</t>
  </si>
  <si>
    <t>FNB Finance Business Solutions (Jacqueline Crawford)</t>
  </si>
  <si>
    <t>32100002445 FNB Finance Business Solutions Procurement Support</t>
  </si>
  <si>
    <t>Procurement Sourcing Specialist</t>
  </si>
  <si>
    <t>20 year(s), 6 month(s), 23 day(s)</t>
  </si>
  <si>
    <t>Themba Twala</t>
  </si>
  <si>
    <t>FNB Commercial Sales Gauteng South and Central (Nicholas Nkomo)</t>
  </si>
  <si>
    <t>34300006534 FNB Commercial Growth Gauteng South West South</t>
  </si>
  <si>
    <t>Business Manager</t>
  </si>
  <si>
    <t>20 year(s), 9 month(s), 23 day(s)</t>
  </si>
  <si>
    <t>Wesley Pretorius</t>
  </si>
  <si>
    <t>FNB Chief Finance Office iFinance (Parmasivan Pillay)</t>
  </si>
  <si>
    <t>39400001999 FNB Finance</t>
  </si>
  <si>
    <t>Chief Data and Analytics Officer</t>
  </si>
  <si>
    <t>20 year(s), 8 month(s), 23 day(s)</t>
  </si>
  <si>
    <t>Vutlhari Sithole</t>
  </si>
  <si>
    <t>FNB Points of Presence (Heather Rossouw)</t>
  </si>
  <si>
    <t>7710891900 FNB POP Operations Implementation Mngrs</t>
  </si>
  <si>
    <t>Implementation Manager</t>
  </si>
  <si>
    <t>22 year(s), 11 month(s), 23 day(s)</t>
  </si>
  <si>
    <t>Narisha Govender</t>
  </si>
  <si>
    <t>Career Mentor
Leadership Mentor
Technical Mentor
Transition Mentor</t>
  </si>
  <si>
    <t>RMBSA CDAO Data, Analytics and Business Intelligence (Prashant Rijhumal)</t>
  </si>
  <si>
    <t>77800000FZM FZM - CB Finance FIM</t>
  </si>
  <si>
    <t>19 year(s), 5 month(s), 26 day(s)</t>
  </si>
  <si>
    <t>Natasha Naidoo</t>
  </si>
  <si>
    <t>FNB HSL (Chris Labuschagne)</t>
  </si>
  <si>
    <t>21200001436 FNB HSL</t>
  </si>
  <si>
    <t>Product Head</t>
  </si>
  <si>
    <t>19 year(s), 5 month(s), 23 day(s)</t>
  </si>
  <si>
    <t>Ashwin Gobind</t>
  </si>
  <si>
    <t>FNB Personal Exco (Sashin Sookroo)</t>
  </si>
  <si>
    <t>83100009547 FNB Connect EXCO</t>
  </si>
  <si>
    <t>19 year(s), 5 month(s), 6 day(s)</t>
  </si>
  <si>
    <t>Caiphus Nyuswa</t>
  </si>
  <si>
    <t>FNB Commercial Sales Gauteng South and Central (Kabelo Motheane)</t>
  </si>
  <si>
    <t>34300006528 FNB Commercial Growth Gauteng East Eastern Ekurhuleni</t>
  </si>
  <si>
    <t>Area Manager</t>
  </si>
  <si>
    <t>8 year(s), 0 month(s), 2 day(s)</t>
  </si>
  <si>
    <t>Jason Nader</t>
  </si>
  <si>
    <t>FNB Retail Cash Investments Chief Executive Office (Himal Parbhoo)</t>
  </si>
  <si>
    <t>65100004404 FNB Premium Cash Investments Development</t>
  </si>
  <si>
    <t>Business Development Head</t>
  </si>
  <si>
    <t>27 year(s), 5 month(s), 23 day(s)</t>
  </si>
  <si>
    <t>Reginald Mothubakgang</t>
  </si>
  <si>
    <t>Career Mentor
Leadership Mentor
Transition Mentor</t>
  </si>
  <si>
    <t>FNB Commercial Forex CVM (Cindy-Lee Mayes)</t>
  </si>
  <si>
    <t>81800006277 FNB Commercial Forex Growth</t>
  </si>
  <si>
    <t>National Sales Head</t>
  </si>
  <si>
    <t>24 year(s), 3 month(s), 23 day(s)</t>
  </si>
  <si>
    <t>Liza Jacobs</t>
  </si>
  <si>
    <t>WesBank</t>
  </si>
  <si>
    <t>FNB Commercial Chief Executive Office ABF (Khantse Radebe)</t>
  </si>
  <si>
    <t>30100007269 WB ABF Operations Head Office</t>
  </si>
  <si>
    <t>Executive Personal Assistant</t>
  </si>
  <si>
    <t>24 year(s), 1 month(s), 23 day(s)</t>
  </si>
  <si>
    <t>Olerato Chimole</t>
  </si>
  <si>
    <t>FNB Points of Presence (Lerato Maponya)</t>
  </si>
  <si>
    <t>771035900 FNB POP Branch Delivery Lephalale</t>
  </si>
  <si>
    <t>8 year(s), 5 month(s), 20 day(s)</t>
  </si>
  <si>
    <t>Mercia Fox-Fisher</t>
  </si>
  <si>
    <t>FNB Retail Judgemental Credit (Nevi Govender)</t>
  </si>
  <si>
    <t>85500006814 RJC Head Office</t>
  </si>
  <si>
    <t>22 year(s), 5 month(s), 22 day(s)</t>
  </si>
  <si>
    <t>Dwan Steyn</t>
  </si>
  <si>
    <t>FNB Points of Presence (Bernice O Reilly)</t>
  </si>
  <si>
    <t>7710669900 FNB POP Branch Finance</t>
  </si>
  <si>
    <t>Financial Manager</t>
  </si>
  <si>
    <t>14 year(s), 5 month(s), 13 day(s)</t>
  </si>
  <si>
    <t>Dumisani Ntanzi</t>
  </si>
  <si>
    <t>REMS Real Estate Management Services (Eve Kathar)</t>
  </si>
  <si>
    <t>22300002373 REMS Campus Security</t>
  </si>
  <si>
    <t>Support Services</t>
  </si>
  <si>
    <t>Security Coordinator</t>
  </si>
  <si>
    <t>18 year(s), 2 month(s), 23 day(s)</t>
  </si>
  <si>
    <t>Karin Hough</t>
  </si>
  <si>
    <t>FNB Points of Presence (Pravesh Rajcoomar)</t>
  </si>
  <si>
    <t>7710299500 FNB Points of Presence Sales and Collaboration</t>
  </si>
  <si>
    <t>New Business and Sales Head</t>
  </si>
  <si>
    <t>23 year(s), 10 month(s), 18 day(s)</t>
  </si>
  <si>
    <t>Aina Ipinge</t>
  </si>
  <si>
    <t>Namibia</t>
  </si>
  <si>
    <t>FNB Namibia Limited (Isdor Angula)</t>
  </si>
  <si>
    <t>302031B9D555 FNB Namibia Human Capital</t>
  </si>
  <si>
    <t>Human Capital Head</t>
  </si>
  <si>
    <t>24 year(s), 1 month(s), 4 day(s)</t>
  </si>
  <si>
    <t>Racially disadvantaged (Namibia)</t>
  </si>
  <si>
    <t>Kamo Ramagaga</t>
  </si>
  <si>
    <t>FNB Commercial Sales KwaZulu Natal (Hannes Grobler)</t>
  </si>
  <si>
    <t>34200008651 FNB Commercial KZN Non Hubbed Inland</t>
  </si>
  <si>
    <t>Business Relationship Manager</t>
  </si>
  <si>
    <t>Lindokuhle Mkhwanazi</t>
  </si>
  <si>
    <t>FNB Points of Presence (Vanessa Dones-Smythe)</t>
  </si>
  <si>
    <t>7710893100 FNB POP Staff Engagement Head</t>
  </si>
  <si>
    <t>Corporate Wardrobe Specialist</t>
  </si>
  <si>
    <t>27 year(s), 1 month(s), 21 day(s)</t>
  </si>
  <si>
    <t>Mapule Mahlangu</t>
  </si>
  <si>
    <t>FNB Commercial Sales Gauteng North (Thabang Mafora)</t>
  </si>
  <si>
    <t>34300006539 FNB Commercial Growth Tshwane South</t>
  </si>
  <si>
    <t>Business Advisor</t>
  </si>
  <si>
    <t>30 year(s), 9 month(s), 23 day(s)</t>
  </si>
  <si>
    <t>Shane French</t>
  </si>
  <si>
    <t>FNB Private Segment (Philani Phakamani Potwana)</t>
  </si>
  <si>
    <t>41200007842 FNB Private Core Banking Exco</t>
  </si>
  <si>
    <t>37 year(s), 2 month(s), 21 day(s)</t>
  </si>
  <si>
    <t>Yvonne Murray</t>
  </si>
  <si>
    <t>FNB Private Banking and Advisory (Marius Pentz)</t>
  </si>
  <si>
    <t>34100004225 PB&amp;A Willowbridge Affluent</t>
  </si>
  <si>
    <t>Channel Management Head</t>
  </si>
  <si>
    <t>29 year(s), 10 month(s), 4 day(s)</t>
  </si>
  <si>
    <t>Rehana Shaik</t>
  </si>
  <si>
    <t>FNB Business Branch Channel (Jaco Gerber)</t>
  </si>
  <si>
    <t>34300004135 FNB Business Contact Centre Head Office</t>
  </si>
  <si>
    <t>31 year(s), 1 month(s), 23 day(s)</t>
  </si>
  <si>
    <t>Magdel Swarts</t>
  </si>
  <si>
    <t>FNB Points of Presence (Mari Da Silva)</t>
  </si>
  <si>
    <t>771030900 FNB POP Branch Delivery Mtubatuba</t>
  </si>
  <si>
    <t>Shane Chetty</t>
  </si>
  <si>
    <t>FNB Cash Investments (Pregasen Padiachee)</t>
  </si>
  <si>
    <t>65100006551 FNB Premium Cash Investments Liabilities</t>
  </si>
  <si>
    <t>Sales Enablement Head</t>
  </si>
  <si>
    <t>Marlene Henniker-Gotley</t>
  </si>
  <si>
    <t>FNB nav Head Office (Dheshen Moodley)</t>
  </si>
  <si>
    <t>39400003192 FNB nav Head Office</t>
  </si>
  <si>
    <t>Fixed Term Contractor</t>
  </si>
  <si>
    <t>Systems Owner</t>
  </si>
  <si>
    <t>27 year(s), 8 month(s), 22 day(s)</t>
  </si>
  <si>
    <t>60 - 64</t>
  </si>
  <si>
    <t>John Pieters</t>
  </si>
  <si>
    <t>FNB International SA Credit (Yogesh Borkar)</t>
  </si>
  <si>
    <t>83200005733 FNB International SA Credit</t>
  </si>
  <si>
    <t>26 year(s), 1 month(s), 17 day(s)</t>
  </si>
  <si>
    <t>Adnaan Rayned</t>
  </si>
  <si>
    <t>FNB Commercial Sales Cape (Stephan Claassen)</t>
  </si>
  <si>
    <t>34300005001 FNB Commercial Growth Cape Head Office</t>
  </si>
  <si>
    <t>Regional Head</t>
  </si>
  <si>
    <t>39 year(s), 10 month(s), 9 day(s)</t>
  </si>
  <si>
    <t>Fajria Hartley</t>
  </si>
  <si>
    <t>WB Motor Sales Channel (Matshego Nkwe)</t>
  </si>
  <si>
    <t>30100008077 WB Motor Direct Business</t>
  </si>
  <si>
    <t>Sales Operations Manager</t>
  </si>
  <si>
    <t>24 year(s), 5 month(s), 23 day(s)</t>
  </si>
  <si>
    <t>Michelle Naidoo</t>
  </si>
  <si>
    <t>FNB Points of Presence (Natalie Hall)</t>
  </si>
  <si>
    <t>7710404200 FNB POP Internal Communications</t>
  </si>
  <si>
    <t>Communications Manager</t>
  </si>
  <si>
    <t>39 year(s), 8 month(s), 3 day(s)</t>
  </si>
  <si>
    <t>Rohini Govender</t>
  </si>
  <si>
    <t>FNB CTE Management (Henk Pieterse)</t>
  </si>
  <si>
    <t>86000004302 HR Shared Services Operations Administration</t>
  </si>
  <si>
    <t>Human Resources Client Delivery Coordinator</t>
  </si>
  <si>
    <t>Brendon Smith</t>
  </si>
  <si>
    <t>FNB R&amp;C Chief Information Office (La-Cell Mouton)</t>
  </si>
  <si>
    <t>79000005998 CDO Banking Central</t>
  </si>
  <si>
    <t>20 year(s), 5 month(s), 5 day(s)</t>
  </si>
  <si>
    <t>Patrick Motshweni</t>
  </si>
  <si>
    <t>FNB Commercial Chief Data and Analytics (Ryan Prozesky)</t>
  </si>
  <si>
    <t>34300005518 FNB Commercial Data Office</t>
  </si>
  <si>
    <t>Data Head</t>
  </si>
  <si>
    <t>18 year(s), 5 month(s), 23 day(s)</t>
  </si>
  <si>
    <t>Nivesh Jivan</t>
  </si>
  <si>
    <t>FNB Dynamic Decisioning (Leone Van'T Zand)</t>
  </si>
  <si>
    <t>23900007172 FNB Dynamic Decisioning NLP Conversational AI</t>
  </si>
  <si>
    <t>Data Engineer</t>
  </si>
  <si>
    <t>9 year(s), 7 month(s), 6 day(s)</t>
  </si>
  <si>
    <t>Jan Botha</t>
  </si>
  <si>
    <t>Z2-Programme Mentor (HC Managed)</t>
  </si>
  <si>
    <t>RMBSA LRC Credit Risk Management (Noah Ngcobo)</t>
  </si>
  <si>
    <t>77800000GCP RMBSA Broader Africa Credit Risk Management Team</t>
  </si>
  <si>
    <t>18 year(s), 8 month(s), 8 day(s)</t>
  </si>
  <si>
    <t>Vuyelwa Sibutha</t>
  </si>
  <si>
    <t>FNB Commercial TxP (Jackie Eddie-Jansen Van Vuuren)</t>
  </si>
  <si>
    <t>39800007911 FNB Commercial TxP Quality Assurance</t>
  </si>
  <si>
    <t>Quality Assurer</t>
  </si>
  <si>
    <t>18 year(s), 10 month(s), 23 day(s)</t>
  </si>
  <si>
    <t>Neo Sikosana</t>
  </si>
  <si>
    <t>FNB Points of Presence (Yusuf Sirkoth)</t>
  </si>
  <si>
    <t>7710613300 FNB POP IT Operations</t>
  </si>
  <si>
    <t>Technical Team Leader</t>
  </si>
  <si>
    <t>Job Mpati</t>
  </si>
  <si>
    <t>CDO Kernel iNterfaceX (Mmushi Mosupi)</t>
  </si>
  <si>
    <t>21800009568 CDO Kernel iNterfaceX Tech App and Mobile QA App</t>
  </si>
  <si>
    <t>Test Analyst Manager</t>
  </si>
  <si>
    <t>Tarin Petersen</t>
  </si>
  <si>
    <t>FNB Connect and Service Provider (Aveen Singh)</t>
  </si>
  <si>
    <t>83100005545 FNB Connect Sales Centre</t>
  </si>
  <si>
    <t>Regional Manager</t>
  </si>
  <si>
    <t>18 year(s), 11 month(s), 23 day(s)</t>
  </si>
  <si>
    <t>Mandla Lekhuwana</t>
  </si>
  <si>
    <t>Transition Mentor
Workplace  Buddy</t>
  </si>
  <si>
    <t>FNB Business Value Propositions (Jose' Gomes)</t>
  </si>
  <si>
    <t>34300004119 FNB Business Value Propositions</t>
  </si>
  <si>
    <t>7 year(s), 9 month(s), 23 day(s)</t>
  </si>
  <si>
    <t>Ray Geldenhuys</t>
  </si>
  <si>
    <t>Group Human Capital Chief Information Office (Farid Karolia)</t>
  </si>
  <si>
    <t>47100009663 HC and FNB EnTech Leads</t>
  </si>
  <si>
    <t>User Experience Manager</t>
  </si>
  <si>
    <t>7 year(s), 10 month(s), 23 day(s)</t>
  </si>
  <si>
    <t>Khula Olifant</t>
  </si>
  <si>
    <t>FNB Points of Presence (Maureen Sediane)</t>
  </si>
  <si>
    <t>771012900 FNB POP Branch Delivery Vanderbijlpark</t>
  </si>
  <si>
    <t>20 year(s), 0 month(s), 25 day(s)</t>
  </si>
  <si>
    <t>Solomon Mzinyane</t>
  </si>
  <si>
    <t>FNB COO Head Office (Francois Retief)</t>
  </si>
  <si>
    <t>69000009048 FNB Retail COO</t>
  </si>
  <si>
    <t>Volunteers Manager</t>
  </si>
  <si>
    <t>19 year(s), 8 month(s), 23 day(s)</t>
  </si>
  <si>
    <t>Lizzy Mathaba</t>
  </si>
  <si>
    <t>FNB Points of Presence (Brigate Nyakane)</t>
  </si>
  <si>
    <t>7710841400 FNB POP External Sales Local Market</t>
  </si>
  <si>
    <t>OBR With Fixed Pay</t>
  </si>
  <si>
    <t>External Sales and Service Advisor Lead OBR</t>
  </si>
  <si>
    <t>8 year(s), 10 month(s), 20 day(s)</t>
  </si>
  <si>
    <t>Goitsemodimo Melesi</t>
  </si>
  <si>
    <t>FNB Public Relations Office (Sipho Silinda)</t>
  </si>
  <si>
    <t>84100005287 FNB Commercial Public Sector EXCO</t>
  </si>
  <si>
    <t>20 year(s), 9 month(s), 2 day(s)</t>
  </si>
  <si>
    <t>Phuti Ramolobeng</t>
  </si>
  <si>
    <t>FNB Points of Presence (Gareth Lalla)</t>
  </si>
  <si>
    <t>771009800 FNB POP Branch Delivery Pretorius Street</t>
  </si>
  <si>
    <t>Branch Delivery Sales and Service Team Leader</t>
  </si>
  <si>
    <t>Crystal Brown</t>
  </si>
  <si>
    <t>FNB Commercial Sales Cape (Philip Poole)</t>
  </si>
  <si>
    <t>34200009138 FNB Commercial Agriculture Western Cape</t>
  </si>
  <si>
    <t>PHI Benefit</t>
  </si>
  <si>
    <t>Relationship Analyst</t>
  </si>
  <si>
    <t>21 year(s), 1 month(s), 23 day(s)</t>
  </si>
  <si>
    <t>Emily Mbele</t>
  </si>
  <si>
    <t>Career Mentor
Technical Mentor
Transition Mentor</t>
  </si>
  <si>
    <t>RMBSA Technology (Christiaan Du Preez)</t>
  </si>
  <si>
    <t>77800000BTO BTO-RMB IT Core</t>
  </si>
  <si>
    <t>7 year(s), 5 month(s), 23 day(s)</t>
  </si>
  <si>
    <t>Eni Tsamago</t>
  </si>
  <si>
    <t>FNB Retail Exco (WILSON DIKOBO)</t>
  </si>
  <si>
    <t>11 year(s), 7 month(s), 13 day(s)</t>
  </si>
  <si>
    <t>Raymond Tyler</t>
  </si>
  <si>
    <t>FNB Retail COO (Sthokozile Zwezwe (Inherited))</t>
  </si>
  <si>
    <t>69000015126 FNB COO LRC</t>
  </si>
  <si>
    <t>20 year(s), 10 month(s), 15 day(s)</t>
  </si>
  <si>
    <t>Tinyiko Ndlovu</t>
  </si>
  <si>
    <t>FNB Commercial Projects and Operations (Luchaan Zeelie)</t>
  </si>
  <si>
    <t>34200008093 FNB Commercial Projects</t>
  </si>
  <si>
    <t>Project Management Office Head</t>
  </si>
  <si>
    <t>17 year(s), 8 month(s), 23 day(s)</t>
  </si>
  <si>
    <t>Nomvula Luphoko</t>
  </si>
  <si>
    <t>FNB Points of Presence (Tshwarelo Malele)</t>
  </si>
  <si>
    <t>7710110800 FNB POP Branch Delivery Kabokweni Plaza</t>
  </si>
  <si>
    <t>20 year(s), 7 month(s), 23 day(s)</t>
  </si>
  <si>
    <t>Verona Singh</t>
  </si>
  <si>
    <t>FNB Commercial Sales Gauteng South and Central (Caiphus Nyuswa)</t>
  </si>
  <si>
    <t>34300006536 FNB Commercial Growth Gauteng South West Rand</t>
  </si>
  <si>
    <t>Reshmee Pillay</t>
  </si>
  <si>
    <t>FNB Commercial Sales Inland (Pelonolo Mafata)</t>
  </si>
  <si>
    <t>34300009157 FNB Commercial Growth Mpumalanga Gold</t>
  </si>
  <si>
    <t>25 year(s), 9 month(s), 5 day(s)</t>
  </si>
  <si>
    <t>Neal Sokay</t>
  </si>
  <si>
    <t>FNB Retail COO (Janedrie Naidoo)</t>
  </si>
  <si>
    <t>69000006171 FNB Retail Enterprise Project Management Office</t>
  </si>
  <si>
    <t>Programme Manager</t>
  </si>
  <si>
    <t>Grant Pentelow</t>
  </si>
  <si>
    <t>FNB Personal and Private IT (Sandy Pillay)</t>
  </si>
  <si>
    <t>59600005436 FNB Personal and Private IT HR</t>
  </si>
  <si>
    <t>Learning and Development Manager</t>
  </si>
  <si>
    <t>Dash Naidoo</t>
  </si>
  <si>
    <t>FR Life Assurance (Lee Bromfield)</t>
  </si>
  <si>
    <t>61500010269 FR Life CEO Office</t>
  </si>
  <si>
    <t>Executive Head</t>
  </si>
  <si>
    <t>11 year(s), 3 month(s), 23 day(s)</t>
  </si>
  <si>
    <t>John Cronje</t>
  </si>
  <si>
    <t>Leadership Mentor
Technical Mentor</t>
  </si>
  <si>
    <t>FNB Loans (Yaasin Nordien)</t>
  </si>
  <si>
    <t>79100005608 FNB Consumer Loans Support Operations</t>
  </si>
  <si>
    <t>26 year(s), 5 month(s), 23 day(s)</t>
  </si>
  <si>
    <t>Nhlanhla Ngcobo</t>
  </si>
  <si>
    <t>FNB Commercial Sales Inland (Themba Mabizela)</t>
  </si>
  <si>
    <t>34200009214 FNB Commercial Sales Mpumalanga Regional</t>
  </si>
  <si>
    <t>22 year(s), 3 month(s), 23 day(s)</t>
  </si>
  <si>
    <t>Lefu Mofonedi</t>
  </si>
  <si>
    <t>FNB Central Finance (Junaid Bayat)</t>
  </si>
  <si>
    <t>39400004642 FNB CFP HFM</t>
  </si>
  <si>
    <t>HFM Developer</t>
  </si>
  <si>
    <t>21 year(s), 8 month(s), 23 day(s)</t>
  </si>
  <si>
    <t>Llewellyn Phillips</t>
  </si>
  <si>
    <t>FNB Points of Presence (Dima Thaba)</t>
  </si>
  <si>
    <t>7710237800 FNB POP Regional Office Gauteng North</t>
  </si>
  <si>
    <t>Michael Honeywell</t>
  </si>
  <si>
    <t>FNB Business Platform Niches (Morne Cronje)</t>
  </si>
  <si>
    <t>34300009103 FNB Business Platform Niches</t>
  </si>
  <si>
    <t>Sales Head</t>
  </si>
  <si>
    <t>26 year(s), 0 month(s), 18 day(s)</t>
  </si>
  <si>
    <t>Liesel Hollis</t>
  </si>
  <si>
    <t>FNB Human Capital R&amp;C (Donald Khumalo)</t>
  </si>
  <si>
    <t>47100001985 FNB HR Executive</t>
  </si>
  <si>
    <t>Transformation Segment Lead</t>
  </si>
  <si>
    <t>32 year(s), 2 month(s), 23 day(s)</t>
  </si>
  <si>
    <t>Catharina Harmse</t>
  </si>
  <si>
    <t>FNB Points of Presence (Chantell Holder)</t>
  </si>
  <si>
    <t>771096300 FNB POP Branch Delivery Bedford Gardens</t>
  </si>
  <si>
    <t>19 year(s), 9 month(s), 23 day(s)</t>
  </si>
  <si>
    <t>Christine Kennedy</t>
  </si>
  <si>
    <t>Technical Mentor
Workplace  Buddy</t>
  </si>
  <si>
    <t>FNB Fiduciary (Leandri Spies)</t>
  </si>
  <si>
    <t>30300004637 FNB WI Fiduciary Low Value</t>
  </si>
  <si>
    <t>Estates Manager</t>
  </si>
  <si>
    <t>Natasha Parbhoo</t>
  </si>
  <si>
    <t>FNB Commercial Human Capital (Gloria Nkhoma)</t>
  </si>
  <si>
    <t>34400009735 FNB Commercial Human Resources</t>
  </si>
  <si>
    <t>31 year(s), 1 month(s), 11 day(s)</t>
  </si>
  <si>
    <t>Delaine Masher</t>
  </si>
  <si>
    <t>FNB Finance Business Solutions (Peter Koedyk)</t>
  </si>
  <si>
    <t>32100009321 FNB Finance Business Solutions Procurement Helpdesk</t>
  </si>
  <si>
    <t>Supplier Maintenance Manager</t>
  </si>
  <si>
    <t>30 year(s), 2 month(s), 15 day(s)</t>
  </si>
  <si>
    <t>Melody Hermanus</t>
  </si>
  <si>
    <t>FNB Commercial Merchant Services (Karen Isaacs)</t>
  </si>
  <si>
    <t>22800005028 FNB Commercial Merchant Services Collections</t>
  </si>
  <si>
    <t>17 year(s), 7 month(s), 13 day(s)</t>
  </si>
  <si>
    <t>Vincent Govender</t>
  </si>
  <si>
    <t>Career Mentor
Leadership Mentor
Technical Mentor</t>
  </si>
  <si>
    <t>CDO Banking IDS (Mohamed Karim)</t>
  </si>
  <si>
    <t>79000007752 CDO Banking IDS</t>
  </si>
  <si>
    <t>Application Development Manager</t>
  </si>
  <si>
    <t>28 year(s), 6 month(s), 27 day(s)</t>
  </si>
  <si>
    <t>Charles Thulani Nkosi</t>
  </si>
  <si>
    <t>30 year(s), 2 month(s), 23 day(s)</t>
  </si>
  <si>
    <t>Nicholas Litton</t>
  </si>
  <si>
    <t>FNB Credit Card Legal Risk and Compliance (Robert Cawse)</t>
  </si>
  <si>
    <t>20300002846 FNB Credit Card Legal Risk and Compliance</t>
  </si>
  <si>
    <t>Compliance Head</t>
  </si>
  <si>
    <t>23 year(s), 8 month(s), 8 day(s)</t>
  </si>
  <si>
    <t>Malesela Matlaila</t>
  </si>
  <si>
    <t>FNB Commercial Sales Gauteng South and Central (Richard Gunther)</t>
  </si>
  <si>
    <t>34200001223 FNB Commercial Sales Gauteng East 60 to 150M</t>
  </si>
  <si>
    <t>38 year(s), 8 month(s), 22 day(s)</t>
  </si>
  <si>
    <t>Melanie Naidu</t>
  </si>
  <si>
    <t>Technical Mentor</t>
  </si>
  <si>
    <t>FNB Commercial Forex Ops Cape Town (Jason De Stadler)</t>
  </si>
  <si>
    <t>81800003195 FNB Commercial Forex Ops Cape Town</t>
  </si>
  <si>
    <t>Exchange Control Specialist</t>
  </si>
  <si>
    <t>36 year(s), 5 month(s), 23 day(s)</t>
  </si>
  <si>
    <t>Mohammed Adam</t>
  </si>
  <si>
    <t>CDO Kernel iDnA (Gio Pera)</t>
  </si>
  <si>
    <t>79000003718 FNB Enablement OCIO PMO</t>
  </si>
  <si>
    <t>Project Management Office Portfolio Manager</t>
  </si>
  <si>
    <t>11 year(s), 2 month(s), 23 day(s)</t>
  </si>
  <si>
    <t>Sue-Lynn Sheldon</t>
  </si>
  <si>
    <t>WB Motor Operations (Kreelan Chetty)</t>
  </si>
  <si>
    <t>30100007371 WB WesBank Way</t>
  </si>
  <si>
    <t>Delivery Manager</t>
  </si>
  <si>
    <t>38 year(s), 9 month(s), 9 day(s)</t>
  </si>
  <si>
    <t>Yoricke Esterhuyse</t>
  </si>
  <si>
    <t>FNB nav. Chief Executive Office R&amp;C (Johannes Maree)</t>
  </si>
  <si>
    <t>39400007609 FNB CDAO Information Management</t>
  </si>
  <si>
    <t>Group Information Management Head</t>
  </si>
  <si>
    <t>24 year(s), 8 month(s), 23 day(s)</t>
  </si>
  <si>
    <t>Allen Pillay</t>
  </si>
  <si>
    <t>FNB Private Segment (Sizwe Nxedlana)</t>
  </si>
  <si>
    <t>85500008551 FNB Retail Exco</t>
  </si>
  <si>
    <t>Segment Chief Information Officer</t>
  </si>
  <si>
    <t>28 year(s), 11 month(s), 23 day(s)</t>
  </si>
  <si>
    <t>Kashilla Singh</t>
  </si>
  <si>
    <t>FirstRand Corporate Centre</t>
  </si>
  <si>
    <t>FNB Internal Audit (Gianni Low)</t>
  </si>
  <si>
    <t>20200006714 FNB Internal Audit</t>
  </si>
  <si>
    <t>Internal Auditor</t>
  </si>
  <si>
    <t>32 year(s), 4 month(s), 23 day(s)</t>
  </si>
  <si>
    <t>Carol Smit</t>
  </si>
  <si>
    <t>FNB Commercial Sales KwaZulu Natal (Jayendran Pillay)</t>
  </si>
  <si>
    <t>34200008041 FNB Commercial KZN Coastal Non Hubbed</t>
  </si>
  <si>
    <t>30 year(s), 3 month(s), 23 day(s)</t>
  </si>
  <si>
    <t>Marli Basson</t>
  </si>
  <si>
    <t>Delivery Consultant</t>
  </si>
  <si>
    <t>21 year(s), 9 month(s), 23 day(s)</t>
  </si>
  <si>
    <t>Grant Jansen</t>
  </si>
  <si>
    <t>WB Motor Sales Channel (Elliot Gxolo)</t>
  </si>
  <si>
    <t>30102050100 WB Motor Regional Sales - Eastern Region</t>
  </si>
  <si>
    <t>23 year(s), 2 month(s), 23 day(s)</t>
  </si>
  <si>
    <t>Vaneshree Moodley</t>
  </si>
  <si>
    <t>FNB Points of Presence (Ronnela Pillay)</t>
  </si>
  <si>
    <t>771008700 FNB POP Branch Delivery Davenport</t>
  </si>
  <si>
    <t>36 year(s), 11 month(s), 14 day(s)</t>
  </si>
  <si>
    <t>Fazia Parker</t>
  </si>
  <si>
    <t>RMBSA IBD Operations Collateral Management (Marisa Gilbert)</t>
  </si>
  <si>
    <t>77800000LAC RMBSA IBD Operations Collateral Management</t>
  </si>
  <si>
    <t>Collateral Specialist</t>
  </si>
  <si>
    <t>17 year(s), 5 month(s), 9 day(s)</t>
  </si>
  <si>
    <t>Gavin Tarr</t>
  </si>
  <si>
    <t>FNB Commercial Chief Executive Officer Structured Lending Solutions (Jan Baard)</t>
  </si>
  <si>
    <t>33900000847 FNB Commercial Debtor Finance Sales</t>
  </si>
  <si>
    <t>14 year(s), 10 month(s), 15 day(s)</t>
  </si>
  <si>
    <t>Zaeem Motara</t>
  </si>
  <si>
    <t>19 year(s), 10 month(s), 23 day(s)</t>
  </si>
  <si>
    <t>Nelien Dippenaar</t>
  </si>
  <si>
    <t>FNB Affluent (Nozuko Gloria Makhunga)</t>
  </si>
  <si>
    <t>34100005227 PB&amp;A Tshwane Affluent NE</t>
  </si>
  <si>
    <t>Sales and Service Manager</t>
  </si>
  <si>
    <t>29 year(s), 3 month(s), 22 day(s)</t>
  </si>
  <si>
    <t>Himal Parbhoo</t>
  </si>
  <si>
    <t>Career Mentor
Technical Mentor
Z2-Programme Mentor (HC Managed)</t>
  </si>
  <si>
    <t>Chief Executive Officer Cash Investments Retail</t>
  </si>
  <si>
    <t>Bongi Tshabangu</t>
  </si>
  <si>
    <t>FNB Points of Presence (Reuben Fernandez)</t>
  </si>
  <si>
    <t>7710237600 FNB POP Regional Office Mpumalanga</t>
  </si>
  <si>
    <t>Regional Operations Manager</t>
  </si>
  <si>
    <t>30 year(s), 6 month(s), 9 day(s)</t>
  </si>
  <si>
    <t>Mellisa Van Staden</t>
  </si>
  <si>
    <t>REMS Real Estate Management Services (Elize Marais)</t>
  </si>
  <si>
    <t>22300006897 REMS Projects</t>
  </si>
  <si>
    <t>Site Management Team Leader</t>
  </si>
  <si>
    <t>29 year(s), 2 month(s), 23 day(s)</t>
  </si>
  <si>
    <t>Avashni Singh</t>
  </si>
  <si>
    <t>Career Mentor
Transition Mentor</t>
  </si>
  <si>
    <t>FNB Points of Presence (Pam Pitout)</t>
  </si>
  <si>
    <t>771006200 FNB POP Branch Delivery Pine Crest</t>
  </si>
  <si>
    <t>Local Market Manager</t>
  </si>
  <si>
    <t>22 year(s), 0 month(s), 23 day(s)</t>
  </si>
  <si>
    <t>Debbie De Beer</t>
  </si>
  <si>
    <t>FNB Commercial Sales Gauteng North (Zak Sivalingum)</t>
  </si>
  <si>
    <t>34200003323 FNB Commercial Sales Shared Services</t>
  </si>
  <si>
    <t>24 year(s), 0 month(s), 23 day(s)</t>
  </si>
  <si>
    <t>Nicole Pillay Druion</t>
  </si>
  <si>
    <t>FNB HR Executive (Itumeleng Mosiane)</t>
  </si>
  <si>
    <t>23 year(s), 1 month(s), 23 day(s)</t>
  </si>
  <si>
    <t>Eddie Roodt</t>
  </si>
  <si>
    <t>FNB International SA (Tsholofelo Mosito)</t>
  </si>
  <si>
    <t>83200009889 FNB International SA Learning and Development</t>
  </si>
  <si>
    <t>Learning Consultant</t>
  </si>
  <si>
    <t>33 year(s), 4 month(s), 18 day(s)</t>
  </si>
  <si>
    <t>Mervyn Moodley</t>
  </si>
  <si>
    <t>FNB Commercial Lend Pillar Head Office (Nainesh Desai)</t>
  </si>
  <si>
    <t>34200004627 FNB Commercial Lend Head Office</t>
  </si>
  <si>
    <t>Business Solutions Specialist</t>
  </si>
  <si>
    <t>25 year(s), 6 month(s), 23 day(s)</t>
  </si>
  <si>
    <t>Johan Steyn</t>
  </si>
  <si>
    <t>30100007137 WB ABF Inland Shared</t>
  </si>
  <si>
    <t>Head of Sales Business Unit</t>
  </si>
  <si>
    <t>33 year(s), 6 month(s), 23 day(s)</t>
  </si>
  <si>
    <t>Vekesh Dukhi</t>
  </si>
  <si>
    <t>FNB Chief Risk Office IT (Thomas Tonga)</t>
  </si>
  <si>
    <t>39400008197 FNB Chief Risk Office IT</t>
  </si>
  <si>
    <t>Solutions Architect</t>
  </si>
  <si>
    <t>21 year(s), 1 month(s), 16 day(s)</t>
  </si>
  <si>
    <t>Mabuke Malebana</t>
  </si>
  <si>
    <t>771033400 FNB POP Branch Delivery Polokwane</t>
  </si>
  <si>
    <t>Anthea Moodalay</t>
  </si>
  <si>
    <t>FNB Commercial Projects and Operations (Shahnaaz Sallie)</t>
  </si>
  <si>
    <t>34200000850 FNB Commercial Digital Banking EC</t>
  </si>
  <si>
    <t>Platform Manager</t>
  </si>
  <si>
    <t>15 year(s), 11 month(s), 23 day(s)</t>
  </si>
  <si>
    <t>Sunil Sing</t>
  </si>
  <si>
    <t>CDO Payments Forex IT (Michael Preston)</t>
  </si>
  <si>
    <t>79000001321 CDO Payments Forex IT Development</t>
  </si>
  <si>
    <t>Yeonitta Heath</t>
  </si>
  <si>
    <t>CDO Kernel (Outlwile Mookiemang)</t>
  </si>
  <si>
    <t>79000005746 CDO Kernel CIS</t>
  </si>
  <si>
    <t>Test Analyst</t>
  </si>
  <si>
    <t>Gcina Mnyandu</t>
  </si>
  <si>
    <t>18 year(s), 10 month(s), 3 day(s)</t>
  </si>
  <si>
    <t>Yvette Jacobsz</t>
  </si>
  <si>
    <t>FNB Points of Presence (Natasha Botes)</t>
  </si>
  <si>
    <t>771067000 FNB POP Branch Delivery Jeffreys Bay</t>
  </si>
  <si>
    <t>Premier Advisor</t>
  </si>
  <si>
    <t>29 year(s), 2 month(s), 18 day(s)</t>
  </si>
  <si>
    <t>Nicole De Kock</t>
  </si>
  <si>
    <t>FR Life Assurance (Maxine Dick)</t>
  </si>
  <si>
    <t>61500010273 FR Life Human Resources</t>
  </si>
  <si>
    <t>Nicolene De Beer</t>
  </si>
  <si>
    <t>FNB Personal Human Capital (Shalini John)</t>
  </si>
  <si>
    <t>48100009834 FNB Personal Core Banking Human Capital</t>
  </si>
  <si>
    <t>24 year(s), 10 month(s), 23 day(s)</t>
  </si>
  <si>
    <t>Paul Hazelton</t>
  </si>
  <si>
    <t>22 year(s), 5 month(s), 16 day(s)</t>
  </si>
  <si>
    <t>Kehiloe Makhele</t>
  </si>
  <si>
    <t>FNB Corporate Affairs Internal Branding (Jennifer Heeger)</t>
  </si>
  <si>
    <t>39400005485 FNB Corporate Affairs Internal Branding</t>
  </si>
  <si>
    <t>Digital Communications Manager</t>
  </si>
  <si>
    <t>22 year(s), 1 month(s), 23 day(s)</t>
  </si>
  <si>
    <t>Ebrahim Omar</t>
  </si>
  <si>
    <t>CDO Banking (Anban Moodley)</t>
  </si>
  <si>
    <t>79000005432 CDO Banking Application Infrastructure</t>
  </si>
  <si>
    <t>Technical Specialist</t>
  </si>
  <si>
    <t>18 year(s), 8 month(s), 1 day(s)</t>
  </si>
  <si>
    <t>Mmaditsienyane Komako</t>
  </si>
  <si>
    <t>FNB Commercial Merchant Services (Chene Watson)</t>
  </si>
  <si>
    <t>22800008678 FNB Commercial Merchant Services Legal Risk Compliance</t>
  </si>
  <si>
    <t>20 year(s), 6 month(s), 5 day(s)</t>
  </si>
  <si>
    <t>Chantelle Meyer</t>
  </si>
  <si>
    <t>FNB Commercial Human Capital (Lelo Boyana)</t>
  </si>
  <si>
    <t>Human Capital Manager</t>
  </si>
  <si>
    <t>Portia Titus</t>
  </si>
  <si>
    <t>FNB Points of Presence (Viv Middendorp)</t>
  </si>
  <si>
    <t>771000400 FNB POP Branch Delivery Century City</t>
  </si>
  <si>
    <t>Bomikazi Sekoala</t>
  </si>
  <si>
    <t>FNB Points of Presence (Kobus Steenkamp)</t>
  </si>
  <si>
    <t>771043400 FNB POP Branch Delivery Zastron</t>
  </si>
  <si>
    <t>19 year(s), 3 month(s), 25 day(s)</t>
  </si>
  <si>
    <t>Richard Pinto</t>
  </si>
  <si>
    <t>FNB Personal and Private IT (Aylon Byron Spinner)</t>
  </si>
  <si>
    <t>59600007235 FNB Personal and Private IT Home Loans IT Systems</t>
  </si>
  <si>
    <t>Software Architect</t>
  </si>
  <si>
    <t>14 year(s), 11 month(s), 20 day(s)</t>
  </si>
  <si>
    <t>Gabby Moodley</t>
  </si>
  <si>
    <t>FNB International SA (Fazlan Khan)</t>
  </si>
  <si>
    <t>83200003325 FNB International SA Alternative Channels</t>
  </si>
  <si>
    <t>Product Specialist</t>
  </si>
  <si>
    <t>17 year(s), 6 month(s), 23 day(s)</t>
  </si>
  <si>
    <t>Dima Thaba</t>
  </si>
  <si>
    <t>FNB POP Chief Executive Office (Zibuyile Nqala)</t>
  </si>
  <si>
    <t>7710396500 FNB POP Executives</t>
  </si>
  <si>
    <t>14 year(s), 4 month(s), 20 day(s)</t>
  </si>
  <si>
    <t>Vuyokazi Rozani</t>
  </si>
  <si>
    <t>CDO Infrastructure and Security Services (Kgasago Monyela)</t>
  </si>
  <si>
    <t>20700006377 CDO Networks and Security Services Desktop and Mobile Technology</t>
  </si>
  <si>
    <t>IT Technical Support Manager</t>
  </si>
  <si>
    <t>20 year(s), 5 month(s), 23 day(s)</t>
  </si>
  <si>
    <t>Mathapelo Malema</t>
  </si>
  <si>
    <t>FR Life Assurance (Trevor Mojalefa)</t>
  </si>
  <si>
    <t>61500010287 FR Life Ops Business Improvement</t>
  </si>
  <si>
    <t>Business Analyst Manager</t>
  </si>
  <si>
    <t>11 year(s), 7 month(s), 23 day(s)</t>
  </si>
  <si>
    <t>Suvina Pillay</t>
  </si>
  <si>
    <t>21 year(s), 11 month(s), 19 day(s)</t>
  </si>
  <si>
    <t>Sipho Khumalo</t>
  </si>
  <si>
    <t>CDO Infrastructure and Security Services (Henry Rehne)</t>
  </si>
  <si>
    <t>20700008751 CDO Networks and Security Employee Network Access</t>
  </si>
  <si>
    <t>23 year(s), 9 month(s), 23 day(s)</t>
  </si>
  <si>
    <t>Boipelo Ndingwan</t>
  </si>
  <si>
    <t>21 year(s), 8 month(s), 22 day(s)</t>
  </si>
  <si>
    <t>Yasien Allie</t>
  </si>
  <si>
    <t>FNB Personal and Private IT (Megan De Saldanha)</t>
  </si>
  <si>
    <t>59600005979 FNB Personal and Private IT Collections IT</t>
  </si>
  <si>
    <t>20 year(s), 4 month(s), 23 day(s)</t>
  </si>
  <si>
    <t>Lindsay Sullivan</t>
  </si>
  <si>
    <t>22 year(s), 9 month(s), 23 day(s)</t>
  </si>
  <si>
    <t>Kunny Radile</t>
  </si>
  <si>
    <t>771022700 FNB POP Branch Delivery Frankfort</t>
  </si>
  <si>
    <t>24 year(s), 9 month(s), 25 day(s)</t>
  </si>
  <si>
    <t>Lee-Anne Holmes</t>
  </si>
  <si>
    <t>FRG Data and Analytics Office (Lian Van Oudheusden)</t>
  </si>
  <si>
    <t>39400010972 FNB Chief Risk Office Credit Risk and Reporting</t>
  </si>
  <si>
    <t>Senior Project Manager</t>
  </si>
  <si>
    <t>6 year(s), 8 month(s), 23 day(s)</t>
  </si>
  <si>
    <t>Susan Brown</t>
  </si>
  <si>
    <t>FNB HSL (Madinga Dyasi)</t>
  </si>
  <si>
    <t>21200001465 HSL Servicing and Collections Risk Variations</t>
  </si>
  <si>
    <t>Operations Manager</t>
  </si>
  <si>
    <t>13 year(s), 11 month(s), 23 day(s)</t>
  </si>
  <si>
    <t>Lou-Ann Oosthuizen</t>
  </si>
  <si>
    <t>FNB Points of Presence (Hein Hoffman)</t>
  </si>
  <si>
    <t>771044800 FNB POP Branch Delivery Hyde Park</t>
  </si>
  <si>
    <t>23 year(s), 4 month(s), 23 day(s)</t>
  </si>
  <si>
    <t>Rodney Forbes</t>
  </si>
  <si>
    <t>FNB Namibia Chief Executive Office (Conrad Dempsey)</t>
  </si>
  <si>
    <t>302000004623 FNB Namibia FCC</t>
  </si>
  <si>
    <t>28 year(s), 9 month(s), 23 day(s)</t>
  </si>
  <si>
    <t>Ilse Smuts</t>
  </si>
  <si>
    <t>28 year(s), 1 month(s), 23 day(s)</t>
  </si>
  <si>
    <t>Vimal Deonanan</t>
  </si>
  <si>
    <t>65100005631 FNB Premium Cash Investments Regional Managers</t>
  </si>
  <si>
    <t>National Sales Manager</t>
  </si>
  <si>
    <t>6 year(s), 6 month(s), 23 day(s)</t>
  </si>
  <si>
    <t>Alicia Mcquire</t>
  </si>
  <si>
    <t>FNB Points of Presence (Lindiwe Mokoaleli)</t>
  </si>
  <si>
    <t>7710861100 FNB POP IT Quality Assurance</t>
  </si>
  <si>
    <t>26 year(s), 7 month(s), 23 day(s)</t>
  </si>
  <si>
    <t>Fred Du Plessis</t>
  </si>
  <si>
    <t>FNB Commercial Sales Gauteng North (Andile Ncoyini)</t>
  </si>
  <si>
    <t>34200006503 FNB Commercial Sales Gauteng Midrand 10 to 60M</t>
  </si>
  <si>
    <t>27 year(s), 3 month(s), 23 day(s)</t>
  </si>
  <si>
    <t>Shiraz Mahomed</t>
  </si>
  <si>
    <t>FNB Commercial Cash (Shamit Nathoo)</t>
  </si>
  <si>
    <t>25200004525 FNB Commercial Cash PH Finance</t>
  </si>
  <si>
    <t>27 year(s), 11 month(s), 10 day(s)</t>
  </si>
  <si>
    <t>Bontle Mofokeng</t>
  </si>
  <si>
    <t>FNB Personal Segment Advisory and Suites (Raihaan Nawaz)</t>
  </si>
  <si>
    <t>97200005297 PSAS Premier Voice</t>
  </si>
  <si>
    <t>Dianne Raghunath</t>
  </si>
  <si>
    <t>FNB Points of Presence (Nikeziwe Mzizi)</t>
  </si>
  <si>
    <t>771008800 FNB POP Branch Delivery Beach</t>
  </si>
  <si>
    <t>17 year(s), 0 month(s), 23 day(s)</t>
  </si>
  <si>
    <t>Michelle Boyd</t>
  </si>
  <si>
    <t>FNB Points of Presence (Avashni Singh)</t>
  </si>
  <si>
    <t>771008100 FNB POP Branch Delivery Pinetown</t>
  </si>
  <si>
    <t>Branch Controller</t>
  </si>
  <si>
    <t>29 year(s), 3 month(s), 23 day(s)</t>
  </si>
  <si>
    <t>Edmar Topkin</t>
  </si>
  <si>
    <t>FNB Points of Presence (Phillip Galamadien)</t>
  </si>
  <si>
    <t>7710239100 FNB POP Regional Office Inland</t>
  </si>
  <si>
    <t>30 year(s), 6 month(s), 23 day(s)</t>
  </si>
  <si>
    <t>Jolene Fisher</t>
  </si>
  <si>
    <t>FNB Private Core Banking (Mo Choonara)</t>
  </si>
  <si>
    <t>41200006384 FNB Private Core Banking Self Employed Value Propositions</t>
  </si>
  <si>
    <t>Product Portfolio Lead</t>
  </si>
  <si>
    <t>9 year(s), 9 month(s), 23 day(s)</t>
  </si>
  <si>
    <t>Debbie Maloney</t>
  </si>
  <si>
    <t>FNB Points of Presence (Edmar Topkin)</t>
  </si>
  <si>
    <t>771027100 FNB POP Branch Delivery Koffiefontein</t>
  </si>
  <si>
    <t>Niresh Moorley</t>
  </si>
  <si>
    <t>WB ABF Credit (Ridwaan Morad)</t>
  </si>
  <si>
    <t>30100003975 WB ABF Judgemental Credit</t>
  </si>
  <si>
    <t>Business Judgemental Credit Manager</t>
  </si>
  <si>
    <t>7 year(s), 2 month(s), 23 day(s)</t>
  </si>
  <si>
    <t>Gary Frank</t>
  </si>
  <si>
    <t>14 year(s), 2 month(s), 23 day(s)</t>
  </si>
  <si>
    <t>Liesel Claase</t>
  </si>
  <si>
    <t>Career Mentor
Workplace  Buddy</t>
  </si>
  <si>
    <t>FNB Commercial Forex Commercial (Jacques Dyzell)</t>
  </si>
  <si>
    <t>81800008578 FNB Commercial Forex Commercial</t>
  </si>
  <si>
    <t>Solutions Lead</t>
  </si>
  <si>
    <t>2 year(s), 5 month(s), 27 day(s)</t>
  </si>
  <si>
    <t>Vanessa Mileham</t>
  </si>
  <si>
    <t>33 year(s), 0 month(s), 1 day(s)</t>
  </si>
  <si>
    <t>Carlien Scholtz-Snyman</t>
  </si>
  <si>
    <t>CDO Infrastructure and Security Services (Caryn Bell)</t>
  </si>
  <si>
    <t>20700006179 CDO Infrastructure and Security Services Enterprise Monitoring</t>
  </si>
  <si>
    <t>Platform Enablement Lead</t>
  </si>
  <si>
    <t>13 year(s), 2 month(s), 10 day(s)</t>
  </si>
  <si>
    <t>Naeem Akoojee</t>
  </si>
  <si>
    <t>FNB Personal and Private IT (Jermaine Remley)</t>
  </si>
  <si>
    <t>59600005611 FNB Personal and Private IT Unsecured Lending IT</t>
  </si>
  <si>
    <t>IT Operations Manager</t>
  </si>
  <si>
    <t>40 year(s), 9 month(s), 18 day(s)</t>
  </si>
  <si>
    <t>Corne Janse Van Rensburg</t>
  </si>
  <si>
    <t>WB Motor (Yougan Govender)</t>
  </si>
  <si>
    <t>30100003175 WB RPA</t>
  </si>
  <si>
    <t>Head of Business Enablement</t>
  </si>
  <si>
    <t>17 year(s), 9 month(s), 23 day(s)</t>
  </si>
  <si>
    <t>Pfarelo Maudu</t>
  </si>
  <si>
    <t>34300006515 FNB Commercial National Sales Head Office</t>
  </si>
  <si>
    <t>18 year(s), 4 month(s), 12 day(s)</t>
  </si>
  <si>
    <t>Stephen Bull</t>
  </si>
  <si>
    <t>Group Chief Audit (Rachel Nkgodi)</t>
  </si>
  <si>
    <t>20200007969 GIA Invest Pillar</t>
  </si>
  <si>
    <t>Internal Audit Head</t>
  </si>
  <si>
    <t>17 year(s), 3 month(s), 23 day(s)</t>
  </si>
  <si>
    <t>Neilan Naicker</t>
  </si>
  <si>
    <t>FNB Personal Segment Advisory and Suites (Tracey Townsend)</t>
  </si>
  <si>
    <t>97200008623 PSAS Growth</t>
  </si>
  <si>
    <t>Growth Manager</t>
  </si>
  <si>
    <t>Hulisani Netshitungulu</t>
  </si>
  <si>
    <t>FNB Points of Presence (Bulelwa Sikrweqe)</t>
  </si>
  <si>
    <t>7710111400 FNB POP Branch Delivery Maponya Mall</t>
  </si>
  <si>
    <t>Terence Mahundla</t>
  </si>
  <si>
    <t>Corporate Transactional Banking (Tendani Sidogi)</t>
  </si>
  <si>
    <t>77800000EFT RMBSA TTS Transact Product Services</t>
  </si>
  <si>
    <t>17 year(s), 2 month(s), 23 day(s)</t>
  </si>
  <si>
    <t>Vusi Khoza</t>
  </si>
  <si>
    <t>CDO Infrastructure and Security Services (Dave Van Der Schyff)</t>
  </si>
  <si>
    <t>20700008789 CDO Infrastructure and Security Services Security Randburg</t>
  </si>
  <si>
    <t>Security Guard</t>
  </si>
  <si>
    <t>16 year(s), 4 month(s), 23 day(s)</t>
  </si>
  <si>
    <t>Veronica Ntshalintshali</t>
  </si>
  <si>
    <t>Eswatini</t>
  </si>
  <si>
    <t>FNB Eswatini FCC (Thokozani Dlamini)</t>
  </si>
  <si>
    <t>5020466400 FNB Eswatini FCC</t>
  </si>
  <si>
    <t>Director Human Resources</t>
  </si>
  <si>
    <t>18 year(s), 6 month(s), 23 day(s)</t>
  </si>
  <si>
    <t>N/A (Eswatini)</t>
  </si>
  <si>
    <t>Cathrin Pretorius</t>
  </si>
  <si>
    <t>RMBSA TTS Operations (Muller Strydom)</t>
  </si>
  <si>
    <t>77800000CCZ RMBSA TTS Operations Leadership Team</t>
  </si>
  <si>
    <t>Business Architect Lead</t>
  </si>
  <si>
    <t>18 year(s), 1 month(s), 25 day(s)</t>
  </si>
  <si>
    <t>Kishenthren Padayachee</t>
  </si>
  <si>
    <t>Toyota Financial Services SA Ltd</t>
  </si>
  <si>
    <t>TFS Analytics and Optimisation (Nthabiseng Weeto)</t>
  </si>
  <si>
    <t>80200008709 TFS Wholesale, Risk &amp; Optimisation</t>
  </si>
  <si>
    <t>Operational Risk Manager</t>
  </si>
  <si>
    <t>3 year(s), 8 month(s), 23 day(s)</t>
  </si>
  <si>
    <t>Shivesh Govind</t>
  </si>
  <si>
    <t>FNB Cash Investments (Vimal Deonanan)</t>
  </si>
  <si>
    <t>Channel Manager</t>
  </si>
  <si>
    <t>18 year(s), 4 month(s), 19 day(s)</t>
  </si>
  <si>
    <t>Simon Makhura</t>
  </si>
  <si>
    <t>CDO Kernel iNterfaceX (Tendani Munyai)</t>
  </si>
  <si>
    <t>21800003954 CDO Kernel iNterfaceX Assisted and Sales Dev sales</t>
  </si>
  <si>
    <t>Developer</t>
  </si>
  <si>
    <t>17 year(s), 11 month(s), 23 day(s)</t>
  </si>
  <si>
    <t>Shamil Singh</t>
  </si>
  <si>
    <t>FR Life Assurance (Sarah Harrison)</t>
  </si>
  <si>
    <t>61500010321 FR Life Products Private</t>
  </si>
  <si>
    <t>Analytics Head</t>
  </si>
  <si>
    <t>Gladys Nkosi</t>
  </si>
  <si>
    <t>97200005382 PSAS Stratco</t>
  </si>
  <si>
    <t>15 year(s), 6 month(s), 23 day(s)</t>
  </si>
  <si>
    <t>Portia Mashabathakga</t>
  </si>
  <si>
    <t>FNB Cash Investments (Jj De Villiers)</t>
  </si>
  <si>
    <t>65100003692 FNB Cash Investments Channel Enablement</t>
  </si>
  <si>
    <t>Solution Strategist</t>
  </si>
  <si>
    <t>Ashnee Moodley</t>
  </si>
  <si>
    <t>FNB Retail Private Wealth Chief Executive Office (Eric Enslin)</t>
  </si>
  <si>
    <t>34100003373 PB&amp;A BI &amp; Data Analytics</t>
  </si>
  <si>
    <t>15 year(s), 4 month(s), 22 day(s)</t>
  </si>
  <si>
    <t>Lusanda Sombinge</t>
  </si>
  <si>
    <t>FNB Commercial Sales Cape (Monwabisi Poswa)</t>
  </si>
  <si>
    <t>34300009158 FNB Commercial Growth Eastern Cape Country</t>
  </si>
  <si>
    <t>Melanie Sacks</t>
  </si>
  <si>
    <t>FNB Commercial TxP (Rob Lanning)</t>
  </si>
  <si>
    <t>39800004193 FNB Commercial Core Transaction Services</t>
  </si>
  <si>
    <t>18 year(s), 6 month(s), 21 day(s)</t>
  </si>
  <si>
    <t>Poovan Pillay</t>
  </si>
  <si>
    <t>FNB Points of Presence (Phila Ntshingila)</t>
  </si>
  <si>
    <t>7710236600 FNB POP Regional Office Kwazulu Natal</t>
  </si>
  <si>
    <t>18 year(s), 6 month(s), 14 day(s)</t>
  </si>
  <si>
    <t>Dorah Mohlopi</t>
  </si>
  <si>
    <t>FNB Personal Core Banking (Malesela Rankapole)</t>
  </si>
  <si>
    <t>48100003462 FNB Personal Core Banking Retail Sales</t>
  </si>
  <si>
    <t>Growth Specialist</t>
  </si>
  <si>
    <t>Wynand Erxleben</t>
  </si>
  <si>
    <t>FNB Points of Presence (Michelle Malan)</t>
  </si>
  <si>
    <t>7710226100 FNB POP Branch Delivery President Square Vaal</t>
  </si>
  <si>
    <t>Xolani Madini</t>
  </si>
  <si>
    <t>FNB Personal Core Banking (Mohamed Osman)</t>
  </si>
  <si>
    <t>Karen Naidoo</t>
  </si>
  <si>
    <t>FNB Points of Presence (Raeesa Badat)</t>
  </si>
  <si>
    <t>771075900 FNB POP Branch Delivery Umgeni Junction</t>
  </si>
  <si>
    <t>Universal Advisor Lead</t>
  </si>
  <si>
    <t>Ronald Nemutanzhela</t>
  </si>
  <si>
    <t>FNB Points of Presence (Lufuno Raluombe)</t>
  </si>
  <si>
    <t>771046600 FNB POP Branch Delivery Thohoyandou</t>
  </si>
  <si>
    <t>Branch Advisor FAIS</t>
  </si>
  <si>
    <t>Gaynore Figeland</t>
  </si>
  <si>
    <t>FNB Points of presence (Anelia Langisa)</t>
  </si>
  <si>
    <t>771027000 FNB POP Branch Delivery Knysna</t>
  </si>
  <si>
    <t>18 year(s), 3 month(s), 25 day(s)</t>
  </si>
  <si>
    <t>Sibusiso Ntuli</t>
  </si>
  <si>
    <t>FNB Commercial Sales KwaZulu Natal (Mbali Myeza)</t>
  </si>
  <si>
    <t>34200007846 FNB Commercial Sales KZN Coastal South West 10 to 60M</t>
  </si>
  <si>
    <t>15 year(s), 11 month(s), 12 day(s)</t>
  </si>
  <si>
    <t>Yamillah Katjirua</t>
  </si>
  <si>
    <t>FNB Namibia Limited (Emmanuel Murwira)</t>
  </si>
  <si>
    <t>846000004213 Ashburton Investment Managers (Pty) Ltd</t>
  </si>
  <si>
    <t>8 year(s), 7 month(s), 9 day(s)</t>
  </si>
  <si>
    <t>Leigh-Ann Rossouw</t>
  </si>
  <si>
    <t>FNB Namibia Limited (Wiann Mans)</t>
  </si>
  <si>
    <t>Talent Management and Performance Consultant</t>
  </si>
  <si>
    <t>16 year(s), 3 month(s), 23 day(s)</t>
  </si>
  <si>
    <t>Annastasia Williams</t>
  </si>
  <si>
    <t>15 year(s), 7 month(s), 8 day(s)</t>
  </si>
  <si>
    <t>Nondumiso Motlhala</t>
  </si>
  <si>
    <t>FNB Commercial Sales Gauteng North (Selvan Govender)</t>
  </si>
  <si>
    <t>34200006532 FNB Commercial Sales Gauteng East 10 to 60M</t>
  </si>
  <si>
    <t>18 year(s), 3 month(s), 26 day(s)</t>
  </si>
  <si>
    <t>Chantel Pretorius</t>
  </si>
  <si>
    <t>FNB Points of Presence (Vanessa Jooste)</t>
  </si>
  <si>
    <t>771032100 FNB POP Branch Delivery Orkney</t>
  </si>
  <si>
    <t>18 year(s), 3 month(s), 21 day(s)</t>
  </si>
  <si>
    <t>Pieter Smit</t>
  </si>
  <si>
    <t>FNB Points of Presence (Frans Esterhuyse)</t>
  </si>
  <si>
    <t>7710959900 FNB POP Risk In Branch Monitoring Team</t>
  </si>
  <si>
    <t>Process and Risk Manager</t>
  </si>
  <si>
    <t>Mzwandile Mazive</t>
  </si>
  <si>
    <t>WB Motor Ecosystems (Dalyn Selling)</t>
  </si>
  <si>
    <t>30100004002 WB Digital Acquisition</t>
  </si>
  <si>
    <t>Product Owner</t>
  </si>
  <si>
    <t>7 year(s), 7 month(s), 23 day(s)</t>
  </si>
  <si>
    <t>Thando Sibiya</t>
  </si>
  <si>
    <t>FNB Points of Presence (Joyce Chirwa)</t>
  </si>
  <si>
    <t>7710200400 FNB POP Financial Operations</t>
  </si>
  <si>
    <t>Financial Administrator</t>
  </si>
  <si>
    <t>18 year(s), 1 month(s), 23 day(s)</t>
  </si>
  <si>
    <t>Mathapelo Mohale</t>
  </si>
  <si>
    <t>FNB Points of Presence (Nandipa Mpahlwa)</t>
  </si>
  <si>
    <t>771005100 FNB POP Branch Delivery Main Street</t>
  </si>
  <si>
    <t>Marianne Van Wyk</t>
  </si>
  <si>
    <t>Leadership Mentor
Technical Mentor
Workplace  Buddy</t>
  </si>
  <si>
    <t>FNB Commercial Chief Risk Office (Thloni Mhango)</t>
  </si>
  <si>
    <t>34400009867 FNB Commercial Chief Risk Head Office</t>
  </si>
  <si>
    <t>Legal Head</t>
  </si>
  <si>
    <t>17 year(s), 11 month(s), 10 day(s)</t>
  </si>
  <si>
    <t>Suraj Rathenpaul</t>
  </si>
  <si>
    <t>FNB Commercial Projects and Operations (Sarisha Nowrungsah)</t>
  </si>
  <si>
    <t>34200009941 FNB Commercial Collateral KwaZulu Natal</t>
  </si>
  <si>
    <t>17 year(s), 9 month(s), 26 day(s)</t>
  </si>
  <si>
    <t>Vimalen Naidoo</t>
  </si>
  <si>
    <t>33900006525 FNB Commercial Head Office Specialised Lending</t>
  </si>
  <si>
    <t>Riaz Shaik</t>
  </si>
  <si>
    <t>FNB Commercial Core Juristic Platform (Dustin Blyth)</t>
  </si>
  <si>
    <t>34200009026 FNB Commercial CJP IT Development</t>
  </si>
  <si>
    <t>15 year(s), 4 month(s), 23 day(s)</t>
  </si>
  <si>
    <t>Gee Salukazana</t>
  </si>
  <si>
    <t>WB Motor Sales Channel (Gawie Swanepoel)</t>
  </si>
  <si>
    <t>30102010100 WB Motor Regional Sales - E.Cape Region</t>
  </si>
  <si>
    <t>17 year(s), 5 month(s), 2 day(s)</t>
  </si>
  <si>
    <t>Sonja Putter</t>
  </si>
  <si>
    <t>WB Motor Operations (Thabiso Maapola)</t>
  </si>
  <si>
    <t>30100007264 WB NATIS</t>
  </si>
  <si>
    <t>Senior Administrator Operations</t>
  </si>
  <si>
    <t>14 year(s), 4 month(s), 23 day(s)</t>
  </si>
  <si>
    <t>Itumeleng Metsing</t>
  </si>
  <si>
    <t>FNB Loans (Ruwaida Kemmey)</t>
  </si>
  <si>
    <t>79100003304 FNB Consumer Loans External Collections</t>
  </si>
  <si>
    <t>Business Support Specialist</t>
  </si>
  <si>
    <t>Martin De Lange</t>
  </si>
  <si>
    <t>CDO Infrastructure and Security Services (Shaun Parboo)</t>
  </si>
  <si>
    <t>20700006436 CDO Infrastructure and Security Services Service Asset and Configuration Management</t>
  </si>
  <si>
    <t>Configuration Management Lead</t>
  </si>
  <si>
    <t>18 year(s), 0 month(s), 19 day(s)</t>
  </si>
  <si>
    <t>Jacqui Calitz</t>
  </si>
  <si>
    <t>FNB Retail Exco (Keshani Ganasen)</t>
  </si>
  <si>
    <t>85500007549 FNB Integrated Advice</t>
  </si>
  <si>
    <t>Data Scientist</t>
  </si>
  <si>
    <t>9 year(s), 4 month(s), 3 day(s)</t>
  </si>
  <si>
    <t>Naomi Lekalakala</t>
  </si>
  <si>
    <t>Group Treasury Exchange Control (Vicky Mosome)</t>
  </si>
  <si>
    <t>78200000GEC Group Exchange Control (GEC)</t>
  </si>
  <si>
    <t>17 year(s), 5 month(s), 23 day(s)</t>
  </si>
  <si>
    <t>Mmajobo Tsholo</t>
  </si>
  <si>
    <t>RMBSA LRC Credit Risk Management (Thabani Zungu)</t>
  </si>
  <si>
    <t>77800000NBF RMBSA Global Markets Credit Risk Executive</t>
  </si>
  <si>
    <t>Credit Executive Sponsor</t>
  </si>
  <si>
    <t>17 year(s), 1 month(s), 8 day(s)</t>
  </si>
  <si>
    <t>Thabani Zungu</t>
  </si>
  <si>
    <t>RMB South Africa (Emrie Brown)</t>
  </si>
  <si>
    <t>77800000HOF RMBSA Executive Committee</t>
  </si>
  <si>
    <t>Chief Credit Officer</t>
  </si>
  <si>
    <t>16 year(s), 2 month(s), 13 day(s)</t>
  </si>
  <si>
    <t>Thembi Ngobeni</t>
  </si>
  <si>
    <t>RMBSA IBD Legal, Risk and Compliance (Werner Van Oudenhove De St Gery)</t>
  </si>
  <si>
    <t>77800000SFC RMBSA IBD Structured Credit Analysts</t>
  </si>
  <si>
    <t>Deolin Govender</t>
  </si>
  <si>
    <t>FNB Private Banking and Advisory (Tshepiso Martin)</t>
  </si>
  <si>
    <t>34100008332 PB&amp;A Cape Peninsula Affluent</t>
  </si>
  <si>
    <t>Livhu Phanyane</t>
  </si>
  <si>
    <t>Workplace  Buddy</t>
  </si>
  <si>
    <t>FNB Points of Presence (Andries Van Niekerk)</t>
  </si>
  <si>
    <t>771032200 FNB POP Branch Delivery Ottosdal</t>
  </si>
  <si>
    <t>17 year(s), 10 month(s), 19 day(s)</t>
  </si>
  <si>
    <t>Thabiso Nyawose</t>
  </si>
  <si>
    <t>7710105300 FNB POP Branch Delivery Gateway</t>
  </si>
  <si>
    <t>12 year(s), 4 month(s), 23 day(s)</t>
  </si>
  <si>
    <t>Jacqui Dower</t>
  </si>
  <si>
    <t>FNB Retail COO (Tara Cabion)</t>
  </si>
  <si>
    <t>16 year(s), 3 month(s), 27 day(s)</t>
  </si>
  <si>
    <t>Hannes Kruger</t>
  </si>
  <si>
    <t>FNB Personal Core Banking (John Paterson)</t>
  </si>
  <si>
    <t>48100004197 RCB Process and Cost Optimisation</t>
  </si>
  <si>
    <t>Business Process Manager</t>
  </si>
  <si>
    <t>15 year(s), 0 month(s), 23 day(s)</t>
  </si>
  <si>
    <t>Shaheem Khan</t>
  </si>
  <si>
    <t>FNB HSL. (Leanne Brooks)</t>
  </si>
  <si>
    <t>69000002201 FNB Retail COO Business Analysis</t>
  </si>
  <si>
    <t>Business Analyst</t>
  </si>
  <si>
    <t>Nozipho Duma</t>
  </si>
  <si>
    <t>83200009887 FNB International SA Exco</t>
  </si>
  <si>
    <t>Shalati Ngobeni</t>
  </si>
  <si>
    <t>FNB Points of Presence (Barry Kuhn)</t>
  </si>
  <si>
    <t>Leadership Coach</t>
  </si>
  <si>
    <t>17 year(s), 1 month(s), 23 day(s)</t>
  </si>
  <si>
    <t>Thanyani Nemutanzhela</t>
  </si>
  <si>
    <t>FRCC ERM Operational Risk Management (Hans Bouckaert)</t>
  </si>
  <si>
    <t>20200007823 FRCC ERM Operational Risk Management</t>
  </si>
  <si>
    <t>IT Operations Head</t>
  </si>
  <si>
    <t>15 year(s), 2 month(s), 23 day(s)</t>
  </si>
  <si>
    <t>Charlene Geswind</t>
  </si>
  <si>
    <t>FNB HR Centre of Expertise (Liesel Hollis)</t>
  </si>
  <si>
    <t>47100007956 CoE Transformation</t>
  </si>
  <si>
    <t>Employee Wellbeing Consultant</t>
  </si>
  <si>
    <t>17 year(s), 2 month(s), 2 day(s)</t>
  </si>
  <si>
    <t>Macdonald Leeuw</t>
  </si>
  <si>
    <t>FNB Points of Presence (Leigh-Anne Van Staden)</t>
  </si>
  <si>
    <t>17 year(s), 4 month(s), 23 day(s)</t>
  </si>
  <si>
    <t>Gift Magadla</t>
  </si>
  <si>
    <t>FNB Personal Core Banking (Carin Neethling)</t>
  </si>
  <si>
    <t>17 year(s), 7 month(s), 20 day(s)</t>
  </si>
  <si>
    <t>Ilyas Patel</t>
  </si>
  <si>
    <t>Group Human Capital (Zama Lamla)</t>
  </si>
  <si>
    <t>20200003706 Group Reward</t>
  </si>
  <si>
    <t>Reward Head FCC and Group Shares</t>
  </si>
  <si>
    <t>17 year(s), 5 month(s), 21 day(s)</t>
  </si>
  <si>
    <t>Ruben Steenkamp</t>
  </si>
  <si>
    <t>FNB Points of Presence (Estelle Thiart)</t>
  </si>
  <si>
    <t>Stephen Barnard</t>
  </si>
  <si>
    <t>FNB Retail P Human Capital (Craig Fortuin)</t>
  </si>
  <si>
    <t>38500009858 HSL. Training</t>
  </si>
  <si>
    <t>Roselyn Ngoepe</t>
  </si>
  <si>
    <t>FNB Personal and Private IT (Nicolene Green)</t>
  </si>
  <si>
    <t>59600010101 FNB Personal and Private IT WB Service Management</t>
  </si>
  <si>
    <t>Technical Release Specialist</t>
  </si>
  <si>
    <t>10 year(s), 2 month(s), 23 day(s)</t>
  </si>
  <si>
    <t>Thuto Chabane</t>
  </si>
  <si>
    <t>FNB Points of Presence (Awelani Mafune)</t>
  </si>
  <si>
    <t>7710110500 FNB POP Branch Delivery Highveld Mall</t>
  </si>
  <si>
    <t>16 year(s), 10 month(s), 4 day(s)</t>
  </si>
  <si>
    <t>Maryke Venter</t>
  </si>
  <si>
    <t>FNB Personal Segment (Lytania Johnson)</t>
  </si>
  <si>
    <t>5910107040 FNB Personal Exco</t>
  </si>
  <si>
    <t>17 year(s), 1 month(s), 26 day(s)</t>
  </si>
  <si>
    <t>Godfrey Kgoedi</t>
  </si>
  <si>
    <t>Career Mentor
Leadership Mentor
Technical Mentor
Transition Mentor
Z1-Mentoring Circle Mentor (HC Managed)
Z2-Programme Mentor (HC Managed)</t>
  </si>
  <si>
    <t>FNB Chief Risk Office Executive (Mark Nasila)</t>
  </si>
  <si>
    <t>39400003184 FNB Chief Risk Office Interactions and Risk Analytics</t>
  </si>
  <si>
    <t>David Johnson</t>
  </si>
  <si>
    <t>15 year(s), 9 month(s), 23 day(s)</t>
  </si>
  <si>
    <t>Thabang Moroa</t>
  </si>
  <si>
    <t>77800000RAX RMBSA Broader Africa Cross-functional Executive Leadership Team</t>
  </si>
  <si>
    <t>Credit Executive</t>
  </si>
  <si>
    <t>15 year(s), 6 month(s), 18 day(s)</t>
  </si>
  <si>
    <t>Leon Sharfman</t>
  </si>
  <si>
    <t>RMBSA TTS LRC Credit Risk Management (Bertus Huisman)</t>
  </si>
  <si>
    <t>77800000SFA RMBSA IBD Credit Analysts</t>
  </si>
  <si>
    <t>Credit Team Lead</t>
  </si>
  <si>
    <t>Denise Karangwa</t>
  </si>
  <si>
    <t>RMBSA Global Markets Technology Calypso &amp; Regulatory Reporting (Davita Reddiar)</t>
  </si>
  <si>
    <t>77800000BGA RMBSA Global Markets Technology Securities Financing</t>
  </si>
  <si>
    <t>Technology Platform Lead</t>
  </si>
  <si>
    <t>15 year(s), 2 month(s), 6 day(s)</t>
  </si>
  <si>
    <t>Zwivhuya Tshitovha</t>
  </si>
  <si>
    <t>RMBSA Global Markets Technology eTrading (Pratish Rajcoomar)</t>
  </si>
  <si>
    <t>77800000RPI RMBSA Global Markets eTrading Tech DPMM</t>
  </si>
  <si>
    <t>6 year(s), 7 month(s), 23 day(s)</t>
  </si>
  <si>
    <t>Kotane Lekota</t>
  </si>
  <si>
    <t>FNB Private Banking &amp; Advisory (Russel Mamokgere)</t>
  </si>
  <si>
    <t>34100003505 PB&amp;A Coverage Wealth</t>
  </si>
  <si>
    <t>16 year(s), 2 month(s), 23 day(s)</t>
  </si>
  <si>
    <t>Dailan Kruger</t>
  </si>
  <si>
    <t>CDO Banking (Shagufta Bux)</t>
  </si>
  <si>
    <t>79000005464 CDO Banking Integrations On Host</t>
  </si>
  <si>
    <t>Systems Analyst</t>
  </si>
  <si>
    <t>13 year(s), 11 month(s), 4 day(s)</t>
  </si>
  <si>
    <t>Mary Mudzingwa</t>
  </si>
  <si>
    <t>Group Internal Audit Support Services (Sipho Mthombeni (Inherited))</t>
  </si>
  <si>
    <t>20200009725 FRCC Internal Audit Digitalization</t>
  </si>
  <si>
    <t>Group Internal Audit Operations Administrator</t>
  </si>
  <si>
    <t>16 year(s), 8 month(s), 4 day(s)</t>
  </si>
  <si>
    <t>Samasree Sagadavan</t>
  </si>
  <si>
    <t>CDO Kernel iNterfaceX (Benjamin Appalsamy)</t>
  </si>
  <si>
    <t>21800005632 CDO Kernel iNterfaceX Records Managment</t>
  </si>
  <si>
    <t>Records Manager</t>
  </si>
  <si>
    <t>14 year(s), 7 month(s), 23 day(s)</t>
  </si>
  <si>
    <t>Tshidiso Noge</t>
  </si>
  <si>
    <t>FNB Points of Presence (Lungi Nsibanyoni)</t>
  </si>
  <si>
    <t>7710437300 FNB POP Branch Delivery Constantia Kloof</t>
  </si>
  <si>
    <t>Andries Shuping</t>
  </si>
  <si>
    <t>FNB Points of Presence (Brian Wellsted)</t>
  </si>
  <si>
    <t>771042800 FNB POP Branch Delivery White River</t>
  </si>
  <si>
    <t>16 year(s), 11 month(s), 23 day(s)</t>
  </si>
  <si>
    <t>Yoesrie Bloys</t>
  </si>
  <si>
    <t>FNB Points of Presence (Calvin Ross)</t>
  </si>
  <si>
    <t>7710106400 FNB POP Branch Delivery Vangate</t>
  </si>
  <si>
    <t>Branch Delivery Support Advisor</t>
  </si>
  <si>
    <t>Carl Rembold</t>
  </si>
  <si>
    <t>REMS Real Estate Management Services (Keiasha Naidoo)</t>
  </si>
  <si>
    <t>22300004879 REMS Build</t>
  </si>
  <si>
    <t>Regional Infrastructure Manager</t>
  </si>
  <si>
    <t>Havinash Naidoo</t>
  </si>
  <si>
    <t>CDO Kernel iNterfaceX Digital Interface (Giuseppe Virgillito)</t>
  </si>
  <si>
    <t>21800008512 CDO Kernel iNterfaceX App Channel</t>
  </si>
  <si>
    <t>6 year(s), 8 month(s), 2 day(s)</t>
  </si>
  <si>
    <t>David Khunou</t>
  </si>
  <si>
    <t>Human Capital Executive</t>
  </si>
  <si>
    <t>15 year(s), 10 month(s), 14 day(s)</t>
  </si>
  <si>
    <t>Maphelo Mpofu</t>
  </si>
  <si>
    <t>CDO Infrastructure and Security Services (Claude Kumst)</t>
  </si>
  <si>
    <t>20700005499 CDO Infrastructure and Security Services Security Delivery</t>
  </si>
  <si>
    <t>Information Security Operations Head</t>
  </si>
  <si>
    <t>15 year(s), 5 month(s), 13 day(s)</t>
  </si>
  <si>
    <t>Kgaogelo Dube</t>
  </si>
  <si>
    <t>FNB Points of Presence (Nomsa Makaringe)</t>
  </si>
  <si>
    <t>7710111300 FNB POP Branch Delivery Norwood</t>
  </si>
  <si>
    <t>16 year(s), 3 month(s), 15 day(s)</t>
  </si>
  <si>
    <t>Ziyaad Jogie</t>
  </si>
  <si>
    <t>FNB eBucks (Vilan Pather)</t>
  </si>
  <si>
    <t>25600005674 FNB eBucks Operations</t>
  </si>
  <si>
    <t>11 year(s), 0 month(s), 0 day(s)</t>
  </si>
  <si>
    <t>Mfundo Mabaso</t>
  </si>
  <si>
    <t>38500009325 HSL. Exco</t>
  </si>
  <si>
    <t>8 year(s), 0 month(s), 17 day(s)</t>
  </si>
  <si>
    <t>Gladys Mkhobeni</t>
  </si>
  <si>
    <t>RMB Broader Africa Financial Management (Divia Vandeyar)</t>
  </si>
  <si>
    <t>83200003309 FNB International SA Finance</t>
  </si>
  <si>
    <t>Thandi Maciko</t>
  </si>
  <si>
    <t>FNB Points of Presence (Michael Bell)</t>
  </si>
  <si>
    <t>771067100 FNB POP Branch Delivery Vincent Park</t>
  </si>
  <si>
    <t>Lufuno Mulelu</t>
  </si>
  <si>
    <t>FNB Points of Presence (Tebogo Masoga)</t>
  </si>
  <si>
    <t>8 year(s), 1 month(s), 26 day(s)</t>
  </si>
  <si>
    <t>Confidence Tsolo</t>
  </si>
  <si>
    <t>WE SELL CARS JV (Peter Bester)</t>
  </si>
  <si>
    <t>30100004494 WB We Sell Cars JV</t>
  </si>
  <si>
    <t>Joint Venture Support Specialist</t>
  </si>
  <si>
    <t>Zaakirah Mohideen Paulse</t>
  </si>
  <si>
    <t>FNB HSL (Ruan Branders)</t>
  </si>
  <si>
    <t>21200006819 HSL Sales Operations</t>
  </si>
  <si>
    <t>Service Consultant</t>
  </si>
  <si>
    <t>13 year(s), 6 month(s), 23 day(s)</t>
  </si>
  <si>
    <t>Siya Motha</t>
  </si>
  <si>
    <t>34100003287 PB&amp;A EXCO</t>
  </si>
  <si>
    <t>Customer Service Centre Head</t>
  </si>
  <si>
    <t>14 year(s), 5 month(s), 23 day(s)</t>
  </si>
  <si>
    <t>Cameron Peel</t>
  </si>
  <si>
    <t>RMBSA IBD LRC Credit Risk Management (Thembi Ngobeni)</t>
  </si>
  <si>
    <t>Natasha Nadasen</t>
  </si>
  <si>
    <t>RMBSA LRC Credit Risk Management South Africa (Pete Cottrell)</t>
  </si>
  <si>
    <t>77800000CRD RMBSA Credit Risk South Africa Team</t>
  </si>
  <si>
    <t>Lekgeto Segola</t>
  </si>
  <si>
    <t>FNB Points of Presence (Noma Ramonana)</t>
  </si>
  <si>
    <t>7710894400 FNB POP Branch Delivery Botshabelo Mall</t>
  </si>
  <si>
    <t>14 year(s), 5 month(s), 2 day(s)</t>
  </si>
  <si>
    <t>Thariq Benjamin</t>
  </si>
  <si>
    <t>FNB Commercial Sales Cape (Thabani Gumede)</t>
  </si>
  <si>
    <t>34300008638 FNB Commercial Growth Western Cape Metro 2</t>
  </si>
  <si>
    <t>14 year(s), 3 month(s), 7 day(s)</t>
  </si>
  <si>
    <t>Kimesh Achary</t>
  </si>
  <si>
    <t>FNB Points of Presence (Michael Hugo)</t>
  </si>
  <si>
    <t>7710613700 FNB POP IT Service Support</t>
  </si>
  <si>
    <t>13 year(s), 11 month(s), 7 day(s)</t>
  </si>
  <si>
    <t>Elmine Breedt</t>
  </si>
  <si>
    <t>FNB HSL (Kishun Poona)</t>
  </si>
  <si>
    <t>21200000808 HSL Sales Leads</t>
  </si>
  <si>
    <t>Strategy and Business Development Lead</t>
  </si>
  <si>
    <t>14 year(s), 7 month(s), 22 day(s)</t>
  </si>
  <si>
    <t>Shaun Pavaday</t>
  </si>
  <si>
    <t>CDO Infrastructure and Security Services (Sifiso Dhlamini)</t>
  </si>
  <si>
    <t>20700008785 CDO Infrastructure and Security Services Microsoft</t>
  </si>
  <si>
    <t>Systems Administrator</t>
  </si>
  <si>
    <t>15 year(s), 6 month(s), 4 day(s)</t>
  </si>
  <si>
    <t>Cathy Ebrahim</t>
  </si>
  <si>
    <t>Group Human Capital (Dolly Makhwaza)</t>
  </si>
  <si>
    <t>86000008134 CoE HR Process Capability Centre</t>
  </si>
  <si>
    <t>Business Process Optimisation Practice Lead</t>
  </si>
  <si>
    <t>Reema Pather</t>
  </si>
  <si>
    <t>Strategic Business Developer</t>
  </si>
  <si>
    <t>15 year(s), 5 month(s), 9 day(s)</t>
  </si>
  <si>
    <t>Bongani Baloyi</t>
  </si>
  <si>
    <t>FNB Points of Presence (Itumeleng Makhasa)</t>
  </si>
  <si>
    <t>771005400 FNB POP Branch Delivery Braamfontein</t>
  </si>
  <si>
    <t>14 year(s), 0 month(s), 23 day(s)</t>
  </si>
  <si>
    <t>Elvis Mokonyama</t>
  </si>
  <si>
    <t>FNB Cash Investments (Lukas Kabongo)</t>
  </si>
  <si>
    <t>Regional Investment Manager</t>
  </si>
  <si>
    <t>11 year(s), 5 month(s), 11 day(s)</t>
  </si>
  <si>
    <t>Modise Moeng</t>
  </si>
  <si>
    <t>FNB HSL (Mathew Perumal)</t>
  </si>
  <si>
    <t>51900005681 Home Finance Residential Development Finance</t>
  </si>
  <si>
    <t>Property Development Specialist</t>
  </si>
  <si>
    <t>15 year(s), 3 month(s), 4 day(s)</t>
  </si>
  <si>
    <t>Mogorosi Ramatlhodi</t>
  </si>
  <si>
    <t>FNB Points of Presence (Siphiwe Msibi)</t>
  </si>
  <si>
    <t>771088200 FNB POP Branch Delivery Rivonia</t>
  </si>
  <si>
    <t>7 year(s), 0 month(s), 15 day(s)</t>
  </si>
  <si>
    <t>Keshlin Naicker</t>
  </si>
  <si>
    <t>CDO Payments Platform Card IT (Russell Watson)</t>
  </si>
  <si>
    <t>79000003508 CDO Payments Platform Card IT</t>
  </si>
  <si>
    <t>Jermaine Varnicker</t>
  </si>
  <si>
    <t>FNB Commercial Cash (Andries Vermaak)</t>
  </si>
  <si>
    <t>25200006132 FNB Commercial IT Application Development Cash</t>
  </si>
  <si>
    <t>Data Analyst</t>
  </si>
  <si>
    <t>13 year(s), 10 month(s), 23 day(s)</t>
  </si>
  <si>
    <t>Yure Haripersad</t>
  </si>
  <si>
    <t>771064900 FNB POP Branch Delivery Phoenix Plaza</t>
  </si>
  <si>
    <t>14 year(s), 0 month(s), 4 day(s)</t>
  </si>
  <si>
    <t>Sizwe Hlatshwayo</t>
  </si>
  <si>
    <t>FNB COO Head Office (Dane Liebenberg)</t>
  </si>
  <si>
    <t>69000005399 FNB Retail Platform Enablement</t>
  </si>
  <si>
    <t>Business Process Optimisation Head</t>
  </si>
  <si>
    <t>14 year(s), 11 month(s), 5 day(s)</t>
  </si>
  <si>
    <t>Dapheny Rakometsi</t>
  </si>
  <si>
    <t>FNB Private Banking and Advisory (Rudi Du Plooy)</t>
  </si>
  <si>
    <t>34100005231 PB&amp;A Inland Bloemfontein Central Affluent</t>
  </si>
  <si>
    <t>Private Client Advisor Rural</t>
  </si>
  <si>
    <t>14 year(s), 9 month(s), 23 day(s)</t>
  </si>
  <si>
    <t>Awelani Mafune</t>
  </si>
  <si>
    <t>FNB Points of Presence (Irene Sathege)</t>
  </si>
  <si>
    <t>14 year(s), 6 month(s), 16 day(s)</t>
  </si>
  <si>
    <t>Nonhlanhla Mabela</t>
  </si>
  <si>
    <t>FNB Points of Presence (Nomvula Luphoko)</t>
  </si>
  <si>
    <t>14 year(s), 7 month(s), 21 day(s)</t>
  </si>
  <si>
    <t>Smangele Majola</t>
  </si>
  <si>
    <t>FNB Personal Core Banking (Thato Bapela)</t>
  </si>
  <si>
    <t>48100004398 FNB Personal Core Banking Hyper Segments and Niches</t>
  </si>
  <si>
    <t>14 year(s), 9 month(s), 13 day(s)</t>
  </si>
  <si>
    <t>Feroze Saloojee</t>
  </si>
  <si>
    <t>8 year(s), 4 month(s), 10 day(s)</t>
  </si>
  <si>
    <t>Julianah Chikamba</t>
  </si>
  <si>
    <t>FNB Private Banking &amp; Advisory (Amanda Meijer)</t>
  </si>
  <si>
    <t>34100005962 PB&amp;A Sandton Affluent</t>
  </si>
  <si>
    <t>Private Client Advisor</t>
  </si>
  <si>
    <t>14 year(s), 8 month(s), 19 day(s)</t>
  </si>
  <si>
    <t>Zanele Phiri</t>
  </si>
  <si>
    <t>FNB Private Core Banking (Mangwale Motlhabane)</t>
  </si>
  <si>
    <t>69000007618 FNB Retail COO Customer Fulfilment</t>
  </si>
  <si>
    <t>Nosi Mthembu</t>
  </si>
  <si>
    <t>FNB Points of Presence (Kenneth Njara)</t>
  </si>
  <si>
    <t>771035600 FNB POP Branch Delivery Richmond</t>
  </si>
  <si>
    <t>6 year(s), 10 month(s), 23 day(s)</t>
  </si>
  <si>
    <t>Patricia Temba</t>
  </si>
  <si>
    <t>14 year(s), 6 month(s), 23 day(s)</t>
  </si>
  <si>
    <t>Zaheer Moosa</t>
  </si>
  <si>
    <t>FNB Personal and Private IT (Reuben Pretorius)</t>
  </si>
  <si>
    <t>6 year(s), 4 month(s), 23 day(s)</t>
  </si>
  <si>
    <t>Lerato Mda</t>
  </si>
  <si>
    <t>WB Motor Sales Channel (Simon Mudau)</t>
  </si>
  <si>
    <t>Roving Marketer</t>
  </si>
  <si>
    <t>Shirley Mkhatshwa</t>
  </si>
  <si>
    <t>FNB Personal Segment Advisory and Suites (Ramaano Harry)</t>
  </si>
  <si>
    <t>97200004035 PSAS JHB Sales</t>
  </si>
  <si>
    <t>Sales Advisor</t>
  </si>
  <si>
    <t>Kopano Malapela</t>
  </si>
  <si>
    <t>FNB Finance Business Solutions (Delaine Masher)</t>
  </si>
  <si>
    <t>Supplier Maintenance Specialist</t>
  </si>
  <si>
    <t>12 year(s), 11 month(s), 27 day(s)</t>
  </si>
  <si>
    <t>Louise Labuschagne</t>
  </si>
  <si>
    <t>FNB Commercial Cash Investments Chief Executive Office (Vaughan David)</t>
  </si>
  <si>
    <t>Data Science Head</t>
  </si>
  <si>
    <t>14 year(s), 3 month(s), 19 day(s)</t>
  </si>
  <si>
    <t>Mpumie Twala</t>
  </si>
  <si>
    <t>FNB COO Head Office (Nkoka Sekotlong)</t>
  </si>
  <si>
    <t>7 year(s), 4 month(s), 23 day(s)</t>
  </si>
  <si>
    <t>Jaco Van Tonder</t>
  </si>
  <si>
    <t>CDO Payments Platform Card IT (Romain Govender)</t>
  </si>
  <si>
    <t>79000003955 CDO Payments Platform PowerCard Issuing</t>
  </si>
  <si>
    <t>14 year(s), 5 month(s), 7 day(s)</t>
  </si>
  <si>
    <t>Frank Dhlamini</t>
  </si>
  <si>
    <t>FNB COO Head Office (Edwin Tait)</t>
  </si>
  <si>
    <t>Aileen Spanier-Marson</t>
  </si>
  <si>
    <t>RMBSA Technology  IT Security and Access (Angela Henry)</t>
  </si>
  <si>
    <t>77800000BTZ BTZ-RMB IT Security and Access</t>
  </si>
  <si>
    <t>Information Security Architect</t>
  </si>
  <si>
    <t>Yudhvir Seetharam</t>
  </si>
  <si>
    <t>34300003334 FNB Commercial Analytics Insights and Research</t>
  </si>
  <si>
    <t>14 year(s), 2 month(s), 8 day(s)</t>
  </si>
  <si>
    <t>Willem-Dirk Van'T Zand</t>
  </si>
  <si>
    <t>FCC Risk Management (Lindy Riphagen)</t>
  </si>
  <si>
    <t>78200000FDD FCC Risk Management</t>
  </si>
  <si>
    <t>Risk Production and Modelling Head</t>
  </si>
  <si>
    <t>Lerato Moloja</t>
  </si>
  <si>
    <t>FNB Retail Judgemental Credit (Joshni Narotam)</t>
  </si>
  <si>
    <t>85500005752 RJC Inland</t>
  </si>
  <si>
    <t>Structured Credit Specialist.</t>
  </si>
  <si>
    <t>9 year(s), 2 month(s), 9 day(s)</t>
  </si>
  <si>
    <t>Raeesa Mohamed</t>
  </si>
  <si>
    <t>Farhana Miller</t>
  </si>
  <si>
    <t>HC and FNB EnTech Leads (Sivy Veloo)</t>
  </si>
  <si>
    <t>86000001986 FNB HC Operations Technology</t>
  </si>
  <si>
    <t>9 year(s), 4 month(s), 23 day(s)</t>
  </si>
  <si>
    <t>Vukile Sikhakhane</t>
  </si>
  <si>
    <t>FNB iCustomer (Sajiv Bhikha)</t>
  </si>
  <si>
    <t>39400005972 FNB iCustomer Customer Data Management</t>
  </si>
  <si>
    <t>Data Privacy Officer</t>
  </si>
  <si>
    <t>Vusi Mabuza</t>
  </si>
  <si>
    <t>FNB Points of Presence (Bridgette Mogatla)</t>
  </si>
  <si>
    <t>771036100 FNB POP Branch Delivery Sabie</t>
  </si>
  <si>
    <t>Sabata Chomane</t>
  </si>
  <si>
    <t>771028000 FNB POP Branch Delivery Ladybrand</t>
  </si>
  <si>
    <t>14 year(s), 5 month(s), 0 day(s)</t>
  </si>
  <si>
    <t>Hlamalani Mashaba</t>
  </si>
  <si>
    <t>20200011041 FRCC Group Project Management Office</t>
  </si>
  <si>
    <t>Capability Lead</t>
  </si>
  <si>
    <t>14 year(s), 1 month(s), 23 day(s)</t>
  </si>
  <si>
    <t>Kesh Pather</t>
  </si>
  <si>
    <t>CDO Infrastructure and Security Services (Carlien Scholtz-Snyman)</t>
  </si>
  <si>
    <t>20700007237 CDO Infrastructure and Security Services End User Service Desk</t>
  </si>
  <si>
    <t>IT Help Desk Manager</t>
  </si>
  <si>
    <t>Thifhelimbilu Bonyane</t>
  </si>
  <si>
    <t>FNB Personal and Private IT (Philip Theron)</t>
  </si>
  <si>
    <t>59600003267 FNB Personal and Private IT CRSA Development</t>
  </si>
  <si>
    <t>13 year(s), 2 month(s), 23 day(s)</t>
  </si>
  <si>
    <t>Krishen Rangappa</t>
  </si>
  <si>
    <t>Segment Chief Information Officer (Allen Pillay)</t>
  </si>
  <si>
    <t>59600005369 FNB Personal and Private IT Exco</t>
  </si>
  <si>
    <t>13 year(s), 10 month(s), 22 day(s)</t>
  </si>
  <si>
    <t>Celest Eilers</t>
  </si>
  <si>
    <t>FNB Credit Card (Swinton Scheepers)</t>
  </si>
  <si>
    <t>20300008297 FNB Credit Card Fleet</t>
  </si>
  <si>
    <t>Team Leader</t>
  </si>
  <si>
    <t>12 year(s), 11 month(s), 23 day(s)</t>
  </si>
  <si>
    <t>Christopher Pillay</t>
  </si>
  <si>
    <t>FNB Personal and Private IT (Krishen Rangappa (Inherited))</t>
  </si>
  <si>
    <t>IT Service Operations Manager</t>
  </si>
  <si>
    <t>Aneshree Pather</t>
  </si>
  <si>
    <t>FNB HSL (Vasna Ramdass)</t>
  </si>
  <si>
    <t>38500008977 HSL. Product Insurance and CVM</t>
  </si>
  <si>
    <t>Document Specialist</t>
  </si>
  <si>
    <t>13 year(s), 2 month(s), 9 day(s)</t>
  </si>
  <si>
    <t>Mante Mothiba</t>
  </si>
  <si>
    <t>FNB Cash Investments (Komal Dhoolab)</t>
  </si>
  <si>
    <t>Investment Specialist</t>
  </si>
  <si>
    <t>Vhuyedzani Makhado</t>
  </si>
  <si>
    <t>FNB Points of Presence (Monique Straus)</t>
  </si>
  <si>
    <t>771035100 FNB POP Branch Delivery Mokopane</t>
  </si>
  <si>
    <t>13 year(s), 8 month(s), 23 day(s)</t>
  </si>
  <si>
    <t>Orateng Moshweunyane</t>
  </si>
  <si>
    <t>FNB Points of Presence (Zach Leburu)</t>
  </si>
  <si>
    <t>7710616700 FNB POP IT Application Development Branch</t>
  </si>
  <si>
    <t>3 year(s), 11 month(s), 23 day(s)</t>
  </si>
  <si>
    <t>Mcguyver Sekgala</t>
  </si>
  <si>
    <t>FNB Points of Presence (Nkululeko Khanyile)</t>
  </si>
  <si>
    <t>38100009803 FNB POP SSD Limpopo and Mpumalanga</t>
  </si>
  <si>
    <t>13 year(s), 9 month(s), 1 day(s)</t>
  </si>
  <si>
    <t>Suzanne Myburgh</t>
  </si>
  <si>
    <t>FNB Personal Exco (Maryke Venter)</t>
  </si>
  <si>
    <t>Sub Capability Lead</t>
  </si>
  <si>
    <t>Maserame Motheta</t>
  </si>
  <si>
    <t>FNB HSL (Mirriam Pitso)</t>
  </si>
  <si>
    <t>21200002641 HSL Call Centre</t>
  </si>
  <si>
    <t>Call Centre Agent</t>
  </si>
  <si>
    <t>Duane Ryan</t>
  </si>
  <si>
    <t>FNB Customer and Sales Interactions (Laura Irving)</t>
  </si>
  <si>
    <t>99100009981 FNB Customer and Sales Interactions Enablement</t>
  </si>
  <si>
    <t>13 year(s), 1 month(s), 23 day(s)</t>
  </si>
  <si>
    <t>Ashok Ravuri</t>
  </si>
  <si>
    <t>CDO Banking FinXact (Shalini Jeewan)</t>
  </si>
  <si>
    <t>20200002266 CDO Banking Finxact</t>
  </si>
  <si>
    <t>10 year(s), 7 month(s), 23 day(s)</t>
  </si>
  <si>
    <t>Khanyisa Hlazo</t>
  </si>
  <si>
    <t>FNB Points of Presence (Beryl Gilbert)</t>
  </si>
  <si>
    <t>771036900 FNB POP Branch Delivery Somerset East</t>
  </si>
  <si>
    <t>Nkhensani Risimati</t>
  </si>
  <si>
    <t>FNB Commercial Sales Gauteng South and Central (Morakana Nelwamondo)</t>
  </si>
  <si>
    <t>34200008659 FNB Commercial Sales Gauteng West 60 to 150M</t>
  </si>
  <si>
    <t>13 year(s), 6 month(s), 19 day(s)</t>
  </si>
  <si>
    <t>Tibane Lebese</t>
  </si>
  <si>
    <t>Leadership Mentor
Transition Mentor</t>
  </si>
  <si>
    <t>FNB Retail CDAO (Ashnee Moodley)</t>
  </si>
  <si>
    <t>9 year(s), 0 month(s), 23 day(s)</t>
  </si>
  <si>
    <t>Lorna Reid</t>
  </si>
  <si>
    <t>FNB International SA (Trevor Kunda)</t>
  </si>
  <si>
    <t>83200005732 FNB International SA Human Resources</t>
  </si>
  <si>
    <t>Segment Lead Org Development, Design and Transformation</t>
  </si>
  <si>
    <t>13 year(s), 7 month(s), 23 day(s)</t>
  </si>
  <si>
    <t>Kelly Gilbert</t>
  </si>
  <si>
    <t>FNB Commercial TxP (Sandy Robertson)</t>
  </si>
  <si>
    <t>39800003347 FNB Commercial TxP Operations</t>
  </si>
  <si>
    <t>Isabel Jacobs</t>
  </si>
  <si>
    <t>FNB Commercial Merchant Services (Vishnu Naidu)</t>
  </si>
  <si>
    <t>22800008613 FNB Commercial Merchant Services Sales and Marketing</t>
  </si>
  <si>
    <t>13 year(s), 1 month(s), 11 day(s)</t>
  </si>
  <si>
    <t>Mariska Walkerley</t>
  </si>
  <si>
    <t>FNB Wealth and Investments (Malebo Selepe)</t>
  </si>
  <si>
    <t>46700006629 FNB WI IT Dev</t>
  </si>
  <si>
    <t>Applications Developer</t>
  </si>
  <si>
    <t>13 year(s), 7 month(s), 25 day(s)</t>
  </si>
  <si>
    <t>Daisy Makoni</t>
  </si>
  <si>
    <t>Sales Channels Head</t>
  </si>
  <si>
    <t>12 year(s), 6 month(s), 23 day(s)</t>
  </si>
  <si>
    <t>Matimba Zitha</t>
  </si>
  <si>
    <t>FNB Consumer Education (Moshibudi Sebola)</t>
  </si>
  <si>
    <t>5910720900 FNB Consumer Education</t>
  </si>
  <si>
    <t>Consumer Educator</t>
  </si>
  <si>
    <t>13 year(s), 4 month(s), 23 day(s)</t>
  </si>
  <si>
    <t>Thuto Masilo</t>
  </si>
  <si>
    <t>FNB Personal Segment Advisory and Suites (Imraan Bashir)</t>
  </si>
  <si>
    <t>7 year(s), 10 month(s), 17 day(s)</t>
  </si>
  <si>
    <t>Shaun Rampersad</t>
  </si>
  <si>
    <t>CDO Infrastructure and Security Services (Maryke Bester)</t>
  </si>
  <si>
    <t>20700002565 CDO Infrastructure and Security Services Containers</t>
  </si>
  <si>
    <t>Systems Architect</t>
  </si>
  <si>
    <t>Dimpho Thupayakgosi</t>
  </si>
  <si>
    <t>FNB Points of Presence (Neill C. Van Wyk)</t>
  </si>
  <si>
    <t>771018100 FNB POP Branch Delivery Brits</t>
  </si>
  <si>
    <t>13 year(s), 3 month(s), 26 day(s)</t>
  </si>
  <si>
    <t>Roshni Morar</t>
  </si>
  <si>
    <t>RMBSA Global Markets Technology FEDS &amp; Finesse (Francois Kritzinger)</t>
  </si>
  <si>
    <t>77800000FXC RMBSA Global Markets Technology Customer Dealing Post Trade</t>
  </si>
  <si>
    <t>IT Business Analyst</t>
  </si>
  <si>
    <t>37 year(s), 5 month(s), 25 day(s)</t>
  </si>
  <si>
    <t>Willem Van Der Westhuizen</t>
  </si>
  <si>
    <t>RMBSA Global Markets Credit Risk (Keith Flemmer)</t>
  </si>
  <si>
    <t>77800000BCR RMBSA Global Markets Credit Risk</t>
  </si>
  <si>
    <t>25 year(s), 7 month(s), 23 day(s)</t>
  </si>
  <si>
    <t>Werner Van Oudenhove De St Gery</t>
  </si>
  <si>
    <t>RMBSA Investment Banking Division (IBD) (Ashwin Lakhan)</t>
  </si>
  <si>
    <t>77800000EXC RMBSA IBD Executives</t>
  </si>
  <si>
    <t>Chief Risk Officer Sponsor and IBD</t>
  </si>
  <si>
    <t>28 year(s), 5 month(s), 23 day(s)</t>
  </si>
  <si>
    <t>Karel Botes</t>
  </si>
  <si>
    <t>25 year(s), 9 month(s), 23 day(s)</t>
  </si>
  <si>
    <t>Willy Robinson</t>
  </si>
  <si>
    <t>Meera Khandoo</t>
  </si>
  <si>
    <t>Career Mentor
Transition Mentor
Workplace  Buddy</t>
  </si>
  <si>
    <t>77800000RPG RMBSA Global Markets Technology eTrading Tech FI Commods MM</t>
  </si>
  <si>
    <t>23 year(s), 11 month(s), 23 day(s)</t>
  </si>
  <si>
    <t>Adriaan Els</t>
  </si>
  <si>
    <t>Terence O'Neill</t>
  </si>
  <si>
    <t>26 year(s), 4 month(s), 16 day(s)</t>
  </si>
  <si>
    <t>Colin Struwig</t>
  </si>
  <si>
    <t>26 year(s), 7 month(s), 6 day(s)</t>
  </si>
  <si>
    <t>Sisinyane Hope Motau</t>
  </si>
  <si>
    <t>FNB eBucks (Favour Matlaila (Inherited))</t>
  </si>
  <si>
    <t>47100009193 FNB Enabling Learning</t>
  </si>
  <si>
    <t>Learning Coordinator</t>
  </si>
  <si>
    <t>20 year(s), 7 month(s), 6 day(s)</t>
  </si>
  <si>
    <t>Lambrie Van Straaten</t>
  </si>
  <si>
    <t>Wilhelm Pauer</t>
  </si>
  <si>
    <t>Richard Foaden</t>
  </si>
  <si>
    <t>FNB Commercial Structured Finance Solutions (Charl Jansen Van Rensburg)</t>
  </si>
  <si>
    <t>33900009241 FNB Commercial Leveraged Finance Gauteng East</t>
  </si>
  <si>
    <t>Deal Maker Leverage Finance</t>
  </si>
  <si>
    <t>Handri Kymdell</t>
  </si>
  <si>
    <t>Credit Origination Head Broader Africa</t>
  </si>
  <si>
    <t>11 year(s), 8 month(s), 23 day(s)</t>
  </si>
  <si>
    <t>Rathithi Kolobe</t>
  </si>
  <si>
    <t>Group Treasury ALM Operations (Paul Geier)</t>
  </si>
  <si>
    <t>78200000FRK Risk Transformation and Clearing Unit</t>
  </si>
  <si>
    <t>ALM Reporting Operations Head</t>
  </si>
  <si>
    <t>13 year(s), 8 month(s), 6 day(s)</t>
  </si>
  <si>
    <t>Pete Cottrell</t>
  </si>
  <si>
    <t>19 year(s), 2 month(s), 16 day(s)</t>
  </si>
  <si>
    <t>Naomi Sekgobela</t>
  </si>
  <si>
    <t>RMBSA Global Markets Structured Solutions and Trading Enablement (Victor Mofokeng)</t>
  </si>
  <si>
    <t>77800000BNR RMBSA Global Markets Cross Asset and Financing Trading Book Financing</t>
  </si>
  <si>
    <t>Trading Desk Head</t>
  </si>
  <si>
    <t>Jean Du Plessis</t>
  </si>
  <si>
    <t>Workout and Debt Restructuring Specialist</t>
  </si>
  <si>
    <t>Liesha Chanderman</t>
  </si>
  <si>
    <t>RMBSA Enablement Segment Technology (Adrian Reid)</t>
  </si>
  <si>
    <t>77800000TFC TFC-RMB IT Credit</t>
  </si>
  <si>
    <t>Information Technology Head</t>
  </si>
  <si>
    <t>18 year(s), 2 month(s), 9 day(s)</t>
  </si>
  <si>
    <t>Athena Botha</t>
  </si>
  <si>
    <t>FNB Commercial Analytics Insights Data (Patrick Motshweni)</t>
  </si>
  <si>
    <t>Information Architect Head</t>
  </si>
  <si>
    <t>Andrew Hudson</t>
  </si>
  <si>
    <t>Regional Head KZN</t>
  </si>
  <si>
    <t>Sagren Naidoo</t>
  </si>
  <si>
    <t>RMB Private Bank (Nashvir Angadh)</t>
  </si>
  <si>
    <t>34100004505 RMBPB KZN</t>
  </si>
  <si>
    <t>Lending Specialist</t>
  </si>
  <si>
    <t>Radiyya Chotia Reddy</t>
  </si>
  <si>
    <t>Pillar Market Conduct Head</t>
  </si>
  <si>
    <t>20 year(s), 7 month(s), 9 day(s)</t>
  </si>
  <si>
    <t>Malini Mudaly</t>
  </si>
  <si>
    <t>FNB Retail Legal Risk and Compliance (Wynand Smit)</t>
  </si>
  <si>
    <t>85500008236 FNB Retail Legal Risk and Compliance</t>
  </si>
  <si>
    <t>21 year(s), 6 month(s), 23 day(s)</t>
  </si>
  <si>
    <t>Gareth Kin</t>
  </si>
  <si>
    <t>Ric Smithwick</t>
  </si>
  <si>
    <t>RMB Private Bank (Malcolm Horn)</t>
  </si>
  <si>
    <t>34100003205 RMBPB JHB Affluent</t>
  </si>
  <si>
    <t>Private Wealth Advisor</t>
  </si>
  <si>
    <t>Themba Mabizela</t>
  </si>
  <si>
    <t>FNB Enterprise Chief Executive Office (Mike Naidoo)</t>
  </si>
  <si>
    <t>34400006518 FNB Commercial EXCO</t>
  </si>
  <si>
    <t>Provincial Head</t>
  </si>
  <si>
    <t>26 year(s), 2 month(s), 23 day(s)</t>
  </si>
  <si>
    <t>Naeem Motala</t>
  </si>
  <si>
    <t>FNB Private Chief Financial Office (Yashen Singh)</t>
  </si>
  <si>
    <t>85500008554 FNB Retail IT Procurement</t>
  </si>
  <si>
    <t>Procurement Head</t>
  </si>
  <si>
    <t>18 year(s), 4 month(s), 9 day(s)</t>
  </si>
  <si>
    <t>Shetal Bhoola</t>
  </si>
  <si>
    <t>CDO Kernel Decisioning IT (Debashree Naidoo)</t>
  </si>
  <si>
    <t>79000005193 CDO Kernel Decisioning IT</t>
  </si>
  <si>
    <t>29 year(s), 5 month(s), 10 day(s)</t>
  </si>
  <si>
    <t>Kreneshen Moodley</t>
  </si>
  <si>
    <t>8 year(s), 0 month(s), 9 day(s)</t>
  </si>
  <si>
    <t>Richard Levesque</t>
  </si>
  <si>
    <t>FNB Wealth and Investments (Wicus Potgieter (Inherited))</t>
  </si>
  <si>
    <t>31400008458 FNB WI SPM Portside</t>
  </si>
  <si>
    <t>Commission With Fixed Pay</t>
  </si>
  <si>
    <t>Investment Portfolio Manager</t>
  </si>
  <si>
    <t>15 year(s), 2 month(s), 21 day(s)</t>
  </si>
  <si>
    <t>Riana Prins</t>
  </si>
  <si>
    <t>FNB Commercial National Sales and Service (Jurgens Boshoff)</t>
  </si>
  <si>
    <t>34300007707 FNB Financial Advisory Business Central</t>
  </si>
  <si>
    <t>Financial Advisory Channel Head</t>
  </si>
  <si>
    <t>Renel Francis</t>
  </si>
  <si>
    <t>FNB Private Banking and Advisory (Gary Youlley)</t>
  </si>
  <si>
    <t>34100007679 PB&amp;A Durban Coastal Wealth</t>
  </si>
  <si>
    <t>14 year(s), 2 month(s), 9 day(s)</t>
  </si>
  <si>
    <t>Sulien Naidoo</t>
  </si>
  <si>
    <t>FNB Private Human Capital (David Khunou)</t>
  </si>
  <si>
    <t>85500006597 FNB Retail Human Capital Support</t>
  </si>
  <si>
    <t>13 year(s), 9 month(s), 9 day(s)</t>
  </si>
  <si>
    <t>Cheryl Odayar</t>
  </si>
  <si>
    <t>Risk Head</t>
  </si>
  <si>
    <t>13 year(s), 6 month(s), 10 day(s)</t>
  </si>
  <si>
    <t>Bongi Dlamini</t>
  </si>
  <si>
    <t>Thyhappiness Kosa</t>
  </si>
  <si>
    <t>FNB Commercial Core Juristic Platform (Clayton Mariemuthu)</t>
  </si>
  <si>
    <t>Systems Analyst Team Leader</t>
  </si>
  <si>
    <t>4 year(s), 4 month(s), 23 day(s)</t>
  </si>
  <si>
    <t>Lamla Gege</t>
  </si>
  <si>
    <t>6 year(s), 4 month(s), 18 day(s)</t>
  </si>
  <si>
    <t>Tandekile Bantubevana</t>
  </si>
  <si>
    <t>FNB Commercial Merchant Services (Robbie Stander)</t>
  </si>
  <si>
    <t>Sales Consultant</t>
  </si>
  <si>
    <t>J.R. Hume</t>
  </si>
  <si>
    <t>13 year(s), 2 month(s), 8 day(s)</t>
  </si>
  <si>
    <t>Siphokazi Foli</t>
  </si>
  <si>
    <t>FNB Points of Presence (Cindy Williams)</t>
  </si>
  <si>
    <t>771083200 FNB POP Branch Delivery Newton Park</t>
  </si>
  <si>
    <t>2 year(s), 9 month(s), 23 day(s)</t>
  </si>
  <si>
    <t>Kevin Hu</t>
  </si>
  <si>
    <t>Group ERM Credit Risk Control (Engelbert Meyer)</t>
  </si>
  <si>
    <t>20200006711 FRCC ERM Credit Risk Control</t>
  </si>
  <si>
    <t>Credit Model Standards and Governance Lead</t>
  </si>
  <si>
    <t>13 year(s), 1 month(s), 25 day(s)</t>
  </si>
  <si>
    <t>Thulani Dube</t>
  </si>
  <si>
    <t>FNB nav Head Office (Thabo Machedi)</t>
  </si>
  <si>
    <t>39400009035 nav Business Technology</t>
  </si>
  <si>
    <t>JAVA Developer Team Leader</t>
  </si>
  <si>
    <t>5 year(s), 11 month(s), 23 day(s)</t>
  </si>
  <si>
    <t>Sibongile Ngomani</t>
  </si>
  <si>
    <t>FNB Points of Presence (Palesa Lethiba)</t>
  </si>
  <si>
    <t>12 year(s), 1 month(s), 23 day(s)</t>
  </si>
  <si>
    <t>Serisha Naicker</t>
  </si>
  <si>
    <t>FNB Business Branch Channel (Linda Malinga)</t>
  </si>
  <si>
    <t>34300008965 FNB Business Branch Channel</t>
  </si>
  <si>
    <t>13 year(s), 0 month(s), 20 day(s)</t>
  </si>
  <si>
    <t>Wiann Mans</t>
  </si>
  <si>
    <t>Racially advantaged (Namibia)</t>
  </si>
  <si>
    <t>Candice Mesk</t>
  </si>
  <si>
    <t>Crypto and Decentral Ledger Tech (Rikki Barnes)</t>
  </si>
  <si>
    <t>20200002408 FRCC Crypto and Decentral Ledger Tech</t>
  </si>
  <si>
    <t>Applications Development Head</t>
  </si>
  <si>
    <t>9 year(s), 1 month(s), 23 day(s)</t>
  </si>
  <si>
    <t>Abdul Raheem Karim</t>
  </si>
  <si>
    <t>FNB Private Banking and Advisory (Dickson Naidoo)</t>
  </si>
  <si>
    <t>34100007232 PB&amp;A Service Suite Advisor Engagement</t>
  </si>
  <si>
    <t>Coenraad Pretorius</t>
  </si>
  <si>
    <t>FNB Loans (Priscilla Gerber)</t>
  </si>
  <si>
    <t>Cornel Du Toit</t>
  </si>
  <si>
    <t>65100003691 FNB Cash Investments Pricing &amp; Analytics</t>
  </si>
  <si>
    <t>13 year(s), 0 month(s), 13 day(s)</t>
  </si>
  <si>
    <t>Jeanette Ledwaba</t>
  </si>
  <si>
    <t>FNB Points of Presence (Msizi Siluma)</t>
  </si>
  <si>
    <t>771094900 FNB POP Branch Delivery Greenstone Branch</t>
  </si>
  <si>
    <t>11 year(s), 1 month(s), 23 day(s)</t>
  </si>
  <si>
    <t>Kgotso Buys</t>
  </si>
  <si>
    <t>77800000BTL RMBSA IBD Technology Team</t>
  </si>
  <si>
    <t>Chief Information Officer Sponsor and IBD</t>
  </si>
  <si>
    <t>3 year(s), 3 month(s), 23 day(s)</t>
  </si>
  <si>
    <t>Khutso Rasetsana</t>
  </si>
  <si>
    <t>FNB Points of Presence (Ingrid Mushwana)</t>
  </si>
  <si>
    <t>771039600 FNB POP Branch Delivery Tzaneen</t>
  </si>
  <si>
    <t>Charl Jansen Van Rensburg</t>
  </si>
  <si>
    <t>12 year(s), 9 month(s), 23 day(s)</t>
  </si>
  <si>
    <t>Kyle Rajoo</t>
  </si>
  <si>
    <t>FNB Chief Marketing Office (Mynhardt Jansen van Vuuren)</t>
  </si>
  <si>
    <t>22400004056 FNB Marketing Marketing Operations and Consulting</t>
  </si>
  <si>
    <t>Marketing Operations Management Lead</t>
  </si>
  <si>
    <t>12 year(s), 10 month(s), 22 day(s)</t>
  </si>
  <si>
    <t>Mduduzi Nxumalo</t>
  </si>
  <si>
    <t>CDO Kernel Integrations (Amith Singh)</t>
  </si>
  <si>
    <t>79000005315 CDO Kernel Integrations</t>
  </si>
  <si>
    <t>7 year(s), 3 month(s), 23 day(s)</t>
  </si>
  <si>
    <t>Jacqueline Becker</t>
  </si>
  <si>
    <t>FNB REMS Management Property (Vanessa Brooks)</t>
  </si>
  <si>
    <t>22300001562 REMS Bankcity Catering</t>
  </si>
  <si>
    <t>Anthony Pollitt</t>
  </si>
  <si>
    <t>FNB Central Finance (Frans Van Niekerk)</t>
  </si>
  <si>
    <t>39400001901 FNB CFP CIO Office</t>
  </si>
  <si>
    <t>Decklyn Pretorius</t>
  </si>
  <si>
    <t>DirectAxis (Shimaaz Ely)</t>
  </si>
  <si>
    <t>99700015102 DA Solutions Delivery</t>
  </si>
  <si>
    <t>Process Coordinator</t>
  </si>
  <si>
    <t>Veneta Nair</t>
  </si>
  <si>
    <t>RMBSA LRC Compliance (Karmani Naidoo)</t>
  </si>
  <si>
    <t>77800000RRM RMBSA Compliance Management Team</t>
  </si>
  <si>
    <t>Compliance Practice Lead</t>
  </si>
  <si>
    <t>Wesley Moffett</t>
  </si>
  <si>
    <t>85500008572 FNB Retail P Finance</t>
  </si>
  <si>
    <t>Customer Tax Reporting Head</t>
  </si>
  <si>
    <t>Palesa Nhlapo</t>
  </si>
  <si>
    <t>FNB Personal Segment Advisory and Suites (Devesh Naidoo)</t>
  </si>
  <si>
    <t>Growth Head</t>
  </si>
  <si>
    <t>12 year(s), 8 month(s), 21 day(s)</t>
  </si>
  <si>
    <t>Buyisile Maseko</t>
  </si>
  <si>
    <t>FNB Customer and Sales Interactions (Yingisani Beryl Ngobeni)</t>
  </si>
  <si>
    <t>99100007928 FNB Customer and Sales Interactions Analytics</t>
  </si>
  <si>
    <t>8 year(s), 8 month(s), 23 day(s)</t>
  </si>
  <si>
    <t>Pravesh Sunker</t>
  </si>
  <si>
    <t>Advisory and Sales Head</t>
  </si>
  <si>
    <t>12 year(s), 8 month(s), 10 day(s)</t>
  </si>
  <si>
    <t>Martha Wesi</t>
  </si>
  <si>
    <t>FNB Personal Core Banking (Aimee Bongolo)</t>
  </si>
  <si>
    <t>28100006613 FNB Personal Banking Risk Management Collections</t>
  </si>
  <si>
    <t>11 year(s), 11 month(s), 23 day(s)</t>
  </si>
  <si>
    <t>Kribben Govender</t>
  </si>
  <si>
    <t>12 year(s), 8 month(s), 6 day(s)</t>
  </si>
  <si>
    <t>Thabile Mlungwana</t>
  </si>
  <si>
    <t>FNB Business CXC (Mpho Disetlhe)</t>
  </si>
  <si>
    <t>34300009996 FNB Business CXC OBE</t>
  </si>
  <si>
    <t>Business Banking Advisor</t>
  </si>
  <si>
    <t>11 year(s), 5 month(s), 23 day(s)</t>
  </si>
  <si>
    <t>Jackie Diack</t>
  </si>
  <si>
    <t>FNB Credit Card (Jason Viljoen)</t>
  </si>
  <si>
    <t>20300002954 FNB Card Enabler Digital Payments</t>
  </si>
  <si>
    <t>11 year(s), 4 month(s), 23 day(s)</t>
  </si>
  <si>
    <t>Khomotso Molokwane</t>
  </si>
  <si>
    <t>FNB Commercial Sales Inland (Boitumelo Makokwe)</t>
  </si>
  <si>
    <t>34300009155 FNB Commercial Growth Limpopo Gold</t>
  </si>
  <si>
    <t>Adriaan Swanepoel</t>
  </si>
  <si>
    <t>CDO Kernel (Shaakirah Raffie)</t>
  </si>
  <si>
    <t>Software Developer in Test</t>
  </si>
  <si>
    <t>Babalwa Masoka</t>
  </si>
  <si>
    <t>12 year(s), 5 month(s), 10 day(s)</t>
  </si>
  <si>
    <t>Heidi Coetzee</t>
  </si>
  <si>
    <t>RMBSA IBD Technology Cluster 3 (Bhavesh Desaraj (Inherited))</t>
  </si>
  <si>
    <t>77800000BXC RMBSA TTS Technology Trade</t>
  </si>
  <si>
    <t>IT Quality Test Manager</t>
  </si>
  <si>
    <t>Paseka Simela</t>
  </si>
  <si>
    <t>FNB ERP Technology (Azhar Akoodi)</t>
  </si>
  <si>
    <t>39400001958 FNB CFP Procurement</t>
  </si>
  <si>
    <t>IT Platform Technology Lead</t>
  </si>
  <si>
    <t>12 year(s), 7 month(s), 18 day(s)</t>
  </si>
  <si>
    <t>Linda Cele</t>
  </si>
  <si>
    <t>FNB Commercial Chief Executive Office FML (Andisiwe Nikelo)</t>
  </si>
  <si>
    <t>30100007317 WB FML Head Office</t>
  </si>
  <si>
    <t>Head of Operations Business Unit</t>
  </si>
  <si>
    <t>12 year(s), 6 month(s), 8 day(s)</t>
  </si>
  <si>
    <t>Tania Finn</t>
  </si>
  <si>
    <t>FNB Global Forex Business Cape Premium Business Banking (Sylvester Selepe)</t>
  </si>
  <si>
    <t>77800000CPC RMBSA Global Markets Business Cape Premium Business Banking</t>
  </si>
  <si>
    <t>Business Development Manager</t>
  </si>
  <si>
    <t>8 year(s), 0 month(s), 19 day(s)</t>
  </si>
  <si>
    <t>Elaine Knoetsec</t>
  </si>
  <si>
    <t>12 year(s), 6 month(s), 4 day(s)</t>
  </si>
  <si>
    <t>Themba Dube</t>
  </si>
  <si>
    <t>FNB Personal Segment Advisory and Suites (Kandre-Joy Fortune)</t>
  </si>
  <si>
    <t>97200008621 PSAS Aspire Chat</t>
  </si>
  <si>
    <t>Service and Sales Advisor</t>
  </si>
  <si>
    <t>9 year(s), 5 month(s), 23 day(s)</t>
  </si>
  <si>
    <t>Gcebile Nkosi</t>
  </si>
  <si>
    <t>FNB Points of Presence (Mpho Rapatsa)</t>
  </si>
  <si>
    <t>771029200 FNB POP Branch Delivery Malelane</t>
  </si>
  <si>
    <t>12 year(s), 3 month(s), 23 day(s)</t>
  </si>
  <si>
    <t>Aslam Khan</t>
  </si>
  <si>
    <t>Nokuphila Nkwanyana</t>
  </si>
  <si>
    <t>AgencyPlus Relationship Manager</t>
  </si>
  <si>
    <t>Nomvula Mzila</t>
  </si>
  <si>
    <t>FNB Commercial Merchant Services (Nkosinathi Kubheka)</t>
  </si>
  <si>
    <t>22800008518 FNB Commercial Merchant Services Client Services</t>
  </si>
  <si>
    <t>Contact Centre Advisor</t>
  </si>
  <si>
    <t>4 year(s), 7 month(s), 23 day(s)</t>
  </si>
  <si>
    <t>Darpana Vallabh</t>
  </si>
  <si>
    <t>FNB COO Head Office (Matthys Snyman)</t>
  </si>
  <si>
    <t>Charles Davids</t>
  </si>
  <si>
    <t>FNB Commercial Sales Cape (Mark Smith)</t>
  </si>
  <si>
    <t>34300008635 FNB Commercial Growth Western Cape Metro 1</t>
  </si>
  <si>
    <t>10 year(s), 11 month(s), 23 day(s)</t>
  </si>
  <si>
    <t>Tendani Mphidi</t>
  </si>
  <si>
    <t>FNB Affluent (Miriam Mayford)</t>
  </si>
  <si>
    <t>34100007665 PB&amp;A Tshwane Wealth SW</t>
  </si>
  <si>
    <t>Banking Advisor Wealth</t>
  </si>
  <si>
    <t>12 year(s), 3 month(s), 19 day(s)</t>
  </si>
  <si>
    <t>Maele Masibi</t>
  </si>
  <si>
    <t>FNB Personal Exco (Sandi Madikiza)</t>
  </si>
  <si>
    <t>84900003961 FNB ConnectMe EXCO</t>
  </si>
  <si>
    <t>Strategic Platform Lead</t>
  </si>
  <si>
    <t>12 year(s), 5 month(s), 5 day(s)</t>
  </si>
  <si>
    <t>Michelle Potgieter</t>
  </si>
  <si>
    <t>FNB Commercial Sales Cape (Annaline Van Asperen)</t>
  </si>
  <si>
    <t>34300009057 FNB Commercial Sales Intelligence</t>
  </si>
  <si>
    <t>12 year(s), 2 month(s), 18 day(s)</t>
  </si>
  <si>
    <t>Mpho Mogoba</t>
  </si>
  <si>
    <t>34200006958 FNB Commercial Sales Shared Services Western Cape</t>
  </si>
  <si>
    <t>Steven Routledge</t>
  </si>
  <si>
    <t>Group Human Capital Strategic Wellbeing (Rishaveri Naidu)</t>
  </si>
  <si>
    <t>20200009025 FRCC Reward - RMB</t>
  </si>
  <si>
    <t>Bertus Huisman</t>
  </si>
  <si>
    <t>Career Mentor
Leadership Mentor
Technical Mentor
Transition Mentor
Workplace  Buddy
Z2-Programme Mentor (HC Managed)</t>
  </si>
  <si>
    <t>Ulrich Van Wijngaarden</t>
  </si>
  <si>
    <t>DirectAxis (Rida Lutta)</t>
  </si>
  <si>
    <t>12 year(s), 2 month(s), 4 day(s)</t>
  </si>
  <si>
    <t>Rethabile Tsekedi</t>
  </si>
  <si>
    <t>12 year(s), 2 month(s), 8 day(s)</t>
  </si>
  <si>
    <t>Serena Gounden</t>
  </si>
  <si>
    <t>CDO Banking (Vincent Govender)</t>
  </si>
  <si>
    <t>Ramadimetja Sebola</t>
  </si>
  <si>
    <t>FNB Commercial Sales Gauteng South and Central (Mpho Makgamatha)</t>
  </si>
  <si>
    <t>12 year(s), 0 month(s), 23 day(s)</t>
  </si>
  <si>
    <t>Bina Rowjee</t>
  </si>
  <si>
    <t>FNB Central Finance (Wesley Pretorius)</t>
  </si>
  <si>
    <t>39400004539 FNB Finance Data and analytics</t>
  </si>
  <si>
    <t>Business Intelligence Manager</t>
  </si>
  <si>
    <t>Mduduzi Sirayi</t>
  </si>
  <si>
    <t>FNB Chief Risk Office Interactions and Risk Analytics (Godfrey Kgoedi)</t>
  </si>
  <si>
    <t>Data Science Manager</t>
  </si>
  <si>
    <t>7 year(s), 11 month(s), 15 day(s)</t>
  </si>
  <si>
    <t>Brandon Lottering</t>
  </si>
  <si>
    <t>FNB Points of Presence (Sagren Govender)</t>
  </si>
  <si>
    <t>11 year(s), 4 month(s), 22 day(s)</t>
  </si>
  <si>
    <t>Grace Mlangeni</t>
  </si>
  <si>
    <t>FNB Private Banking and Advisory (Van Wyk Pienaar)</t>
  </si>
  <si>
    <t>34100007667 PB&amp;A Inland North West Wealth</t>
  </si>
  <si>
    <t>11 year(s), 11 month(s), 16 day(s)</t>
  </si>
  <si>
    <t>Gloria Qoza</t>
  </si>
  <si>
    <t>FNB Points of Presence (Sinoyolo Pikoli)</t>
  </si>
  <si>
    <t>771026400 FNB POP Branch Delivery King Williams Town</t>
  </si>
  <si>
    <t>11 year(s), 11 month(s), 15 day(s)</t>
  </si>
  <si>
    <t>Molai Mothejoa</t>
  </si>
  <si>
    <t>12 year(s), 0 month(s), 14 day(s)</t>
  </si>
  <si>
    <t>Adrian Tonkin</t>
  </si>
  <si>
    <t>FNB Commercial Core Juristic Platform (Robert Lage)</t>
  </si>
  <si>
    <t>34200009782 FNB Commercial CJP PMO</t>
  </si>
  <si>
    <t>Zanele Seshoka</t>
  </si>
  <si>
    <t>CDO Kernel iNterfaceX (Kefilwe Megalane)</t>
  </si>
  <si>
    <t>21800009856 CDO Kernel iNterfaceX Online Banking Business Analysis</t>
  </si>
  <si>
    <t>Eugene Siyabonga Ntokozo Mbele</t>
  </si>
  <si>
    <t>FNB Business CXC (Sundram Naidoo)</t>
  </si>
  <si>
    <t>34300008202 FNB Business CXC Business Desk</t>
  </si>
  <si>
    <t>Contact Centre Team Leader</t>
  </si>
  <si>
    <t>11 year(s), 10 month(s), 23 day(s)</t>
  </si>
  <si>
    <t>Michelle Padayachee</t>
  </si>
  <si>
    <t>DirectAxis (Cindy Solomons)</t>
  </si>
  <si>
    <t>99700015118 DA Business Optimisation</t>
  </si>
  <si>
    <t>Resource Planner</t>
  </si>
  <si>
    <t>12 year(s), 0 month(s), 7 day(s)</t>
  </si>
  <si>
    <t>Craig Fortuin</t>
  </si>
  <si>
    <t>85500008557 FNB Retail Learning Solutions</t>
  </si>
  <si>
    <t>Learning and Development Head</t>
  </si>
  <si>
    <t>11 year(s), 11 month(s), 2 day(s)</t>
  </si>
  <si>
    <t>Michael Mabusela</t>
  </si>
  <si>
    <t>7710216400 FNB POP Branch Delivery Kosi Bay</t>
  </si>
  <si>
    <t>Shailesh Pillay</t>
  </si>
  <si>
    <t>FRCC ERM CRO Office (Mine Van Zyl)</t>
  </si>
  <si>
    <t>20200008665 FRCC ERM Model Risk Management</t>
  </si>
  <si>
    <t>Model Risk Management Head</t>
  </si>
  <si>
    <t>Angela Bloem</t>
  </si>
  <si>
    <t>FNB ConnectMe (Bonginkosi Meek)</t>
  </si>
  <si>
    <t>84900004395 FNB ConnectMe Operations Enablement</t>
  </si>
  <si>
    <t>Morne Van Der Walt</t>
  </si>
  <si>
    <t>FNB Private Banking and Advisory (Diren Jugmohan)</t>
  </si>
  <si>
    <t>34100007658 PB&amp;A Fairlands Wealth</t>
  </si>
  <si>
    <t>Busiso Hlatshwayo</t>
  </si>
  <si>
    <t>FNB Collections and Platform Enablement (Lesego Onceya)</t>
  </si>
  <si>
    <t>79700004331 Collections Debt Review</t>
  </si>
  <si>
    <t>7 year(s), 0 month(s), 9 day(s)</t>
  </si>
  <si>
    <t>Freddie Muller</t>
  </si>
  <si>
    <t>FNB Chief Marketing Office (Elroy Bekwa)</t>
  </si>
  <si>
    <t>22400005494 FNB Marketing Strategy</t>
  </si>
  <si>
    <t>Senior Content Marketing Specialist</t>
  </si>
  <si>
    <t>11 year(s), 6 month(s), 23 day(s)</t>
  </si>
  <si>
    <t>Mitchell Ncube</t>
  </si>
  <si>
    <t>FNB Personal Core Banking (Jolandi Jansen Van Vuuren)</t>
  </si>
  <si>
    <t>28100006605 RCB Risk Management Gauteng</t>
  </si>
  <si>
    <t>Credit Portfolio Management Head</t>
  </si>
  <si>
    <t>11 year(s), 10 month(s), 19 day(s)</t>
  </si>
  <si>
    <t>Tokollo Matsapola</t>
  </si>
  <si>
    <t>11 year(s), 10 month(s), 12 day(s)</t>
  </si>
  <si>
    <t>Jaco Loots</t>
  </si>
  <si>
    <t>FNB Retail Legal Risk and Compliance (Zunade Kader)</t>
  </si>
  <si>
    <t>IT Risk Head</t>
  </si>
  <si>
    <t>Caryn Bell</t>
  </si>
  <si>
    <t>CDO Infrastructure and Security Services (Eugene Pretorius)</t>
  </si>
  <si>
    <t>20700005429 CDO Infrastructure and Security Services CRM</t>
  </si>
  <si>
    <t>Phemelo Masilo</t>
  </si>
  <si>
    <t>FNB iCustomer (Claudet Saygran)</t>
  </si>
  <si>
    <t>39400005973 FNB iCustomer Project Delivery</t>
  </si>
  <si>
    <t>Project Manager</t>
  </si>
  <si>
    <t>Mandisa Ndlovu</t>
  </si>
  <si>
    <t>34200008648 FNB Commercial Sales KwaZulu Natal Coastal 60 to 150M</t>
  </si>
  <si>
    <t>Harold Tiyisela Badjie</t>
  </si>
  <si>
    <t>FNB Commercial Sales Gauteng North (Lani Le Roux)</t>
  </si>
  <si>
    <t>34200006338 FNB Commercial Sales Gauteng Midrand 150M Plus</t>
  </si>
  <si>
    <t>Account Executive</t>
  </si>
  <si>
    <t>7 year(s), 0 month(s), 13 day(s)</t>
  </si>
  <si>
    <t>Malungelo Zwane</t>
  </si>
  <si>
    <t>FNB Commercial Core Juristic Platform (Louis Van Wyk)</t>
  </si>
  <si>
    <t>Kim Callender-Easby</t>
  </si>
  <si>
    <t>RMBSA Global Markets Technology Enablement Functions (Choene Rammutla)</t>
  </si>
  <si>
    <t>77800000RPY RMBSA Global Markets Technology Platform Enabalement</t>
  </si>
  <si>
    <t>Tumi Zwane</t>
  </si>
  <si>
    <t>RMBSA CDAO Data, Analytics and Business Intelligence (Allister Mowbray)</t>
  </si>
  <si>
    <t>77800000DAT RMBSA TTS Data and Analytics</t>
  </si>
  <si>
    <t>Thenjelwa Mesatywa</t>
  </si>
  <si>
    <t>Constance Baloyi</t>
  </si>
  <si>
    <t>Customer Experience Advisor</t>
  </si>
  <si>
    <t>Sandile Phillip</t>
  </si>
  <si>
    <t>FNB Commercial Property Finance (Preggie Pillay)</t>
  </si>
  <si>
    <t>59300008634 FNB Commercial Property Finance Head Office</t>
  </si>
  <si>
    <t>9 year(s), 5 month(s), 17 day(s)</t>
  </si>
  <si>
    <t>Kholofelo Napo</t>
  </si>
  <si>
    <t>11 year(s), 6 month(s), 9 day(s)</t>
  </si>
  <si>
    <t>Zaheer Ismail</t>
  </si>
  <si>
    <t>Group Human Capital (Dudu Moloko)</t>
  </si>
  <si>
    <t>20200007954 FRCC People Governance Learning Compliance</t>
  </si>
  <si>
    <t>Leadership Development Specialist</t>
  </si>
  <si>
    <t>Muhammad Seedat</t>
  </si>
  <si>
    <t>Business Architect</t>
  </si>
  <si>
    <t>Edwina Zenani</t>
  </si>
  <si>
    <t>FNB Points of Presence (Marie Nero)</t>
  </si>
  <si>
    <t>771040200 FNB POP Branch Delivery Upington</t>
  </si>
  <si>
    <t>11 year(s), 6 month(s), 14 day(s)</t>
  </si>
  <si>
    <t>Conroy Williams</t>
  </si>
  <si>
    <t>FNB Points of Presence (Deon Reddy)</t>
  </si>
  <si>
    <t>771002300 FNB POP Branch Delivery N1 City</t>
  </si>
  <si>
    <t>2 year(s), 8 month(s), 23 day(s)</t>
  </si>
  <si>
    <t>Kamal Bhana</t>
  </si>
  <si>
    <t>FNB Commercial Core Juristic Platform (Sasha Wantenaar)</t>
  </si>
  <si>
    <t>34200005978 FNB Commercial CJP CRM</t>
  </si>
  <si>
    <t>10 year(s), 11 month(s), 11 day(s)</t>
  </si>
  <si>
    <t>Zizi Sohuma</t>
  </si>
  <si>
    <t>FNB Points of Presence (Elisma Minnaar)</t>
  </si>
  <si>
    <t>771033300 FNB POP Branch Delivery Cape Gate</t>
  </si>
  <si>
    <t>10 year(s), 8 month(s), 9 day(s)</t>
  </si>
  <si>
    <t>Mmamodise Tiro</t>
  </si>
  <si>
    <t>FNB Points of Presence (Nikita Govender)</t>
  </si>
  <si>
    <t>7710405800 FNB POP Commercial Collaboration</t>
  </si>
  <si>
    <t>Support Advisor FAIS</t>
  </si>
  <si>
    <t>4 year(s), 7 month(s), 19 day(s)</t>
  </si>
  <si>
    <t>Nirvana Ramboth</t>
  </si>
  <si>
    <t>Enoch Ndlovu</t>
  </si>
  <si>
    <t>FRCC RRM FR Group Compliance (Sibusiso Gabashane)</t>
  </si>
  <si>
    <t>20200011034 FCC Group Compliance MCOE</t>
  </si>
  <si>
    <t>Compliance Monitoring Specialist</t>
  </si>
  <si>
    <t>2 year(s), 10 month(s), 25 day(s)</t>
  </si>
  <si>
    <t>Nicole Van Der Merwe</t>
  </si>
  <si>
    <t>FNB ConnectMe Human Capital (Prakash Debidin)</t>
  </si>
  <si>
    <t>84900006495 ConnectMe Human Capital</t>
  </si>
  <si>
    <t>Learning Architect</t>
  </si>
  <si>
    <t>Elrico Goliath</t>
  </si>
  <si>
    <t>FNB Points of Presence (Peter Mauer)</t>
  </si>
  <si>
    <t>Thabo Matukane-Mnisi</t>
  </si>
  <si>
    <t>Stephan Hattingh</t>
  </si>
  <si>
    <t>CDO Payments Forex IT (Lucia Da Silva)</t>
  </si>
  <si>
    <t>79000006473 CDO Payments Forex Finsurv</t>
  </si>
  <si>
    <t>11 year(s), 4 month(s), 7 day(s)</t>
  </si>
  <si>
    <t>Gao Ngakantsi</t>
  </si>
  <si>
    <t>FNB Commercial Sales Inland (Amandus Van Den Berg)</t>
  </si>
  <si>
    <t>Deal Maker</t>
  </si>
  <si>
    <t>9 year(s), 4 month(s), 26 day(s)</t>
  </si>
  <si>
    <t>Bokamoso Lebaka</t>
  </si>
  <si>
    <t>FNB Points of Presence (Montsheng Makaota)</t>
  </si>
  <si>
    <t>7710453100 FNB POP Branch Delivery Central Park</t>
  </si>
  <si>
    <t>11 year(s), 1 month(s), 22 day(s)</t>
  </si>
  <si>
    <t>Tshepiso Mngomezulu</t>
  </si>
  <si>
    <t>RMBSA Coverage Operations Office (Helen Wood)</t>
  </si>
  <si>
    <t>77800000CPE RMBSA Client Operations Product Enablement</t>
  </si>
  <si>
    <t>Client Profile Management Operations Head</t>
  </si>
  <si>
    <t>11 year(s), 4 month(s), 14 day(s)</t>
  </si>
  <si>
    <t>Innocentia Moeketsi</t>
  </si>
  <si>
    <t>FNB Points of Presence (Nkadu Ratlhagane)</t>
  </si>
  <si>
    <t>7710110300 FNB POP Branch Delivery Zambezi Drive</t>
  </si>
  <si>
    <t>Bradley Shodries</t>
  </si>
  <si>
    <t>RMBSA TTS Transact (Mpho Mofokeng)</t>
  </si>
  <si>
    <t>Payments Product Head</t>
  </si>
  <si>
    <t>11 year(s), 2 month(s), 19 day(s)</t>
  </si>
  <si>
    <t>Tracy Farndell</t>
  </si>
  <si>
    <t>FNB Commercial Core Juristic Platform (Elno Olifant)</t>
  </si>
  <si>
    <t>11 year(s), 3 month(s), 26 day(s)</t>
  </si>
  <si>
    <t>Mary Mwale</t>
  </si>
  <si>
    <t>FNB Personal Core Banking (Mpati Diholo)</t>
  </si>
  <si>
    <t>25500005389 FNB Personal Core Banking eWallet</t>
  </si>
  <si>
    <t>Solutions Specialist</t>
  </si>
  <si>
    <t>4 year(s), 11 month(s), 23 day(s)</t>
  </si>
  <si>
    <t>Theho Paul</t>
  </si>
  <si>
    <t>Lethu Nala</t>
  </si>
  <si>
    <t>FNB Wealth (Feroza Seedat)</t>
  </si>
  <si>
    <t>34100008803 PB&amp;A Human Capital</t>
  </si>
  <si>
    <t>11 year(s), 2 month(s), 12 day(s)</t>
  </si>
  <si>
    <t>Candice Khan</t>
  </si>
  <si>
    <t>FNB HSL (Nonhlanhla Mkhize)</t>
  </si>
  <si>
    <t>Charles Chapman</t>
  </si>
  <si>
    <t>302000016028 FNB Namibia Commercial Support</t>
  </si>
  <si>
    <t>Chief Executive Officer CCIB</t>
  </si>
  <si>
    <t>Lynette Diedericks</t>
  </si>
  <si>
    <t>FNB Commercial Financial Resource Management (Nick Jay)</t>
  </si>
  <si>
    <t>34300004538 FNB Commercial Financial Resources Management</t>
  </si>
  <si>
    <t>FRM Performance Measurement Head</t>
  </si>
  <si>
    <t>Rafael Martinez De La Iglesia</t>
  </si>
  <si>
    <t>FR Life Assurance (Sizwe Msimango)</t>
  </si>
  <si>
    <t>61500010304 FR Insure and Invest Distribution</t>
  </si>
  <si>
    <t>Lifa Masindane</t>
  </si>
  <si>
    <t>FNB Commercial Sales Gauteng South and Central (Tiisetso Motshaisa)</t>
  </si>
  <si>
    <t>34200006535 FNB Commercial Sales Gauteng West 10 to 60M</t>
  </si>
  <si>
    <t>Sk Nene</t>
  </si>
  <si>
    <t>FNB Points of Presence (Nonceba Nene)</t>
  </si>
  <si>
    <t>7710106300 FNB POP Branch Delivery Ekasi</t>
  </si>
  <si>
    <t>Lucille Abrams</t>
  </si>
  <si>
    <t>FNB Fiduciary (Trisa Naidu)</t>
  </si>
  <si>
    <t>30300008744 FNB WI Fiduciary Estates CPT</t>
  </si>
  <si>
    <t>Estate Specialist</t>
  </si>
  <si>
    <t>Faith Sibiya</t>
  </si>
  <si>
    <t>FNB Points of Presence (Skhumbuzo Nsibande)</t>
  </si>
  <si>
    <t>771033500 FNB POP Branch Delivery Piet Retief</t>
  </si>
  <si>
    <t>Nomthandazo Sibiya</t>
  </si>
  <si>
    <t>FNB Loans (Nicola Smuts)</t>
  </si>
  <si>
    <t>79100007564 FNB Consumer Loans Unsecured Pillar</t>
  </si>
  <si>
    <t>Ouma Aphane</t>
  </si>
  <si>
    <t>FNB Personal Segment Advisory and Suites (Seipati Mochiza)</t>
  </si>
  <si>
    <t>97200002529 PSAS HR</t>
  </si>
  <si>
    <t>Mr Tshililo Tharini</t>
  </si>
  <si>
    <t>Markus Prince</t>
  </si>
  <si>
    <t>CDO Infrastructure and Security Services (Kribben Govender (Inherited))</t>
  </si>
  <si>
    <t>Desktop Support Technician</t>
  </si>
  <si>
    <t>11 year(s), 1 month(s), 1 day(s)</t>
  </si>
  <si>
    <t>Joanita Van Staden</t>
  </si>
  <si>
    <t>77800000BTX RMBSA Global Markets Technology Legacy Platforms</t>
  </si>
  <si>
    <t>Test Lead</t>
  </si>
  <si>
    <t>Maya Samlal</t>
  </si>
  <si>
    <t>FNB Points of Presence (Prashnee Singh)</t>
  </si>
  <si>
    <t>771040000 FNB POP Branch Delivery Umzinto</t>
  </si>
  <si>
    <t>11 year(s), 0 month(s), 8 day(s)</t>
  </si>
  <si>
    <t>Khethiwe Khoza</t>
  </si>
  <si>
    <t>FNB Business CXC (Kgothatso Maphutha)</t>
  </si>
  <si>
    <t>Ndiyafhi Mphephu</t>
  </si>
  <si>
    <t>FNB Points of Presence (Alice Phokane)</t>
  </si>
  <si>
    <t>7710108900 FNB POP Branch Delivery Carlswald</t>
  </si>
  <si>
    <t>11 year(s), 0 month(s), 10 day(s)</t>
  </si>
  <si>
    <t>Bruce Ncube</t>
  </si>
  <si>
    <t>Sumayyah Suliman</t>
  </si>
  <si>
    <t>FNB Credit Card (Dione Sankar (Inherited))</t>
  </si>
  <si>
    <t>20300002909 FNB Card Enabler Card Delivery</t>
  </si>
  <si>
    <t>Client Service Manager</t>
  </si>
  <si>
    <t>11 year(s), 0 month(s), 4 day(s)</t>
  </si>
  <si>
    <t>Lwazi Madonsela</t>
  </si>
  <si>
    <t>FNB Points of Presence (Makarabo Mahlomotja)</t>
  </si>
  <si>
    <t>7710527200 FNB POP PHI Staff</t>
  </si>
  <si>
    <t>8 year(s), 9 month(s), 12 day(s)</t>
  </si>
  <si>
    <t>20 - 29</t>
  </si>
  <si>
    <t>Fhumulani Mudau</t>
  </si>
  <si>
    <t>FNB Points of Presence (Fhatuwani Muthelo)</t>
  </si>
  <si>
    <t>7710217900 FNB POP Branch Delivery Elim</t>
  </si>
  <si>
    <t>Samantha Mntungwa</t>
  </si>
  <si>
    <t>FNB Wealth (Shanon Sheridan)</t>
  </si>
  <si>
    <t>34100001596 PB&amp;A Sales Solutions Suite</t>
  </si>
  <si>
    <t>10 year(s), 0 month(s), 23 day(s)</t>
  </si>
  <si>
    <t>Meghan Mitchell</t>
  </si>
  <si>
    <t>Group Compliance (Praneel Lachman)</t>
  </si>
  <si>
    <t>20200007959 FRCC RRM FR Group Compliance</t>
  </si>
  <si>
    <t>Compliance Operational Enablement Head</t>
  </si>
  <si>
    <t>9 year(s), 2 month(s), 24 day(s)</t>
  </si>
  <si>
    <t>Ezelle Wolmarans</t>
  </si>
  <si>
    <t>Career Mentor
Technical Mentor
Workplace  Buddy</t>
  </si>
  <si>
    <t>RMBSA TTS Digital Interactions (Yolande Steyn)</t>
  </si>
  <si>
    <t>77800000CLC RMBSA TTS Channel Management</t>
  </si>
  <si>
    <t>Change Manager</t>
  </si>
  <si>
    <t>3 year(s), 2 month(s), 23 day(s)</t>
  </si>
  <si>
    <t>Mulalo Kutame</t>
  </si>
  <si>
    <t>First Risk and Advisory Services (Cynthia Mashego)</t>
  </si>
  <si>
    <t>16900010758 First Risk and Advisory Services IT</t>
  </si>
  <si>
    <t>Test Analyst Team Leader</t>
  </si>
  <si>
    <t>Shivash Jughdaw</t>
  </si>
  <si>
    <t>FNB Private Core Banking (Carol Gravette)</t>
  </si>
  <si>
    <t>41200009898 FNB Private Core Banking Finance</t>
  </si>
  <si>
    <t>9 year(s), 9 month(s), 22 day(s)</t>
  </si>
  <si>
    <t>Allen Chapingidza</t>
  </si>
  <si>
    <t>Career Mentor
Technical Mentor
Transition Mentor
Workplace  Buddy</t>
  </si>
  <si>
    <t>FNB Private Banking and Advisory (Elaine Knoetsec)</t>
  </si>
  <si>
    <t>34100003292 PB&amp;A Inland Central</t>
  </si>
  <si>
    <t>Head of Sales Enablement</t>
  </si>
  <si>
    <t>Mark Miller</t>
  </si>
  <si>
    <t>FNB Commercial Core Juristic Platform (Gerhard Buitendag)</t>
  </si>
  <si>
    <t>34200010083 FNB Commercial CJP FML IT</t>
  </si>
  <si>
    <t>10 year(s), 5 month(s), 23 day(s)</t>
  </si>
  <si>
    <t>Dirk Kotze</t>
  </si>
  <si>
    <t>Information Security Officer</t>
  </si>
  <si>
    <t>Fridah Maake-Gumede</t>
  </si>
  <si>
    <t>FNB Points of Presence (Angela Nathoo)</t>
  </si>
  <si>
    <t>7710179200 FNB POP Branch Delivery Middelburg Mall</t>
  </si>
  <si>
    <t>10 year(s), 10 month(s), 20 day(s)</t>
  </si>
  <si>
    <t>Sdumisile Mbambo</t>
  </si>
  <si>
    <t>CDO Kernel ECM (Lucas Molea)</t>
  </si>
  <si>
    <t>79000004946 CDO Kernel ECM</t>
  </si>
  <si>
    <t>4 year(s), 5 month(s), 23 day(s)</t>
  </si>
  <si>
    <t>Brett Kruger</t>
  </si>
  <si>
    <t>Financial Resources Management Portfolio Management Head</t>
  </si>
  <si>
    <t>10 year(s), 8 month(s), 23 day(s)</t>
  </si>
  <si>
    <t>Kebaokeditse Ramolotsa</t>
  </si>
  <si>
    <t>FR Life Assurance (Evelyn Govender)</t>
  </si>
  <si>
    <t>61500010279 FR Life I&amp;I Sales CC Underwritten</t>
  </si>
  <si>
    <t>Jonathan Hayes</t>
  </si>
  <si>
    <t>FNB Commercial Sales Cape (Tommie Burger)</t>
  </si>
  <si>
    <t>34200008675 FNB Commercial Sales Eastern Cape 10 to 60M</t>
  </si>
  <si>
    <t>Mberii Kamahene</t>
  </si>
  <si>
    <t>FNB Namibia Limited (Kathleen Nell)</t>
  </si>
  <si>
    <t>302000016055 FNB Namibia Commercial Online Banking</t>
  </si>
  <si>
    <t>Client Implementation Specialist</t>
  </si>
  <si>
    <t>10 year(s), 4 month(s), 23 day(s)</t>
  </si>
  <si>
    <t>Philip Schutte</t>
  </si>
  <si>
    <t>FNB Commercial Projects and Operations (Cameron Mayes)</t>
  </si>
  <si>
    <t>34200006673 FNB Commercial Payments PMO</t>
  </si>
  <si>
    <t>Karabo Makgala</t>
  </si>
  <si>
    <t>CDO Kernel iDnA (Mzi Bikwa)</t>
  </si>
  <si>
    <t>50700008198 CDO Kernel iDnA Data Tech Infrastructure Support</t>
  </si>
  <si>
    <t>Trevian Peter</t>
  </si>
  <si>
    <t>34100004506 PB&amp;A KZN Wealth Management</t>
  </si>
  <si>
    <t>Wealth Manager</t>
  </si>
  <si>
    <t>Reshma Somaroo</t>
  </si>
  <si>
    <t>FNB Finance and Support Group Information Management (Janine Nijs)</t>
  </si>
  <si>
    <t>39400007479 FNB CDAO Data Protection</t>
  </si>
  <si>
    <t>10 year(s), 7 month(s), 7 day(s)</t>
  </si>
  <si>
    <t>Varsha Lutchman</t>
  </si>
  <si>
    <t>FNB Commercial Projects and Operations (Natalie Rodrigues)</t>
  </si>
  <si>
    <t>34200005441 FNB Commercial Sales and Services Solutions</t>
  </si>
  <si>
    <t>Service Recovery Operations Head</t>
  </si>
  <si>
    <t>Thiroshan Naidoo</t>
  </si>
  <si>
    <t>RMBSA TTS Technology (Mias Du Plessis)</t>
  </si>
  <si>
    <t>77800000RQI RMB Treasury</t>
  </si>
  <si>
    <t>IT Solutions Architect</t>
  </si>
  <si>
    <t>Tshepiso Matabane</t>
  </si>
  <si>
    <t>Sophia Anoar</t>
  </si>
  <si>
    <t>FNB Private Banking and Advisory (Keegan Govender)</t>
  </si>
  <si>
    <t>34100005047 PB&amp;A Fairlands West Affluent</t>
  </si>
  <si>
    <t>Private Clients Advisor</t>
  </si>
  <si>
    <t>Kobus Ayres</t>
  </si>
  <si>
    <t>FNB Commercial Projects and Operations (Chris Lottreaux)</t>
  </si>
  <si>
    <t>Thapelo Modisagae</t>
  </si>
  <si>
    <t>Segment Chief Risk Officer</t>
  </si>
  <si>
    <t>10 year(s), 6 month(s), 3 day(s)</t>
  </si>
  <si>
    <t>Puculwa Lucwaba</t>
  </si>
  <si>
    <t>FNB Points of Presence (Dumisani Dyukwana)</t>
  </si>
  <si>
    <t>7710213200 FNB POP Branch Delivery Qumbu</t>
  </si>
  <si>
    <t>Candice Lee Kondominas</t>
  </si>
  <si>
    <t>FNB Wealth and Investment Fiduciary Locan and Offshore (Aneesa Razack)</t>
  </si>
  <si>
    <t>85500004208 FNB Private Global Solutions</t>
  </si>
  <si>
    <t>Bheki Cele</t>
  </si>
  <si>
    <t>FNB Commercial TxP Analytics (Mark Van Der Westhuizen)</t>
  </si>
  <si>
    <t>39800005521 FNB Commercial TxP Analytics</t>
  </si>
  <si>
    <t>Katleho Mokoena</t>
  </si>
  <si>
    <t>FNB Loans (Mary-Jane Sibanda)</t>
  </si>
  <si>
    <t>9 year(s), 11 month(s), 23 day(s)</t>
  </si>
  <si>
    <t>Yanga Babana</t>
  </si>
  <si>
    <t>DirectAxis (Nazeem Padayachee)</t>
  </si>
  <si>
    <t>13 year(s), 7 month(s), 18 day(s)</t>
  </si>
  <si>
    <t>Lenize Lottering</t>
  </si>
  <si>
    <t>FNB Commercial Sales Inland (Johan Kotze)</t>
  </si>
  <si>
    <t>34200009213 FNB Commercial Sales Free State Platinum</t>
  </si>
  <si>
    <t>10 year(s), 4 month(s), 21 day(s)</t>
  </si>
  <si>
    <t>Nokwazi Mabaso</t>
  </si>
  <si>
    <t>FNB Points of Presence (Nomfundo Favourite Chili)</t>
  </si>
  <si>
    <t>771007900 FNB POP Branch Delivery Durban North</t>
  </si>
  <si>
    <t>Amdutt Parthab</t>
  </si>
  <si>
    <t>FNB Connect and Service Provider (MONENE MOILA)</t>
  </si>
  <si>
    <t>83100003092 FNB Connect Risk and Compliance</t>
  </si>
  <si>
    <t>Operational Risk Head</t>
  </si>
  <si>
    <t>Marlene Bohmer</t>
  </si>
  <si>
    <t>50700001965 CDO Kernel iDnA PMO Data</t>
  </si>
  <si>
    <t>Xola Ntlangula</t>
  </si>
  <si>
    <t>77800000HOZ RMBSA Executive Support Team</t>
  </si>
  <si>
    <t>Executive Assistant</t>
  </si>
  <si>
    <t>5 year(s), 1 month(s), 23 day(s)</t>
  </si>
  <si>
    <t>Tshegofatso Phambami</t>
  </si>
  <si>
    <t>FNB Emerging Affluent (Megan Rufener)</t>
  </si>
  <si>
    <t>Sales Coordinator</t>
  </si>
  <si>
    <t>Moreblessing Mupfumira</t>
  </si>
  <si>
    <t>CDO Infrastructure and Security Services (Tate Mphahlele)</t>
  </si>
  <si>
    <t>20700005088 CDO Infrastructure and Security Services Business Intelligence</t>
  </si>
  <si>
    <t>Business Intelligence Analyst</t>
  </si>
  <si>
    <t>10 year(s), 3 month(s), 23 day(s)</t>
  </si>
  <si>
    <t>Ashlin Poonan</t>
  </si>
  <si>
    <t>RMBSA Global Markets (Reza Cassim)</t>
  </si>
  <si>
    <t>77800000EXE RMBSA Global Markets Executives</t>
  </si>
  <si>
    <t>Chief Risk Officer Institutional and GM</t>
  </si>
  <si>
    <t>10 year(s), 3 month(s), 7 day(s)</t>
  </si>
  <si>
    <t>Tumi Mofokeng</t>
  </si>
  <si>
    <t>HC and FNB EnTech Leads (Hennie Horn)</t>
  </si>
  <si>
    <t>47100001941 HC and FNB EnTech Support</t>
  </si>
  <si>
    <t>6 year(s), 6 month(s), 15 day(s)</t>
  </si>
  <si>
    <t>Nonhlanhla Gumede Moloto</t>
  </si>
  <si>
    <t>FNB Personal Exco (Lee Mhlongo)</t>
  </si>
  <si>
    <t>5910701900 FNB Retail CDAO</t>
  </si>
  <si>
    <t>10 year(s), 1 month(s), 27 day(s)</t>
  </si>
  <si>
    <t>Kemsley Grantham</t>
  </si>
  <si>
    <t>FNB Commercial Sales KwaZulu Natal (Ingrid Prenger)</t>
  </si>
  <si>
    <t>Mark Liao</t>
  </si>
  <si>
    <t>FNB Credit Card Product House and Card Platform Chief Executive Office (Senzosenkosi Nsibande)</t>
  </si>
  <si>
    <t>20300008486 FNB Credit Card Credit</t>
  </si>
  <si>
    <t>Shantal Reddy</t>
  </si>
  <si>
    <t>Kevin Smith</t>
  </si>
  <si>
    <t>9 year(s), 2 month(s), 23 day(s)</t>
  </si>
  <si>
    <t>Tshepo Leroto</t>
  </si>
  <si>
    <t>FNB Fiduciary (Ralton Leach)</t>
  </si>
  <si>
    <t>54100008438 FNB WI Fiduciary Deceased Reporting DIV</t>
  </si>
  <si>
    <t>Fiduciary Administrator</t>
  </si>
  <si>
    <t>9 year(s), 8 month(s), 23 day(s)</t>
  </si>
  <si>
    <t>Jennifer Crail</t>
  </si>
  <si>
    <t>FNB Commercial Human Capital (Caricka Breedt)</t>
  </si>
  <si>
    <t>10 year(s), 1 month(s), 9 day(s)</t>
  </si>
  <si>
    <t>Nikki Singh</t>
  </si>
  <si>
    <t>RMBSA CDAO Records Management (Andre Diedericks)</t>
  </si>
  <si>
    <t>77800000COT RMBSA CDAO Information Management</t>
  </si>
  <si>
    <t>Records Analyst</t>
  </si>
  <si>
    <t>10 year(s), 1 month(s), 23 day(s)</t>
  </si>
  <si>
    <t>Tracy Eagles</t>
  </si>
  <si>
    <t>302031B9B910 FNB Namibia Strategic Marketing and Communication</t>
  </si>
  <si>
    <t>Chief Marketing Officer</t>
  </si>
  <si>
    <t>10 year(s), 2 month(s), 9 day(s)</t>
  </si>
  <si>
    <t>Nevin Narraidu</t>
  </si>
  <si>
    <t>WB Motor (Khaya Mkhize)</t>
  </si>
  <si>
    <t>30100007874 WB Motor HR</t>
  </si>
  <si>
    <t>Wouter De Klerk</t>
  </si>
  <si>
    <t>WB FML Product House (Matome Sekhaolelo)</t>
  </si>
  <si>
    <t>30100005496 WB FML Projects</t>
  </si>
  <si>
    <t>Kim Pitout</t>
  </si>
  <si>
    <t>FNB CTE Management (Lucen Rathnum (Inherited))</t>
  </si>
  <si>
    <t>86000006462 FNB Learning Quality Management</t>
  </si>
  <si>
    <t>Contact Transaction Enablement Transactional Lead</t>
  </si>
  <si>
    <t>10 year(s), 0 month(s), 17 day(s)</t>
  </si>
  <si>
    <t>Molebogeng Mphatoe</t>
  </si>
  <si>
    <t>FNB Personal Segment Advisory and Suites (Debora Ngilima)</t>
  </si>
  <si>
    <t>97200009224 PSAS Inbound Sales</t>
  </si>
  <si>
    <t>Pearl Manakana</t>
  </si>
  <si>
    <t>FNB Private Core Banking (Crystal Mostert)</t>
  </si>
  <si>
    <t>69000002537 FNB Retail COO Fraud</t>
  </si>
  <si>
    <t>Call Centre Team Leader</t>
  </si>
  <si>
    <t>10 year(s), 1 month(s), 2 day(s)</t>
  </si>
  <si>
    <t>Yasmin Kadwa</t>
  </si>
  <si>
    <t>FirstRand Legal (Virgil McLellan)</t>
  </si>
  <si>
    <t>39400001347 FirstRand Legal Litigation</t>
  </si>
  <si>
    <t>Segment Litigation Head</t>
  </si>
  <si>
    <t>9 year(s), 11 month(s), 13 day(s)</t>
  </si>
  <si>
    <t>Lebogang Selepe</t>
  </si>
  <si>
    <t>Itumeleng Kunene</t>
  </si>
  <si>
    <t>FNB Commercial National Sales and Service (Chris Prinsloo)</t>
  </si>
  <si>
    <t>34300004388 FNB Commercial CRM Dynamics</t>
  </si>
  <si>
    <t>Nthabiseng Phetla</t>
  </si>
  <si>
    <t>FNB Personal Segment Advisory and Suites (Anne Ground)</t>
  </si>
  <si>
    <t>10 year(s), 0 month(s), 2 day(s)</t>
  </si>
  <si>
    <t>Sergio De Sousa</t>
  </si>
  <si>
    <t>FNB Group Technology and Operations COO (Rodney Forbes)</t>
  </si>
  <si>
    <t>302000006368 FNB Namibia Digital Transformation and Data Office</t>
  </si>
  <si>
    <t>Tian Bester</t>
  </si>
  <si>
    <t>nav Chief Data and Analytics (Mohamed Ally)</t>
  </si>
  <si>
    <t>39400005206 nav Data Insights</t>
  </si>
  <si>
    <t>Pontso Mohlotsane</t>
  </si>
  <si>
    <t>FNB Personal Marketing (Qaqamba Godlo)</t>
  </si>
  <si>
    <t>85500006598 FNB Retail Marketing</t>
  </si>
  <si>
    <t>Marketing Portfolio Manager</t>
  </si>
  <si>
    <t>Nthabiseng Motshabi</t>
  </si>
  <si>
    <t>FNB Retail Marketing Pillar (Vongani Mageza (Inherited))</t>
  </si>
  <si>
    <t>9 year(s), 10 month(s), 21 day(s)</t>
  </si>
  <si>
    <t>Mzwandile Maawu</t>
  </si>
  <si>
    <t>FNB Retail COO (Priven Moodley)</t>
  </si>
  <si>
    <t>Mashudu Matsila</t>
  </si>
  <si>
    <t>REMS Real Estate Management Services (Lodi Mothiba)</t>
  </si>
  <si>
    <t>22300006243 REMS Finance</t>
  </si>
  <si>
    <t>Lindelwe Mbugua</t>
  </si>
  <si>
    <t>RMBSA Sustainable Finance and ESG Advisory (Nigel Beck)</t>
  </si>
  <si>
    <t>77800000SUS RMB - SUS Sustainable Finance</t>
  </si>
  <si>
    <t>Transactor</t>
  </si>
  <si>
    <t>Thandiwe Mkalipi</t>
  </si>
  <si>
    <t>FNB Commercial Projects and Operations (Shari Taaibosch)</t>
  </si>
  <si>
    <t>34200009245 FNB Commercial Fulfilment Support</t>
  </si>
  <si>
    <t>Andani Negota</t>
  </si>
  <si>
    <t>FNB Affluent (Nelien Dippenaar)</t>
  </si>
  <si>
    <t>Banking Advisor Affluent</t>
  </si>
  <si>
    <t>8 year(s), 6 month(s), 23 day(s)</t>
  </si>
  <si>
    <t>Kavilan Rajagopaul Pillay</t>
  </si>
  <si>
    <t>FNB Retail COO (Felicity Dlamini)</t>
  </si>
  <si>
    <t>Korsten Bezuidenhout</t>
  </si>
  <si>
    <t>FNB Commercial Projects and Operations (Anelda Rischmuller)</t>
  </si>
  <si>
    <t>34200005604 FNB Commercial Data &amp; Analytics</t>
  </si>
  <si>
    <t>9 year(s), 7 month(s), 16 day(s)</t>
  </si>
  <si>
    <t>Thabo Ngubane</t>
  </si>
  <si>
    <t>FNB Private Core Banking (Kestell Theron)</t>
  </si>
  <si>
    <t>41200007812 FNB Private Core Banking Transact Account and Facility</t>
  </si>
  <si>
    <t>9 year(s), 1 month(s), 4 day(s)</t>
  </si>
  <si>
    <t>Mitesh Makan</t>
  </si>
  <si>
    <t>Solutions Platform Manager</t>
  </si>
  <si>
    <t>Kuda Mukoki</t>
  </si>
  <si>
    <t>21200003024 HSL Finance Support</t>
  </si>
  <si>
    <t>8 year(s), 11 month(s), 23 day(s)</t>
  </si>
  <si>
    <t>Yuvika Singh</t>
  </si>
  <si>
    <t>FNB nav (Jolande Duvenage)</t>
  </si>
  <si>
    <t>Imagineer</t>
  </si>
  <si>
    <t>Tejal Daya</t>
  </si>
  <si>
    <t>FNB Private Banking &amp; Advisory (Kotane Lekota)</t>
  </si>
  <si>
    <t>Tanya Weitz</t>
  </si>
  <si>
    <t>FNB Retail Exco (Vongani Mageza)</t>
  </si>
  <si>
    <t>5910107080 FNB Personal Marketing</t>
  </si>
  <si>
    <t>Pillar Marketing Lead</t>
  </si>
  <si>
    <t>Nelisa Shiba</t>
  </si>
  <si>
    <t>CDO Kernel iNterfaceX (Anelisa Bam)</t>
  </si>
  <si>
    <t>8 year(s), 5 month(s), 23 day(s)</t>
  </si>
  <si>
    <t>Pehrusha Nair</t>
  </si>
  <si>
    <t>FNB HSL (Pam Hlungwani)</t>
  </si>
  <si>
    <t>21200003096 Home Finance Product Department</t>
  </si>
  <si>
    <t>Ashley Saffy</t>
  </si>
  <si>
    <t>FNB Personal Core Banking (Christelle Pretorius)</t>
  </si>
  <si>
    <t>48100002235 FNB Personal Core Banking Personal VISA</t>
  </si>
  <si>
    <t>Partnerships and Growth Head</t>
  </si>
  <si>
    <t>Lesego Sefolo</t>
  </si>
  <si>
    <t>FNB Cash Investments (Kamogelo Masalesa)</t>
  </si>
  <si>
    <t>65100005374 FNB Premium Cash Investments Operations</t>
  </si>
  <si>
    <t>Campaign Analyst</t>
  </si>
  <si>
    <t>9 year(s), 4 month(s), 10 day(s)</t>
  </si>
  <si>
    <t>Kofi Acheampong-Boateng</t>
  </si>
  <si>
    <t>FNB Commercial TxP (Louise Roux)</t>
  </si>
  <si>
    <t>39800008853 FNB Commercial TxP Lend Products</t>
  </si>
  <si>
    <t>Robyn Potgieter</t>
  </si>
  <si>
    <t>Ookame Maruping</t>
  </si>
  <si>
    <t>Career Mentor
Leadership Mentor
Z2-Programme Mentor (HC Managed)</t>
  </si>
  <si>
    <t>RMBSA IBD Real Estate Team A (Dylan Stevenson)</t>
  </si>
  <si>
    <t>77800000SFP RMBSA IBD Real Estate</t>
  </si>
  <si>
    <t>6 year(s), 0 month(s), 23 day(s)</t>
  </si>
  <si>
    <t>Ben Van Der Merwe</t>
  </si>
  <si>
    <t>CDO Banking (Karenza Van Heerden)</t>
  </si>
  <si>
    <t>79000007694 FNB Enablement OCIO Quality Assurance Testing</t>
  </si>
  <si>
    <t>Performance Test Engineer</t>
  </si>
  <si>
    <t>Thabo Seroto</t>
  </si>
  <si>
    <t>REMS Real Estate Management Services (Themba Ntuli)</t>
  </si>
  <si>
    <t>22300005765 REMS Menlyn Facilities</t>
  </si>
  <si>
    <t>8 year(s), 3 month(s), 23 day(s)</t>
  </si>
  <si>
    <t>Ozzie Maluleka</t>
  </si>
  <si>
    <t>FNB Credit Card (Jaya Govender)</t>
  </si>
  <si>
    <t>20300004537 FNB Card Enabler Fleet Fraud</t>
  </si>
  <si>
    <t>Fraud Analyst</t>
  </si>
  <si>
    <t>7 year(s), 11 month(s), 23 day(s)</t>
  </si>
  <si>
    <t>Vuyiswa Khutswa</t>
  </si>
  <si>
    <t>Data Steward</t>
  </si>
  <si>
    <t>10 year(s), 8 month(s), 10 day(s)</t>
  </si>
  <si>
    <t>Lawrence Owen</t>
  </si>
  <si>
    <t>Versalia David</t>
  </si>
  <si>
    <t>FNB eBucks (Nomcebo Sibisi)</t>
  </si>
  <si>
    <t>25600005661 FNB eBucks FirstRand Partner Management</t>
  </si>
  <si>
    <t>Khombisile Dumakude</t>
  </si>
  <si>
    <t>CDO Infrastructure and Security Services (Riaaz Ben)</t>
  </si>
  <si>
    <t>20700005247 CDO Identity and Access Governance</t>
  </si>
  <si>
    <t>Tshepho Rasemphe</t>
  </si>
  <si>
    <t>WB IT Business Enablement (Thokozile Khobane)</t>
  </si>
  <si>
    <t>30100002006 WB IT Business Analysis</t>
  </si>
  <si>
    <t>8 year(s), 1 month(s), 23 day(s)</t>
  </si>
  <si>
    <t>Lufuno Raluombe</t>
  </si>
  <si>
    <t>FNB Points of Presence (Barbara Hlachwayo)</t>
  </si>
  <si>
    <t>Thembinkosi Mahola</t>
  </si>
  <si>
    <t>FNB Credit Card (Jaco Van Wyk)</t>
  </si>
  <si>
    <t>Zanele Nyoka</t>
  </si>
  <si>
    <t>77800000TFE RMB - RMB BT Enablement</t>
  </si>
  <si>
    <t>Nenad Misic</t>
  </si>
  <si>
    <t>FRCC Platform Journey Office (Denever Moodley)</t>
  </si>
  <si>
    <t>20200010712 FRCC Platform Journey Office</t>
  </si>
  <si>
    <t>Business Analysis and Solutions Manager</t>
  </si>
  <si>
    <t>8 year(s), 2 month(s), 23 day(s)</t>
  </si>
  <si>
    <t>Smangele Cunningham</t>
  </si>
  <si>
    <t>CDO Kernel iNterfaceX Fraud Risk Management (Craig Grieve)</t>
  </si>
  <si>
    <t>21800006165 CDO Kernel iNterfaceX Audit and Risk</t>
  </si>
  <si>
    <t>Pratiksha Husrath Bridglall</t>
  </si>
  <si>
    <t>Career Mentor
Leadership Mentor
Technical Mentor
Z2-Programme Mentor (HC Managed)</t>
  </si>
  <si>
    <t>FNB Private Core Banking (Ryan Leicher)</t>
  </si>
  <si>
    <t>Malose Mashitisho</t>
  </si>
  <si>
    <t>FNB nav Head Office (Pierre Boshoff)</t>
  </si>
  <si>
    <t>39400005207 nav Retail Technology</t>
  </si>
  <si>
    <t>8 year(s), 6 month(s), 25 day(s)</t>
  </si>
  <si>
    <t>Luke Adriaanse</t>
  </si>
  <si>
    <t>FNB Commercial Structured Finance Solutions (Tholwana Molefe)</t>
  </si>
  <si>
    <t>33900009219 FNB Commercial Debtor Finance Operations</t>
  </si>
  <si>
    <t>Debtor Finance Analyst</t>
  </si>
  <si>
    <t>8 year(s), 7 month(s), 17 day(s)</t>
  </si>
  <si>
    <t>Kearn Parker</t>
  </si>
  <si>
    <t>Inflexion Platform (Matthew Hale)</t>
  </si>
  <si>
    <t>20200004626 FRCC Payments Platform</t>
  </si>
  <si>
    <t>Business Analyst Lead</t>
  </si>
  <si>
    <t>8 year(s), 2 month(s), 2 day(s)</t>
  </si>
  <si>
    <t>Vulindlela Pietersen</t>
  </si>
  <si>
    <t>FNB Personal Segment Advisory and Suites (Nino Anthony)</t>
  </si>
  <si>
    <t>97200005296 PSAS Premier Chat</t>
  </si>
  <si>
    <t>7 year(s), 6 month(s), 23 day(s)</t>
  </si>
  <si>
    <t>Precious Khechane</t>
  </si>
  <si>
    <t>FNB Point of Presence (Tokoloho Pitso)</t>
  </si>
  <si>
    <t>771084000 FNB POP Branch Delivery Randburg Square</t>
  </si>
  <si>
    <t>Namisile Zama</t>
  </si>
  <si>
    <t>FNB Personal Segment Advisory and Suites (Sarushan Naidoo)</t>
  </si>
  <si>
    <t>8 year(s), 7 month(s), 3 day(s)</t>
  </si>
  <si>
    <t>Sinazo Ndzawombi</t>
  </si>
  <si>
    <t>CDO Infrastructure and Security Services (Patrick Mosakoa)</t>
  </si>
  <si>
    <t>IT Security Specialist</t>
  </si>
  <si>
    <t>6 year(s), 0 month(s), 8 day(s)</t>
  </si>
  <si>
    <t>Stacy Jeannes</t>
  </si>
  <si>
    <t>FNB Central Finance (Cayoom Garrido)</t>
  </si>
  <si>
    <t>39400004304 FNB Finance Support Legal and Risk</t>
  </si>
  <si>
    <t>Tsami Motaung</t>
  </si>
  <si>
    <t>771027600 FNB POP Branch Delivery Kroonstad</t>
  </si>
  <si>
    <t>8 year(s), 6 month(s), 6 day(s)</t>
  </si>
  <si>
    <t>Tricia Nkopodi</t>
  </si>
  <si>
    <t>Asha Rampershad</t>
  </si>
  <si>
    <t>FNB Personal and Private IT (Liesel Bekker)</t>
  </si>
  <si>
    <t>Chris Goudis</t>
  </si>
  <si>
    <t>Manuel Motabatshindi</t>
  </si>
  <si>
    <t>CDO Kernel Integrations (Rudzani Nemusombori)</t>
  </si>
  <si>
    <t>8 year(s), 4 month(s), 18 day(s)</t>
  </si>
  <si>
    <t>Desire Molapo</t>
  </si>
  <si>
    <t>FNB Emerging Affluent (Chantal Pillay)</t>
  </si>
  <si>
    <t>Betty Moabelo</t>
  </si>
  <si>
    <t>FNB Commercial Merchant Services (Netsai Ngidi)</t>
  </si>
  <si>
    <t>22800004061 FNB Commercial Merchant Services Product and Solutions</t>
  </si>
  <si>
    <t>Industry Manager</t>
  </si>
  <si>
    <t>Jean Welsh</t>
  </si>
  <si>
    <t>Dario Neto</t>
  </si>
  <si>
    <t>FNB Chief Executive Office Commercial RoFA (Dinesh Fakir)</t>
  </si>
  <si>
    <t>83200004115 FNB International Global Business Banking</t>
  </si>
  <si>
    <t>Bilqees Higgins</t>
  </si>
  <si>
    <t>FNB Dynamic Decisioning (Adeleya Davis)</t>
  </si>
  <si>
    <t>23900003941 FNB Dynamic Decisioning Cortex</t>
  </si>
  <si>
    <t>Moagi Mokgatlhe</t>
  </si>
  <si>
    <t>FNB Core Banking Platform (Nicolaas Swanepoel)</t>
  </si>
  <si>
    <t>59600010091 FNB Personal and Private IT WB Information Security</t>
  </si>
  <si>
    <t>IT Security Analyst</t>
  </si>
  <si>
    <t>Carla Pretorius</t>
  </si>
  <si>
    <t>FNB Credit Card (Cilliers Kriel)</t>
  </si>
  <si>
    <t>20300004152 FNB Card Enabler Data and Analytics</t>
  </si>
  <si>
    <t>Information Architecture Head</t>
  </si>
  <si>
    <t>Maria Madisa</t>
  </si>
  <si>
    <t>FNB Points of Presence (Vumbhoni Allan Shandlale)</t>
  </si>
  <si>
    <t>69000001647 FNB Retail Engineering and Analysis</t>
  </si>
  <si>
    <t>Mustapha Matentji</t>
  </si>
  <si>
    <t>RMBSA Corporate Client Group Sectors (Tobias Matika)</t>
  </si>
  <si>
    <t>77800000TAW RMBSA TTS Trade and Working Capital</t>
  </si>
  <si>
    <t>Noelle Moore-Nel</t>
  </si>
  <si>
    <t>Group Chief Digital Office (Kevin Mitchell)</t>
  </si>
  <si>
    <t>Segment Human Capital Business Transformation Lead</t>
  </si>
  <si>
    <t>Bridget Nkhumeleni</t>
  </si>
  <si>
    <t>FNB Private Banking and Advisory (Cohen Naidoo)</t>
  </si>
  <si>
    <t>34100003502 PB&amp;A Bedfordview Wealth</t>
  </si>
  <si>
    <t>8 year(s), 2 month(s), 9 day(s)</t>
  </si>
  <si>
    <t>Dohann Neethling</t>
  </si>
  <si>
    <t>FNB Loans (Francois Schreuder)</t>
  </si>
  <si>
    <t>Keren Scheepers</t>
  </si>
  <si>
    <t>FNB Commercial TxP (Ansley Adams)</t>
  </si>
  <si>
    <t>39800002945 FNB Commercial TxP Credit Card Sales</t>
  </si>
  <si>
    <t>Nangula Kauluma</t>
  </si>
  <si>
    <t>CEO</t>
  </si>
  <si>
    <t>Nolu Hlwatika</t>
  </si>
  <si>
    <t>FNB COO Head Office (Mareli Benn)</t>
  </si>
  <si>
    <t>69000004783 FNB COO - Communications</t>
  </si>
  <si>
    <t>8 year(s), 0 month(s), 4 day(s)</t>
  </si>
  <si>
    <t>Mawande Ngcai</t>
  </si>
  <si>
    <t>FNB Points of Presence (Michael Meyer)</t>
  </si>
  <si>
    <t>7710710200 FNB POP Learning and Development</t>
  </si>
  <si>
    <t>Jurgens Van Rooyen</t>
  </si>
  <si>
    <t>77800000RNJ RMB RNJ RMB Client Tech</t>
  </si>
  <si>
    <t>Chief Information Officer Client Coverage</t>
  </si>
  <si>
    <t>Phelela Ngcongolo</t>
  </si>
  <si>
    <t>FNB Points of Presence (Moloisho Mashiloane)</t>
  </si>
  <si>
    <t>771063100 FNB POP Branch Delivery Northgate</t>
  </si>
  <si>
    <t>Paul Van Tonder</t>
  </si>
  <si>
    <t>FNB Personal Core Banking (Ebert Strydom)</t>
  </si>
  <si>
    <t>48100008749 FNB Personal Core Banking Strategic Payments</t>
  </si>
  <si>
    <t>Engelberth Djami</t>
  </si>
  <si>
    <t>302000005067 FNB Namibia Project Management Office</t>
  </si>
  <si>
    <t>Ushana Chetty</t>
  </si>
  <si>
    <t>Group Internal Audit Invest Pillar (Ajay Somla)</t>
  </si>
  <si>
    <t>Internal Audit Manager</t>
  </si>
  <si>
    <t>7 year(s), 11 month(s), 4 day(s)</t>
  </si>
  <si>
    <t>Zakhele Mkhatshwa</t>
  </si>
  <si>
    <t>First Risk and Advisory Services (Ryan Murray)</t>
  </si>
  <si>
    <t>16900010789 First Risk and Advisory Services DD Direct Sales</t>
  </si>
  <si>
    <t>Sales Broker</t>
  </si>
  <si>
    <t>Precious Tshegofatso Boshielo</t>
  </si>
  <si>
    <t>FNB Credit Card (Sashin Govender)</t>
  </si>
  <si>
    <t>20300004184 FNB Card Fraud Admin Complex Cases</t>
  </si>
  <si>
    <t>Fraud Administrator</t>
  </si>
  <si>
    <t>Mbali Modjela</t>
  </si>
  <si>
    <t>FNB Private Core Banking (Chanel Mudaly)</t>
  </si>
  <si>
    <t>41200004426 FNB Private Core Banking Credit Risk and Analytics</t>
  </si>
  <si>
    <t>7 year(s), 9 month(s), 6 day(s)</t>
  </si>
  <si>
    <t>Percival Peterson</t>
  </si>
  <si>
    <t>FNB Dynamic Decisioning (Sello Mogaladi)</t>
  </si>
  <si>
    <t>23900006889 FNB Dynamic Decisioning Campaigns and CLB</t>
  </si>
  <si>
    <t>Platform Migration Specialist</t>
  </si>
  <si>
    <t>6 year(s), 9 month(s), 23 day(s)</t>
  </si>
  <si>
    <t>Tsaone Maseng</t>
  </si>
  <si>
    <t>FNB Points of Presence (Kobela Mataboge)</t>
  </si>
  <si>
    <t>771038300 FNB POP Branch Delivery Swartruggens</t>
  </si>
  <si>
    <t>6 year(s), 1 month(s), 6 day(s)</t>
  </si>
  <si>
    <t>Santelle Naicker</t>
  </si>
  <si>
    <t>RMBSA Global Markets Technology Trading (Doron Klotz)</t>
  </si>
  <si>
    <t>77800000BGE RMBSA Global Market Data Services Capability</t>
  </si>
  <si>
    <t>Platform Head</t>
  </si>
  <si>
    <t>Kumari Padiachy</t>
  </si>
  <si>
    <t>IT Programme Manager</t>
  </si>
  <si>
    <t>Nicole Dooling</t>
  </si>
  <si>
    <t>FR Life Assurance (Jabulile Sigasa)</t>
  </si>
  <si>
    <t>61500010272 FR Life Marketing</t>
  </si>
  <si>
    <t>Mayuri Ravjee</t>
  </si>
  <si>
    <t>Radeefa Breda</t>
  </si>
  <si>
    <t>FNB HSL (Jason Michaels)</t>
  </si>
  <si>
    <t>21200000933 HSL Channel Management</t>
  </si>
  <si>
    <t>Sales Consultant Home Loans External</t>
  </si>
  <si>
    <t>Tammy Bolon</t>
  </si>
  <si>
    <t>Vidhatha Maharajh</t>
  </si>
  <si>
    <t>FNB Credit Card (Christopher Boxall)</t>
  </si>
  <si>
    <t>20300008293 FNB Card Enabler Card Operations Product</t>
  </si>
  <si>
    <t>Payments Manager</t>
  </si>
  <si>
    <t>6 year(s), 3 month(s), 22 day(s)</t>
  </si>
  <si>
    <t>Frans Qhinebe</t>
  </si>
  <si>
    <t>FNB Commercial Credit Scoring (Alfred Friend)</t>
  </si>
  <si>
    <t>34200003338 FNB Commercial Credit Scoring</t>
  </si>
  <si>
    <t>6 year(s), 3 month(s), 23 day(s)</t>
  </si>
  <si>
    <t>Motshedisi Makoea</t>
  </si>
  <si>
    <t>FNB Points of Presence (Maryke Wessels De Witt)</t>
  </si>
  <si>
    <t>7710632900 FNB POP Legal Support</t>
  </si>
  <si>
    <t>Legal Advisor</t>
  </si>
  <si>
    <t>7 year(s), 7 month(s), 22 day(s)</t>
  </si>
  <si>
    <t>Nadira Umraw</t>
  </si>
  <si>
    <t>FNB Fiduciary (David Lovett)</t>
  </si>
  <si>
    <t>30300008732 FNB WI Fiduciary Administration DBN</t>
  </si>
  <si>
    <t>7 year(s), 8 month(s), 8 day(s)</t>
  </si>
  <si>
    <t>Andre Olivier</t>
  </si>
  <si>
    <t>Zukisani Dyasi</t>
  </si>
  <si>
    <t>RMB TTS Client Groups (Kevin Ssemwogerere)</t>
  </si>
  <si>
    <t>77800000TXS RMBSA TTS Transactional Banking Sales</t>
  </si>
  <si>
    <t>Business Development Strategist</t>
  </si>
  <si>
    <t>Michelle Girdharilall</t>
  </si>
  <si>
    <t>47100007825 HC and FNB EnTech Delivery</t>
  </si>
  <si>
    <t>Leeresha Dehaloo</t>
  </si>
  <si>
    <t>CDO Kernel iNterfaceX (Shaimal Bhika)</t>
  </si>
  <si>
    <t>21800004117 CDO Kernel iNterfaceX Data Science Engineering</t>
  </si>
  <si>
    <t>7 year(s), 2 month(s), 3 day(s)</t>
  </si>
  <si>
    <t>Kevin Myers</t>
  </si>
  <si>
    <t>FNB Retail Financial Resource Management (Anina Siriram)</t>
  </si>
  <si>
    <t>85500002046 FNB Retail Financial Resource Management</t>
  </si>
  <si>
    <t>Financial Resources Analyst</t>
  </si>
  <si>
    <t>Alcinda Moezelaar</t>
  </si>
  <si>
    <t>RMBSA TTS Client Groups (Tamara D'Onofrio)</t>
  </si>
  <si>
    <t>77800000SON RMBSA TTS Client Group Sales Enablement</t>
  </si>
  <si>
    <t>6 year(s), 5 month(s), 23 day(s)</t>
  </si>
  <si>
    <t>Sifiso Nkosi</t>
  </si>
  <si>
    <t>7 year(s), 6 month(s), 14 day(s)</t>
  </si>
  <si>
    <t>Denis Nhatumbo</t>
  </si>
  <si>
    <t>CDO Infrastructure and Security Services (Vuyokazi Rozani)</t>
  </si>
  <si>
    <t>20700008475 CDO Networks and Security Services End User Support</t>
  </si>
  <si>
    <t>IT Support Technician Team Lead</t>
  </si>
  <si>
    <t>Banele Kumalo</t>
  </si>
  <si>
    <t>FR Life Assurance (Lebohang Lesekele)</t>
  </si>
  <si>
    <t>61500010294 FR Life Insure Sales CC</t>
  </si>
  <si>
    <t>Anele Mkhize</t>
  </si>
  <si>
    <t>7 year(s), 6 month(s), 26 day(s)</t>
  </si>
  <si>
    <t>Tshepo Mokoena</t>
  </si>
  <si>
    <t>FNB Points of Presence (Katlego Rapoo)</t>
  </si>
  <si>
    <t>7710213700 FNB POP Branch Delivery Birch Acres Mall</t>
  </si>
  <si>
    <t>Shanice Sunderpersadh</t>
  </si>
  <si>
    <t>FNB Commercial TxP (Cornet Kellerman)</t>
  </si>
  <si>
    <t>39800004465 FNB Commercial TxP Transact Products</t>
  </si>
  <si>
    <t>7 year(s), 5 month(s), 9 day(s)</t>
  </si>
  <si>
    <t>Darshika Sewraj</t>
  </si>
  <si>
    <t>FNB Personal Segment Advisory and Suites (Clinton Gray)</t>
  </si>
  <si>
    <t>97200009841 PSAS Cash Invesments</t>
  </si>
  <si>
    <t>Investment Advisor</t>
  </si>
  <si>
    <t>Thabang Hatane</t>
  </si>
  <si>
    <t>FNB Commercial Merchant Services (Ashley Jacobs)</t>
  </si>
  <si>
    <t>22800008224 FNB Commercial Merchant Services Projects</t>
  </si>
  <si>
    <t>Kellan Govender</t>
  </si>
  <si>
    <t>Melva Bugana</t>
  </si>
  <si>
    <t>FR Life Assurance (Mbali Goodness Xaba)</t>
  </si>
  <si>
    <t>7 year(s), 4 month(s), 9 day(s)</t>
  </si>
  <si>
    <t>Jennifer Dutton</t>
  </si>
  <si>
    <t>FNB International SA (Lorna Reid)</t>
  </si>
  <si>
    <t>Organisational Development Specialist</t>
  </si>
  <si>
    <t>Rashida Rawat</t>
  </si>
  <si>
    <t>18 year(s), 9 month(s), 23 day(s)</t>
  </si>
  <si>
    <t>Geraldine Parker</t>
  </si>
  <si>
    <t>FNB Segment Talent (Ntswaki Raboroko)</t>
  </si>
  <si>
    <t>47100009659 CoE Talent Management</t>
  </si>
  <si>
    <t>Performance Enablement Manager</t>
  </si>
  <si>
    <t>Lihle Nkala</t>
  </si>
  <si>
    <t>FNB Connect and Service Provider (Mzwandile Maawu)</t>
  </si>
  <si>
    <t>Laylaa Mahomed</t>
  </si>
  <si>
    <t>7 year(s), 2 month(s), 9 day(s)</t>
  </si>
  <si>
    <t>Sudeshni Gounden</t>
  </si>
  <si>
    <t>Group Lead Learning and Development</t>
  </si>
  <si>
    <t>7 year(s), 4 month(s), 4 day(s)</t>
  </si>
  <si>
    <t>Annanda Basson</t>
  </si>
  <si>
    <t>RMBSA Global Markets Technology (Thomas Evje)</t>
  </si>
  <si>
    <t>77800000BMU RMBSA Global Markets Technology Murex</t>
  </si>
  <si>
    <t>Business Technology Head</t>
  </si>
  <si>
    <t>Tsholofelo Mathye</t>
  </si>
  <si>
    <t>FNB Wealth (Daniel Malete)</t>
  </si>
  <si>
    <t>7 year(s), 3 month(s), 13 day(s)</t>
  </si>
  <si>
    <t>Siphamandla Mkhwanazi</t>
  </si>
  <si>
    <t>FNB Economics (Mamello Matikinca)</t>
  </si>
  <si>
    <t>39400003093 FNB Economics</t>
  </si>
  <si>
    <t>Economist</t>
  </si>
  <si>
    <t>7 year(s), 2 month(s), 14 day(s)</t>
  </si>
  <si>
    <t>Andries Jordaan</t>
  </si>
  <si>
    <t>FNB Retail P Human Capital (Coleen Cloete)</t>
  </si>
  <si>
    <t>7 year(s), 3 month(s), 25 day(s)</t>
  </si>
  <si>
    <t>Shaun Caromba</t>
  </si>
  <si>
    <t>34100007661 PB&amp;A Inland Lowveld Wealth</t>
  </si>
  <si>
    <t>Nolwazi Ndlovu</t>
  </si>
  <si>
    <t>FNB Integrated Advice (Ester Ochse)</t>
  </si>
  <si>
    <t>7 year(s), 3 month(s), 19 day(s)</t>
  </si>
  <si>
    <t>Cherise Coetzee-stein</t>
  </si>
  <si>
    <t>FNB Connect and Service Provider (Shadrack Palmer)</t>
  </si>
  <si>
    <t>83100002039 FNB Connect Product Development and Support</t>
  </si>
  <si>
    <t>Product Development Manager</t>
  </si>
  <si>
    <t>7 year(s), 2 month(s), 16 day(s)</t>
  </si>
  <si>
    <t>Fatima Kasoojee</t>
  </si>
  <si>
    <t>FNB Commercial Chief Risk Office (Nazeem Goolam Hoosen)</t>
  </si>
  <si>
    <t>34400008612 FNB Commercial Chief Risk Office Operational Risk</t>
  </si>
  <si>
    <t>7 year(s), 2 month(s), 17 day(s)</t>
  </si>
  <si>
    <t>Claire Carson</t>
  </si>
  <si>
    <t>RMBSA IBD Corporate Broking (Sam Shipway)</t>
  </si>
  <si>
    <t>77800000ICK RMBSA IBD Corporate Broking</t>
  </si>
  <si>
    <t>Olivia Randriamady</t>
  </si>
  <si>
    <t>WB ABF Scored Credit (Anika Nieman)</t>
  </si>
  <si>
    <t>30100003151 WB ABF Scored Credit</t>
  </si>
  <si>
    <t>Wanda Ndabambi</t>
  </si>
  <si>
    <t>34200006247 FNB Commercial Sales Gauteng Klipriver 150M Plus</t>
  </si>
  <si>
    <t>7 year(s), 1 month(s), 6 day(s)</t>
  </si>
  <si>
    <t>Unathi Ndyaluvane</t>
  </si>
  <si>
    <t>RMBSA CDAO Information Management (Keeran Padayachi)</t>
  </si>
  <si>
    <t>Data Privacy Manager</t>
  </si>
  <si>
    <t>3 year(s), 4 month(s), 23 day(s)</t>
  </si>
  <si>
    <t>Melissa Delie</t>
  </si>
  <si>
    <t>Group Internal Audit FCC Central IT (Luzuko Dyosi)</t>
  </si>
  <si>
    <t>20200006029 FRCC Central IT Internal Audit</t>
  </si>
  <si>
    <t>5 year(s), 10 month(s), 13 day(s)</t>
  </si>
  <si>
    <t>Tebogo Mashigo</t>
  </si>
  <si>
    <t>FNB Commercial Merchant Services (Shiwaan Rahman)</t>
  </si>
  <si>
    <t>7 year(s), 0 month(s), 23 day(s)</t>
  </si>
  <si>
    <t>Ragel Shivute</t>
  </si>
  <si>
    <t>FNB Namibia Limited (Chantelle Vogel)</t>
  </si>
  <si>
    <t>302000001404 FNB Namibia Contact Centre</t>
  </si>
  <si>
    <t>Gaylene Walters</t>
  </si>
  <si>
    <t>FNB Points of Presence (Nicolene Fourie)</t>
  </si>
  <si>
    <t>771022900 FNB POP Branch Delivery George</t>
  </si>
  <si>
    <t>19 year(s), 1 month(s), 5 day(s)</t>
  </si>
  <si>
    <t>Sihle Kwaaiman</t>
  </si>
  <si>
    <t>DirectAxis (Hayley Carelse)</t>
  </si>
  <si>
    <t>99700015107 DA Cash Power Loans Fulfilment</t>
  </si>
  <si>
    <t>Tracy Johnson</t>
  </si>
  <si>
    <t>DirectAxis (Jean-Pierre Crook)</t>
  </si>
  <si>
    <t>Dialer Administrator</t>
  </si>
  <si>
    <t>Bronwin Londt</t>
  </si>
  <si>
    <t>FNB HSL (Dineo Mokoena)</t>
  </si>
  <si>
    <t>21200004068 HSL Strategic Lending Modelling Impairments and Capital</t>
  </si>
  <si>
    <t>16 year(s), 8 month(s), 23 day(s)</t>
  </si>
  <si>
    <t>Rialivhuwa Mudau</t>
  </si>
  <si>
    <t>Nomgqibelo Msimango</t>
  </si>
  <si>
    <t>FNB Personal Segment Advisory and Suites (Mocheko Chaka)</t>
  </si>
  <si>
    <t>97200011017 FNB PSAS - Suite Exco</t>
  </si>
  <si>
    <t>Business Support Head</t>
  </si>
  <si>
    <t>Wesley Francis</t>
  </si>
  <si>
    <t>FNB iCustomer (Mandlenkosi Vana)</t>
  </si>
  <si>
    <t>39400005921 FNB iCustomer Extraction and Recognition</t>
  </si>
  <si>
    <t>Business Solutions Manager</t>
  </si>
  <si>
    <t>15 year(s), 7 month(s), 23 day(s)</t>
  </si>
  <si>
    <t>Majdah Mathews</t>
  </si>
  <si>
    <t>Career Coaching Specialist</t>
  </si>
  <si>
    <t>9 year(s), 3 month(s), 11 day(s)</t>
  </si>
  <si>
    <t>Ruben Smith</t>
  </si>
  <si>
    <t>FNB Personal Segment Advisory and Suites (Edwin Phiri)</t>
  </si>
  <si>
    <t>97200007505 PSAS QAD COE</t>
  </si>
  <si>
    <t>10 year(s), 1 month(s), 7 day(s)</t>
  </si>
  <si>
    <t>Asanda Grimis</t>
  </si>
  <si>
    <t>DirectAxis (Lux Mkhwanazi)</t>
  </si>
  <si>
    <t>Call Centre Support Advisor</t>
  </si>
  <si>
    <t>10 year(s), 5 month(s), 5 day(s)</t>
  </si>
  <si>
    <t>Afreen Kumandan</t>
  </si>
  <si>
    <t>10 year(s), 6 month(s), 17 day(s)</t>
  </si>
  <si>
    <t>Gavyn Letley</t>
  </si>
  <si>
    <t>DirectAxis (Yasmin Abrahams)</t>
  </si>
  <si>
    <t>99700009159 FNB DA Operations Executives</t>
  </si>
  <si>
    <t>10 year(s), 11 month(s), 27 day(s)</t>
  </si>
  <si>
    <t>Loren Johnson</t>
  </si>
  <si>
    <t>FNB Customer and Sales Interactions (Donovan Pretorius)</t>
  </si>
  <si>
    <t>Denver Wayne Daniels</t>
  </si>
  <si>
    <t>20700005802 CDO Infrastructure and Security Services Change and Configuration Management</t>
  </si>
  <si>
    <t>IT Change and Release Manager</t>
  </si>
  <si>
    <t>Elne Jacobs</t>
  </si>
  <si>
    <t>Hermann Schutzler</t>
  </si>
  <si>
    <t>DirectAxis (Ahmad Gangat)</t>
  </si>
  <si>
    <t>12 year(s), 5 month(s), 17 day(s)</t>
  </si>
  <si>
    <t>Amanda Ramba</t>
  </si>
  <si>
    <t>FNB Commercial Human Capital (Nthabiseng Maboya)</t>
  </si>
  <si>
    <t>Talent Sourcing Specialist</t>
  </si>
  <si>
    <t>14 year(s), 1 month(s), 8 day(s)</t>
  </si>
  <si>
    <t>Eptisaam Morris-Norman</t>
  </si>
  <si>
    <t>DirectAxis (Aisha Abrahams)</t>
  </si>
  <si>
    <t>99700015167 DA Loans Credit Risk</t>
  </si>
  <si>
    <t>15 year(s), 1 month(s), 17 day(s)</t>
  </si>
  <si>
    <t>Megan Petersen</t>
  </si>
  <si>
    <t>15 year(s), 8 month(s), 25 day(s)</t>
  </si>
  <si>
    <t>Zulyga Patel</t>
  </si>
  <si>
    <t>DirectAxis (Carika Frans)</t>
  </si>
  <si>
    <t>99700015104 DA Business Unit 1</t>
  </si>
  <si>
    <t>Masood Titus</t>
  </si>
  <si>
    <t>Rida Lutta</t>
  </si>
  <si>
    <t>19 year(s), 4 month(s), 23 day(s)</t>
  </si>
  <si>
    <t>Fiona Ssemanda</t>
  </si>
  <si>
    <t>FNB Personal Exco (Michael Davis)</t>
  </si>
  <si>
    <t>79100009677 FNB Consumer Loans CEO Office</t>
  </si>
  <si>
    <t>Janine Wray</t>
  </si>
  <si>
    <t>Sales and Service Head</t>
  </si>
  <si>
    <t>21 year(s), 10 month(s), 26 day(s)</t>
  </si>
  <si>
    <t>Nicki Hill</t>
  </si>
  <si>
    <t>FNB Personal Segment Advisory and Suites (Monique Smith)</t>
  </si>
  <si>
    <t>97200008195 PSAS CVP, Digital, CEX</t>
  </si>
  <si>
    <t>Customer Experience Head</t>
  </si>
  <si>
    <t>26 year(s), 6 month(s), 18 day(s)</t>
  </si>
  <si>
    <t>Methuen Fowkes</t>
  </si>
  <si>
    <t>DirectAxis (Adriaan Odendaal)</t>
  </si>
  <si>
    <t>99700015137 DA IT Operations</t>
  </si>
  <si>
    <t>Server Administrator</t>
  </si>
  <si>
    <t>15 year(s), 10 month(s), 23 day(s)</t>
  </si>
  <si>
    <t>Zithulele Mjiako</t>
  </si>
  <si>
    <t>6 year(s), 11 month(s), 23 day(s)</t>
  </si>
  <si>
    <t>Thomas Tonga</t>
  </si>
  <si>
    <t>FNB Chief Risk Office IT (Paul Hazelton)</t>
  </si>
  <si>
    <t>Platform Service Owner</t>
  </si>
  <si>
    <t>7 year(s), 0 month(s), 3 day(s)</t>
  </si>
  <si>
    <t>Umphile Moroe</t>
  </si>
  <si>
    <t>Karabo Mohlala</t>
  </si>
  <si>
    <t>FNB Personal Core Banking (Sylvia Kambule)</t>
  </si>
  <si>
    <t>Collections Advisor</t>
  </si>
  <si>
    <t>5 year(s), 7 month(s), 23 day(s)</t>
  </si>
  <si>
    <t>Ridwaan Eshak</t>
  </si>
  <si>
    <t>FNB Chief Risk Office Executive (Dale Rimmington)</t>
  </si>
  <si>
    <t>39400009192 FNB Chief Risk Office IT Risk</t>
  </si>
  <si>
    <t>Thabang Mashilo</t>
  </si>
  <si>
    <t>FNB Points of Presence (Tebogo Kekana)</t>
  </si>
  <si>
    <t>7710525800 FNB POP Branch Delivery Mushroom Farm</t>
  </si>
  <si>
    <t>Arthur Halahala</t>
  </si>
  <si>
    <t>FNB Personal (Sipho Ngobese)</t>
  </si>
  <si>
    <t>771049200 FNB POP Branch Delivery Melville</t>
  </si>
  <si>
    <t>4 year(s), 10 month(s), 23 day(s)</t>
  </si>
  <si>
    <t>Morena Mohlodi</t>
  </si>
  <si>
    <t>FNB Commercial Finance, Data, Infrastructure and SME Development Enablement (Chantal Roodt)</t>
  </si>
  <si>
    <t>34400006939 FNB Commercial Facilities Management</t>
  </si>
  <si>
    <t>Asset Coordinator</t>
  </si>
  <si>
    <t>Alison Felix-Lodewyk</t>
  </si>
  <si>
    <t>Herman Moolman</t>
  </si>
  <si>
    <t>Leadership Mentor
Transition Mentor
Workplace  Buddy</t>
  </si>
  <si>
    <t>FNB Dynamic Decisioning Project Delivery (Cindy John)</t>
  </si>
  <si>
    <t>23900006144 FNB Dynamic Decisioning Project Delivery</t>
  </si>
  <si>
    <t>6 year(s), 11 month(s), 2 day(s)</t>
  </si>
  <si>
    <t>Thobeka Zulu</t>
  </si>
  <si>
    <t>FNB Commercial TxP (Francis Tobin)</t>
  </si>
  <si>
    <t>39800006739 FNB Commercial TxP Credit Card Collections</t>
  </si>
  <si>
    <t>Collections Manager</t>
  </si>
  <si>
    <t>Senzo Manzini</t>
  </si>
  <si>
    <t>Tania Peters</t>
  </si>
  <si>
    <t>FNB Commercial Chief Risk Office (Thloni Mhango (Inherited))</t>
  </si>
  <si>
    <t>34400005615 FNB Commercial Chief Risk Office Regulatory Risk</t>
  </si>
  <si>
    <t>Mumbi Odame</t>
  </si>
  <si>
    <t>77800000CXD RMBSA Client Experience Design</t>
  </si>
  <si>
    <t>Client Experience Design Head</t>
  </si>
  <si>
    <t>Thabo Mahlaba</t>
  </si>
  <si>
    <t>FNB Points of Presence (Nontobeko Kunene)</t>
  </si>
  <si>
    <t>771079400 FNB POP Branch Delivery Nelspruit Pinnacle</t>
  </si>
  <si>
    <t>Sibongile Rakgosi</t>
  </si>
  <si>
    <t>Busang Kgomo</t>
  </si>
  <si>
    <t>FNB Points of Presence (Godfrey Mosaku)</t>
  </si>
  <si>
    <t>771069100 FNB POP Branch Delivery Maluti</t>
  </si>
  <si>
    <t>6 year(s), 9 month(s), 14 day(s)</t>
  </si>
  <si>
    <t>Simni Letuka</t>
  </si>
  <si>
    <t>Diversity and Inclusion Specialist</t>
  </si>
  <si>
    <t>Sam Mekwa</t>
  </si>
  <si>
    <t>FNB Retail COO (Tuaneshnee Naidoo)</t>
  </si>
  <si>
    <t>3 year(s), 10 month(s), 23 day(s)</t>
  </si>
  <si>
    <t>Nelly Mvelase</t>
  </si>
  <si>
    <t>FNB Points of Presence (Lusanda Tekula)</t>
  </si>
  <si>
    <t>771029600 FNB POP Branch Delivery Margate</t>
  </si>
  <si>
    <t>Ryan Jacobs</t>
  </si>
  <si>
    <t>WB Motor Operations (Lebogang Leketi)</t>
  </si>
  <si>
    <t>30100007302 WB WesBank/TFS CSC</t>
  </si>
  <si>
    <t>Mohammed Sakildien</t>
  </si>
  <si>
    <t>FNB Personal Segment Advisory and Suites (Phindile Gwamanda)</t>
  </si>
  <si>
    <t>6 year(s), 8 month(s), 9 day(s)</t>
  </si>
  <si>
    <t>Kholofelo Mogodi</t>
  </si>
  <si>
    <t>FNB Wealth and Investments (Boitumelo Finger)</t>
  </si>
  <si>
    <t>46700006634 FNB WI IT Dev Data</t>
  </si>
  <si>
    <t>Data Manager</t>
  </si>
  <si>
    <t>Lyndon Collins</t>
  </si>
  <si>
    <t>Sunitha Govender</t>
  </si>
  <si>
    <t>DirectAxis (Asterico Adams)</t>
  </si>
  <si>
    <t>Information Management Specialist</t>
  </si>
  <si>
    <t>4 year(s), 1 month(s), 23 day(s)</t>
  </si>
  <si>
    <t>Nosipho Shandu</t>
  </si>
  <si>
    <t>FNB Commercial Merchant Services (Prinasen Moodley)</t>
  </si>
  <si>
    <t>3 year(s), 9 month(s), 23 day(s)</t>
  </si>
  <si>
    <t>Sibonisile Zulu</t>
  </si>
  <si>
    <t>FNB Points of Presence (Nokwazi Shabalala)</t>
  </si>
  <si>
    <t>771067400 FNB POP Branch Delivery Boom Street</t>
  </si>
  <si>
    <t>Bjorn Coetzee</t>
  </si>
  <si>
    <t>FNB Personal and Private IT (Farieda Mayet)</t>
  </si>
  <si>
    <t>6 year(s), 6 month(s), 8 day(s)</t>
  </si>
  <si>
    <t>Ismaeel Majiet</t>
  </si>
  <si>
    <t>nav Product (Willem Potgieter)</t>
  </si>
  <si>
    <t>Support Imagineer</t>
  </si>
  <si>
    <t>Kelly Ntebe</t>
  </si>
  <si>
    <t>FNB HSL (Shannon De Andrade)</t>
  </si>
  <si>
    <t>21200001447 HSL Attorney Liaison and Pipeline Management</t>
  </si>
  <si>
    <t>Attorney Liaison Manager</t>
  </si>
  <si>
    <t>6 year(s), 6 month(s), 1 day(s)</t>
  </si>
  <si>
    <t>Hussein Khan</t>
  </si>
  <si>
    <t>Warwick Buttress</t>
  </si>
  <si>
    <t>FNB Personal (Clint Eksteen)</t>
  </si>
  <si>
    <t>97200010705 FNB Internet Capability</t>
  </si>
  <si>
    <t>Digital Creative Producer</t>
  </si>
  <si>
    <t>Karabo Modisane</t>
  </si>
  <si>
    <t>FNB Private Banking and Advisory (Reginald Gow)</t>
  </si>
  <si>
    <t>Private Service Advisor</t>
  </si>
  <si>
    <t>Johannah Mohlabeng</t>
  </si>
  <si>
    <t>CDO Kernel iNterfaceX (Pavan Konatham)</t>
  </si>
  <si>
    <t>21800009263 CDO Kernel iNterfaceX Tech Online Banking QA</t>
  </si>
  <si>
    <t>Sbonelo Masilela</t>
  </si>
  <si>
    <t>FNB HR Support (Favour Matlaila)</t>
  </si>
  <si>
    <t>6 year(s), 5 month(s), 10 day(s)</t>
  </si>
  <si>
    <t>Simon Sekokotla</t>
  </si>
  <si>
    <t>FNB Commercial Cash Operations Support (Thembisa Mcetywa)</t>
  </si>
  <si>
    <t>76100000967 FNB Commercial Cash Centre Pretoria</t>
  </si>
  <si>
    <t>Teller</t>
  </si>
  <si>
    <t>Samira Harris</t>
  </si>
  <si>
    <t>FNB Personal Segment Advisory and Suites (Jillian April)</t>
  </si>
  <si>
    <t>Froggy Munga</t>
  </si>
  <si>
    <t>FNB Brand Graphic Design (Dominique Wilkins)</t>
  </si>
  <si>
    <t>Senior Brand Identity Specialist</t>
  </si>
  <si>
    <t>Marcus Manganyi</t>
  </si>
  <si>
    <t>CDO Infrastructure and Security Services (Vanessa Govender)</t>
  </si>
  <si>
    <t>20700001342 CDO Infrastructure and Security Services Risk</t>
  </si>
  <si>
    <t>Business Process Engineer</t>
  </si>
  <si>
    <t>Mpho Masisi</t>
  </si>
  <si>
    <t>RMBSA CCG Auto, Logistics and Industrials Sector (Pieter Nienaber)</t>
  </si>
  <si>
    <t>77800000AUT RMBSA Auto, Logistics and Industrials Sector</t>
  </si>
  <si>
    <t>Sector Banker</t>
  </si>
  <si>
    <t>6 year(s), 4 month(s), 20 day(s)</t>
  </si>
  <si>
    <t>Sabelo Ndabazandile</t>
  </si>
  <si>
    <t>FNB Commercial Sales Gauteng North (Jessie Mogoba)</t>
  </si>
  <si>
    <t>34200006343 FNB Commercial Sales Gauteng Midrand 60 to 150M</t>
  </si>
  <si>
    <t>Itumeleng Kgoare</t>
  </si>
  <si>
    <t>FNB Cash Investments (Cornel Du Toit)</t>
  </si>
  <si>
    <t>Tshepiso Mokadi</t>
  </si>
  <si>
    <t>4 year(s), 3 month(s), 23 day(s)</t>
  </si>
  <si>
    <t>Nabeel Makkan</t>
  </si>
  <si>
    <t>FNB eBucks Technology (Kuven Pillay)</t>
  </si>
  <si>
    <t>25600005667 FNB eBucks Technology</t>
  </si>
  <si>
    <t>6 year(s), 2 month(s), 4 day(s)</t>
  </si>
  <si>
    <t>Kelly Chetty</t>
  </si>
  <si>
    <t>RMBSA Global Markets ICG Structured Sales (Nico Le Roux)</t>
  </si>
  <si>
    <t>77800000SAI RMBSA Global Markets SA Institutional Strucutred Sales</t>
  </si>
  <si>
    <t>Client Structurer</t>
  </si>
  <si>
    <t>6 year(s), 2 month(s), 11 day(s)</t>
  </si>
  <si>
    <t>Steven Harris</t>
  </si>
  <si>
    <t>RMBSA IBD Leverage Finance Team A (Duncan Smith)</t>
  </si>
  <si>
    <t>77800000AQN RMBSA IBD Leverage Finance</t>
  </si>
  <si>
    <t>6 year(s), 2 month(s), 23 day(s)</t>
  </si>
  <si>
    <t>Peter Mogodi</t>
  </si>
  <si>
    <t>FNB Broader Africa (Nozipho Duma)</t>
  </si>
  <si>
    <t>83200004112 FNB International SA Chief Data and Analytics Office</t>
  </si>
  <si>
    <t>4 year(s), 7 month(s), 14 day(s)</t>
  </si>
  <si>
    <t>Mosa Seloane</t>
  </si>
  <si>
    <t>FNB HR Centre of Expertise (Joanna Preston)</t>
  </si>
  <si>
    <t>47100009666 CoE Niche Talent Programme</t>
  </si>
  <si>
    <t>Young Talent Learning and Development Manager</t>
  </si>
  <si>
    <t>Courtney Lewis</t>
  </si>
  <si>
    <t>FNB Dynamic Decisioning (Waldo Botha)</t>
  </si>
  <si>
    <t>23900002832 FNB Dynamic Decisioning Contextual Analytics</t>
  </si>
  <si>
    <t>Lucius Madithapa</t>
  </si>
  <si>
    <t>FNB HSL. (Nikita Ranchod)</t>
  </si>
  <si>
    <t>21200002627 HSL  Processing Operations Loans NB</t>
  </si>
  <si>
    <t>6 year(s), 1 month(s), 21 day(s)</t>
  </si>
  <si>
    <t>Rivan Meyer</t>
  </si>
  <si>
    <t>FNB Namibia Limited (Charles Chapman)</t>
  </si>
  <si>
    <t>302000002227 FNB Namibia Commercial Digital Channels</t>
  </si>
  <si>
    <t>Transact Pillar Head</t>
  </si>
  <si>
    <t>Yajur Ramadeen</t>
  </si>
  <si>
    <t>DirectAxis (Waseem Hoosen)</t>
  </si>
  <si>
    <t>99700015138 DA IT Business Intelligence</t>
  </si>
  <si>
    <t>Jj Siecker</t>
  </si>
  <si>
    <t>Technical Mentor
Transition Mentor</t>
  </si>
  <si>
    <t>CDO Banking (Merinda Allam)</t>
  </si>
  <si>
    <t>79000007364 CDO Banking InfleXion</t>
  </si>
  <si>
    <t>5 year(s), 10 month(s), 23 day(s)</t>
  </si>
  <si>
    <t>Mohammed Abdul Hamid</t>
  </si>
  <si>
    <t>CDO Kernel iNterfaceX (Direshan Govender)</t>
  </si>
  <si>
    <t>21800001994 CDO Kernel iNterfaceX Tech App and Mobile Dev App</t>
  </si>
  <si>
    <t>Java Developer</t>
  </si>
  <si>
    <t>5 year(s), 2 month(s), 6 day(s)</t>
  </si>
  <si>
    <t>Edward Le Roux</t>
  </si>
  <si>
    <t>FNB Points of Presence (Donna Fortuin)</t>
  </si>
  <si>
    <t>771036300 FNB POP Branch Delivery Schweizer Reneke</t>
  </si>
  <si>
    <t>5 year(s), 0 month(s), 23 day(s)</t>
  </si>
  <si>
    <t>Amukelani Maetsa</t>
  </si>
  <si>
    <t>FNB Commercial Core Juristic Platform (Khulani Mvelase)</t>
  </si>
  <si>
    <t>Technical Tester</t>
  </si>
  <si>
    <t>Mohummad Sabir Gaffoor</t>
  </si>
  <si>
    <t>FR Life Assurance (Rekesh Ramparsad)</t>
  </si>
  <si>
    <t>Cuthbert (Sedutla) Sekgotodi</t>
  </si>
  <si>
    <t>FNB HSL. (Simone De Figueiredo)</t>
  </si>
  <si>
    <t>Jaco Grobler</t>
  </si>
  <si>
    <t>Mashir Moodley</t>
  </si>
  <si>
    <t>Helen Mkhize</t>
  </si>
  <si>
    <t>RMBSA Investment Banking Division (IBD) (Rob Leon)</t>
  </si>
  <si>
    <t>77800000DTR RMBSA IBD Loan Capital Markets &amp; Syndications</t>
  </si>
  <si>
    <t>Loan Capital Market Solutions Head</t>
  </si>
  <si>
    <t>4 year(s), 8 month(s), 23 day(s)</t>
  </si>
  <si>
    <t>Tsietsi Xaba</t>
  </si>
  <si>
    <t>FNB Dynamic Decisioning (Naude Pretorius)</t>
  </si>
  <si>
    <t>23900005393 FNB Dynamic Decisioning Scoring</t>
  </si>
  <si>
    <t>Jones Mabapa</t>
  </si>
  <si>
    <t>RMBSA Global Markets Technical Risk Advisory Projects (Michelle Verwey)</t>
  </si>
  <si>
    <t>77800000EQS RMBSA Global Markets Operational Risk</t>
  </si>
  <si>
    <t>Risk Programme Manager</t>
  </si>
  <si>
    <t>Tswelo Kodisang</t>
  </si>
  <si>
    <t>Group Chief Executive Office (Mary Vilakazi)</t>
  </si>
  <si>
    <t>20200006713 Chief Financial Office</t>
  </si>
  <si>
    <t>Group Chief People Officer</t>
  </si>
  <si>
    <t>Dane Pillay</t>
  </si>
  <si>
    <t>FNB Personal and Private IT (Johan Van Rooyen)</t>
  </si>
  <si>
    <t>Humbulani Colbert Nekhumbe</t>
  </si>
  <si>
    <t>FNB Integrated Advice (Ermi Du Plessis)</t>
  </si>
  <si>
    <t>85500004971 FNB Sustainability &amp; ESG Solutions</t>
  </si>
  <si>
    <t>3 year(s), 3 month(s), 20 day(s)</t>
  </si>
  <si>
    <t>Johannes Scholtz</t>
  </si>
  <si>
    <t>Retail Judgemental Credit Specialist</t>
  </si>
  <si>
    <t>4 year(s), 4 month(s), 9 day(s)</t>
  </si>
  <si>
    <t>David Manala</t>
  </si>
  <si>
    <t>FNB Commercial Merchant Services (Carrie Anne Feldman)</t>
  </si>
  <si>
    <t>4 year(s), 4 month(s), 2 day(s)</t>
  </si>
  <si>
    <t>Nastassja Nydoo</t>
  </si>
  <si>
    <t>CDO Kernel iNterfaceX (Aruna Seerpath)</t>
  </si>
  <si>
    <t>21800005099 CDO Kernel iNterfaceX App Business Analysis</t>
  </si>
  <si>
    <t>4 year(s), 2 month(s), 7 day(s)</t>
  </si>
  <si>
    <t>Mpho Mokaleng</t>
  </si>
  <si>
    <t>FNB Chief Risk Office Retail and Commercial Compliance (Rozanne Carstens)</t>
  </si>
  <si>
    <t>39400001973 FNB Chief Risk Office Retail and Commercial Compliance</t>
  </si>
  <si>
    <t>Integrated Financial Crime Compliance Manager</t>
  </si>
  <si>
    <t>Deepak Bisht</t>
  </si>
  <si>
    <t>CDO Banking (Mirinda Brits)</t>
  </si>
  <si>
    <t>79000007754 CDO Banking ILP OCS</t>
  </si>
  <si>
    <t>4 year(s), 1 month(s), 10 day(s)</t>
  </si>
  <si>
    <t>Clara Baby Mbuyisa</t>
  </si>
  <si>
    <t>CDO Payments (Otilia Fernandes)</t>
  </si>
  <si>
    <t>Sydney Mhlanga</t>
  </si>
  <si>
    <t>FNB Personal Segment Advisory and Suites (Angela Paoli)</t>
  </si>
  <si>
    <t>97200003119 PSAS Staff Engagement</t>
  </si>
  <si>
    <t>Deseree Noxolo Gumede</t>
  </si>
  <si>
    <t>FNB eBucks (Raeesah Karriem)</t>
  </si>
  <si>
    <t>25600005675 FNB eBucks User Experience</t>
  </si>
  <si>
    <t>Usability Interface Specialist</t>
  </si>
  <si>
    <t>4 year(s), 3 month(s), 17 day(s)</t>
  </si>
  <si>
    <t>Stephen Mbhele</t>
  </si>
  <si>
    <t>CDO Infrastructure and Security Services (Maphelo Mpofu)</t>
  </si>
  <si>
    <t>20700008786 CDO Infrastructure and Security Services Active Directory</t>
  </si>
  <si>
    <t>4 year(s), 2 month(s), 14 day(s)</t>
  </si>
  <si>
    <t>Tams Hari</t>
  </si>
  <si>
    <t>Muhammed Jagot</t>
  </si>
  <si>
    <t>FNB Wealth (Chris De Jager)</t>
  </si>
  <si>
    <t>34100003214 PB&amp;A Fiduciary</t>
  </si>
  <si>
    <t>Trustee Fiduciary Specialist</t>
  </si>
  <si>
    <t>Henry Lesar</t>
  </si>
  <si>
    <t>CDO Kernel Customer IT (Craig Coombs)</t>
  </si>
  <si>
    <t>4 year(s), 0 month(s), 23 day(s)</t>
  </si>
  <si>
    <t>Zanele Mabelane</t>
  </si>
  <si>
    <t>FNB Commercial Sales Inland Agriculture (Bertie Huggett)</t>
  </si>
  <si>
    <t>37100004411 FNB Commercial Agriculture Support Fairland</t>
  </si>
  <si>
    <t>Product Portfolio Head</t>
  </si>
  <si>
    <t>Kusara Sithole</t>
  </si>
  <si>
    <t>4 year(s), 0 month(s), 10 day(s)</t>
  </si>
  <si>
    <t>Thaveshni Govender</t>
  </si>
  <si>
    <t>CDO Kernel iNterfaceX (Chris Bolle)</t>
  </si>
  <si>
    <t>Zaida Cornelissen</t>
  </si>
  <si>
    <t>FNB Personal and Private IT (Marius Lombard)</t>
  </si>
  <si>
    <t>59600005335 FNB Personal and Private IT PMO</t>
  </si>
  <si>
    <t>3 year(s), 11 month(s), 6 day(s)</t>
  </si>
  <si>
    <t>Sonnyboy Phalane</t>
  </si>
  <si>
    <t>FNB Personal Segment Advisory and Suites (Romanchea Muller)</t>
  </si>
  <si>
    <t>97200005293 PSAS Entry Service</t>
  </si>
  <si>
    <t>Michelle Ashen</t>
  </si>
  <si>
    <t>Leadership Mentor
Transition Mentor
Workplace  Buddy
Z1-Mentoring Circle Mentor (HC Managed)</t>
  </si>
  <si>
    <t>3 year(s), 6 month(s), 23 day(s)</t>
  </si>
  <si>
    <t>Jeanre Vermaak</t>
  </si>
  <si>
    <t>FNB nav Head Office (Ashley Modisane)</t>
  </si>
  <si>
    <t>3 year(s), 7 month(s), 23 day(s)</t>
  </si>
  <si>
    <t>Heman Chhana</t>
  </si>
  <si>
    <t>RMBSA TTS Operations Portfolio Delivery Enablement (Sharlene Dayaram)</t>
  </si>
  <si>
    <t>77800000PDC RMB TTS Operations PDE CTB</t>
  </si>
  <si>
    <t>Celiasha Ramnarain</t>
  </si>
  <si>
    <t>FNB Retail CDAO (Kgomotso Sebakwane)</t>
  </si>
  <si>
    <t>Mongezi Mahlangu</t>
  </si>
  <si>
    <t>FNB Commercial TxP (Phillip Mthimunye)</t>
  </si>
  <si>
    <t>39800003339 FNB Commercial TxP Finance</t>
  </si>
  <si>
    <t>1 year(s), 11 month(s), 26 day(s)</t>
  </si>
  <si>
    <t>Boitumelo Mahlaba</t>
  </si>
  <si>
    <t>RMBSA Global Markets Operations Strategy Execution (Ollie Wills)</t>
  </si>
  <si>
    <t>77800000FEN RMBSA Global Markets Structuring Technical Structuring</t>
  </si>
  <si>
    <t>Functional Business Planning and Delivery Manager</t>
  </si>
  <si>
    <t>3 year(s), 6 month(s), 21 day(s)</t>
  </si>
  <si>
    <t>Tebatso Raganya</t>
  </si>
  <si>
    <t>User Experience Designer</t>
  </si>
  <si>
    <t>3 year(s), 10 month(s), 21 day(s)</t>
  </si>
  <si>
    <t>Fikile Annie Tshabalala</t>
  </si>
  <si>
    <t>WB FML Product House (Goodman Nkosi)</t>
  </si>
  <si>
    <t>30100006775 WB FML Admin Operations</t>
  </si>
  <si>
    <t>3 year(s), 4 month(s), 22 day(s)</t>
  </si>
  <si>
    <t>Kevin Jansen</t>
  </si>
  <si>
    <t>Ndivho Ndadza</t>
  </si>
  <si>
    <t>WB FML Product House (Hitekani Shivambu)</t>
  </si>
  <si>
    <t>30100005239 WB FML Finance</t>
  </si>
  <si>
    <t>3 year(s), 5 month(s), 0 day(s)</t>
  </si>
  <si>
    <t>Mill Makanda</t>
  </si>
  <si>
    <t>FR Ashburton (Mduduzi Ndlovu)</t>
  </si>
  <si>
    <t>77400000OHO Ashburton Operations Management Team</t>
  </si>
  <si>
    <t>Aobakwe Kgobokoe</t>
  </si>
  <si>
    <t>3 year(s), 2 month(s), 15 day(s)</t>
  </si>
  <si>
    <t>Sean Christoph</t>
  </si>
  <si>
    <t>FNB Loans (Joshua Maduna)</t>
  </si>
  <si>
    <t>79100009082 FNB Consumer Loans Support Credit</t>
  </si>
  <si>
    <t>3 year(s), 2 month(s), 8 day(s)</t>
  </si>
  <si>
    <t>Siyabonga Mthethwa</t>
  </si>
  <si>
    <t>FNB Customer and Sales Interactions (Christiaan Paulsen)</t>
  </si>
  <si>
    <t>21200006817 HSL Nav</t>
  </si>
  <si>
    <t>Andani Maluwa</t>
  </si>
  <si>
    <t>FNB Personal and Private IT (Rowaan Chetty)</t>
  </si>
  <si>
    <t>Technical Test Analyst</t>
  </si>
  <si>
    <t>3 year(s), 2 month(s), 21 day(s)</t>
  </si>
  <si>
    <t>Barbara Engle</t>
  </si>
  <si>
    <t>FNB eBucks (Meshaan Ramgadhu (Inherited))</t>
  </si>
  <si>
    <t>3 year(s), 3 month(s), 12 day(s)</t>
  </si>
  <si>
    <t>Menzi Skhosana</t>
  </si>
  <si>
    <t>CDO Kernel Customer (Mpho Mmakola)</t>
  </si>
  <si>
    <t>79000005422 CDO Kernel OCEP</t>
  </si>
  <si>
    <t>3 year(s), 0 month(s), 23 day(s)</t>
  </si>
  <si>
    <t>Nikita Singh</t>
  </si>
  <si>
    <t>RMBSA CDAO Analytics (Gavin Ming)</t>
  </si>
  <si>
    <t>3 year(s), 1 month(s), 9 day(s)</t>
  </si>
  <si>
    <t>Tebatso Mokgokolo</t>
  </si>
  <si>
    <t>CDO Payments Corporate and Acquiring (Isabel Abelho)</t>
  </si>
  <si>
    <t>79000006202 CDO Payments Settlement and Swift</t>
  </si>
  <si>
    <t>2 year(s), 10 month(s), 23 day(s)</t>
  </si>
  <si>
    <t>Priya Naicker</t>
  </si>
  <si>
    <t>FNB Chief Marketing Office (Faye Mfikwe)</t>
  </si>
  <si>
    <t>Retail Marketing Head</t>
  </si>
  <si>
    <t>2 year(s), 6 month(s), 6 day(s)</t>
  </si>
  <si>
    <t>Nikita Preston</t>
  </si>
  <si>
    <t>47100001915 FNB HR Support</t>
  </si>
  <si>
    <t>Employee Value Proposition Head</t>
  </si>
  <si>
    <t>15 year(s), 1 month(s), 23 day(s)</t>
  </si>
  <si>
    <t>Wilma Masilo</t>
  </si>
  <si>
    <t>Regional Financial Manager</t>
  </si>
  <si>
    <t>Thobile Tyiso</t>
  </si>
  <si>
    <t>FNB HSL (Terence Mahadeo)</t>
  </si>
  <si>
    <t>Phindi Ngcobo</t>
  </si>
  <si>
    <t>FNB Private Banking and Advisory (Renel Francis)</t>
  </si>
  <si>
    <t>Mduduzi Dlamini</t>
  </si>
  <si>
    <t>FNB HSL (Shameek Harcharan)</t>
  </si>
  <si>
    <t>21200004048 HSL Strategic Pricing</t>
  </si>
  <si>
    <t>18 year(s), 3 month(s), 23 day(s)</t>
  </si>
  <si>
    <t>Stephana Tshehla</t>
  </si>
  <si>
    <t>FNB Points of Presence (Sinah Mnisi)</t>
  </si>
  <si>
    <t>7710248400 FNB POP Branch Delivery Centurion Mall</t>
  </si>
  <si>
    <t>Shovagne Jooste</t>
  </si>
  <si>
    <t>FNB Commercial Cash Investments (Sifiso Nkosi)</t>
  </si>
  <si>
    <t>Theo Ngoma</t>
  </si>
  <si>
    <t>CDO Infrastructure and Security Services (Ntswaki Lecage)</t>
  </si>
  <si>
    <t>20700005266 CDO Infrastructure and Security Services Command Centre</t>
  </si>
  <si>
    <t>Enterprise Systems Manager</t>
  </si>
  <si>
    <t>4 year(s), 9 month(s), 23 day(s)</t>
  </si>
  <si>
    <t>Keith Naicker</t>
  </si>
  <si>
    <t>FNB Private Banking and Advisory (Louise Lombard)</t>
  </si>
  <si>
    <t>34100005224 PB&amp;A Bedfordview Affluent</t>
  </si>
  <si>
    <t>Thirumala Pillay</t>
  </si>
  <si>
    <t>FRCC RRM FR Group Compliance (Rozanne Gany)</t>
  </si>
  <si>
    <t>Compliance Manager</t>
  </si>
  <si>
    <t>6 year(s), 7 month(s), 19 day(s)</t>
  </si>
  <si>
    <t>Jeremy Abbott</t>
  </si>
  <si>
    <t>FNB Personal (Suzanne Myburgh)</t>
  </si>
  <si>
    <t>Technology and Consulting Lead</t>
  </si>
  <si>
    <t>2 year(s), 5 month(s), 5 day(s)</t>
  </si>
  <si>
    <t>Atiyya Hoosain</t>
  </si>
  <si>
    <t>Transition Mentor</t>
  </si>
  <si>
    <t>FNB International SA Retail Credit (Albert Owusu-Banie)</t>
  </si>
  <si>
    <t>2 year(s), 2 month(s), 2 day(s)</t>
  </si>
  <si>
    <t>Luleka Righteous Khumalo</t>
  </si>
  <si>
    <t>FR Life Assurance (Simon Bonarius)</t>
  </si>
  <si>
    <t>61500010754 FR Life Growth Portfolio</t>
  </si>
  <si>
    <t>Ronewa Errol Maemu Tshikosi</t>
  </si>
  <si>
    <t>CDO Kernel iNterfaceX (Denisha Rambaran)</t>
  </si>
  <si>
    <t>Veroshan Thaver</t>
  </si>
  <si>
    <t>FNB Commercial Analytics Insights Data (Ole Moeng)</t>
  </si>
  <si>
    <t>Savannah Tadden</t>
  </si>
  <si>
    <t>WB Motor Risk Management (Mukhodiwa Nwashe)</t>
  </si>
  <si>
    <t>30101040000 WB Post Origination</t>
  </si>
  <si>
    <t>Tebogo Matome Raphadu</t>
  </si>
  <si>
    <t>DirectAxis (Siphelo Malinde)</t>
  </si>
  <si>
    <t>99700015169 DA Loans Business Solutions Delivery</t>
  </si>
  <si>
    <t>Functional Configuration Consultant</t>
  </si>
  <si>
    <t>Isaac Chauque</t>
  </si>
  <si>
    <t>WB Motor Risk Management (Thato Mogapi)</t>
  </si>
  <si>
    <t>Sihle Mthembu</t>
  </si>
  <si>
    <t>FNB Private Core Banking (Diahann Neves)</t>
  </si>
  <si>
    <t>Customer Experience Specialist</t>
  </si>
  <si>
    <t>Shamein Makungu Sabeka</t>
  </si>
  <si>
    <t>FNB Customer and Sales Interactions (Lizelle Van Der Walt)</t>
  </si>
  <si>
    <t>Mologadi Francinah Chuene</t>
  </si>
  <si>
    <t>FNB Central Finance (Karabo Motshabi)</t>
  </si>
  <si>
    <t>39400004965 FNB Finance Analytics</t>
  </si>
  <si>
    <t>Liso Tabata</t>
  </si>
  <si>
    <t>FNB Commercial Sales Gauteng (Zakhele Maseko)</t>
  </si>
  <si>
    <t>34200006248 FNB Commercial Sales Gauteng Klipriver 60 to 150M</t>
  </si>
  <si>
    <t>Muhammad Moosa</t>
  </si>
  <si>
    <t>CDO Kernel iNterfaceX (Justin Rademan)</t>
  </si>
  <si>
    <t>21800004034 CDO Kernel iNterfaceX Web Services</t>
  </si>
  <si>
    <t>Web Designer</t>
  </si>
  <si>
    <t>Sachin Moodley</t>
  </si>
  <si>
    <t>FNB Commercial Sales Gauteng North (Alex Modise)</t>
  </si>
  <si>
    <t>Julia Ndjene</t>
  </si>
  <si>
    <t>FNB Namibia Limited (Hileni Nehale)</t>
  </si>
  <si>
    <t>2 year(s), 2 month(s), 23 day(s)</t>
  </si>
  <si>
    <t>Hilde Metumo Shimpanda</t>
  </si>
  <si>
    <t>FNB Namibia Limited (Vinothan Titus)</t>
  </si>
  <si>
    <t>302000001403 FNB Namibia Credit Support</t>
  </si>
  <si>
    <t>2 year(s), 2 month(s), 22 day(s)</t>
  </si>
  <si>
    <t>Kubeshan Padayachy</t>
  </si>
  <si>
    <t>2 year(s), 1 month(s), 23 day(s)</t>
  </si>
  <si>
    <t>Caleb Sindi</t>
  </si>
  <si>
    <t>FNB HSL (Shawnee Williams)</t>
  </si>
  <si>
    <t>21200006825 HSL Registrations and On Board Cluster 3</t>
  </si>
  <si>
    <t>2 year(s), 0 month(s), 23 day(s)</t>
  </si>
  <si>
    <t>Msimisi Dlamini</t>
  </si>
  <si>
    <t>FNB Chief Risk Office Interactions and Risk Analytics (Tumisho Mabelane)</t>
  </si>
  <si>
    <t>Ntuthuko Yiga</t>
  </si>
  <si>
    <t>Dido Wa Kalonji</t>
  </si>
  <si>
    <t>2 year(s), 0 month(s), 11 day(s)</t>
  </si>
  <si>
    <t>Trisa Naidu</t>
  </si>
  <si>
    <t>1 year(s), 11 month(s), 23 day(s)</t>
  </si>
  <si>
    <t>Deshnee Boodhram</t>
  </si>
  <si>
    <t>FR Hyphen Technology (Morne Moorcroft)</t>
  </si>
  <si>
    <t>23300002344 FR Hyphen Information Technology</t>
  </si>
  <si>
    <t>1 year(s), 8 month(s), 23 day(s)</t>
  </si>
  <si>
    <t>Mpho Mosotho</t>
  </si>
  <si>
    <t>CDO Kernel iNterfaceX (Futhi Mwelase)</t>
  </si>
  <si>
    <t>21800005249 CDO Kernel iNterfaceX Systems Analysis</t>
  </si>
  <si>
    <t>1 year(s), 8 month(s), 25 day(s)</t>
  </si>
  <si>
    <t>Rudzani Thagwana</t>
  </si>
  <si>
    <t>FNB ConnectMe (Desree Riba)</t>
  </si>
  <si>
    <t>84900002535 FNB ConnectMe Business Intelligence</t>
  </si>
  <si>
    <t>1 year(s), 8 month(s), 16 day(s)</t>
  </si>
  <si>
    <t>Dineo Phala</t>
  </si>
  <si>
    <t>77800000RAQ RMBSA TTS Technology RAS Quartz</t>
  </si>
  <si>
    <t>1 year(s), 7 month(s), 23 day(s)</t>
  </si>
  <si>
    <t>Neo Mphuthi</t>
  </si>
  <si>
    <t>FNB Connect and Service Provider (Rupert Fick)</t>
  </si>
  <si>
    <t>83100004062 FNB Connect Credit</t>
  </si>
  <si>
    <t>1 year(s), 8 month(s), 19 day(s)</t>
  </si>
  <si>
    <t>Nikhil Naidoo</t>
  </si>
  <si>
    <t>FNB eBucks (Shayne Govender)</t>
  </si>
  <si>
    <t>25600008917 FNB eBucks Financial Modelling</t>
  </si>
  <si>
    <t>1 year(s), 2 month(s), 4 day(s)</t>
  </si>
  <si>
    <t>Muaawiyah Dadabhay</t>
  </si>
  <si>
    <t>FNB Credit Card (Sabelo Makhubu)</t>
  </si>
  <si>
    <t>20300009984 FNB Credit Card Spend and CVM</t>
  </si>
  <si>
    <t>Georgia Wensley</t>
  </si>
  <si>
    <t>FNB eBucks (Danielle Van Wyk)</t>
  </si>
  <si>
    <t>Lerato Makhura</t>
  </si>
  <si>
    <t>FNB Points of Presence (Frank Dhlamini)</t>
  </si>
  <si>
    <t>1 year(s), 5 month(s), 23 day(s)</t>
  </si>
  <si>
    <t>Costa Hagios</t>
  </si>
  <si>
    <t>FNB Credit Card Credit Exco (Mark Liao)</t>
  </si>
  <si>
    <t>Bradley Williams</t>
  </si>
  <si>
    <t>Telecommunication IT Head</t>
  </si>
  <si>
    <t>1 year(s), 3 month(s), 23 day(s)</t>
  </si>
  <si>
    <t>Nobuhle Mlahleki</t>
  </si>
  <si>
    <t>Baasenya Moticoe</t>
  </si>
  <si>
    <t>FNB Retail COO (Portia Zikhali)</t>
  </si>
  <si>
    <t>Kaylyn Karuppen</t>
  </si>
  <si>
    <t>FNB Dynamic Decisioning (Rene Meintjes)</t>
  </si>
  <si>
    <t>Mishé Chitharai</t>
  </si>
  <si>
    <t>FNB Credit Card (Hermann Calitz)</t>
  </si>
  <si>
    <t>Noluthando Buthelezi</t>
  </si>
  <si>
    <t>FNB Credit Card (Nothando Mbatha)</t>
  </si>
  <si>
    <t>20300002843 FNB Credit Card Premium Growth</t>
  </si>
  <si>
    <t>Product Analyst</t>
  </si>
  <si>
    <t>Costa Muthai</t>
  </si>
  <si>
    <t>Sandile Mthiyane</t>
  </si>
  <si>
    <t>FNB Connect and Service Provider (Stephan Snyman)</t>
  </si>
  <si>
    <t>83100006591 FNB Connnect Technology Channel and Integration</t>
  </si>
  <si>
    <t>Nikail Singh</t>
  </si>
  <si>
    <t>Rohan Schoeman</t>
  </si>
  <si>
    <t>FNB Connect and Service Provider (Thokozani Memela)</t>
  </si>
  <si>
    <t>83100002439 FNB Connect BI</t>
  </si>
  <si>
    <t>Malamba Lavhengwa</t>
  </si>
  <si>
    <t>FNB Central Finance (Siyasanga Makiwane)</t>
  </si>
  <si>
    <t>Ofentse Pilane</t>
  </si>
  <si>
    <t>CDO Kernel iNterfaceX (Etienne Le Roux)</t>
  </si>
  <si>
    <t>21800004054 CDO Kernel iNterfaceX Cyber Security</t>
  </si>
  <si>
    <t>Sisanda Sibanda</t>
  </si>
  <si>
    <t>FNB HC Business Intelligence (Derick Mokonyane)</t>
  </si>
  <si>
    <t>1 year(s), 2 month(s), 21 day(s)</t>
  </si>
  <si>
    <t>Njabulo Preysgod Nsibande</t>
  </si>
  <si>
    <t>FNB Connect and Service Provider (Clinton Cloete)</t>
  </si>
  <si>
    <t>Data Administrator</t>
  </si>
  <si>
    <t>Tisetso Maseko</t>
  </si>
  <si>
    <t>FNB Customer and Sales Interactions (Darshana Chauhan)</t>
  </si>
  <si>
    <t>99100009137 FNB Customer and Sales Enterprise Interactions</t>
  </si>
  <si>
    <t>Manav Bholah</t>
  </si>
  <si>
    <t>Andisa Mashimbye</t>
  </si>
  <si>
    <t>FNB Wealth and Investments (Karabo Ditsebe)</t>
  </si>
  <si>
    <t>47100001963 CoE Graduate Programme</t>
  </si>
  <si>
    <t>Graduate Programme</t>
  </si>
  <si>
    <t>Kabelo Masekela</t>
  </si>
  <si>
    <t>FNB Central Finance (Mpho Motau)</t>
  </si>
  <si>
    <t>IT Risk Specialist</t>
  </si>
  <si>
    <t>Nathan Ngqwebo</t>
  </si>
  <si>
    <t>FNB Loans (Kgomotso Sebitlo)</t>
  </si>
  <si>
    <t>Nozipho Victoria Sidambe</t>
  </si>
  <si>
    <t>Gugu Sogobile</t>
  </si>
  <si>
    <t>Thabo Zwane</t>
  </si>
  <si>
    <t>FNB Central Finance (Jacques Van Staden)</t>
  </si>
  <si>
    <t>39400004027 FNB CFP Financial Controls</t>
  </si>
  <si>
    <t>Robert Hindle</t>
  </si>
  <si>
    <t>FNB Central Finance (Bina Rowjee)</t>
  </si>
  <si>
    <t>39400003431 FNB Finance BI</t>
  </si>
  <si>
    <t>Malvin Maposa</t>
  </si>
  <si>
    <t>FNB Loans (Kyle Ferris)</t>
  </si>
  <si>
    <t>Lehlogonolo Phineas Mbiza</t>
  </si>
  <si>
    <t>Aceng Akii</t>
  </si>
  <si>
    <t>FNB Dynamic Decisioning (Bernard Spies)</t>
  </si>
  <si>
    <t>Reitumetse Rabotapi</t>
  </si>
  <si>
    <t>CDO Kernel iNterfaceX (Seelan Govender (Inherited))</t>
  </si>
  <si>
    <t>21800003622 CDO Kernel iNterfaceX Messaging</t>
  </si>
  <si>
    <t>Tokelo Monare</t>
  </si>
  <si>
    <t>Business Intelligence Developer</t>
  </si>
  <si>
    <t>Ntsako Rebecca Zondani</t>
  </si>
  <si>
    <t>CDO Kernel iNterfaceX (Donna-Jeanne Rudman)</t>
  </si>
  <si>
    <t>Mohau Tlamama</t>
  </si>
  <si>
    <t>FNB Connect and Service Provider (Juanita Gordon)</t>
  </si>
  <si>
    <t>83100003631 FNB Connect SP Product</t>
  </si>
  <si>
    <t>Gudani Khuswana</t>
  </si>
  <si>
    <t>Talhah Shahzada</t>
  </si>
  <si>
    <t>FNB Commercial EFT (Gerjo Schreuder)</t>
  </si>
  <si>
    <t>68400003918 FNB Commercial EFT Product House Product</t>
  </si>
  <si>
    <t>Sizolwethu Mthombeni</t>
  </si>
  <si>
    <t>FR Life Assurance (Kholiswa Mvumvu)</t>
  </si>
  <si>
    <t>Trent Graham</t>
  </si>
  <si>
    <t>Margaret Mwewa</t>
  </si>
  <si>
    <t>FNB Zambia Human Capital (Albert Changwe)</t>
  </si>
  <si>
    <t>55300003076 FNB Zambia Human Capital</t>
  </si>
  <si>
    <t>1 year(s), 1 month(s), 13 day(s)</t>
  </si>
  <si>
    <t>Zachary Correia</t>
  </si>
  <si>
    <t>CDO Kernel iNterfaceX (Matome Maake)</t>
  </si>
  <si>
    <t>1 year(s), 0 month(s), 23 day(s)</t>
  </si>
  <si>
    <t>Rinesh Bhagvath</t>
  </si>
  <si>
    <t>CDO Kernel iNterfaceX (Jani Tappan)</t>
  </si>
  <si>
    <t>0 year(s), 11 month(s), 23 day(s)</t>
  </si>
  <si>
    <t>Daniela Vitale</t>
  </si>
  <si>
    <t>FR Hyphen (Derick Truscott)</t>
  </si>
  <si>
    <t>23300008464 FR Hyphen Product and Operations</t>
  </si>
  <si>
    <t>Product Enablement Head</t>
  </si>
  <si>
    <t>0 year(s), 11 month(s), 17 day(s)</t>
  </si>
  <si>
    <t>Shiven Ramprith</t>
  </si>
  <si>
    <t>FNB Chief Risk Office PMO (Olwethu Vuyo Nkosi Bodlani)</t>
  </si>
  <si>
    <t>39400008595 FNB Chief Risk Office PMO</t>
  </si>
  <si>
    <t>0 year(s), 10 month(s), 23 day(s)</t>
  </si>
  <si>
    <t>Lorraine Alberto</t>
  </si>
  <si>
    <t>FNB Namibia Limited (Sofia Emuno)</t>
  </si>
  <si>
    <t>Lerato Tlhako</t>
  </si>
  <si>
    <t>CDO Kernel iNterfaceX (Jacob Marola)</t>
  </si>
  <si>
    <t>21800000884 CDO Kernel iNterfaceX Tech Online Banking Dev Billing</t>
  </si>
  <si>
    <t>0 year(s), 8 month(s), 23 day(s)</t>
  </si>
  <si>
    <t>Farieda Mayet</t>
  </si>
  <si>
    <t>0 year(s), 9 month(s), 23 day(s)</t>
  </si>
  <si>
    <t>79000005142 FNB Enablement OCIO Executive</t>
  </si>
  <si>
    <t>1 year(s), 0 month(s), 27 day(s)</t>
  </si>
  <si>
    <t>RMBSA CDAO Data, Analytics and Business Intelligence (Busisiwe Thwala)</t>
  </si>
  <si>
    <t>0 year(s), 2 month(s), 12 day(s)</t>
  </si>
  <si>
    <t>19 and under</t>
  </si>
  <si>
    <t>📥  PASTE RELATIONSHIP REPORT HERE (Workday Export — Monthly)</t>
  </si>
  <si>
    <t>Mentor ID</t>
  </si>
  <si>
    <t>Mentor</t>
  </si>
  <si>
    <t>Purpose</t>
  </si>
  <si>
    <t>Mentor Type</t>
  </si>
  <si>
    <t>Mentor Employee Type</t>
  </si>
  <si>
    <t>Mentor Race</t>
  </si>
  <si>
    <t>Mentor Gender</t>
  </si>
  <si>
    <t>Mentor Age Group</t>
  </si>
  <si>
    <t>Mentor Supervisory Organization</t>
  </si>
  <si>
    <t>Mentor Location Country</t>
  </si>
  <si>
    <t>Mentor Franchise</t>
  </si>
  <si>
    <t>Mentor Cost Centre</t>
  </si>
  <si>
    <t>Mentor Job Title</t>
  </si>
  <si>
    <t>Mentor Tenure</t>
  </si>
  <si>
    <t>Mentor Job Family Group</t>
  </si>
  <si>
    <t>Mentee ID</t>
  </si>
  <si>
    <t>Mentee</t>
  </si>
  <si>
    <t>Mentee Employee Type</t>
  </si>
  <si>
    <t>Mentee Race</t>
  </si>
  <si>
    <t>Mentee Gender</t>
  </si>
  <si>
    <t>Mentee Age Group</t>
  </si>
  <si>
    <t>Mentee Supervisory Organization</t>
  </si>
  <si>
    <t>Mentee Location Country</t>
  </si>
  <si>
    <t>Mentee Franchise</t>
  </si>
  <si>
    <t>Mentee Cost Centre</t>
  </si>
  <si>
    <t>Mentee Job Title</t>
  </si>
  <si>
    <t>Mentee Tenure</t>
  </si>
  <si>
    <t>Mentee Job Family Group</t>
  </si>
  <si>
    <t>Mentorship Events</t>
  </si>
  <si>
    <t>Close Mentorship Reason</t>
  </si>
  <si>
    <t>Develop your team leadership and self-leadership skills
Train to be an effective leader</t>
  </si>
  <si>
    <t>16 - 20 Years</t>
  </si>
  <si>
    <t>Operational Risk</t>
  </si>
  <si>
    <t>Banyatsi Seeme</t>
  </si>
  <si>
    <t>FNB Botswana Channels (Janet Morolong)</t>
  </si>
  <si>
    <t>5010401100 FNB Botswana Mogoditshane Branch</t>
  </si>
  <si>
    <t>Migration Official</t>
  </si>
  <si>
    <t>11 -15 Years</t>
  </si>
  <si>
    <t>Client Experience and Value Management</t>
  </si>
  <si>
    <t>Close Mentorship Event for Banyatsi Seeme with Phetso Ntsowe
Create Mentorship Event for Banyatsi Seeme with Phetso Ntsowe
Edit Mentorship Event for Banyatsi Seeme with Phetso Ntsowe</t>
  </si>
  <si>
    <t>Mentee Withdrawal - Availability</t>
  </si>
  <si>
    <t>3 - 5 Years</t>
  </si>
  <si>
    <t>Direct Sales</t>
  </si>
  <si>
    <t>Boago Thomas</t>
  </si>
  <si>
    <t>FNB Botswana Channels (Lorato Mothibi)</t>
  </si>
  <si>
    <t>5010401300 FNB Botswana Mochudi Branch</t>
  </si>
  <si>
    <t>&lt;1 Year</t>
  </si>
  <si>
    <t>Create Mentorship Event for Boago Thomas with Bonolo Molebatsi</t>
  </si>
  <si>
    <t>Thuto Kofi (Terminated)</t>
  </si>
  <si>
    <t>Close Mentorship Event for Thuto Kofi (Terminated) with Phetso Ntsowe
Create Mentorship Event for Thuto Kofi (Terminated) with Phetso Ntsowe
Edit Mentorship Event for Thuto Kofi (Terminated) with Phetso Ntsowe</t>
  </si>
  <si>
    <t>Udah Otukile (Terminated)</t>
  </si>
  <si>
    <t>To help the employee in navigating their growth in the organisation as well as exploring various opportunities.</t>
  </si>
  <si>
    <t>6 - 10 Years</t>
  </si>
  <si>
    <t>Kabelo Sekoto</t>
  </si>
  <si>
    <t>FNB Rand Merchant Bank Botswana (Therisanyo Masuga)</t>
  </si>
  <si>
    <t>5010168800 FNB Botswana Corporate Segments</t>
  </si>
  <si>
    <t>Product Support, Development and Analysis</t>
  </si>
  <si>
    <t>Create Mentorship Event for Kabelo Sekoto with Udah Otukile (Terminated)</t>
  </si>
  <si>
    <t>To help ascend to a Managerial role or change portfolio from the current Premier Banker which is overwhelming.</t>
  </si>
  <si>
    <t>Business Human Capital</t>
  </si>
  <si>
    <t>Pamela Ndlovu</t>
  </si>
  <si>
    <t>FNB Botswana Wealth (Donna Isaacs)</t>
  </si>
  <si>
    <t>5010160210 FNB Botswana Retail Smart and Gold Sales</t>
  </si>
  <si>
    <t>Premier Banker</t>
  </si>
  <si>
    <t>Client Relationship Management</t>
  </si>
  <si>
    <t>Create Mentorship Event for Pamela Ndlovu with Jj Jongman
Edit Mentorship Event for Pamela Ndlovu with Jj Jongman
Edit Mentorship Event for Pamela Ndlovu with Jj Jongman</t>
  </si>
  <si>
    <t>Career guidance
Relationship building and networking.
Manage a career transition.
Develop leadership skills.</t>
  </si>
  <si>
    <t>Kefilwe Samson</t>
  </si>
  <si>
    <t>FNB Botswana Channels (Lebelelang Mabeo)</t>
  </si>
  <si>
    <t>Close Mentorship Event for Kefilwe Samson with Phetso Ntsowe
Create Mentorship Event for Kefilwe Samson with Phetso Ntsowe
Edit Mentorship Event for Kefilwe Samson with Phetso Ntsowe
Edit Mentorship Event for Kefilwe Samson with Phetso Ntsowe</t>
  </si>
  <si>
    <t>Mentor Withdrawal - Availability</t>
  </si>
  <si>
    <t>To take me the right department</t>
  </si>
  <si>
    <t>Otlaadisa Mogosane</t>
  </si>
  <si>
    <t>FNB Botswana Channels (Nametsegang Muchina)</t>
  </si>
  <si>
    <t>501073700 FNB Botswana Broadhurst Branch</t>
  </si>
  <si>
    <t>Client Services Support and Delivery</t>
  </si>
  <si>
    <t>Create Mentorship Event for Otlaadisa Mogosane with Bonolo Molebatsi</t>
  </si>
  <si>
    <t>Bontle Maeco</t>
  </si>
  <si>
    <t>FNB Botswana Channels (Rose Selema)</t>
  </si>
  <si>
    <t>501071400 FNB Botswana Lobatse Branch</t>
  </si>
  <si>
    <t>Teller Coordinator</t>
  </si>
  <si>
    <t>&gt;20 Years</t>
  </si>
  <si>
    <t>Close Mentorship Event for Bontle Maeco with Phetso Ntsowe
Create Mentorship Event for Bontle Maeco with Phetso Ntsowe
Edit Mentorship Event for Bontle Maeco with Phetso Ntsowe</t>
  </si>
  <si>
    <t>Ivy Letus</t>
  </si>
  <si>
    <t>Coloured (Botswana)</t>
  </si>
  <si>
    <t>FNB Botswana Channels (Fiona Kasese)</t>
  </si>
  <si>
    <t>5010150200 FNB Botswana Riverwalk Branch</t>
  </si>
  <si>
    <t>Close Mentorship Event for Ivy Letus with Phetso Ntsowe
Create Mentorship Event for Ivy Letus with Phetso Ntsowe
Edit Mentorship Event for Ivy Letus with Phetso Ntsowe</t>
  </si>
  <si>
    <t>Close Mentorship Event for Otlaadisa Mogosane with Phetso Ntsowe
Create Mentorship Event for Otlaadisa Mogosane with Phetso Ntsowe</t>
  </si>
  <si>
    <t>MENTORSHIP</t>
  </si>
  <si>
    <t>Maipelo Daman</t>
  </si>
  <si>
    <t>FNB Botswana Channels (Mable Motsumi)</t>
  </si>
  <si>
    <t>5010160300 FNB Botswana Airport Junction</t>
  </si>
  <si>
    <t>Close Mentorship Event for Maipelo Daman with Phetso Ntsowe
Create Mentorship Event for Maipelo Daman with Phetso Ntsowe</t>
  </si>
  <si>
    <t>mentorship</t>
  </si>
  <si>
    <t>Maureen Lucas</t>
  </si>
  <si>
    <t>FNB Botswana Channels (Onneile Mogotsi)</t>
  </si>
  <si>
    <t>501079200 FNB Botswana Kgale Branch</t>
  </si>
  <si>
    <t>Close Mentorship Event for Maureen Lucas with Phetso Ntsowe
Create Mentorship Event for Maureen Lucas with Phetso Ntsowe</t>
  </si>
  <si>
    <t>Masego Basupang</t>
  </si>
  <si>
    <t>5010209700 FNB Botswana Premier</t>
  </si>
  <si>
    <t>Close Mentorship Event for Masego Basupang with Phetso Ntsowe
Create Mentorship Event for Masego Basupang with Phetso Ntsowe</t>
  </si>
  <si>
    <t>Career guidance.
Better integration into a team/business unit.
Deal with diversity and inclusion challenges.</t>
  </si>
  <si>
    <t>Kaone Malete</t>
  </si>
  <si>
    <t>Create Mentorship Event for Kaone Malete with Kelebogile Disang</t>
  </si>
  <si>
    <t>Prince Mopipi (Terminated)</t>
  </si>
  <si>
    <t>Close Mentorship Event for Prince Mopipi (Terminated) with Phetso Ntsowe
Create Mentorship Event for Prince Mopipi (Terminated) with Phetso Ntsowe</t>
  </si>
  <si>
    <t>Mentee Resigned</t>
  </si>
  <si>
    <t>Gaongalelwe Ikaneng</t>
  </si>
  <si>
    <t>FNB Botswana Channels (Kgotso Morei)</t>
  </si>
  <si>
    <t>5010167100 FNB Botswana Main Branch</t>
  </si>
  <si>
    <t>Close Mentorship Event for Gaongalelwe Ikaneng with Phetso Ntsowe
Create Mentorship Event for Gaongalelwe Ikaneng with Phetso Ntsowe</t>
  </si>
  <si>
    <t>Tebogo Sebobi</t>
  </si>
  <si>
    <t>FNB Botswana Channels (Kgomotso Wetshootsile)</t>
  </si>
  <si>
    <t>Close Mentorship Event for Tebogo Sebobi with Phetso Ntsowe
Create Mentorship Event for Tebogo Sebobi with Phetso Ntsowe</t>
  </si>
  <si>
    <t>Amongie Kewakae</t>
  </si>
  <si>
    <t>Close Mentorship Event for Amongie Kewakae with Phetso Ntsowe
Create Mentorship Event for Amongie Kewakae with Phetso Ntsowe</t>
  </si>
  <si>
    <t>I would like to learn more leadership skills in branches.</t>
  </si>
  <si>
    <t>Mapule Mosiuoa</t>
  </si>
  <si>
    <t>FNB Lesotho (Mamahao Andronicah Makhoa)</t>
  </si>
  <si>
    <t>51800002929 FNB Lesotho Retail</t>
  </si>
  <si>
    <t>Schemes Coordinator</t>
  </si>
  <si>
    <t>Create Mentorship Event for Mapule Mosiuoa with Likenkeng Lylian Morojele</t>
  </si>
  <si>
    <t>Career guidance
Broaden organizational knowledge
Innovation</t>
  </si>
  <si>
    <t>Create Mentorship Event for Kaone Malete with Patrick Bontsibokae</t>
  </si>
  <si>
    <t>Miyoba Moonga (Terminated)</t>
  </si>
  <si>
    <t>Create Mentorship Event for Miyoba Moonga (Terminated) with Mike Nyimbili</t>
  </si>
  <si>
    <t>Kagiso Tlhase (Terminated)</t>
  </si>
  <si>
    <t>TO LEARN.</t>
  </si>
  <si>
    <t>LILLIAN K EZEKIEL</t>
  </si>
  <si>
    <t>5010160800 FNB Botswana Retail Operations</t>
  </si>
  <si>
    <t>Administration</t>
  </si>
  <si>
    <t>Create Mentorship Event for LILLIAN K EZEKIEL with Kagiso Tlhase (Terminated)</t>
  </si>
  <si>
    <t>Transition to Systems Analyst job</t>
  </si>
  <si>
    <t>Business/Systems Analysis</t>
  </si>
  <si>
    <t>Sifisosakhe Dube</t>
  </si>
  <si>
    <t>FNB Private Banking and Advisory (Kurt Schurbohm)</t>
  </si>
  <si>
    <t>Close Mentorship Event for Sifisosakhe Dube with Manuel Motabatshindi
Create Mentorship Event for Sifisosakhe Dube with Manuel Motabatshindi</t>
  </si>
  <si>
    <t>Mentoring Needs Fulfilled</t>
  </si>
  <si>
    <t>To fast-track career progression.
To improve stakeholder engagement
To assist in peer coaching and skills transfer.
To align career path and skills training, learning and development.</t>
  </si>
  <si>
    <t>System Design and Administration</t>
  </si>
  <si>
    <t>Tebogo Moorosi (Terminated)</t>
  </si>
  <si>
    <t>Create Mentorship Event for Tebogo Moorosi (Terminated) with Theo Ngoma</t>
  </si>
  <si>
    <t>Programme duration is 7 months from Aug – Feb 24 (considering Dec/Jan holidays)
Mentees are expected to meet with their mentors at least once a month.
Also, an additional 1 day “leave no action” a month aimed at job shadowing virtually or face to face.
Mentees are expected to take lead and ensure that sessions are booked on time and alternatives are taken if need be.
Mentees are expected let their managers know of their whereabouts during the period where they would be job shadowing or attending masterclasses
Kindly sign the NDA and the Agreement attached to the email and send back to me ( Agreement needs your mentor to sign as well so you can get that back to me once you have your introduction session.)
Please use the Development Plan to keep track of all the activities and learning you will be doing with your mentor.</t>
  </si>
  <si>
    <t>Programme and Project Management</t>
  </si>
  <si>
    <t>Stephanie Bezuidenhout</t>
  </si>
  <si>
    <t>REMS Real Estate Management Services (Hanifah Khan)</t>
  </si>
  <si>
    <t>22300008588 REMS Property</t>
  </si>
  <si>
    <t>Property Administrator</t>
  </si>
  <si>
    <t>Create Mentorship Event for Stephanie Bezuidenhout with Shantal Reddy</t>
  </si>
  <si>
    <t>Career guidance
Manage a career transition.
Better integration into a team/business unit</t>
  </si>
  <si>
    <t>Chizoba Mkhwanazi</t>
  </si>
  <si>
    <t>DirectAxis (Adiela April)</t>
  </si>
  <si>
    <t>99700015134 DA IT Development</t>
  </si>
  <si>
    <t>IT Testing</t>
  </si>
  <si>
    <t>Create Mentorship Event for Chizoba Mkhwanazi with Alison Felix-Lodewyk</t>
  </si>
  <si>
    <t>Experience Architecting</t>
  </si>
  <si>
    <t>Mahlori Chauke (Terminated)</t>
  </si>
  <si>
    <t>1 Year</t>
  </si>
  <si>
    <t>Create Mentorship Event for Mahlori Chauke (Terminated) with Eddie Roodt</t>
  </si>
  <si>
    <t>Emmanuel Tsiame (Terminated)</t>
  </si>
  <si>
    <t>2 Years</t>
  </si>
  <si>
    <t>Refilwe Leburu</t>
  </si>
  <si>
    <t>FNB Private Banking and Advisory (Caswill Koert)</t>
  </si>
  <si>
    <t>Create Mentorship Event for Refilwe Leburu with Emmanuel Tsiame (Terminated)</t>
  </si>
  <si>
    <t>Sales Management</t>
  </si>
  <si>
    <t>Yusuf Ahmed</t>
  </si>
  <si>
    <t>FNB Commercial Projects and Operations (Gavilan Barnes)</t>
  </si>
  <si>
    <t>34200005337 FNB Commercial Security Access Management</t>
  </si>
  <si>
    <t>Information Security Administrator</t>
  </si>
  <si>
    <t>IT Security</t>
  </si>
  <si>
    <t>Create Mentorship Event for Yusuf Ahmed with Adnaan Rayned</t>
  </si>
  <si>
    <t>IT Development</t>
  </si>
  <si>
    <t>Create Mentorship Event for Thaveshni Govender with Henry Lesar</t>
  </si>
  <si>
    <t>Growth and guidance</t>
  </si>
  <si>
    <t>Makoae 		 Lawrence Mothibe (Terminated)</t>
  </si>
  <si>
    <t>Create Mentorship Event for Makoae 		 Lawrence Mothibe (Terminated) with Debbie Maloney</t>
  </si>
  <si>
    <t>Dave Aitken (Terminated)</t>
  </si>
  <si>
    <t>Create Mentorship Event for Fred Du Plessis with Dave Aitken (Terminated)</t>
  </si>
  <si>
    <t>Gareth is assisting Ayanda with Career Development</t>
  </si>
  <si>
    <t>Product Management</t>
  </si>
  <si>
    <t>Ayanda Dubazana</t>
  </si>
  <si>
    <t>FNB Retail Marketing (Sifiso Mahlangu)</t>
  </si>
  <si>
    <t>Marketing, Advertising and Media (incl. digital)</t>
  </si>
  <si>
    <t>Create Mentorship Event for Ayanda Dubazana with Gareth Kin</t>
  </si>
  <si>
    <t>Grant Ravno (Terminated)</t>
  </si>
  <si>
    <t>Tsholofelo Kgwele (Terminated)</t>
  </si>
  <si>
    <t>Create Mentorship Event for Tsholofelo Kgwele (Terminated) with Grant Ravno (Terminated)</t>
  </si>
  <si>
    <t>Shahida is looking for exposure in total reward</t>
  </si>
  <si>
    <t>Shahida Begg</t>
  </si>
  <si>
    <t>FNB Points of Presence (Charlene Calleja)</t>
  </si>
  <si>
    <t>7710644300 FNB POP HC Operations and Talent Management</t>
  </si>
  <si>
    <t>Operations</t>
  </si>
  <si>
    <t>Create Mentorship Event for Shahida Begg with Ilyas Patel
Edit Mentorship Event for Shahida Begg with Ilyas Patel</t>
  </si>
  <si>
    <t>Josh Minyuku (Terminated)</t>
  </si>
  <si>
    <t>Leadership in Branch programme</t>
  </si>
  <si>
    <t>Kgaugelo Kulube</t>
  </si>
  <si>
    <t>FNB Points of Presence (Abednigo Chauke)</t>
  </si>
  <si>
    <t>7710693500 FNB POP Branch Delivery Zebediela Plaza</t>
  </si>
  <si>
    <t>Create Mentorship Event for Kgaugelo Kulube with Josh Minyuku (Terminated)</t>
  </si>
  <si>
    <t>The purpose of the mentorship is to Learn about different careers and fields.
Provide guidance and support during difficult times, and in narrowing what to study to archive my career goals. Clarify and narrow down my unique strengths and journey</t>
  </si>
  <si>
    <t>Anelisa Singanzi</t>
  </si>
  <si>
    <t>FNB Loans (Prolene Louw)</t>
  </si>
  <si>
    <t>79100003305 FNB Consumer Loans Internal Collections</t>
  </si>
  <si>
    <t>Collections and Recoveries</t>
  </si>
  <si>
    <t>Create Mentorship Event for Anelisa Singanzi with Rialivhuwa Mudau</t>
  </si>
  <si>
    <t>The 12th of December will mark my first year again since re-joining the Bank. I will identify gaps in Leadership development and enroll where applicable, job shadow and skills development.</t>
  </si>
  <si>
    <t>Laetitia Kay</t>
  </si>
  <si>
    <t>FNB Points of Presence (Clinton Barthus)</t>
  </si>
  <si>
    <t>771038000 FNB POP Branch Delivery Strand</t>
  </si>
  <si>
    <t>Create Mentorship Event for Laetitia Kay with Crystal Brown</t>
  </si>
  <si>
    <t>Create Mentorship Event for Thuto Kofi (Terminated) with Collen Tshebo</t>
  </si>
  <si>
    <t>Investor Services</t>
  </si>
  <si>
    <t>Waldo Visagie</t>
  </si>
  <si>
    <t>FNB Commercial National Sales and Service (Riana Prins)</t>
  </si>
  <si>
    <t>34300004503 FNB Financial Advisory Business Western Cape</t>
  </si>
  <si>
    <t>Business Financial Advisor</t>
  </si>
  <si>
    <t>Create Mentorship Event for Waldo Visagie with Riana Prins</t>
  </si>
  <si>
    <t>Balesh Raniga</t>
  </si>
  <si>
    <t>FNB Private Core Banking (Daryl Rajah)</t>
  </si>
  <si>
    <t>41200003615 FNB Private Core Banking Private Clients</t>
  </si>
  <si>
    <t>Product Portfolio Manager</t>
  </si>
  <si>
    <t>Create Mentorship Event for Balesh Raniga with Himal Parbhoo</t>
  </si>
  <si>
    <t>Create Mentorship Event for Thomas Tonga with Hlamalani Mashaba</t>
  </si>
  <si>
    <t>Ikaneng Francina Setlhotlelo</t>
  </si>
  <si>
    <t>FNB Lesotho (Mamello Selomo)</t>
  </si>
  <si>
    <t>51800008847 FNBL Finance</t>
  </si>
  <si>
    <t>Procurement Coordinator</t>
  </si>
  <si>
    <t>Procurement and Supply Chain Management</t>
  </si>
  <si>
    <t>Close Mentorship Event for Ikaneng Francina Setlhotlelo with Maleseli Lorraine Chefa
Create Mentorship Event for Ikaneng Francina Setlhotlelo with Maleseli Lorraine Chefa</t>
  </si>
  <si>
    <t>I SEEK TO BE TAKEN THROUGH ON THE MERCHANT JOUNEY ON THE FULFILMENT ASPECTS AS I LOOK AT JOINING THE MERCHANT SERVICE TEAM IN THE NEAR FUTURE.</t>
  </si>
  <si>
    <t>Chipande Shisala</t>
  </si>
  <si>
    <t>Create Mentorship Event for Chipande Shisala with Betty Moabelo</t>
  </si>
  <si>
    <t>Carol Dlamini (Terminated)</t>
  </si>
  <si>
    <t>I’m seeing myself as a branch administrator for the bank . I also want to broaden my knowledge and experience in the banking world. My future is in the financial sector and I want to learn more about the banking system and development myself gradually to make a difference in FNB. I believe it is my time to show my skills, knowledge and passion for the brand.</t>
  </si>
  <si>
    <t>Mandla Mathipa</t>
  </si>
  <si>
    <t>FNB Points of Presence (Xolani Nkosi)</t>
  </si>
  <si>
    <t>7710115300 FNB POP Branch Delivery Village Horizon</t>
  </si>
  <si>
    <t>Close Mentorship Event for Mandla Mathipa with Carol Dlamini (Terminated)
Create Mentorship Event for Mandla Mathipa with Carol Dlamini (Terminated)</t>
  </si>
  <si>
    <t>Marlene Van Nel (Terminated)</t>
  </si>
  <si>
    <t>To improve my leadership skills and groom me for future management positions.</t>
  </si>
  <si>
    <t>Igna Kirsten</t>
  </si>
  <si>
    <t>FNB Points of Presence (Reece Brown)</t>
  </si>
  <si>
    <t>771027700 FNB POP Branch Delivery Kuruman</t>
  </si>
  <si>
    <t>Create Mentorship Event for Igna Kirsten with Marlene Van Nel (Terminated)</t>
  </si>
  <si>
    <t>Maltilda Sonopo</t>
  </si>
  <si>
    <t>FNB Points of Presence (Mothibedi Moaludi)</t>
  </si>
  <si>
    <t>771013700 FNB POP Branch Delivery Nigel</t>
  </si>
  <si>
    <t>Create Mentorship Event for Maltilda Sonopo with Fridah Maake-Gumede</t>
  </si>
  <si>
    <t>Eugine Hatyoka</t>
  </si>
  <si>
    <t>FNB Zambia Retail Segment (Jason Silwamba)</t>
  </si>
  <si>
    <t>55300001894 FNB Zambia Kabwe Branch</t>
  </si>
  <si>
    <t>Create Mentorship Event for Eugine Hatyoka with Chipo Mwenya</t>
  </si>
  <si>
    <t>Data Management, Maintenance and Security</t>
  </si>
  <si>
    <t>Create Mentorship Event for Jermaine Varnicker with Athena Botha</t>
  </si>
  <si>
    <t>To empower and provide On the job training</t>
  </si>
  <si>
    <t>Caroline Nkuna</t>
  </si>
  <si>
    <t>771042500 FNB POP Branch Delivery Wepener</t>
  </si>
  <si>
    <t>Create Mentorship Event for Caroline Nkuna with Lou-Ann Oosthuizen</t>
  </si>
  <si>
    <t>Leadership</t>
  </si>
  <si>
    <t>Beata Kalola</t>
  </si>
  <si>
    <t>FNB Namibia Limited (Margareth Dawid)</t>
  </si>
  <si>
    <t>302000001454 FNB Namibia Commercial Clusters</t>
  </si>
  <si>
    <t>Relationship Analyst Clusters</t>
  </si>
  <si>
    <t>Create Mentorship Event for Beata Kalola with Annastasia Williams</t>
  </si>
  <si>
    <t>as agreed between Yamilla and Prudence, this mentorship is to assist Prudence in developing herself and growing her care</t>
  </si>
  <si>
    <t>Compliance</t>
  </si>
  <si>
    <t>Prudence Motha (Terminated)</t>
  </si>
  <si>
    <t>Create Mentorship Event for Prudence Motha (Terminated) with Yamillah Katjirua</t>
  </si>
  <si>
    <t>Nish Chinappa</t>
  </si>
  <si>
    <t>FNB Private Core Banking (Nico Oosthuizen)</t>
  </si>
  <si>
    <t>41200003546 FNB Private Core Banking Operations Support</t>
  </si>
  <si>
    <t>Business Intelligence</t>
  </si>
  <si>
    <t>Create Mentorship Event for Nish Chinappa with Diran Gajoo</t>
  </si>
  <si>
    <t>To be guided on how to maneuver through the transition of the coporate world to be a better leader and more equiped with skills and knowledge</t>
  </si>
  <si>
    <t>Lucky Phiri</t>
  </si>
  <si>
    <t>FNB Points of Presence (Innocent Radebe)</t>
  </si>
  <si>
    <t>Create Mentorship Event for Lucky Phiri with Fred Du Plessis</t>
  </si>
  <si>
    <t>Fortune Boois-Mafwila</t>
  </si>
  <si>
    <t>FNB Namibia Limited (Sandi Isaacs)</t>
  </si>
  <si>
    <t>302000006866 FNB Namibia Compliance</t>
  </si>
  <si>
    <t>Financial Crime Operations Manager</t>
  </si>
  <si>
    <t>Fraud Risk</t>
  </si>
  <si>
    <t>Create Mentorship Event for Fortune Boois-Mafwila with Yamillah Katjirua</t>
  </si>
  <si>
    <t>Mohlekaze Hlubi</t>
  </si>
  <si>
    <t>FNB Points of Presence (Lee Ainslie)</t>
  </si>
  <si>
    <t>771032600 FNB POP Branch Delivery Parys</t>
  </si>
  <si>
    <t>Create Mentorship Event for Mohlekaze Hlubi with Sabata Chomane</t>
  </si>
  <si>
    <t>Daren Moodley (Terminated)</t>
  </si>
  <si>
    <t>Contract 2024</t>
  </si>
  <si>
    <t>Vikash Mahabally</t>
  </si>
  <si>
    <t>FNB Points of Presence (Musa Vukeya)</t>
  </si>
  <si>
    <t>Key Accounts Manager</t>
  </si>
  <si>
    <t>Create Mentorship Event for Vikash Mahabally with Daren Moodley (Terminated)</t>
  </si>
  <si>
    <t>To guide and monitor success.</t>
  </si>
  <si>
    <t>Create Mentorship Event for Nokwazi Mabaso with Mariska Walkerley</t>
  </si>
  <si>
    <t>Kgotlelelo Makeke (Terminated)</t>
  </si>
  <si>
    <t>Create Mentorship Event for Kgotlelelo Makeke (Terminated) with Fridah Maake-Gumede</t>
  </si>
  <si>
    <t>Sibongile Dhlamini</t>
  </si>
  <si>
    <t>FNB Points of Presence (Reuben Diphoko)</t>
  </si>
  <si>
    <t>771037200 FNB POP Branch Delivery Standerton</t>
  </si>
  <si>
    <t>Create Mentorship Event for Sibongile Dhlamini with Fridah Maake-Gumede</t>
  </si>
  <si>
    <t>I wanted a mentor to help me navigate my career as I am new in this corporate world</t>
  </si>
  <si>
    <t>Mbali Ohlson</t>
  </si>
  <si>
    <t>FNB Retail CDAO (Jaysha Singh)</t>
  </si>
  <si>
    <t>Close Mentorship Event for Mbali Ohlson with Bina Rowjee
Create Mentorship Event for Mbali Ohlson with Bina Rowjee</t>
  </si>
  <si>
    <t>Mologadi Monakhisi (Terminated)</t>
  </si>
  <si>
    <t>Create Mentorship Event for Mologadi Monakhisi (Terminated) with Hlamalani Mashaba</t>
  </si>
  <si>
    <t>Yoshini Naidoo (Terminated)</t>
  </si>
  <si>
    <t>Close Mentorship Event for Yoshini Naidoo (Terminated) with Zaheer Ismail
Create Mentorship Event for Yoshini Naidoo (Terminated) with Zaheer Ismail</t>
  </si>
  <si>
    <t>Mentee Withdrawal - Change in Mentoring Needs</t>
  </si>
  <si>
    <t>upskilling.</t>
  </si>
  <si>
    <t>Daya Govender</t>
  </si>
  <si>
    <t>Create Mentorship Event for Daya Govender with Daren Moodley (Terminated)</t>
  </si>
  <si>
    <t>Career alignment and guidance</t>
  </si>
  <si>
    <t>Credit Risk</t>
  </si>
  <si>
    <t>Sandra Mnyoni</t>
  </si>
  <si>
    <t>FNB Personal Segment Advisory and Suites (Nicole Greeves)</t>
  </si>
  <si>
    <t>97200010975 PSAS Case Management</t>
  </si>
  <si>
    <t>Create Mentorship Event for Sandra Mnyoni with Mitchell Ncube</t>
  </si>
  <si>
    <t>Overall achievement of Goals and Measures as set out in agreed Points of Presence Staffing Solutions Key Account Manager
Overall achievement of Goals and Measures as set out in agreed Points of Presence Staffing Solutions Operations Manager Contract
Overall achievement of Goals and Measures as set out in agreed Points of Presence Staffing Solutions Administrator Contract</t>
  </si>
  <si>
    <t>Upskilling to gain experience so as to advance further in my career.</t>
  </si>
  <si>
    <t>Leadership, individual branding, career development</t>
  </si>
  <si>
    <t>Analytics</t>
  </si>
  <si>
    <t>Veronika Jacobsz</t>
  </si>
  <si>
    <t>Close Mentorship Event for Veronika Jacobsz with Nozipho Duma
Create Mentorship Event for Veronika Jacobsz with Nozipho Duma</t>
  </si>
  <si>
    <t>Naledi Modipane (Terminated)</t>
  </si>
  <si>
    <t>Create Mentorship Event for Naledi Modipane (Terminated) with Bongi Tshabangu</t>
  </si>
  <si>
    <t>Reuben Diphoko</t>
  </si>
  <si>
    <t>Create Mentorship Event for Reuben Diphoko with Fridah Maake-Gumede</t>
  </si>
  <si>
    <t>Makarabo Mahlomotja</t>
  </si>
  <si>
    <t>Create Mentorship Event for Makarabo Mahlomotja with Fridah Maake-Gumede</t>
  </si>
  <si>
    <t>Sihle Ncedani-Madlebe</t>
  </si>
  <si>
    <t>FNB Points of Presence (Zukisa Gabela)</t>
  </si>
  <si>
    <t>771034000 FNB POP Branch Delivery Port Alfred</t>
  </si>
  <si>
    <t>Create Mentorship Event for Sihle Ncedani-Madlebe with Theo Ngoma</t>
  </si>
  <si>
    <t>Actuarial Science Mentoring Programme</t>
  </si>
  <si>
    <t>Neo Hlalele</t>
  </si>
  <si>
    <t>FNB International SA Retail Credit (Drikus Conradie)</t>
  </si>
  <si>
    <t>83200005888 FNB International SA Retail Credit</t>
  </si>
  <si>
    <t>Create Mentorship Event for Neo Hlalele with Himal Parbhoo</t>
  </si>
  <si>
    <t>Process and Business Analysis</t>
  </si>
  <si>
    <t>Create Mentorship Event for Stephana Tshehla with Shalati Ngobeni</t>
  </si>
  <si>
    <t>The purpose of this mentorship is for me to acquire a skill set that will help me move and excel in the commercial space specifically commercial property finance and all other surrounding disciplines.</t>
  </si>
  <si>
    <t>Nomthandazo Rapodile</t>
  </si>
  <si>
    <t>FNB Commercial Sales Inland (Kammie Coetzee)</t>
  </si>
  <si>
    <t>Create Mentorship Event for Nomthandazo Rapodile with Pontsho Njoro</t>
  </si>
  <si>
    <t>BA</t>
  </si>
  <si>
    <t>Financial Management</t>
  </si>
  <si>
    <t>Sibusiso Khumalo</t>
  </si>
  <si>
    <t>FNB Points of Presence (Delisiwe Chilwane)</t>
  </si>
  <si>
    <t>7710452300 FNB POP Nelspruit Crossing Centre</t>
  </si>
  <si>
    <t>Create Mentorship Event for Sibusiso Khumalo with Wilma Masilo</t>
  </si>
  <si>
    <t>Danika Ramalingum</t>
  </si>
  <si>
    <t>Funding and Liquidity Management (Cameron Gough)</t>
  </si>
  <si>
    <t>78200000SFE Structured Finance</t>
  </si>
  <si>
    <t>Group Treasury Structurer</t>
  </si>
  <si>
    <t>Investment Banking</t>
  </si>
  <si>
    <t>Create Mentorship Event for Danika Ramalingum with Louise Labuschagne</t>
  </si>
  <si>
    <t>Asset Management</t>
  </si>
  <si>
    <t>Matthew Gerrish (Terminated)</t>
  </si>
  <si>
    <t>Create Mentorship Event for Matthew Gerrish (Terminated) with Willem-Dirk Van'T Zand</t>
  </si>
  <si>
    <t>Legal</t>
  </si>
  <si>
    <t>Salmaan Mukhtar (Terminated)</t>
  </si>
  <si>
    <t>Create Mentorship Event for Salmaan Mukhtar (Terminated) with Shailesh Pillay</t>
  </si>
  <si>
    <t>For guidance on sales and service role</t>
  </si>
  <si>
    <t>Mphumuzi Khoza</t>
  </si>
  <si>
    <t>Create Mentorship Event for Mphumuzi Khoza with Thabo Mahlaba</t>
  </si>
  <si>
    <t>Nhlamulo Thosi (Terminated)</t>
  </si>
  <si>
    <t>Gift Rathekoane</t>
  </si>
  <si>
    <t>FNB Points of Presence (Zinhle Mokoena)</t>
  </si>
  <si>
    <t>7710248500 FNB POP Branch Delivery Diepkloof Square</t>
  </si>
  <si>
    <t>Create Mentorship Event for Gift Rathekoane with Nhlamulo Thosi (Terminated)</t>
  </si>
  <si>
    <t>Financial Resources Management</t>
  </si>
  <si>
    <t>Hugh Bouwer</t>
  </si>
  <si>
    <t>RMBSA Global Markets Technical Risk Advisory (Gareth Schumann)</t>
  </si>
  <si>
    <t>77800000THR RMBSA Global Markets Technical Risk Advisory</t>
  </si>
  <si>
    <t>Quantitative Risk Analyst</t>
  </si>
  <si>
    <t>Create Mentorship Event for Hugh Bouwer with Kevin Myers</t>
  </si>
  <si>
    <t>Diaan Dietrichsen (Terminated)</t>
  </si>
  <si>
    <t>Create Mentorship Event for Diaan Dietrichsen (Terminated) with Kevin Hu</t>
  </si>
  <si>
    <t>Maggie Nkoana</t>
  </si>
  <si>
    <t>Create Mentorship Event for Maggie Nkoana with Henry Lesar</t>
  </si>
  <si>
    <t>Nomvuselelo Ntuli</t>
  </si>
  <si>
    <t>FNB Points of Presence (Noma Bozwana)</t>
  </si>
  <si>
    <t>Create Mentorship Event for Nomvuselelo Ntuli with Theo Ngoma</t>
  </si>
  <si>
    <t>Amanda Mene</t>
  </si>
  <si>
    <t>Create Mentorship Event for Amanda Mene with Theo Ngoma</t>
  </si>
  <si>
    <t>performance goal</t>
  </si>
  <si>
    <t>Business Development</t>
  </si>
  <si>
    <t>Pitsi Mnguni</t>
  </si>
  <si>
    <t>FNB Points of Presence (Phumzile Mbele)</t>
  </si>
  <si>
    <t>771079500 FNB POP Branch Delivery Bryanston</t>
  </si>
  <si>
    <t>Create Mentorship Event for Pitsi Mnguni with Dorah Mohlopi</t>
  </si>
  <si>
    <t>I want to be able to lead a highly motivated team which is always hungry for success.</t>
  </si>
  <si>
    <t>Sandile Nkosi</t>
  </si>
  <si>
    <t>7710102900 FNB POP Branch Delivery Elukwatini</t>
  </si>
  <si>
    <t>Create Mentorship Event for Sandile Nkosi with Andries Shuping</t>
  </si>
  <si>
    <t>To help me navigate in to the new role, especially with sales and service. And for my branch not to peform below 400.</t>
  </si>
  <si>
    <t>Delisiwe Chilwane</t>
  </si>
  <si>
    <t>FNB Points of Presence (Nondumiso Mthembu)</t>
  </si>
  <si>
    <t>Create Mentorship Event for Delisiwe Chilwane with Nomvula Luphoko</t>
  </si>
  <si>
    <t>Fazila Khan</t>
  </si>
  <si>
    <t>771083500 FNB POP Branch Delivery The Pavilion</t>
  </si>
  <si>
    <t>Create Mentorship Event for Fazila Khan with Avashni Singh</t>
  </si>
  <si>
    <t>Madika Makgeletsi</t>
  </si>
  <si>
    <t>FNB Points of Presence (Thabiso Kutwane)</t>
  </si>
  <si>
    <t>7710993900 FNB POP BRANCH DELIVERY PALM SPRINGS MALL</t>
  </si>
  <si>
    <t>Create Mentorship Event for Madika Makgeletsi with Bomikazi Sekoala</t>
  </si>
  <si>
    <t>Thuthu Mnyandu</t>
  </si>
  <si>
    <t>FNB Points of Presence (Susan Naicker)</t>
  </si>
  <si>
    <t>771045100 FNB POP Branch Delivery New Germany</t>
  </si>
  <si>
    <t>Create Mentorship Event for Thuthu Mnyandu with Avashni Singh</t>
  </si>
  <si>
    <t>In training</t>
  </si>
  <si>
    <t>Anna Van Pletzen</t>
  </si>
  <si>
    <t>Create Mentorship Event for Anna Van Pletzen with Pieter Smit</t>
  </si>
  <si>
    <t>Maserame Makwakwa (Terminated)</t>
  </si>
  <si>
    <t>Ruth Raseemela</t>
  </si>
  <si>
    <t>FNB Point of Presence (Dineo Mbalati)</t>
  </si>
  <si>
    <t>771025000 FNB POP Branch Delivery Festival Mall</t>
  </si>
  <si>
    <t>Create Mentorship Event for Ruth Raseemela with Maserame Makwakwa (Terminated)</t>
  </si>
  <si>
    <t>Bongani Kgoedi</t>
  </si>
  <si>
    <t>FNB Points of Presence (Paballo Kgolane)</t>
  </si>
  <si>
    <t>771063300 FNB POP Branch Delivery Jane Furse</t>
  </si>
  <si>
    <t>Create Mentorship Event for Bongani Kgoedi with Tshidiso Noge</t>
  </si>
  <si>
    <t>Siyabonga Mzimela</t>
  </si>
  <si>
    <t>Create Mentorship Event for Siyabonga Mzimela with Charles Thulani Nkosi</t>
  </si>
  <si>
    <t>Help develop and mentor in the operational of the business</t>
  </si>
  <si>
    <t>Vanessa Naicker</t>
  </si>
  <si>
    <t>FNB Points of Presence (Deno Govender)</t>
  </si>
  <si>
    <t>771009100 FNB POP Branch Delivery Verulam</t>
  </si>
  <si>
    <t>Create Mentorship Event for Vanessa Naicker with Yure Haripersad</t>
  </si>
  <si>
    <t>Move up to a band C. Local Market Operations Manager.</t>
  </si>
  <si>
    <t>Claude Govender</t>
  </si>
  <si>
    <t>FNB Points of Presence (Yure Haripersad)</t>
  </si>
  <si>
    <t>7710868700 FNB POP Branch Delivery Midway Crossing</t>
  </si>
  <si>
    <t>Create Mentorship Event for Claude Govender with Thabiso Nyawose</t>
  </si>
  <si>
    <t>Regina Ntholeng (Terminated)</t>
  </si>
  <si>
    <t>Create Mentorship Event for Regina Ntholeng (Terminated) with Dwan Steyn</t>
  </si>
  <si>
    <t>A CAREEER GUIDANCE IN THE BANKING INDUSTRY</t>
  </si>
  <si>
    <t>Product Development</t>
  </si>
  <si>
    <t>Kenanao Kombani</t>
  </si>
  <si>
    <t>Create Mentorship Event for Kenanao Kombani with Borethe Mogwe</t>
  </si>
  <si>
    <t>To grow personally and in career</t>
  </si>
  <si>
    <t>Asezile Figlan</t>
  </si>
  <si>
    <t>Create Mentorship Event for Asezile Figlan with Maserame Makwakwa (Terminated)</t>
  </si>
  <si>
    <t>Sarah Janks (Terminated)</t>
  </si>
  <si>
    <t>Create Mentorship Event for Candice Lee Kondominas with Sarah Janks (Terminated)</t>
  </si>
  <si>
    <t>CAREER GUIDE IN THE BANKING INDUSTRY</t>
  </si>
  <si>
    <t>Create Mentorship Event for Kenanao Kombani with Amantle Mphoeng</t>
  </si>
  <si>
    <t>For personal and career growth</t>
  </si>
  <si>
    <t>Matee Malete</t>
  </si>
  <si>
    <t>FNB Point of Presence (Kenotshi Dlamini)</t>
  </si>
  <si>
    <t>771013200 FNB POP Branch Delivery Sandton City</t>
  </si>
  <si>
    <t>Create Mentorship Event for Matee Malete with Maserame Makwakwa (Terminated)</t>
  </si>
  <si>
    <t>Tshepo Huma (Terminated)</t>
  </si>
  <si>
    <t>Create Mentorship Event for Tshepo Huma (Terminated) with Kreneshen Moodley</t>
  </si>
  <si>
    <t>George Lambiris (Terminated)</t>
  </si>
  <si>
    <t>Create Mentorship Event for George Lambiris (Terminated) with Cornel Du Toit</t>
  </si>
  <si>
    <t>Melanie Malan</t>
  </si>
  <si>
    <t>FNB Points of Presence (Moshate Sefanyetso (Inherited))</t>
  </si>
  <si>
    <t>771036000 FNB POP Branch Delivery Rustenburg</t>
  </si>
  <si>
    <t>Create Mentorship Event for Melanie Malan with Mmamodise Tiro</t>
  </si>
  <si>
    <t>Tshepo Motsei (Terminated)</t>
  </si>
  <si>
    <t>do well in Sales</t>
  </si>
  <si>
    <t>Kgomotso Matshoba</t>
  </si>
  <si>
    <t>Create Mentorship Event for Kgomotso Matshoba with Tshepo Motsei (Terminated)</t>
  </si>
  <si>
    <t>Paul Erasmus (Terminated)</t>
  </si>
  <si>
    <t>Create Mentorship Event for Sean Christoph with Paul Erasmus (Terminated)</t>
  </si>
  <si>
    <t>Better integration into a team/business unit
Bridging the gap for graduates and first-time joiners to the workplace
Broaden organisational knowledge
Career guidance
Deal with diversity and inclusion challenges
Develop leadership skills
Disruptive technologies
Innovation
Learn how to navigate the system
Manage a career transition
Relationship building and networking</t>
  </si>
  <si>
    <t>Mpho Sephetho</t>
  </si>
  <si>
    <t>FNB Private Banking and Advisory (Morne Welgemoed)</t>
  </si>
  <si>
    <t>Create Mentorship Event for Mpho Sephetho with Shane French
Edit Mentorship Event for Mpho Sephetho with Shane French</t>
  </si>
  <si>
    <t>Thembani Mashao</t>
  </si>
  <si>
    <t>FNB Commercial Core Juristic Platform (Lamla Gege)</t>
  </si>
  <si>
    <t>Close Mentorship Event for Thembani Mashao with Lamla Gege
Create Mentorship Event for Thembani Mashao with Lamla Gege</t>
  </si>
  <si>
    <t>- Provide career development guidance
- Prepare mentee for new leadership opportunities</t>
  </si>
  <si>
    <t>Nombuso Mkhize</t>
  </si>
  <si>
    <t>FNB nav Home (Winnie Masina)</t>
  </si>
  <si>
    <t>Create Mentorship Event for Nombuso Mkhize with Rethabile Tsekedi</t>
  </si>
  <si>
    <t>Tuyeimo Penehafo Nghiholiwe</t>
  </si>
  <si>
    <t>FNB Namibia Limited (Elizabeth Uugwanga)</t>
  </si>
  <si>
    <t>302031B9J012 FNB Namibia Far North Area Office Oshikango</t>
  </si>
  <si>
    <t>Create Mentorship Event for Tuyeimo Penehafo Nghiholiwe with Annastasia Williams</t>
  </si>
  <si>
    <t>Lazola Gubevu</t>
  </si>
  <si>
    <t>FNB Points of Presence (Lizo Dlamini)</t>
  </si>
  <si>
    <t>771039900 FNB POP Branch Delivery Mthatha</t>
  </si>
  <si>
    <t>Create Mentorship Event for Lazola Gubevu with Lusanda Sombinge</t>
  </si>
  <si>
    <t>·        Career guidance
I am a systems Analyst with 6 years experience. I have an interest to transition in a BI Manager or Insight and Analystics Manager role. I would like guidance on what courses to take to best prepare and how to best do the transition.
·        Develop leadership skills
I believe i am a leader and ready to step up to lead role, i need assistance on how to best develop and show case these skills.
·        Relationship building and networking
I would like assistance on how do i broaden my network and grow in my career.</t>
  </si>
  <si>
    <t>Nosivuno September (Terminated)</t>
  </si>
  <si>
    <t>Create Mentorship Event for Nosivuno September (Terminated) with Athena Botha</t>
  </si>
  <si>
    <t>Develop leadership skills.
Learn how to navigate the system.
Relationship building and networking.</t>
  </si>
  <si>
    <t>Hitjiza Kamupingene</t>
  </si>
  <si>
    <t>FNB Namibia Limited (Lucky Shindume)</t>
  </si>
  <si>
    <t>Create Mentorship Event for Hitjiza Kamupingene with Yamillah Katjirua</t>
  </si>
  <si>
    <t>Brian Sithole</t>
  </si>
  <si>
    <t>FNB Points of Presence (Disebo Motsapi)</t>
  </si>
  <si>
    <t>771012600 FNB POP Branch Delivery Randfontein</t>
  </si>
  <si>
    <t>Create Mentorship Event for Brian Sithole with Hlamalani Mashaba</t>
  </si>
  <si>
    <t>Lebo Mohlala</t>
  </si>
  <si>
    <t>FNB Points of Presence (Naume Khalane)</t>
  </si>
  <si>
    <t>7710101100 FNB POP Branch Delivery KG Mall</t>
  </si>
  <si>
    <t>Create Mentorship Event for Lebo Mohlala with Thuto Chabane</t>
  </si>
  <si>
    <t>Being a better OBR consultant</t>
  </si>
  <si>
    <t>Sekoala Lenkoane</t>
  </si>
  <si>
    <t>FNB Points of Presence (Sandra Du Randt)</t>
  </si>
  <si>
    <t>771050700 FNB POP Branch Delivery College Square</t>
  </si>
  <si>
    <t>Branch External Sales and Service Advisor OBR</t>
  </si>
  <si>
    <t>Create Mentorship Event for Sekoala Lenkoane with Bomikazi Sekoala</t>
  </si>
  <si>
    <t>for me to complete my assessments</t>
  </si>
  <si>
    <t>Siziphiwe Tyebisa</t>
  </si>
  <si>
    <t>FNB Points of Presence (Masixole Baduza)</t>
  </si>
  <si>
    <t>Create Mentorship Event for Siziphiwe Tyebisa with Lusanda Sombinge</t>
  </si>
  <si>
    <t>Understand the role</t>
  </si>
  <si>
    <t>Yanda Kupiso</t>
  </si>
  <si>
    <t>771024500 FNB POP Branch Delivery Heilbron</t>
  </si>
  <si>
    <t>Create Mentorship Event for Yanda Kupiso with Lusanda Sombinge</t>
  </si>
  <si>
    <t>Refilwe Makgala</t>
  </si>
  <si>
    <t>FNB Points of Presence (Sam Letshwene)</t>
  </si>
  <si>
    <t>Create Mentorship Event for Refilwe Makgala with Mmamodise Tiro</t>
  </si>
  <si>
    <t>achieve my goals</t>
  </si>
  <si>
    <t>Tumeka Mbombo</t>
  </si>
  <si>
    <t>Create Mentorship Event for Tumeka Mbombo with Lusanda Sombinge</t>
  </si>
  <si>
    <t>Through this mentorship programme i would like to be assisted to elevate my career to a role in Data Science/Analysis. I would like to find out more about the role and how I can be a successful candidate whenever there is an opening.</t>
  </si>
  <si>
    <t>Phil Nkosi</t>
  </si>
  <si>
    <t>FirstRand Short Term Insurance (Andile Matomela)</t>
  </si>
  <si>
    <t>90700004633 ST Personal Comp Sales</t>
  </si>
  <si>
    <t>Short Term Insurance Sales Consultant</t>
  </si>
  <si>
    <t>Create Mentorship Event for Phil Nkosi with Bheki Cele</t>
  </si>
  <si>
    <t>Mentorship Journey</t>
  </si>
  <si>
    <t>Mary Simujayangombe</t>
  </si>
  <si>
    <t>FNB Zambia Human Capital (Musyani Siwelwa)</t>
  </si>
  <si>
    <t>Create Mentorship Event for Mary Simujayangombe with Sudeshni Gounden</t>
  </si>
  <si>
    <t>I'm signing up for Shaun to be my mentor, coaching on industry and to better prepare for the future of banking, the compliance and laws associated with the future.</t>
  </si>
  <si>
    <t>Gibson Mostert (Terminated)</t>
  </si>
  <si>
    <t>Create Mentorship Event for Gibson Mostert (Terminated) with Yamillah Katjirua</t>
  </si>
  <si>
    <t>Lindeni Temba</t>
  </si>
  <si>
    <t>FNB Points of Presence (Ignatia Monyai)</t>
  </si>
  <si>
    <t>Create Mentorship Event for Lindeni Temba with Maserame Makwakwa (Terminated)</t>
  </si>
  <si>
    <t>Provide guidance, motivation, emotional support and role modelling.</t>
  </si>
  <si>
    <t>Yvonne Mofokeng</t>
  </si>
  <si>
    <t>FNB Points of Presence (Lindi Mahlangu)</t>
  </si>
  <si>
    <t>7710247500 FNB POP Branch Delivery Eyethu Orange Farm Mall</t>
  </si>
  <si>
    <t>Create Mentorship Event for Yvonne Mofokeng with Abdul Raheem Karim</t>
  </si>
  <si>
    <t>Benjamin Mguzulwa</t>
  </si>
  <si>
    <t>FNB Points of Presence (Chantel Pretorius)</t>
  </si>
  <si>
    <t>Create Mentorship Event for Benjamin Mguzulwa with Dimpho Thupayakgosi</t>
  </si>
  <si>
    <t>I would like to be a business manager</t>
  </si>
  <si>
    <t>Yanga Mbadu</t>
  </si>
  <si>
    <t>FNB Points of Presence (Shoeshoe Matlhabe)</t>
  </si>
  <si>
    <t>771003700 FNB POP Branch Delivery Rosebank</t>
  </si>
  <si>
    <t>Create Mentorship Event for Yanga Mbadu with Dorah Mohlopi
Edit Mentorship Event for Yanga Mbadu with Dorah Mohlopi</t>
  </si>
  <si>
    <t>Good day, I am looking for someone who will guide me in my career and be able grow. A person which I feel I can learn from and also be in a position possibly to impart some knowledge to them also. I wanna use this opportunity to also get out of my comfort zone and learn about other people and the things they do and how it all contributes to this one big goal the bank also has for itself.</t>
  </si>
  <si>
    <t>Mpho Baloyi</t>
  </si>
  <si>
    <t>FNB ConnectMe (Sivuyile Ngxabazi)</t>
  </si>
  <si>
    <t>84900001599 FNB ConnectMe Finance</t>
  </si>
  <si>
    <t>Cost Accountant</t>
  </si>
  <si>
    <t>Accounting and Financial Intelligence</t>
  </si>
  <si>
    <t>Create Mentorship Event for Mpho Baloyi with Nomgqibelo Msimango</t>
  </si>
  <si>
    <t>To be a branch Controller</t>
  </si>
  <si>
    <t>Kamohelo Mokotjomela (Terminated)</t>
  </si>
  <si>
    <t>Create Mentorship Event for Kamohelo Mokotjomela (Terminated) with Tsami Motaung</t>
  </si>
  <si>
    <t>Career development support</t>
  </si>
  <si>
    <t>Gabriel Mosiane</t>
  </si>
  <si>
    <t>FNB Points of Presence (Mpilonhle Segale)</t>
  </si>
  <si>
    <t>771066900 FNB POP Branch Delivery Key West</t>
  </si>
  <si>
    <t>Create Mentorship Event for Gabriel Mosiane with Dorah Mohlopi</t>
  </si>
  <si>
    <t>To coach me into her responsibilities and duties of being a team leader.</t>
  </si>
  <si>
    <t>Lindiwe Tshabalala</t>
  </si>
  <si>
    <t>FNB Lesotho (Maleseli Lorraine Chefa)</t>
  </si>
  <si>
    <t>Team Member Back Office</t>
  </si>
  <si>
    <t>Create Mentorship Event for Lindiwe Tshabalala with Maleseli Lorraine Chefa</t>
  </si>
  <si>
    <t>Learn more about sales, service and operations</t>
  </si>
  <si>
    <t>Masesi Sibanda (Terminated)</t>
  </si>
  <si>
    <t>Create Mentorship Event for Masesi Sibanda (Terminated) with Catharina Harmse</t>
  </si>
  <si>
    <t>Manqoba Sindane</t>
  </si>
  <si>
    <t>FNB Points of Presence (Martha Maqetuka)</t>
  </si>
  <si>
    <t>771052700 FNB POP Branch Delivery Eastgate</t>
  </si>
  <si>
    <t>Create Mentorship Event for Manqoba Sindane with Dwan Steyn</t>
  </si>
  <si>
    <t>Roles in leadersy</t>
  </si>
  <si>
    <t>Vusumzi Mkize</t>
  </si>
  <si>
    <t>FNB Points of Presence (Lucky Ngubo)</t>
  </si>
  <si>
    <t>7710178400 FNB POP Branch Delivery Meyersdal Mall</t>
  </si>
  <si>
    <t>Create Mentorship Event for Vusumzi Mkize with Bruce Ncube</t>
  </si>
  <si>
    <t>Ameisha Singh (Terminated)</t>
  </si>
  <si>
    <t>To enhance knowledge and skills to advance to LMM role in the local market.</t>
  </si>
  <si>
    <t>Trason Murugen</t>
  </si>
  <si>
    <t>FNB Points of Presence (Caryn Pendlebury)</t>
  </si>
  <si>
    <t>771062400 FNB POP Branch Delivery V A Waterfront</t>
  </si>
  <si>
    <t>Create Mentorship Event for Trason Murugen with Ameisha Singh (Terminated)</t>
  </si>
  <si>
    <t>Nkosinathi Nobela (Terminated)</t>
  </si>
  <si>
    <t>Score informed by data tracking 
Significant improvement required
Improvement require Meets expectations: Exceed Expectations
Exceptional</t>
  </si>
  <si>
    <t>Mkateko Buti</t>
  </si>
  <si>
    <t>771014300 FNB POP Branch Delivery Clearwater Mall</t>
  </si>
  <si>
    <t>Create Mentorship Event for Mkateko Buti with Nkosinathi Nobela (Terminated)</t>
  </si>
  <si>
    <t>The purpose of the mentorship is to gain knowledge and experience regarding the Business Coach role and to develop and the necessary skills, traits and requirements in order to move within his role.</t>
  </si>
  <si>
    <t>Bre-yana Beckmann</t>
  </si>
  <si>
    <t>FNB Points of Presence (Maria Madisa)</t>
  </si>
  <si>
    <t>Process Analyst</t>
  </si>
  <si>
    <t>Create Mentorship Event for Bre-yana Beckmann with Megan Petersen</t>
  </si>
  <si>
    <t>Sibusiso Ngcobo</t>
  </si>
  <si>
    <t>FNB Points of Presence (Jimmy Mafa)</t>
  </si>
  <si>
    <t>771030300 FNB POP Branch Delivery Middelburg MP</t>
  </si>
  <si>
    <t>Create Mentorship Event for Sibusiso Ngcobo with Thuto Chabane</t>
  </si>
  <si>
    <t>Sihle Mhlongo</t>
  </si>
  <si>
    <t>FNB Points of Presence (Martin Lolwane)</t>
  </si>
  <si>
    <t>Create Mentorship Event for Sihle Mhlongo with Maserame Makwakwa (Terminated)</t>
  </si>
  <si>
    <t>Loretta Ramatsoma (Terminated)</t>
  </si>
  <si>
    <t>Create Mentorship Event for Loretta Ramatsoma (Terminated) with Vusi Mabuza</t>
  </si>
  <si>
    <t>Mentor to help me with trainings for Leadership workers</t>
  </si>
  <si>
    <t>Architecture</t>
  </si>
  <si>
    <t>Thomas Mathebula</t>
  </si>
  <si>
    <t>CDO Infrastructure and Security Services (Dumisani Mthembu)</t>
  </si>
  <si>
    <t>Shift Team Leader</t>
  </si>
  <si>
    <t>Facilities Management and Services</t>
  </si>
  <si>
    <t>Create Mentorship Event for Thomas Mathebula with Sipho Khumalo</t>
  </si>
  <si>
    <t>EXPERIENCE</t>
  </si>
  <si>
    <t>Bokang Mabyane</t>
  </si>
  <si>
    <t>Create Mentorship Event for Bokang Mabyane with Mmamodise Tiro</t>
  </si>
  <si>
    <t>Nobahle Nxopho (Terminated)</t>
  </si>
  <si>
    <t>To guide me to become a responsible person to bring out the best in others. Thus being admits mistakes, show how to do things, gives advice and direction, earns respect, says we as we work as a team and ask and say thank you.</t>
  </si>
  <si>
    <t>Hannetjie Beukes (Terminated)</t>
  </si>
  <si>
    <t>Create Mentorship Event for Hannetjie Beukes (Terminated) with Nobahle Nxopho (Terminated)</t>
  </si>
  <si>
    <t>The aim is to get more insight, knowledge, skills and understanding on how to lead properly and plan.</t>
  </si>
  <si>
    <t>Thabo Mathenjwa</t>
  </si>
  <si>
    <t>FNB Points of Presence (Devan Chetty)</t>
  </si>
  <si>
    <t>7710371100 FNB POP Branch Delivery Mbazwana Shopping Centre</t>
  </si>
  <si>
    <t>Create Mentorship Event for Thabo Mathenjwa with Thabiso Nyawose</t>
  </si>
  <si>
    <t>to guide towards my dream goals and to supervise on how to get there quicker</t>
  </si>
  <si>
    <t>Virginia Mohale</t>
  </si>
  <si>
    <t>Create Mentorship Event for Virginia Mohale with Catharina Harmse</t>
  </si>
  <si>
    <t>leaner how to navigate the system ,manage my career and to build a long and lasting relationship</t>
  </si>
  <si>
    <t>For Self development.</t>
  </si>
  <si>
    <t>Cleo Aarons</t>
  </si>
  <si>
    <t>FNB Points of Presence (Riaz Gaibee)</t>
  </si>
  <si>
    <t>7710293500 FNB POP Branch Delivery New Market Mall</t>
  </si>
  <si>
    <t>Create Mentorship Event for Cleo Aarons with Catharina Harmse</t>
  </si>
  <si>
    <t>Mduduzi Nkosi</t>
  </si>
  <si>
    <t>FNB Retail Facilities (David Goosen)</t>
  </si>
  <si>
    <t>22300005071 FNB REMS</t>
  </si>
  <si>
    <t>Concierge</t>
  </si>
  <si>
    <t>Catering and Hospitality</t>
  </si>
  <si>
    <t>Create Mentorship Event for Mduduzi Nkosi with Catharina Harmse</t>
  </si>
  <si>
    <t>developing leadership skills and networking</t>
  </si>
  <si>
    <t>Kuhle Kewana</t>
  </si>
  <si>
    <t>FNB Chief Risk Office IT (Mashao Seisa)</t>
  </si>
  <si>
    <t>Create Mentorship Event for Kuhle Kewana with Malebo Phahlamohlaka</t>
  </si>
  <si>
    <t>Create Mentorship Event for Yasmin Kadwa with Malini Mudaly</t>
  </si>
  <si>
    <t>Thandi Mashele</t>
  </si>
  <si>
    <t>FNB Points of Presence (Emily Mbele)</t>
  </si>
  <si>
    <t>7710446100 FNB POP Branch Delivery Sky City Mall</t>
  </si>
  <si>
    <t>Create Mentorship Event for Thandi Mashele with Amukelani Maetsa</t>
  </si>
  <si>
    <t>Looking for a mentor to guide me on how to better equip &amp; develop myself into becoming a legal advisor.</t>
  </si>
  <si>
    <t>Lira Reddi (Terminated)</t>
  </si>
  <si>
    <t>Close Mentorship Event for Lira Reddi (Terminated) with Yasmin Kadwa
Create Mentorship Event for Lira Reddi (Terminated) with Yasmin Kadwa</t>
  </si>
  <si>
    <t>To become a better Data Architect</t>
  </si>
  <si>
    <t>Bertie Vorster</t>
  </si>
  <si>
    <t>CDO Kernel iDnA (Yoricke Esterhuyse)</t>
  </si>
  <si>
    <t>Data Architect</t>
  </si>
  <si>
    <t>Create Mentorship Event for Bertie Vorster with Andre Olivier</t>
  </si>
  <si>
    <t>To grow as a Leader by guiding the Team to success, by managing daily activities and being deeply invested.</t>
  </si>
  <si>
    <t>Katlego Matlou</t>
  </si>
  <si>
    <t>FNB Points of Presence (Neil Trewin)</t>
  </si>
  <si>
    <t>7710105200 FNB POP Branch Delivery Wonderpark</t>
  </si>
  <si>
    <t>Create Mentorship Event for Katlego Matlou with Nelien Dippenaar</t>
  </si>
  <si>
    <t>Career change.</t>
  </si>
  <si>
    <t>Gugu Sibeko</t>
  </si>
  <si>
    <t>Create Mentorship Event for Gugu Sibeko with Thuto Chabane</t>
  </si>
  <si>
    <t>Sindisiwe Mthembu</t>
  </si>
  <si>
    <t>FNB Points of Presence (Celia Motswiane)</t>
  </si>
  <si>
    <t>7710104200 FNB POP Branch Delivery Crossroads Plaza</t>
  </si>
  <si>
    <t>Create Mentorship Event for Sindisiwe Mthembu with Bongi Tshabangu</t>
  </si>
  <si>
    <t>Better integration into a team/business unit
Bridging the gap for graduates and first-time joiners to the workplace
Broaden organisational knowledge
Career guidance</t>
  </si>
  <si>
    <t>Amanda Lebohang Gift Mngomezulu (Terminated)</t>
  </si>
  <si>
    <t>Close Mentorship Event for Amanda Lebohang Gift Mngomezulu (Terminated) with Zaheer Ismail
Create Mentorship Event for Amanda Lebohang Gift Mngomezulu (Terminated) with Zaheer Ismail</t>
  </si>
  <si>
    <t>To grow in my current role with aim to do great in the role i aspired to embark on.</t>
  </si>
  <si>
    <t>Create Mentorship Event for Lusanda Sombinge with Xolani Madini</t>
  </si>
  <si>
    <t>would like to move into management space as a next step of my career,learn all the necessary skills,duties and responsibilities for the role,equip and prepare myself for the role and acquire as much as i can in terms of the role for me to be able to get into the role.</t>
  </si>
  <si>
    <t>Nicholas Mathope</t>
  </si>
  <si>
    <t>FNB Points of Presence (Mmapule Sangweni)</t>
  </si>
  <si>
    <t>Create Mentorship Event for Nicholas Mathope with Mathapelo Mohale</t>
  </si>
  <si>
    <t>Close Mentorship Event for Reshmee Pillay with Johan Steyn
Create Mentorship Event for Reshmee Pillay with Johan Steyn</t>
  </si>
  <si>
    <t>Tsakani Thobela</t>
  </si>
  <si>
    <t>FNB Points of Presence (Thabitha Phokoane)</t>
  </si>
  <si>
    <t>771092800 FNB POP Branch Delivery Kriel</t>
  </si>
  <si>
    <t>Create Mentorship Event for Tsakani Thobela with Gcebile Nkosi</t>
  </si>
  <si>
    <t>Assisting with providing guidance, skills, Knowlege, experience and exposure in managing infrastructure and security projects.</t>
  </si>
  <si>
    <t>Laiken Jacobs</t>
  </si>
  <si>
    <t>CDO Infrastructure and Security Services (Teresa Da Silva)</t>
  </si>
  <si>
    <t>20700007751 CDO Infrastructure and Security Services Administration</t>
  </si>
  <si>
    <t>IT Customer Relationship Manager</t>
  </si>
  <si>
    <t>Create Mentorship Event for Laiken Jacobs with Mpumie Twala</t>
  </si>
  <si>
    <t>Megan Lapan (Terminated)</t>
  </si>
  <si>
    <t>Create Mentorship Event for Megan Lapan (Terminated) with Mpumie Twala</t>
  </si>
  <si>
    <t>Good day Mitchell Gubeka,I am currently exploring potential mentorship opportunity and I think that there’s a lot that I could learn from you. I am particularly interested in Information Technology, and I believe that your knowledge would be very helpful for my journey.  I am seeking new development opportunities a mentor to provide guidance and support in areas such as skill development, career advancement, and personal growth. Give direction to get confidence into making changes and help to keep me on track. A mentor who will share knowledge, experience, and insights, and provide feedback and advice on my plan and performance.Sincerely,Fikile Tshabalala</t>
  </si>
  <si>
    <t>Fikile Tshabalala</t>
  </si>
  <si>
    <t>FNB Chief Risk Office Client Desirability Risk Management (Rachael Diale)</t>
  </si>
  <si>
    <t>39400003191 FNB Chief Risk Office Screening Services Governance and Risk</t>
  </si>
  <si>
    <t>Client Desirability Analyst</t>
  </si>
  <si>
    <t>Create Mentorship Event for Fikile Tshabalala with Mitchell Ncube</t>
  </si>
  <si>
    <t>To know the back round of the security of I&amp;SS better.</t>
  </si>
  <si>
    <t>Security (Protection Services)</t>
  </si>
  <si>
    <t>Create Mentorship Event for Kusara Sithole with Sipho Khumalo</t>
  </si>
  <si>
    <t>The main purpose is to assist in my professional and personal development by offering direction, assistance, and information sharing. particularly in the workplace, and to also provide the chance for interpersonal interaction with the aim of education, acquiring new abilities, and developing compassionate relations between colleagues. By offering direction and developing growth, I could achieve my full potential and open doors to increased production, innovative thinking, and considerable revenue for the bank.</t>
  </si>
  <si>
    <t>Mamello Mokibe</t>
  </si>
  <si>
    <t>FNB Points of Presence (Kamogelo Moipolai)</t>
  </si>
  <si>
    <t>771028200 FNB POP Branch Delivery Leeudoringstad</t>
  </si>
  <si>
    <t>Create Mentorship Event for Mamello Mokibe with Livhu Phanyane</t>
  </si>
  <si>
    <t>Botlhale Maselo</t>
  </si>
  <si>
    <t>Create Mentorship Event for Botlhale Maselo with Livhu Phanyane</t>
  </si>
  <si>
    <t>Good day Debbie ,i am looking for some one who can guide and coach me in my career developments .and i strongly believe you if have capacity to assist me</t>
  </si>
  <si>
    <t>Mthokozisi Ndlovu</t>
  </si>
  <si>
    <t>FNB Commercial Public Sector (Sammy Khosa)</t>
  </si>
  <si>
    <t>84100002703 FNB Commercial Public Sector Gauteng South</t>
  </si>
  <si>
    <t>Public Sector Account Executive Analyst</t>
  </si>
  <si>
    <t>Create Mentorship Event for Mthokozisi Ndlovu with Debbie De Beer</t>
  </si>
  <si>
    <t>Growth</t>
  </si>
  <si>
    <t>Mpho Setuke</t>
  </si>
  <si>
    <t>FNB Points of Presence (Lebo Matee)</t>
  </si>
  <si>
    <t>771044600 FNB POP Branch Delivery Gauteng Westgate</t>
  </si>
  <si>
    <t>Create Mentorship Event for Mpho Setuke with Tsholofelo Rakumakoe</t>
  </si>
  <si>
    <t>Rhona Veldskoen</t>
  </si>
  <si>
    <t>FNB Points of Presence (Abram Booysen)</t>
  </si>
  <si>
    <t>771097400 FNB POP Branch Delivery Bathopele</t>
  </si>
  <si>
    <t>Create Mentorship Event for Rhona Veldskoen with Tsholofelo Rakumakoe</t>
  </si>
  <si>
    <t>Rebecca Sekgweleo</t>
  </si>
  <si>
    <t>FNB Points of Presence (Priscilla Mokgatla)</t>
  </si>
  <si>
    <t>7710218600 FNB POP Branch Delivery Letlhabile Mall</t>
  </si>
  <si>
    <t>Create Mentorship Event for Rebecca Sekgweleo with Tsholofelo Rakumakoe</t>
  </si>
  <si>
    <t>For the transition from being an Insurance Broker to a Software Test Analyst</t>
  </si>
  <si>
    <t>Thandokazi Ncakeni</t>
  </si>
  <si>
    <t>First Risk and Advisory Services (Benjamin Mogwasa)</t>
  </si>
  <si>
    <t>16900010778 First Risk and Advisory Services Bedfordview Branch</t>
  </si>
  <si>
    <t>Claims Broker</t>
  </si>
  <si>
    <t>Close Mentorship Event for Thandokazi Ncakeni with Mulalo Kutame
Create Mentorship Event for Thandokazi Ncakeni with Mulalo Kutame</t>
  </si>
  <si>
    <t>Tebogo Dikobe</t>
  </si>
  <si>
    <t>Regional Customer Experience Manager</t>
  </si>
  <si>
    <t>Create Mentorship Event for Tebogo Dikobe with Charles Thulani Nkosi</t>
  </si>
  <si>
    <t>Manage a career transition
Relationship building and networking</t>
  </si>
  <si>
    <t>Douglas Lesiba</t>
  </si>
  <si>
    <t>FNB HSL (Nthabiseng Tsotetsi)</t>
  </si>
  <si>
    <t>Customer Service Solutions Specialist</t>
  </si>
  <si>
    <t>Create Mentorship Event for Douglas Lesiba with Mfundo Mabaso</t>
  </si>
  <si>
    <t>Transition Nirvana into her next career path from a Specialists to a manager.</t>
  </si>
  <si>
    <t>Create Mentorship Event for Nirvana Ramboth with Rashida Rawat</t>
  </si>
  <si>
    <t>for someone to help me become a Private Banker</t>
  </si>
  <si>
    <t>Refilwe Nkau (Terminated)</t>
  </si>
  <si>
    <t>Create Mentorship Event for Refilwe Nkau (Terminated) with Thiroshan Naidoo</t>
  </si>
  <si>
    <t>ASSIST WITH GUIDENCE TO ACHIVE DESIRED GOAL</t>
  </si>
  <si>
    <t>Devan Chetty</t>
  </si>
  <si>
    <t>771024900 FNB POP Branch Delivery Hluhluwe</t>
  </si>
  <si>
    <t>Create Mentorship Event for Devan Chetty with Poovan Pillay</t>
  </si>
  <si>
    <t>To learn more about the property space.</t>
  </si>
  <si>
    <t>Jabulani Nene</t>
  </si>
  <si>
    <t>FNB Points of Presence (Arlene Wheeler)</t>
  </si>
  <si>
    <t>38100009862 FNB POP SSD Regional Admin and Finance</t>
  </si>
  <si>
    <t>Financial Accountant</t>
  </si>
  <si>
    <t>Systems Accounting and Financial Operations</t>
  </si>
  <si>
    <t>Create Mentorship Event for Jabulani Nene with Mervyn Moodley</t>
  </si>
  <si>
    <t>IT Governance, Risk and Compliance</t>
  </si>
  <si>
    <t>Beaulah Sekgobela</t>
  </si>
  <si>
    <t>FNB Wealth (Tshepo Baloyi)</t>
  </si>
  <si>
    <t>34100008805 PB&amp;A Legal Risk and Compliance</t>
  </si>
  <si>
    <t>Create Mentorship Event for Beaulah Sekgobela with Smangele Cunningham</t>
  </si>
  <si>
    <t>The purpose of this mentorship is to:
Guide and further develop leadership skills
Presentation skills when presenting to senior management (Written &amp; Verbal)
Further craft strategic thinking
Guide and give insight on CX principles and apply CX thinking in the eBucks context</t>
  </si>
  <si>
    <t>Nomthandazo Peyise</t>
  </si>
  <si>
    <t>FNB Commercial National Sales and Service (Perpetua Bodibe)</t>
  </si>
  <si>
    <t>34300009133 FNB Commercial Customer Experience</t>
  </si>
  <si>
    <t>Close Mentorship Event for Nomthandazo Peyise with Jackie Diack
Create Mentorship Event for Nomthandazo Peyise with Jackie Diack</t>
  </si>
  <si>
    <t>Learning from Experience, Guidance and Support, Networking Opportunities, Skill Development and Personal Growth.</t>
  </si>
  <si>
    <t>Njabulo Mabaso</t>
  </si>
  <si>
    <t>FNB Retail COO (Sumeshan Pillay)</t>
  </si>
  <si>
    <t>Create Mentorship Event for Njabulo Mabaso with Jean Welsh</t>
  </si>
  <si>
    <t>My purpose is to acquire more knowledge and experience about leadership and dealing with customers.</t>
  </si>
  <si>
    <t>Confidence Rakimane</t>
  </si>
  <si>
    <t>FNB Points of Presence (Cleo Aarons)</t>
  </si>
  <si>
    <t>Create Mentorship Event for Confidence Rakimane with Khomotso Molokwane</t>
  </si>
  <si>
    <t>To grow in banking and to increase on performance</t>
  </si>
  <si>
    <t>Celia Moireleng</t>
  </si>
  <si>
    <t>FNB Points of Presence (Tsholofelo Dichabe)</t>
  </si>
  <si>
    <t>Create Mentorship Event for Celia Moireleng with Mmamodise Tiro</t>
  </si>
  <si>
    <t>Life and career advancements.</t>
  </si>
  <si>
    <t>Malibongwe Mthimkhulu</t>
  </si>
  <si>
    <t>FNB HSL (Siphosethu Myataza)</t>
  </si>
  <si>
    <t>21200001749 Home Finance Business Intelligence</t>
  </si>
  <si>
    <t>Data Governance and Information Management</t>
  </si>
  <si>
    <t>Create Mentorship Event for Malibongwe Mthimkhulu with Anele Mkhize</t>
  </si>
  <si>
    <t>Career guidance and growth opportunities</t>
  </si>
  <si>
    <t>Melanie Bosch</t>
  </si>
  <si>
    <t>nav Client Experience (Clair Brenner)</t>
  </si>
  <si>
    <t>39400004124 FNB nav CX</t>
  </si>
  <si>
    <t>Create Mentorship Event for Melanie Bosch with Renusha Moodley</t>
  </si>
  <si>
    <t>i have requested Ma Ngoepe to teach and guide me in using other work functions and systems</t>
  </si>
  <si>
    <t>IT Infrastructure, Support and Maintenance</t>
  </si>
  <si>
    <t>Solomzi Zini</t>
  </si>
  <si>
    <t>FNB Personal and Private IT (Patrick Masina)</t>
  </si>
  <si>
    <t>59600010097 FNB Personal and Private IT WB Motor IT - Acquisitions</t>
  </si>
  <si>
    <t>Create Mentorship Event for Solomzi Zini with Roselyn Ngoepe</t>
  </si>
  <si>
    <t>Project Management on the job training to improve skills in project planning, management and delivery.
PDP objectives.
Complete at least 1500 hours of project management in preparation for the CAPM certification.
Contribute in the management and delivery of 3/4 projects.
Manage stakeholder expectations and engagement for successful project results.
Create and execute project and change management plans.</t>
  </si>
  <si>
    <t>Lettie Nahole</t>
  </si>
  <si>
    <t>FNB Namibia Limited (Rassie Tjirimuje)</t>
  </si>
  <si>
    <t>302000001683 FNB Namibia Group Risk</t>
  </si>
  <si>
    <t>Risk Officer</t>
  </si>
  <si>
    <t>Create Mentorship Event for Lettie Nahole with Engelberth Djami</t>
  </si>
  <si>
    <t>wholistic development of behavioral, technical and leadership attributes.</t>
  </si>
  <si>
    <t>Garth Gille</t>
  </si>
  <si>
    <t>FNB Namibia Limited (Sergio De Sousa)</t>
  </si>
  <si>
    <t>Process Engineering Lead</t>
  </si>
  <si>
    <t>Create Mentorship Event for Garth Gille with Sergio De Sousa</t>
  </si>
  <si>
    <t>Charissa Langman</t>
  </si>
  <si>
    <t>Create Mentorship Event for Charissa Langman with Vincent Govender</t>
  </si>
  <si>
    <t>Growth and development</t>
  </si>
  <si>
    <t>Bella Khumalo</t>
  </si>
  <si>
    <t>771069300 FNB POP Branch Delivery Biblio Plaza</t>
  </si>
  <si>
    <t>Create Mentorship Event for Bella Khumalo with Tsholofelo Rakumakoe</t>
  </si>
  <si>
    <t>Lerato Moepi</t>
  </si>
  <si>
    <t>Create Mentorship Event for Lerato Moepi with Zaheer Ismail</t>
  </si>
  <si>
    <t>Liam Mathieson</t>
  </si>
  <si>
    <t>FNB nav. Chief Executive Office R&amp;C (Pravesh Dayah)</t>
  </si>
  <si>
    <t>39400003528 FNB SmartWorx Enablement</t>
  </si>
  <si>
    <t>Create Mentorship Event for Liam Mathieson with Ebrahim Omar</t>
  </si>
  <si>
    <t>Learning UX design</t>
  </si>
  <si>
    <t>Rotondwa Ramaru</t>
  </si>
  <si>
    <t>FNB Points of Presence (Sphamandla Shezi)</t>
  </si>
  <si>
    <t>Project Coordinator</t>
  </si>
  <si>
    <t>Create Mentorship Event for Rotondwa Ramaru with Tebatso Raganya</t>
  </si>
  <si>
    <t>Provide Career guidance.</t>
  </si>
  <si>
    <t>Create Mentorship Event for Kefilwe Samson with Amantle Mphoeng</t>
  </si>
  <si>
    <t>Seeking career guidance in risk management as well as assistance in personal development (skill building). Assistance with networking and relationship building (job shadowing opportunities). Advice on next steps and career progression tips (CV enhancements). Leadership skill building. Exposure to risk management in practice (broaden organizational knowledge).</t>
  </si>
  <si>
    <t>Shenaaz Musthapha</t>
  </si>
  <si>
    <t>FNB Retail Sales (Ulrike Du Toit)</t>
  </si>
  <si>
    <t>Operations Support Manager</t>
  </si>
  <si>
    <t>Create Mentorship Event for Shenaaz Musthapha with Fatima Kasoojee</t>
  </si>
  <si>
    <t>Provide career guidance:
Better integration into a team/business unit
Bridging the gap for graduates and first-time joiners to the workplace
Relationship building and networking.
Broaden organizational knowledge.</t>
  </si>
  <si>
    <t>Lavashni Naidoo</t>
  </si>
  <si>
    <t>FNB Personal Core Banking (Brent Dreyer)</t>
  </si>
  <si>
    <t>48100005372 FNB Personal Core Banking Consumer Value Management</t>
  </si>
  <si>
    <t>Create Mentorship Event for Lavashni Naidoo with Paul Van Tonder</t>
  </si>
  <si>
    <t>Career guidance , leadership skills , Assessing credit application and Risk mitigating factor</t>
  </si>
  <si>
    <t>Innosim Mothombeni</t>
  </si>
  <si>
    <t>FNB Commercial Credit (Makwena Semono)</t>
  </si>
  <si>
    <t>34200000751 FNB Commercial Credit Inland Limpopo</t>
  </si>
  <si>
    <t>Close Mentorship Event for Innosim Mothombeni with Lenize Lottering
Create Mentorship Event for Innosim Mothombeni with Lenize Lottering</t>
  </si>
  <si>
    <t>To be mentored for my medium goal which is Local Market Sales and Service Manager</t>
  </si>
  <si>
    <t>Sharlene Louw</t>
  </si>
  <si>
    <t>7710521100 FNB POP Branch Delivery Amalinda</t>
  </si>
  <si>
    <t>Create Mentorship Event for Sharlene Louw with Thandi Maciko</t>
  </si>
  <si>
    <t>steer my career direction towards becoming a business support specialist.</t>
  </si>
  <si>
    <t>Zandisiwe Hadebe</t>
  </si>
  <si>
    <t>FNB Private Banking and Advisory (Avishkar Singh)</t>
  </si>
  <si>
    <t>Channel Island Support Advisor</t>
  </si>
  <si>
    <t>Create Mentorship Event for Zandisiwe Hadebe with Khombisile Dumakude</t>
  </si>
  <si>
    <t>To explorer more about Active Directory and how the operates daily, also preparing us for future openings on that BU.</t>
  </si>
  <si>
    <t>Mphela Sethotse</t>
  </si>
  <si>
    <t>CDO Infrastructure and Security Services (Johan Miennie)</t>
  </si>
  <si>
    <t>IT Support</t>
  </si>
  <si>
    <t>Create Mentorship Event for Mphela Sethotse with Stephen Mbhele
Edit Mentorship Event for Mphela Sethotse with Stephen Mbhele</t>
  </si>
  <si>
    <t>The purpose of me taking part in this mentorship programe is to gain guidance and learnings from Gabby. I would like Gabby to assist me with  gaining insights and help me overcome challenges and set achievable goals within my career development.</t>
  </si>
  <si>
    <t>Delight Moyo (Terminated)</t>
  </si>
  <si>
    <t>Close Mentorship Event for Delight Moyo (Terminated) with Gabby Moodley
Create Mentorship Event for Delight Moyo (Terminated) with Gabby Moodley</t>
  </si>
  <si>
    <t>Chota Mwila (Terminated)</t>
  </si>
  <si>
    <t>Kalele Mpembamoto</t>
  </si>
  <si>
    <t>FNB Zambia FCC (Lukonde Kasonde)</t>
  </si>
  <si>
    <t>Facilities Manager</t>
  </si>
  <si>
    <t>Create Mentorship Event for Kalele Mpembamoto with Chota Mwila (Terminated)</t>
  </si>
  <si>
    <t>Angela Meilhon</t>
  </si>
  <si>
    <t>To support and development my skills and knowledge as part of my career development.</t>
  </si>
  <si>
    <t>RMBSA Financial Resources Management (FRM) (Rob Mcintyre)</t>
  </si>
  <si>
    <t>77800000OPS RMBSA Enterprise and Operational Risk Team</t>
  </si>
  <si>
    <t>Non-Financial Risk Management Head</t>
  </si>
  <si>
    <t>Monia Ward</t>
  </si>
  <si>
    <t>RMBSA TTS Fraud (Janie Crous (Inherited))</t>
  </si>
  <si>
    <t>77800000CRI RMBSA TTS Fraud</t>
  </si>
  <si>
    <t>Fraud Investigator</t>
  </si>
  <si>
    <t>Create Mentorship Event for Monia Ward with Angela Meilhon</t>
  </si>
  <si>
    <t>The purpose of this mentorship is to acquire solid fundamental technical skillset for information architecture. Transition from thinking like a developer to an architecture. I'm currently a Data Engineer who is getting on-the-job training as an information architecture.</t>
  </si>
  <si>
    <t>Mongi Nyembe</t>
  </si>
  <si>
    <t>FNB Commercial Analytics Insights Data (Axolile Daniel)</t>
  </si>
  <si>
    <t>Create Mentorship Event for Mongi Nyembe with Andre Olivier</t>
  </si>
  <si>
    <t>-To be provided with guidance, advice feedback and support
-To be encouraged and empowered in personal development in Communication, Leadership, Time Management and Organizational Skills.
-To being helped to identify and achieve career goals and to identify correct gaps in generic skills and knowledge
-To have a better understanding of the HR Space</t>
  </si>
  <si>
    <t>Dineo Taolo (Terminated)</t>
  </si>
  <si>
    <t>Create Mentorship Event for Dineo Taolo (Terminated) with Monique Swart</t>
  </si>
  <si>
    <t>gaining experience, support and knowledge transfer</t>
  </si>
  <si>
    <t>Ebrahim Carrim</t>
  </si>
  <si>
    <t>FNB Commercial Sales Inland (Reshmee Pillay)</t>
  </si>
  <si>
    <t>Create Mentorship Event for Ebrahim Carrim with Reshmee Pillay</t>
  </si>
  <si>
    <t>Vimal Lala</t>
  </si>
  <si>
    <t>Create Mentorship Event for Vimal Lala with Brendon Smith</t>
  </si>
  <si>
    <t>Julia Phillips (Terminated)</t>
  </si>
  <si>
    <t>I am eager to develop my skills, and after careful consideration, I am convinced that having a mentor like you would significantly benefit my journey.
Your track record of success and your reputation for being an exceptional communicator makes you the ideal candidate to help me navigate challenges, refine my strengths, and overcome any obstacles I may encounter along the way.
I understand that your time is valuable, and I would be deeply grateful for any support or guidance you could provide, whether it be through occasional meetings, constructive feedback on my work, or recommended resources for further learning.
Your guidance would mean a great deal to me, and I am committed to making the most of this opportunity to grow both personally and professionally.</t>
  </si>
  <si>
    <t>Natasha Van Staden</t>
  </si>
  <si>
    <t>HC and FNB EnTech Delivery (Natasha Du Toit)</t>
  </si>
  <si>
    <t>Create Mentorship Event for Natasha Van Staden with Julia Phillips (Terminated)</t>
  </si>
  <si>
    <t>Career mentoring in new position in new areas</t>
  </si>
  <si>
    <t>Carla Ferreira</t>
  </si>
  <si>
    <t>Create Mentorship Event for Carla Ferreira with Renusha Moodley</t>
  </si>
  <si>
    <t>Economic Analysis/Fundamental Research</t>
  </si>
  <si>
    <t>Create Mentorship Event for Mpho Sephetho with Siphamandla Mkhwanazi</t>
  </si>
  <si>
    <t>My name is Kingsley Mwiinga and i currently work for FNB Zambia particularly under Mazabuka Branch in Sales Department, i have great respect for the work you have done in FNB , to be honest my prayer is to meet you one day and get to hear your career story and ask few questions about your career path you inspire me very much.
Could i ask for 30 minutes of your time over coffee or lunch to meet ? am fully aware that you are no longer in the Country but i believe something can be worked on.
I understand you are very busy and if 30 minutes is not possible perhaps a 15 minutes phone conversation is more manageable.
please Sir let me know if you would accept me to be your seed for the next generation.
Thank you for your time and look forward to speak soon.</t>
  </si>
  <si>
    <t>Kingsley Mwiinga</t>
  </si>
  <si>
    <t>FNB Zambia Retail Segment (Kingstone Mooya)</t>
  </si>
  <si>
    <t>55300006409 FNB Zambia Mazabuka Branch</t>
  </si>
  <si>
    <t>Create Mentorship Event for Kingsley Mwiinga with Bydon Longwe</t>
  </si>
  <si>
    <t>To obtain an in-depth understanding of how guidance and support are provided to the business and technology community to ensure appropriate development and implementation of an IT risk management programme in accordance with governance and IT risk requirements.</t>
  </si>
  <si>
    <t>Sthembiso Machize</t>
  </si>
  <si>
    <t>FNB Commercial Forex Advisory Desk (Donavan Artman)</t>
  </si>
  <si>
    <t>81800006614 FNB Commercial Forex Ops QA</t>
  </si>
  <si>
    <t>Quality Assurance</t>
  </si>
  <si>
    <t>Create Mentorship Event for Sthembiso Machize with Smangele Cunningham</t>
  </si>
  <si>
    <t>Advice and guidance to help me to grow as an individual, increase knowledge and constructive criticism.</t>
  </si>
  <si>
    <t>Vuyiswa Dladla</t>
  </si>
  <si>
    <t>Create Mentorship Event for Vuyiswa Dladla with Reshmee Pillay</t>
  </si>
  <si>
    <t>Jaan Roodt</t>
  </si>
  <si>
    <t>CDO Infrastructure and Security Services (Dean Woodford)</t>
  </si>
  <si>
    <t>20700005622 CDO Networks and Security Services Systems Management</t>
  </si>
  <si>
    <t>Network Specialist</t>
  </si>
  <si>
    <t>Create Mentorship Event for Jaan Roodt with Stephen Mbhele
Edit Mentorship Event for Jaan Roodt with Stephen Mbhele</t>
  </si>
  <si>
    <t>IAM/PAM metorship in the Security Cyber Space within the FNB Bank.</t>
  </si>
  <si>
    <t>Kabelo Mabena</t>
  </si>
  <si>
    <t>CDO Infrastructure and Security Services (Byron Scott)</t>
  </si>
  <si>
    <t>Create Mentorship Event for Kabelo Mabena with Stephen Mbhele</t>
  </si>
  <si>
    <t>To gain in-depth knowledge of Active Directory and it's components.</t>
  </si>
  <si>
    <t>Konke Nonjinge</t>
  </si>
  <si>
    <t>CDO Infrastructure and Security Services (Priester Grobler)</t>
  </si>
  <si>
    <t>20700004905 CDO Infrastructure and Security Services Active Directory OPS</t>
  </si>
  <si>
    <t>Create Mentorship Event for Konke Nonjinge with Stephen Mbhele
Edit Mentorship Event for Konke Nonjinge with Stephen Mbhele
Edit Mentorship Event for Konke Nonjinge with Stephen Mbhele</t>
  </si>
  <si>
    <t>Get an Insite in Active directory and learning for Carrer growth purposes.</t>
  </si>
  <si>
    <t>Nwabisa Mnwana</t>
  </si>
  <si>
    <t>CDO Infrastructure and Security Services (Nikeel Bantho)</t>
  </si>
  <si>
    <t>Create Mentorship Event for Nwabisa Mnwana with Stephen Mbhele
Edit Mentorship Event for Nwabisa Mnwana with Stephen Mbhele</t>
  </si>
  <si>
    <t>My goal is to become a Private Wealth Advisor and would like to have a mentor to guide me and help make the right moves to move into Private Clients.</t>
  </si>
  <si>
    <t>Bonolo Palesa Lekgotla (Terminated)</t>
  </si>
  <si>
    <t>Create Mentorship Event for Bonolo Palesa Lekgotla (Terminated) with Allen Chapingidza</t>
  </si>
  <si>
    <t>Marcia Matshela</t>
  </si>
  <si>
    <t>Create Mentorship Event for Marcia Matshela with Chantelle Meyer</t>
  </si>
  <si>
    <t>Mentorship for leadership and career guidance.</t>
  </si>
  <si>
    <t>Nikki Desmore</t>
  </si>
  <si>
    <t>FNB Private Banking and Advisory (Lisa Peffer)</t>
  </si>
  <si>
    <t>34100004935 PB&amp;A Ops Hubs WMA</t>
  </si>
  <si>
    <t>Wealth Management Analyst</t>
  </si>
  <si>
    <t>Create Mentorship Event for Nikki Desmore with Diran Gajoo</t>
  </si>
  <si>
    <t>Theresa Nieuwoudt (Terminated)</t>
  </si>
  <si>
    <t>Broaden organisational knowledge
Career guidance
Develop leadership skills
Manage a career transition
Relationship building and networking
Innovation</t>
  </si>
  <si>
    <t>Create Mentorship Event for Jacqueline Becker with Theresa Nieuwoudt (Terminated)</t>
  </si>
  <si>
    <t>Career guidance
Manage a career transition
Relationship building and networking
I am highly interested in transitioning to a role within the risk department.   Through the mentoring relationship, I hope to gain valuable insights and guidance on navigating the world of risk management, improving my critical thinking skills, and honing my decision-making abilities in high-pressure situations. I am specifically interested in receiving guidance on risk assessment techniques, regulatory compliance, and developing effective risk management frameworks. I believe that with the mentorship of an experienced professional in the field, I can enhance my skills and knowledge in risk management to achieve success in this challenging and rewarding industry.</t>
  </si>
  <si>
    <t>Vuyiseka Myeki</t>
  </si>
  <si>
    <t>FNB Commercial Sales Cape (X Gadlela)</t>
  </si>
  <si>
    <t>Create Mentorship Event for Vuyiseka Myeki with Ashlin Poonan</t>
  </si>
  <si>
    <t>Karen Wilson</t>
  </si>
  <si>
    <t>FNB Brand Experience (Nkosana Matyeshana)</t>
  </si>
  <si>
    <t>22400005484 FNB Marketing Experience</t>
  </si>
  <si>
    <t>Senior Events Specialist</t>
  </si>
  <si>
    <t>Sponsorships and Events</t>
  </si>
  <si>
    <t>Create Mentorship Event for Karen Wilson with Steven Routledge</t>
  </si>
  <si>
    <t>Sharon Abdie</t>
  </si>
  <si>
    <t>RMBSA TTS Trade Operations Processing (Sizwe Dhlamini)</t>
  </si>
  <si>
    <t>77800000OJT RMBSA TTS Operations Trade Operations Johannesburg</t>
  </si>
  <si>
    <t>Trade Specialist</t>
  </si>
  <si>
    <t>Create Mentorship Event for Sharon Abdie with Liesel Hollis</t>
  </si>
  <si>
    <t>Thiroshni Chetty</t>
  </si>
  <si>
    <t>Broaden organisational knowledge
Innovation
Relationship building and networking
Disruptive technologies</t>
  </si>
  <si>
    <t>Kyle Nicolaides</t>
  </si>
  <si>
    <t>RMBSA IBD LRC Compliance (Nicolene Govender)</t>
  </si>
  <si>
    <t>77800000IBR RMBSA IBD LRC Compliance</t>
  </si>
  <si>
    <t>Create Mentorship Event for Kyle Nicolaides with Thiroshni Chetty</t>
  </si>
  <si>
    <t>Moloko Madibana (Terminated)</t>
  </si>
  <si>
    <t>I am an aspiring business intelligence developer/ Data Analyst with minimal experience however I am very passionate about working with data, developing reports to provide business insight, improve operations and help businesses to make better decision through it. I enjoy data interpretation using it solve complex business-related problems to provide sustainable business solution and promote innovation using data. I really wan to move to data space and I need guidance.</t>
  </si>
  <si>
    <t>Malka Manipha</t>
  </si>
  <si>
    <t>FNB Commercial Analytics Insights Data (Lise-miree Gossmann)</t>
  </si>
  <si>
    <t>34300008855 FNB Commercial Data Science and Engineering</t>
  </si>
  <si>
    <t>Create Mentorship Event for Malka Manipha with Moloko Madibana (Terminated)</t>
  </si>
  <si>
    <t>Bronwyn Miller</t>
  </si>
  <si>
    <t>Looking for someone who can provide career guidance and help me prepare me for possible new career opportunities, help me develop professional behaviors and characteristics, help me navigate the workplace</t>
  </si>
  <si>
    <t>Ashleigh Alves</t>
  </si>
  <si>
    <t>RMBSA LRC Compliance Pratice Leaders (Wynand Spruyt)</t>
  </si>
  <si>
    <t>Compliance Specialist</t>
  </si>
  <si>
    <t>Create Mentorship Event for Ashleigh Alves with Bronwyn Miller</t>
  </si>
  <si>
    <t>I would like to believe that with the qualification and working experience I have in the banking sector, being granted the opportunity would allow me to harness the power of data-driven insights to optimize investment strategies and drive informed decision-making. I am eager to learn how to leverage  advanced analytics techniques to uncover patterns, identify trends, and mitigate risks in investments. By working closely with a mentor, I aim to develop a deep understanding of data analytics methodologies specific to the industry, ultimately contributing to more efficient and profitable investment outcomes.</t>
  </si>
  <si>
    <t>Asithandile Zikhathile</t>
  </si>
  <si>
    <t>FNB Business CXC (Lerato Senne)</t>
  </si>
  <si>
    <t>34300008508 FNB Business CXC Card Authorisations</t>
  </si>
  <si>
    <t>Client Service Specialist</t>
  </si>
  <si>
    <t>Create Mentorship Event for Asithandile Zikhathile with Itumeleng Kgoare</t>
  </si>
  <si>
    <t>Share Knowledge, and improves technical skills</t>
  </si>
  <si>
    <t>Tusani Nkomo</t>
  </si>
  <si>
    <t>Create Mentorship Event for Tusani Nkomo with Stephen Mbhele</t>
  </si>
  <si>
    <t>IAM / PAM Mentorship - showing us various items on the Active Directory / Server / GPO topics</t>
  </si>
  <si>
    <t>Rushey Parbhoo</t>
  </si>
  <si>
    <t>FNB Personal and Private IT (Brian Huckfield)</t>
  </si>
  <si>
    <t>59600010094 FNB Personal and Private IT WB IT Infrastructure</t>
  </si>
  <si>
    <t>Infrastructure Architect</t>
  </si>
  <si>
    <t>Create Mentorship Event for Rushey Parbhoo with Stephen Mbhele</t>
  </si>
  <si>
    <t>Muhaimin Farred</t>
  </si>
  <si>
    <t>CDO Banking (Anette Du Plessis (Inherited))</t>
  </si>
  <si>
    <t>Create Mentorship Event for Muhaimin Farred with Stephen Mbhele</t>
  </si>
  <si>
    <t>My name is Noluyolo Myeki. I have recently enrolled in the ISC2 1million Certified in Cyber programme and am currently studying towards the certification. I am currently not working in the IT environment but have vehemently immersed myself in the world of IT and have done most of my studying through self-paced online learning. This would be the perfect environment for me as I am also looking for hands on mentorship with people that are experienced in this space, as I believe it would enable me to absorb knowledge and provide clarity on information, I have gained through self-study that may be unclear.</t>
  </si>
  <si>
    <t>Noluyolo Myeki (Terminated)</t>
  </si>
  <si>
    <t>Create Mentorship Event for Noluyolo Myeki (Terminated) with Mpumie Twala</t>
  </si>
  <si>
    <t>To learn a new skill and change in career</t>
  </si>
  <si>
    <t>Nathan Ramazan</t>
  </si>
  <si>
    <t>CDO Infrastructure and Security Services (Nelisiwe Majola)</t>
  </si>
  <si>
    <t>Create Mentorship Event for Nathan Ramazan with Stephen Mbhele
Edit Mentorship Event for Nathan Ramazan with Stephen Mbhele</t>
  </si>
  <si>
    <t>want to learn and develop my tecnical skills</t>
  </si>
  <si>
    <t>Ryno Swart (Terminated)</t>
  </si>
  <si>
    <t>Create Mentorship Event for Ryno Swart (Terminated) with Wouter De Klerk</t>
  </si>
  <si>
    <t>Get alignment on my career.</t>
  </si>
  <si>
    <t>Create Mentorship Event for Khombisile Dumakude with Dailan Kruger</t>
  </si>
  <si>
    <t>My focus is on leadership, personal branding, building strong relationships and also positioning myself for expanded opportunity within the organisation. To realise the below goals:
Lean into my team's strength: Get better at collectively understanding my team's strength to lean into stronger attributes and help them reach their maximum potential.
Improve my public speaking skills: To feel more comfortable and be more effective when presenting in public.
Boost my emotional intelligence: Within three months, boost my EQ skills to improve communication and interpersonal skills.
Create credibility and trust
Develop a new skillset</t>
  </si>
  <si>
    <t>Thato Keletso</t>
  </si>
  <si>
    <t>FNB Botswana Channels (Boitshwaro Mothootsile)</t>
  </si>
  <si>
    <t>5010153600 FNB Botswana Letlhakane Branch</t>
  </si>
  <si>
    <t>Sales and Service Team Leader</t>
  </si>
  <si>
    <t>Create Mentorship Event for Thato Keletso with Borethe Mogwe</t>
  </si>
  <si>
    <t>I would like to gain more skills in the Risk department and have a better understanding. I need a mentor that may assist me in my career growth. Career Guidance- Assist in navigating corporate landscape, the kind of etiquette, skills I need to essentially get to where I want to be. To be able to be bold and confident. Career insights/guidance - relevance of certain careers/qualifications in the ever changing marketplace Skills transfer- Learning the necessary skills especially in properly articulating my views in a considerable manner ( Emotional intelligence)</t>
  </si>
  <si>
    <t>Koziba Aaron</t>
  </si>
  <si>
    <t>FNB Botswana Channels (Ofentse Sibozi)</t>
  </si>
  <si>
    <t>5010150100 FNB Botswana Kasane Branch</t>
  </si>
  <si>
    <t>Create Mentorship Event for Koziba Aaron with Palesa Moeng</t>
  </si>
  <si>
    <t>Opelo Nyubi</t>
  </si>
  <si>
    <t>FNB Botswana Operations (Warona Maakwe)</t>
  </si>
  <si>
    <t>5010153700 FNB Botswana Lending Operations</t>
  </si>
  <si>
    <t>Valuations Administrator</t>
  </si>
  <si>
    <t>Create Mentorship Event for Opelo Nyubi with Stephinah Magetse</t>
  </si>
  <si>
    <t>Reletile Phomolo Motsewakgosi</t>
  </si>
  <si>
    <t>Quantitative Analyst</t>
  </si>
  <si>
    <t>Create Mentorship Event for Reletile Phomolo Motsewakgosi with Jj Jongman
Edit Mentorship Event for Reletile Phomolo Motsewakgosi with Jj Jongman</t>
  </si>
  <si>
    <t>I am writing to express my deep commitment to and enthusiasm for the opportunity to become your Mentee. As a dedicated professional with a decade of experience in the field of Communications, my journey has been one of constant learning and growth. However, I find myself at a pivotal stage in my career, seeking guidance, wisdom, and fresh perspectives to navigate the exciting and evolving landscape of not only the communications industry but banking and finance as well.
I am a Journalism and Public Relations major who believes in the power of effective communication to shape perceptions, inform the public, and foster positive change. My passion for this field has been a driving force behind my every endeavour. I have worked tirelessly to refine my skills and expertise, with a strong emphasis on producing high-quality written content. Writing is not just a task for me; it's my form of expression. I believe in the ability of words to inspire, inform, and connect with people, and I have dedicated myself to mastering this art.
I am not only a communicator but also an organiser. Over the years, I have coordinated and executed successful PR campaigns, managed media relations, and orchestrated impactful events. My role has often required a strategic mindset, ensuring that every message we send aligns with the core values and promises of the Bank. It is this combination of skills and experiences that has brought me to this pivotal point in my career.
Yet, I am an introvert, a thinker, and a believer. These qualities, while immensely valuable, also highlight the need for guidance. As an introvert, I thrive in reflective, quiet spaces where I can dive deep into research, analyse data, and create thoughtful narratives. However, I recognise that I can benefit from the wisdom and insights of a mentor who has successfully navigated their career through an extroverted eye. Or an introverted one, who has conquered and thrive despite being a reserved person in the cutthroat world of business.
I am a thinker; I often ponder the deeper questions about the role of communications in society, the ethical considerations in PR, and the evolving digital landscape. This thoughtfulness has driven me to question, adapt, and innovate. I am a believer; I hold firm to the idea that communication is a bridge that connects people, transcending boundaries, and fostering understanding. I believe in the power of authenticity, truth, and transparency in communication.
I am at a pivotal stage in my career, a point of growth and transformation. I am driven by the desire to make a meaningful impact through communication, to elevate my writing and communication skills, and to stay relevant in an ever-changing industry. I am committed to this journey and believe that with the guidance of a mentor, I can achieve remarkable things in both my personal and professional career.</t>
  </si>
  <si>
    <t>Oratile Mavuma</t>
  </si>
  <si>
    <t>FNB Botswana Enabler (Boga Chilinde-masebu)</t>
  </si>
  <si>
    <t>Marketing Specialist</t>
  </si>
  <si>
    <t>Create Mentorship Event for Oratile Mavuma with Caroline Kepaletswe</t>
  </si>
  <si>
    <t>Better integration into a team/business unit
Manage a career transition
Career guidance
Relationship building and networking
Broaden organisational knowledge
Deal with diversity and inclusion challenges
Develop leadership skills
Disruptive technologies
Innovation
Learn how to navigate the system
Bridging the gap for graduates and first-time joiners to the workplace</t>
  </si>
  <si>
    <t>Tshidi Mokoena</t>
  </si>
  <si>
    <t>CDO Kernel iNterfaceX (Kezia Zealand)</t>
  </si>
  <si>
    <t>Create Mentorship Event for Tshidi Mokoena with Wesley Francis</t>
  </si>
  <si>
    <t>Purpose
With this mentorship programme, I would like to achieve personal development, build my network, grow my career and align my academic qualifications with my career path.
I believe a career mentor will be influential in helping me achieve this personal and career growth.
I would also like to leverage my data science and artificial intelligence skills to the benefit of my employer. I recently graduated with a Masters in Data Science and Artificial Intelligence seek the opportunity to put the skills learnt into practice in the banking environment. This will be a great opportunity for me to practice what I am passionate about and equip me with the right skills beneficial to my employer. Currently, I am employed at Broadhurst Branch as a Digital Banking Migrator where I facilitate the transition of clients to digital banking platforms against set targets. I am looking for a Career Mentor and a Technical mentor who will help me strengthen and apply both soft and technical skills relevant to my career aspirations.</t>
  </si>
  <si>
    <t>Veronica Modisang</t>
  </si>
  <si>
    <t>FNB Botswana Channels (Jennifer Jamieson)</t>
  </si>
  <si>
    <t>Create Mentorship Event for Veronica Modisang with Udah Otukile (Terminated)</t>
  </si>
  <si>
    <t>I would like to leverage my data science and artificial intelligence skills to the benefit of my employer. I recently graduated with a Masters in Data Science and Artificial Intelligence and I would like the opportunity to put the skills learnt into practice in the banking environment. This will be a great opportunity for me to practice what I am passionate about and equip me with the right skills beneficial to my employer. My undergraduate degree is in Business Management and currently, I am employed at Broadhurst Branch in Gaborone, Botswana as a Digital Banking Migrator where I facilitate the transition of clients to digital banking platforms against set targets. I am looking for a Mentor who will help me strengthen and apply technical skills related to data science, machine learning, artificial intelligence in a structured manner. My mentee objectives also include development of leadership and communication skills.</t>
  </si>
  <si>
    <t>Create Mentorship Event for Veronica Modisang with Wesley Francis</t>
  </si>
  <si>
    <t>Create Mentorship Event for Bonolo Molebatsi with Borethe Mogwe</t>
  </si>
  <si>
    <t>Leadership development
Career coachin</t>
  </si>
  <si>
    <t>Mokgabo Imperial</t>
  </si>
  <si>
    <t>Business Banker</t>
  </si>
  <si>
    <t>Create Mentorship Event for Mokgabo Imperial with Borethe Mogwe</t>
  </si>
  <si>
    <t>Technical Mentorship program in Cyber Security.</t>
  </si>
  <si>
    <t>Create Mentorship Event for Noluyolo Myeki (Terminated) with Stephen Mbhele</t>
  </si>
  <si>
    <t>Ame Sevelinah Phang</t>
  </si>
  <si>
    <t>Create Mentorship Event for Ame Sevelinah Phang with Kelebogile Disang</t>
  </si>
  <si>
    <t>Throughout my career, I have been driven by a passion for ensuring excellence and mitigating risk. With a strong foundation in quality assurance and a certificate in NQF level 5 in Banking, I am eager to develop my skills in business and compliance. Here are some of my reasons to join a mentorship program:
1. Guidance and Support, receive valuable advice and guidance from an experienced professional.
2. Career Development, enhance my skills and knowledge to advance my career.
3. Networking opportunities, connect with industry experts and professionals.
4.Personal growth, develop confidence, self-awareness, and leadership skills.
5. Learning from experience, gain insights from mentors' success and challenges.
6. Improved decision-making, get guidance on critical career and professional decisions.
7. Enhanced Creativity, explore new ideas and perspectives from mentors and peers.
8. Accountability, stay motivated and focused on my goals with regular check-ins.
9. Access to resources, leverage mentors' networks, expertise, and industry knowledge.
10. Empowerment, develop a growth mindset and take ownership of my career.</t>
  </si>
  <si>
    <t>Create Mentorship Event for Zanele Phiri with Reginald Mothubakgang
Edit Mentorship Event for Zanele Phiri with Reginald Mothubakgang</t>
  </si>
  <si>
    <t>In job training for being the Business analyst or business advisor.</t>
  </si>
  <si>
    <t>Ingrid Dingoko</t>
  </si>
  <si>
    <t>FNB Points of Presence (Keneilwe Mothei)</t>
  </si>
  <si>
    <t>7710248600 FNB POP Branch Delivery West Acres Ctr</t>
  </si>
  <si>
    <t>Create Mentorship Event for Ingrid Dingoko with Nhlamulo Thosi (Terminated)</t>
  </si>
  <si>
    <t>This is program is to assist and help me with career guidance and professional development.</t>
  </si>
  <si>
    <t>Kemo Molosiwa</t>
  </si>
  <si>
    <t>FNB Botswana Operations (Koketso Tlhaselo-Tainton)</t>
  </si>
  <si>
    <t>5010291500 FNB Botswana Projects Opex</t>
  </si>
  <si>
    <t>Create Mentorship Event for Kemo Molosiwa with Gofaone Mokalake</t>
  </si>
  <si>
    <t>As a driven and enthusiastic individual, my goals are to become an expert in the field of Customer Experience, gain stability in my career, develop new partnerships and grow my network. I would also like to work towards developing my leadership skills, navigate corporate and my personal and professional development; personal branding, presentation skills, confidence development, acquiring soft skills and putting myself out there.</t>
  </si>
  <si>
    <t>Tshego Mmuru</t>
  </si>
  <si>
    <t>FNB Botswana Wealth (Gofaone Mokalake)</t>
  </si>
  <si>
    <t>Customer Insights Analyst</t>
  </si>
  <si>
    <t>Market Research and Analytics</t>
  </si>
  <si>
    <t>Close Mentorship Event for Tshego Mmuru with Phetso Ntsowe
Create Mentorship Event for Tshego Mmuru with Phetso Ntsowe</t>
  </si>
  <si>
    <t>Sabelo Magagula</t>
  </si>
  <si>
    <t>Create Mentorship Event for Sabelo Magagula with Josh Minyuku (Terminated)</t>
  </si>
  <si>
    <t>Ronald Kgafela (Terminated)</t>
  </si>
  <si>
    <t>Nkobi Masunga</t>
  </si>
  <si>
    <t>FNB Botswana Channels (Stephinah Magetse)</t>
  </si>
  <si>
    <t>Create Mentorship Event for Nkobi Masunga with Ronald Kgafela (Terminated)</t>
  </si>
  <si>
    <t>Josia Sithole (Terminated)</t>
  </si>
  <si>
    <t>I am at a stage in my life and my career in which I feel I could benefit from a little mentoring and guidance from your knowledge and expertise in Business Intelligence analysis as I am looking into growing, advancing and transitioning to being a BI Analyst.</t>
  </si>
  <si>
    <t>Karabo Mogotsi</t>
  </si>
  <si>
    <t>CDO Kernel iNterfaceX (Thami Mateza)</t>
  </si>
  <si>
    <t>21800006533 CDO Kernel iNterfaceX AoP and Sales QA</t>
  </si>
  <si>
    <t>Create Mentorship Event for Karabo Mogotsi with Josia Sithole (Terminated)</t>
  </si>
  <si>
    <t>I would like to formulate a strategy to transition from my current role into a different and more challenging role and hence would value the guidance and sense of direction from a mentor. I am also keen to learn my leadership style and learn how to best apply it in a leadership position. I want to able to learn how to network and build the confidence to approach and engage with executives. I would also appreciate an insight on what further studies I can take that will equip me to succeed in multiple roles and ways to position myself to stand out in different spaces.</t>
  </si>
  <si>
    <t>Daniella Coetzee</t>
  </si>
  <si>
    <t>FNB Botswana Operations (Ontlametse Lekang)</t>
  </si>
  <si>
    <t>Create Mentorship Event for Daniella Coetzee with Baile Corrigan</t>
  </si>
  <si>
    <t>I have an interest in joining the Cyber Team, and I wanted to know what they are doing on the daily basis and so far, I have learned a lot. Some of the things are helping me on my daily job which Desktop Support.</t>
  </si>
  <si>
    <t>Create Mentorship Event for Nwabisa Mnwana with Sinazo Ndzawombi</t>
  </si>
  <si>
    <t>The purpose for me to look for a Mentor, is that i feel stuck in my career and I have tried different avenues but no luck. So, I would like someone that can guide me and also assist me in seeing my potential. I would love to change careers as I am currently in a Sales Role and I am looking into moving into the commercial space.</t>
  </si>
  <si>
    <t>Lebogang Mokhutso-Mamakoko</t>
  </si>
  <si>
    <t>Premium Growth Banker</t>
  </si>
  <si>
    <t>Create Mentorship Event for Lebogang Mokhutso-Mamakoko with Zaheer Ismail</t>
  </si>
  <si>
    <t>I am passionate and driven individuals who is ready to embark on a journey of growth and learning. It's not just about skill development; it's about fostering lasting mentorship relationships that are essential for long-term career advancement.</t>
  </si>
  <si>
    <t>Create Mentorship Event for Bonolo Molebatsi with Collen Tshebo</t>
  </si>
  <si>
    <t>To help me with Technical and Leadership skills. and to navigate life generally</t>
  </si>
  <si>
    <t>Zanele Zitwana</t>
  </si>
  <si>
    <t>FNB Commercial Credit (Eben Petersen)</t>
  </si>
  <si>
    <t>34200009795 FNB Commercial Credit National</t>
  </si>
  <si>
    <t>Create Mentorship Event for Zanele Zitwana with Yvonne September</t>
  </si>
  <si>
    <t>Monica Mhlauli</t>
  </si>
  <si>
    <t>FNB Botswana Enabler (Baledi Radithupa)</t>
  </si>
  <si>
    <t>Create Mentorship Event for Monica Mhlauli with Kelebogile Disang</t>
  </si>
  <si>
    <t>Eza Lutshwati (Terminated)</t>
  </si>
  <si>
    <t>Create Mentorship Event for Eza Lutshwati (Terminated) with Stephen Mbhele</t>
  </si>
  <si>
    <t>Reverne Jooste</t>
  </si>
  <si>
    <t>CDO Infrastructure and Security Services (Darren Stevenson)</t>
  </si>
  <si>
    <t>20700005423 CDO Networks and Security Services Data Centre Operations</t>
  </si>
  <si>
    <t>Data Centre Operator</t>
  </si>
  <si>
    <t>Create Mentorship Event for Reverne Jooste with Stephen Mbhele</t>
  </si>
  <si>
    <t>I am trying to develop and gain skill in compliance, and I find Thiru to have a world of knowledge and experience. I have built repo and a relationship of trust with her.</t>
  </si>
  <si>
    <t>Joy Moyo</t>
  </si>
  <si>
    <t>Create Mentorship Event for Joy Moyo with Thiroshni Chetty</t>
  </si>
  <si>
    <t>I am looking at mentorship from skilled individuals that is able to provide guidance and impart knowledge on how to grow and learn at FNB.</t>
  </si>
  <si>
    <t>Duschanka Moodley</t>
  </si>
  <si>
    <t>CDO Kernel iDnA (Gio Pera (Inherited))</t>
  </si>
  <si>
    <t>Create Mentorship Event for Duschanka Moodley with Renusha Moodley</t>
  </si>
  <si>
    <t>Hi Allen
Please would you consider me for Career growth, I wish to be assisted in my journey of becoming a CIO in the bank</t>
  </si>
  <si>
    <t>Create Mentorship Event for Keshlin Naicker with Allen Pillay</t>
  </si>
  <si>
    <t>JP Erasmus (Terminated)</t>
  </si>
  <si>
    <t>Hi there, JP. Trust you're well. I noticed your availability for mentoring on Workday and thought to reach out if that's fine with you? I currently work frontline in consumer sales, and I'm looking to switch into technology. To that end, I've worked on a bachelor of science in technology degree with six months remaining to graduation. I would love a chance pick your brain on your work, the industry, and general advice. In short the purposes of the mentoring include:
Advice on career transitioning into technology space
Relationship building and networking
Disruptive technologies discussions</t>
  </si>
  <si>
    <t>Otsile Modiselle</t>
  </si>
  <si>
    <t>FNB Wealth (Katlego Nkosi)</t>
  </si>
  <si>
    <t>34100003208 PB&amp;A Tshwane Wealth NE</t>
  </si>
  <si>
    <t>Create Mentorship Event for Otsile Modiselle with JP Erasmus (Terminated)</t>
  </si>
  <si>
    <t>Audit, Financial Assurance and Governance</t>
  </si>
  <si>
    <t>Chenesani Kuda Bachopi</t>
  </si>
  <si>
    <t>FNB Botswana Chief Executive Office (Benny Soko)</t>
  </si>
  <si>
    <t>5010151600 FNB Botswana Finance</t>
  </si>
  <si>
    <t>Finance Manager</t>
  </si>
  <si>
    <t>Create Mentorship Event for Chenesani Kuda Bachopi with Neo Thebeng-Phuthego</t>
  </si>
  <si>
    <t>Create Mentorship Event for Tshego Mmuru with Otisitswe Faith Rathedi</t>
  </si>
  <si>
    <t>Took on a new Business Manager role, and seeked guidance to explore different thinking and ways of work, and managing various stakeholders differently. Was advised that Coaching was not offered last year and explored the mentorship option.</t>
  </si>
  <si>
    <t>Muneera Khan</t>
  </si>
  <si>
    <t>Create Mentorship Event for Muneera Khan with Tania Finn</t>
  </si>
  <si>
    <t>Lebogang Kelesitse (Terminated)</t>
  </si>
  <si>
    <t>Create Mentorship Event for Bonolo Molebatsi with Lebogang Kelesitse (Terminated)</t>
  </si>
  <si>
    <t>Create Mentorship Event for Eza Lutshwati (Terminated) with Sinazo Ndzawombi</t>
  </si>
  <si>
    <t>Hloni Matang (Terminated)</t>
  </si>
  <si>
    <t>Career advancement</t>
  </si>
  <si>
    <t>Gugu Nsibande (Terminated)</t>
  </si>
  <si>
    <t>Close Mentorship Event for Gugu Nsibande (Terminated) with Hloni Matang (Terminated)
Create Mentorship Event for Gugu Nsibande (Terminated) with Hloni Matang (Terminated)
Edit Mentorship Event for Gugu Nsibande (Terminated) with Hloni Matang (Terminated)</t>
  </si>
  <si>
    <t>Mpho Bosilong</t>
  </si>
  <si>
    <t>FNB Botswana Enabler (Trevor Jansen)</t>
  </si>
  <si>
    <t>5010682800 FNB Botswana Data &amp; Analytics Office</t>
  </si>
  <si>
    <t>Create Mentorship Event for Mpho Bosilong with Palesa Moeng</t>
  </si>
  <si>
    <t>First leap Mentorship program</t>
  </si>
  <si>
    <t>Ongoing Risk Management</t>
  </si>
  <si>
    <t>Ofilwe Powe</t>
  </si>
  <si>
    <t>FNB Botswana Commercial (Moreri Modise)</t>
  </si>
  <si>
    <t>5010343800 FNB Botswana Wesbank Business Segment</t>
  </si>
  <si>
    <t>Create Mentorship Event for Ofilwe Powe with Tekolo Rasenyai</t>
  </si>
  <si>
    <t>Tshi-Tshi Mothupi (Terminated)</t>
  </si>
  <si>
    <t>mentor</t>
  </si>
  <si>
    <t>Create Mentorship Event for Reletile Phomolo Motsewakgosi with Tshi-Tshi Mothupi (Terminated)</t>
  </si>
  <si>
    <t>Guide and advise the mentee as they just begun their career</t>
  </si>
  <si>
    <t>Katso Batsweleng</t>
  </si>
  <si>
    <t>FNB Botswana Channels (Badumedi Segaetsho)</t>
  </si>
  <si>
    <t>Create Mentorship Event for Katso Batsweleng with Ronald Kgafela (Terminated)</t>
  </si>
  <si>
    <t>Luvashni Tilakdharee</t>
  </si>
  <si>
    <t>FNB Private Core Banking (Irvine Rambau)</t>
  </si>
  <si>
    <t>41200007625 FNB Private Core Banking Growth</t>
  </si>
  <si>
    <t>Product Growth Manager</t>
  </si>
  <si>
    <t>Create Mentorship Event for Luvashni Tilakdharee with Maryke Venter</t>
  </si>
  <si>
    <t>Kgomotso Bika</t>
  </si>
  <si>
    <t>Create Mentorship Event for Kgomotso Bika with Jj Jongman</t>
  </si>
  <si>
    <t>To develop new technical skills, gain exposure in different domains, to be motivated and identify career goals and correct gaps in generic skills and knowledge.</t>
  </si>
  <si>
    <t>Sindhuri Ravuri (Terminated)</t>
  </si>
  <si>
    <t>Create Mentorship Event for Sindhuri Ravuri (Terminated) with Serena Gounden</t>
  </si>
  <si>
    <t>To cultivate my path to professional growth and success and also learn to be a leader.</t>
  </si>
  <si>
    <t>Create Mentorship Event for Kgomotso Bika with Borethe Mogwe</t>
  </si>
  <si>
    <t>I'm eager to learn from experienced mentors who can provide guidance and insights that accelerate my growth. I believe in the power of mentorship to expand my perspective, refine my skills, and navigate challenges effectively</t>
  </si>
  <si>
    <t>Create Mentorship Event for Afreen Kumandan with Zaheer Ismail</t>
  </si>
  <si>
    <t>To obtain assistance in navigating my career path and formulating strategies to achieve my professional objectives.</t>
  </si>
  <si>
    <t>Leah Zulu</t>
  </si>
  <si>
    <t>Create Mentorship Event for Leah Zulu with Renusha Moodley</t>
  </si>
  <si>
    <t>Good day JP,
I saw that you are a mentor for technical. I really need to up my java skills and also leadership skills. Please would you consider mentoring me? I am really movitated and I want to be promoted this year. So if you give me tasks and a timeline I'd be sure to complete it. Thank you</t>
  </si>
  <si>
    <t>Create Mentorship Event for Thaveshni Govender with JP Erasmus (Terminated)</t>
  </si>
  <si>
    <t>I need mentoring to gain experience or have exposure to daily duties of a Project manager, develop new skills which can help me to move to the role of Project management.</t>
  </si>
  <si>
    <t>Zandile Nene</t>
  </si>
  <si>
    <t>FNB Loans (Muneeb Davies)</t>
  </si>
  <si>
    <t>Create Mentorship Event for Zandile Nene with Hloni Matang (Terminated)
Edit Mentorship Event for Zandile Nene with Hloni Matang (Terminated)</t>
  </si>
  <si>
    <t>Elvira Krishna</t>
  </si>
  <si>
    <t>To be mentored into the SA Lead role by going through the business expectations of an SA Lead.</t>
  </si>
  <si>
    <t>FNB Points of Presence (Pumezo Gulwa)</t>
  </si>
  <si>
    <t>7710441800 FNB POP Data Engineering and Insights</t>
  </si>
  <si>
    <t>Zamokuhle Ngema</t>
  </si>
  <si>
    <t>Create Mentorship Event for Zamokuhle Ngema with Elvira Krishna</t>
  </si>
  <si>
    <t>I expect to use this opportunity to leverage my career growth and personal development from Willens experience across the finance and treasury world and create networks within the FirstRand group. My specific areas of mentoring include the following:
Career Guidance
Develop leadership skills
Relationship building and networking</t>
  </si>
  <si>
    <t>Manuel Come Come</t>
  </si>
  <si>
    <t>FNB Mozambique Treasury (Agnallo Nampunda)</t>
  </si>
  <si>
    <t>5150MOZ4100 FNB Mozambique Reporting and Planing</t>
  </si>
  <si>
    <t>Financial Reporting Head</t>
  </si>
  <si>
    <t>Create Mentorship Event for Manuel Come Come with Willem Richard</t>
  </si>
  <si>
    <t>Greetings,
I would like to get guidance on maneuvering financial analysis in order to have substantive evidence on my quality of work.</t>
  </si>
  <si>
    <t>Keamogetswe Sema (Terminated)</t>
  </si>
  <si>
    <t>Close Mentorship Event for Keamogetswe Sema (Terminated) with Emmanuel Tsiame (Terminated)
Create Mentorship Event for Keamogetswe Sema (Terminated) with Emmanuel Tsiame (Terminated)</t>
  </si>
  <si>
    <t>Mentor Resigned</t>
  </si>
  <si>
    <t>Career Development, leadership enablement, emotional intelligence, and personal growth.</t>
  </si>
  <si>
    <t>Financial Markets</t>
  </si>
  <si>
    <t>Nobuhle Ngcobo</t>
  </si>
  <si>
    <t>RMBSA Global Markets (Moses Madilonga)</t>
  </si>
  <si>
    <t>77800000TNE RMBSA Global Markets Trading Desk Support Enablement</t>
  </si>
  <si>
    <t>Trading Desk Support Enablement Analyst</t>
  </si>
  <si>
    <t>Create Mentorship Event for Nobuhle Ngcobo with Naomi Sekgobela</t>
  </si>
  <si>
    <t>I would like to solidify my technical skills, which include SAS Systems, Python, DBMS, AI and Machine Learning in order to be able to perform high level statistical analysis, data insights and analysis, model development etc. I do have an exposure; however, I am not at a comfortable level.
I am also looking into defining purpose on my career, that is, knowing what I want and progress in my career growth and development. I want to develop my business acumen, broader banking understanding, and articulation.</t>
  </si>
  <si>
    <t>Create Mentorship Event for Siyabonga Mthethwa with Kholofelo Napo</t>
  </si>
  <si>
    <t>I hope this message finds you well. I am writing to express my interest in seeking your mentorship as I embark on advancing my career in project management. Having recently graduated with a BCom in Project Management, I am eager to further develop my skills and knowledge in this field. Your expertise and experience make you an ideal mentor to guide me through this journey. I believe your insights and advice will be invaluable in helping me achieve my career goals and enhance my understanding of effective project management practices. I would greatly appreciate the opportunity to learn from you and benefit from your guidance. Your mentorship will undoubtedly contribute significantly to my professional development. Thank you for considering my request. I look forward to the possibility of discussing this further with you.</t>
  </si>
  <si>
    <t>Kirsty Forbay</t>
  </si>
  <si>
    <t>FNB Financial Advisory (Charles Gordon)</t>
  </si>
  <si>
    <t>27900004818 PB&amp;A Advice Suite</t>
  </si>
  <si>
    <t>Create Mentorship Event for Kirsty Forbay with Betty Moabelo</t>
  </si>
  <si>
    <t>I have been a test analyst for 9 years and have been scared to take the leadership role. I am now ready for this challenge. The fear of the unknown is there but i believe in myself more than ever before now.</t>
  </si>
  <si>
    <t>Prudence Shipalana</t>
  </si>
  <si>
    <t>CDO Kernel (Lucille Jacobs)</t>
  </si>
  <si>
    <t>Close Mentorship Event for Prudence Shipalana with Rethabile Tsekedi
Create Mentorship Event for Prudence Shipalana with Rethabile Tsekedi</t>
  </si>
  <si>
    <t>Hi Mukoki,
I trust you are well.
I am interested in getting a mentor for the purpose of enhancing my skills in the finance space.
As we know the industry is always changing and growing - so one has to always keep up to date. Hence, I decided to reach out to you.
I need to be mentored to bridge the gap between my current skills and the skills required in order for me to grow in the industry. My objective is to someday become a Financial Manager. I need to understand what skills I currently need to acquire as an accountant and what skills will I need to have to be a financial manager. I am also interested in learning the ropes and understanding the day to day of a financial manager.
I have attached my resume for your perusal.
I hope you find this well. Your assistance will be highly appreciated😊</t>
  </si>
  <si>
    <t>Thandeka Ntisana</t>
  </si>
  <si>
    <t>FNB Personal and Private IT (Lerisa Le Roux)</t>
  </si>
  <si>
    <t>59600003947 FNB Personal and Private IT Finance</t>
  </si>
  <si>
    <t>Create Mentorship Event for Thandeka Ntisana with Kuda Mukoki</t>
  </si>
  <si>
    <t>The purpose of being mentored by Himal was to ensure a smooth transition into the bank as well as building a successful brand for myself in my new role.</t>
  </si>
  <si>
    <t>Yolandi Pietersen</t>
  </si>
  <si>
    <t>FNB Commercial EFT (Naziem Sallie)</t>
  </si>
  <si>
    <t>Create Mentorship Event for Yolandi Pietersen with Himal Parbhoo</t>
  </si>
  <si>
    <t>Requiring a mentor to:
1. Evolve and increase current knowledge of FNB
2. Assist with personal development
3. Provide constructive feedback
$. Assist in placing firm boundaries for healthy work -life balance</t>
  </si>
  <si>
    <t>Kuvashni Krishna</t>
  </si>
  <si>
    <t>RMBSA CDAO Data, Analytics and Business Intelligence (Narisha Govender)</t>
  </si>
  <si>
    <t>Data Solutionist</t>
  </si>
  <si>
    <t>Create Mentorship Event for Kuvashni Krishna with Ashley Saffy</t>
  </si>
  <si>
    <t>I have a few primary goals but have not bedded down one primary "north star" with respect to my career and holistic development. I am however trying to insert more agency and direction within some of the goals I have for myself and I believe the privilege of being able to draw advice or wisdom from a mentor would help accelerate that process.
To provide some background context:
I am currently within the data and analytics world of the financials services industry but I have a keen interest in exploring the corporate finance and asset management world also.
Lastly, high level overview of some of the goals I have that I would appreciate the help and input of a mentor with are the following:
Short term goals include:
1)Understanding Industry Basics
2)Networking
3)Skills Development
My more medium term goals:
1)Job Transition Strategies or Navigating the system
2)Gaining Relevant Experience
3)Curating a career
Thank you,</t>
  </si>
  <si>
    <t>Nhlanhla Tshingilane (Terminated)</t>
  </si>
  <si>
    <t>Create Mentorship Event for Nhlanhla Tshingilane (Terminated) with Naomi Sekgobela</t>
  </si>
  <si>
    <t>Enthusiastic professional recently certified in ISTQB and IT Systems Development (Java), eager to launch a career in software testing. Possesses an understanding of software development life cycle, testing methodologies, and quality assurance principles. A quick learner with a passion for technology and problem solving. Seeking challenging projects to enhance my testing skill through mentorship/job shadowing</t>
  </si>
  <si>
    <t>Patience Dolamo</t>
  </si>
  <si>
    <t>FNB Wealth (Clarissa Mangera)</t>
  </si>
  <si>
    <t>Create Mentorship Event for Patience Dolamo with Job Mpati</t>
  </si>
  <si>
    <t>Good morning Themba,
Hope you are keeping well.
I need mentorship for career growth and leadership development.
Your assistance will be greatly appreciated.
thank you.</t>
  </si>
  <si>
    <t>Gabi Maya</t>
  </si>
  <si>
    <t>FNB Commercial Sales Gauteng South and Central (Nondumiso Motlhala)</t>
  </si>
  <si>
    <t>Create Mentorship Event for Gabi Maya with Themba Mabizela</t>
  </si>
  <si>
    <t>The purpose of Jermain being my mentor is to help build and develop skills I need to become a data scientist/analyst in the workspace. We will share insight to gain the knowledge through his experiences and duties he performs in order to help me succeed in the workplace. This will also boost my confidence to complete my studies and do extra courses for added skills.</t>
  </si>
  <si>
    <t>Alexa Flemmer</t>
  </si>
  <si>
    <t>FNB Commercial Chief Risk Office (Leoni Tweedie (Inherited))</t>
  </si>
  <si>
    <t>34200008616 FNB Commercial CRO Fraud Risk</t>
  </si>
  <si>
    <t>Create Mentorship Event for Alexa Flemmer with Jermaine Varnicker</t>
  </si>
  <si>
    <t>Career guidance
Innovation
Learn how to navigate the system</t>
  </si>
  <si>
    <t>Mx Makhombothi</t>
  </si>
  <si>
    <t>CDO Infrastructure and Security Services (Kabelo Prince Mosapa)</t>
  </si>
  <si>
    <t>Network Engineer</t>
  </si>
  <si>
    <t>Create Mentorship Event for Mx Makhombothi with Jermaine Varnicker
Edit Mentorship Event for Mx Makhombothi with Jermaine Varnicker</t>
  </si>
  <si>
    <t>Danny Tloubatla</t>
  </si>
  <si>
    <t>FNB International SA (Pranisha Luckan)</t>
  </si>
  <si>
    <t>83200009892 FNB International SA Risk</t>
  </si>
  <si>
    <t>Create Mentorship Event for Danny Tloubatla with Godfrey Kgoedi</t>
  </si>
  <si>
    <t>As a driven individual who has a thirst for knowledge and has an academic background in law (even at Master's level). I am interested in developing my career in investment banking not only from a legal perspective, but also from a financial lens as well. As a new joiner at RMB, I am looking to gain practical insights from an experienced professional in the field of banking before I embark on a career change. I believe a mentor would provide me with invaluable support and knowledge, help me navigate the frantic world of investment banking, and assist with making informed decisions about my career path over a 5/6 year period. Through this mentorship, I aim to enhance my professional development, build meaningful relationships and networks, whilst trying to achieve my full career potential in the world of banking and finance through guidance. LinkedIn Link: https://www.linkedin.com/in/karabo-r-38388a184/</t>
  </si>
  <si>
    <t>Karabo Rampai</t>
  </si>
  <si>
    <t>RMBSA IBD Operations Transaction Management (Johannes Louw)</t>
  </si>
  <si>
    <t>77800000IBT RMBSA IBD Operations Transaction Management</t>
  </si>
  <si>
    <t>Transaction Management Specialist</t>
  </si>
  <si>
    <t>Create Mentorship Event for Karabo Rampai with Helen Mkhize</t>
  </si>
  <si>
    <t>Career Goals
Short-Term Goals (1-2 years)
Complete Compliance Management Certification:
Enroll and complete the certification to build my expertise in compliance management.
Gain Practical Experience:
Seek opportunities to work on compliance-related projects or roles within my current organization.
Expand Network:
Join professional associations related to HR, compliance, and risk management.
Attend industry conferences and workshops to connect with professionals in my field.
Medium-Term Goals (3-5 years)
Secure a Leadership Role:
Aiming for a leadership position in compliance or risk management within my organization or another company.
Develop Specialized Skills:
Focusing on acquiring skills in risk assessment, regulatory compliance, and policy development. Consider additional certifications like Certified Risk Manager (CRM) or Certified Compliance and Ethics Professional (CCEP).
Mentorship and Coaching:
Find a mentor in the field of compliance and risk management to guide me. Also, considering mentoring junior colleagues to develop my leadership skills.
Long-Term Goals (5+ years)
Executive Position:
Aiming for an executive role such as Chief Compliance Officer (CCO) or Head of Risk Management.
Thought Leadership:
Establishing myself as a thought leader by publishing articles, speaking at conferences, and participating in industry panels.
Continuous Learning:
keeping updated with industry trends and changes in regulations.
Pursue advanced degrees or certifications if necessary.
Action Plan
Education and Certification
Enrolling in a Compliance Management certification program.
Identifying and pursuing additional relevant certifications (e.g., CRM, CCEP).
Professional Experience
Seeking roles or projects that involve compliance and risk management.
Volunteering for cross-functional teams to gain broader exposure.
Networking and Mentorship
Joining professional associations like the Society for Risk Management Association (RMA).
Attending industry events and webinars.
Finding a mentor and participate in mentorship programs.
Skill Development
Taking online courses or workshops on risk assessment, regulatory compliance, and policy development.
Developing soft skills such as leadership, communication, and strategic thinking.
Career Advancement
Regularly updating my resume and LinkedIn profile to reflect new skills and experiences.
Applying for leadership roles and be proactive in seeking promotions.
Thought Leadership
Writing articles or blog posts on compliance and risk management topics.
Participating in speaking engagements and panel discussions.</t>
  </si>
  <si>
    <t>Jeckson Tuyoleni</t>
  </si>
  <si>
    <t>FNB Namibia Limited (Carlo Gertze)</t>
  </si>
  <si>
    <t>Create Mentorship Event for Jeckson Tuyoleni with Wiann Mans</t>
  </si>
  <si>
    <t>The mentorship between the mentee and the respective mentor, to guide me in setting mutually agreed upon goals and expectations that we will work towards in the next 7 month. Basically, to increase my knowledge in the project management space, get practical experience and being involved in the actual projects. Thanks</t>
  </si>
  <si>
    <t>Cindy Abrahams</t>
  </si>
  <si>
    <t>FNB HSL (Kirsten Koma)</t>
  </si>
  <si>
    <t>21200003929 Home Finance Business Support Operations</t>
  </si>
  <si>
    <t>Create Mentorship Event for Cindy Abrahams with Renusha Moodley</t>
  </si>
  <si>
    <t>Create Mentorship Event for Nhlanhla Tshingilane (Terminated) with Baile Corrigan</t>
  </si>
  <si>
    <t>I am interested in changing careers and would love to have a mentor to guide me through this transition. I would love to move into the data analysis space.
Career guidance
Manage a career transition</t>
  </si>
  <si>
    <t>Phemi Maetle</t>
  </si>
  <si>
    <t>Close Mentorship Event for Phemi Maetle with Nonhlanhla Gumede Moloto
Create Mentorship Event for Phemi Maetle with Nonhlanhla Gumede Moloto</t>
  </si>
  <si>
    <t>As part of my professional development, I have been fortunate to shadow Siya Motha, the Customer Service Head. I look forward to this mentorship providing me with invaluable insights into effective suite management and customer service excellence. Siya's strategic approach to leadership and problem-solving aligns perfectly with my aspiration to become a Business Optimization Manager. Observing his methods for optimizing team performance and enhancing customer satisfaction will be enlightening. This experience will not only expand my knowledge but also inspire me to adopt innovative strategies to drive organizational success.</t>
  </si>
  <si>
    <t>Nthabiseng Mashego</t>
  </si>
  <si>
    <t>FNB Private Banking and Advisory (Carlifonia Muungadi)</t>
  </si>
  <si>
    <t>Create Mentorship Event for Nthabiseng Mashego with Siya Motha</t>
  </si>
  <si>
    <t>Shetal will be a mentor to help prepare me for the next role in my career - System Analyst Team Lead</t>
  </si>
  <si>
    <t>Zakaria Mahomed</t>
  </si>
  <si>
    <t>FNB Dynamic Decisioning (Junaid Nakhooda)</t>
  </si>
  <si>
    <t>Close Mentorship Event for Zakaria Mahomed with Shetal Bhoola
Create Mentorship Event for Zakaria Mahomed with Shetal Bhoola
Edit Mentorship Event for Zakaria Mahomed with Shetal Bhoola</t>
  </si>
  <si>
    <t>Dear Jennifer,
I am writing to express my enthusiasm for the opportunity to be mentored by you and to share my motivation and objectives for this mentoring relationship. As someone who is eager to grow both professionally and personally, I believe that your guidance and experience would be invaluable in helping me achieve my goals.
Motivation:
I am currently in the early stages of my career and am keen to develop the skills and knowledge necessary to succeed and make meaningful contributions to my organisation. I have always been passionate about continuous learning and professional development and I believe that a mentoring relationship with you will provide the support and insight I need to navigate my career path effectively.
Areas of Mentoring:
Career Guidance: I am looking for guidance on how to strategically plan my career path. Understanding the various opportunities and challenges within my industry and how to position myself for growth and advancement is crucial. Your insights into career planning and development would help me make informed decisions about my future.
Develop Leadership Skills: Developing strong leadership skills is one of my primary objectives. I aspire to take on leadership roles in the future, and I would greatly benefit from your advice on how to cultivate these skills. Learning about effective leadership styles, decision-making processes and how to inspire and manage teams are areas where your experience would be particularly beneficial.
Relationship Building and Networking: Building a robust professional network and establishing meaningful relationships within my industry are essential for my career progression. I would appreciate your guidance on how to effectively network, foster professional relationships and leverage these connections to achieve my career goals.
Through this mentoring relationship, I aim to gain a deeper understanding of the industry, enhance my leadership capabilities and develop a strategic approach to career development. I am confident that with your mentorship, I can navigate the challenges and opportunities ahead more effectively.
Thank you for considering my request.
Best regards,
Morongwa</t>
  </si>
  <si>
    <t>Morongwa Mangope (Terminated)</t>
  </si>
  <si>
    <t>Create Mentorship Event for Morongwa Mangope (Terminated) with Jennifer Dutton</t>
  </si>
  <si>
    <t>I want to attempt the Actuarial Exams starting with A211. I studied Econometrics and want to transition into Actuarial.</t>
  </si>
  <si>
    <t>Khuliso Watson Maela (Terminated)</t>
  </si>
  <si>
    <t>Create Mentorship Event for Khuliso Watson Maela (Terminated) with Sean Christoph</t>
  </si>
  <si>
    <t>Create Mentorship Event for Vuyiseka Myeki with Thapelo Modisagae</t>
  </si>
  <si>
    <t>The purpose of this mentorship is to develop my professional knowledge and skills, to advance my career as well as to get professional advice.</t>
  </si>
  <si>
    <t>Anna Mashia</t>
  </si>
  <si>
    <t>FNB HSL (Duduzile Roules)</t>
  </si>
  <si>
    <t>Create Mentorship Event for Anna Mashia with Sibongile Ngomani</t>
  </si>
  <si>
    <t>To provide career guidance, ensuring that I have the right and correct technical skills to help me in my career. To help me prepare for new opportunities such as career opportunities as well as leadership opportunities.</t>
  </si>
  <si>
    <t>Khanyisile Kumbi</t>
  </si>
  <si>
    <t>FNB Private Core Banking (Gontse Letsoalo)</t>
  </si>
  <si>
    <t>41200004892 FNB Private Core Banking Analytics</t>
  </si>
  <si>
    <t>Create Mentorship Event for Khanyisile Kumbi with Godfrey Kgoedi</t>
  </si>
  <si>
    <t>Mukundi Ravhura</t>
  </si>
  <si>
    <t>RMBSA Global Markets Market Risk (Bilal Haffejee)</t>
  </si>
  <si>
    <t>77800000TMR RMBSA Global Markets Market Risk</t>
  </si>
  <si>
    <t>Market Risk Analyst</t>
  </si>
  <si>
    <t>Financial Risk</t>
  </si>
  <si>
    <t>Create Mentorship Event for Mukundi Ravhura with Naomi Sekgobela</t>
  </si>
  <si>
    <t>Good day. I am looking for someone to guide me in my career path. I started as a Month end reporting accountant at Group Treasury FCC in 2017 where I got my first ever reporting exposure. I then moved to RMB in March 2019 and was part of the consol team. The structure then changed, and I was hired as part of the Client reporting team where I serviced the corporate sector heads. I then moved to FNB in July 2023 within the FDI enablement team. I have enjoyed learning from the different franchises, however, looking into the future I am not sure which direction to take my career. All i have been exposed to thus far is reporting and parts of product, therefore when the question of "What you want to do" is posed I am unable to answer as I don't know what being in like other areas would be like or what their daily activities look like to really answer the question. I also lost my brother in 2022 through suicide and have since then just trying to heal and recover so I did not broach this subject sooner. I am looking for someone who has walked this journey and can offer advice and guidance and also being probed for me as a person to find where I want to go to next. Thanks</t>
  </si>
  <si>
    <t>Desiree Govender</t>
  </si>
  <si>
    <t>First Risk and Advisory Services (Bheki Mdlalose)</t>
  </si>
  <si>
    <t>Create Mentorship Event for Desiree Govender with Gavin Tarr</t>
  </si>
  <si>
    <t>I think we might need to formally have record of the mentorship. Thank you for being willing xxx
Proposed mentorship period and frequency: 6 months, 1 session per month.
Seasoned in legal and regulatory (compliance) risk management. IRMCert obtained in ERM from the UK's Institute of Risk Management. Qualification obtained but require experience and mentorship, especially in relation to technical skills associated with Operational Risk Management (my gap).
Purpose:
Broaden organisational knowledge
Career guidance
Develop leadership skills</t>
  </si>
  <si>
    <t>Lizelle La Grange</t>
  </si>
  <si>
    <t>22400005479 FNB Marketing Finance</t>
  </si>
  <si>
    <t>Create Mentorship Event for Lizelle La Grange with Rialivhuwa Mudau</t>
  </si>
  <si>
    <t>Frank Chalale</t>
  </si>
  <si>
    <t>Create Mentorship Event for Frank Chalale with Adriaan Swanepoel</t>
  </si>
  <si>
    <t>Purpose of this mentorship is to get advice and guidance on a variety of topics in risk management, trends and forecasts, networking, leadership development, and job search strategies.</t>
  </si>
  <si>
    <t>Ayanda Patji</t>
  </si>
  <si>
    <t>CDO Kernel iNterfaceX (Smangele Cunningham)</t>
  </si>
  <si>
    <t>Create Mentorship Event for Ayanda Patji with Smangele Cunningham</t>
  </si>
  <si>
    <t>Career and Leadership Development</t>
  </si>
  <si>
    <t>Rajiv Mistry</t>
  </si>
  <si>
    <t>RMBSA Operations Client Experience Specialists (Mumbi Odame (Inherited))</t>
  </si>
  <si>
    <t>Create Mentorship Event for Rajiv Mistry with Alcinda Moezelaar</t>
  </si>
  <si>
    <t>"Dear Pontso,
I am writing to express my enthusiasm for the opportunity to be mentored by you and to share my motivation and objectives for this mentoring relationship. As someone who is eager to grow both professionally and personally, I believe that your guidance and experience would be invaluable in helping me achieve my goals.
Motivation:
I am currently in the early stages of my career and am keen to develop the skills and knowledge necessary to succeed and make meaningful contributions to my organisation. I have always been passionate about continuous learning and professional development and I believe that a mentoring relationship with you will provide the support and insight I need to navigate my career path effectively.
Areas of Mentoring:
Career Guidance: I am looking for guidance on how to strategically plan my career path. Understanding the various opportunities and challenges within my industry and how to position myself for growth and advancement is crucial. Your insights into career planning and development would help me make informed decisions about my future.
Develop Leadership Skills: Developing strong leadership skills is one of my primary objectives. I aspire to take on leadership roles in the future, and I would greatly benefit from your advice on how to cultivate these skills. Learning about effective leadership styles, decision-making processes and how to inspire and manage teams are areas where your experience would be particularly beneficial.
Relationship Building and Networking: Building a robust professional network and establishing meaningful relationships within my industry are essential for my career progression. I would appreciate your guidance on how to effectively network, foster professional relationships and leverage these connections to achieve my career goals.
Through this mentoring relationship, I aim to gain a deeper understanding of the industry, enhance my leadership capabilities and develop a strategic approach to career development. I am confident that with your mentorship, I can navigate the challenges and opportunities ahead more effectively.
Thank you for considering my request.
Best regards,
Morongwa"</t>
  </si>
  <si>
    <t>Create Mentorship Event for Morongwa Mangope (Terminated) with Pontso Mohlotsane</t>
  </si>
  <si>
    <t>Prenesen Naidoo</t>
  </si>
  <si>
    <t>FNB HSL (Vyasan Govender)</t>
  </si>
  <si>
    <t>Create Mentorship Event for Prenesen Naidoo with Dash Naidoo</t>
  </si>
  <si>
    <t>Career guidance
Deal with diversity and inclusion challenges
Develop leadership skills</t>
  </si>
  <si>
    <t>Create Mentorship Event for Lenize Lottering with Adnaan Rayned</t>
  </si>
  <si>
    <t>Seeking new career change and skills development opportunities</t>
  </si>
  <si>
    <t>Mapule Mpoko</t>
  </si>
  <si>
    <t>33900009123 FNB Commercial Leveraged Finance Head Office</t>
  </si>
  <si>
    <t>Personal Assistant</t>
  </si>
  <si>
    <t>Create Mentorship Event for Mapule Mpoko with Tshepo Leroto</t>
  </si>
  <si>
    <t>I would like to solidify my technical skills, which include SAS Systems, Python, DBMS, AI and Machine Learning in order to be able to perform high level statistical analysis, data insights and analysis, model development etc. I do have an exposure; however, I am not at a comfortable level. 
I would also like for growth and development in my field, understanding the opportunities available and how I can be a good fit. This will help me to work with purpose and set new goals for my career journey.</t>
  </si>
  <si>
    <t>Create Mentorship Event for Siyabonga Mthethwa with Jacqui Calitz</t>
  </si>
  <si>
    <t>Hi Godfrey, 
I hope this message finds you well. My name is Shiara, and I am a data analyst with +4 years of experience in data and analytics. As someone who is relatively new to the industry but brimming with curiosity, I am reaching out to see if you'd be willing to mentor me. 
I have spent my time crunching numbers, building dashboards, and occasionally battling the odd rogue dataset. But I have come to realize that mastering data analytics is just one piece of the puzzle. To truly excel and contribute at a strategic level, I need to understand the art and science of business management - and who better to learn from than the esteemed Chief Risk Office Executive?
I am eager to learn not only the technical wizardry of data and analytics but also the leadership skills that make a great executive. Your guidance would be invaluable in helping me integrate my data skills with effective business strategies. 
I would be thrilled to discuss this further and hopefully get a chance to work with you.
Best regards,
Shiara</t>
  </si>
  <si>
    <t>Shiara Pillay</t>
  </si>
  <si>
    <t>CDO Kernel iNterfaceX (Ashlin Kullen)</t>
  </si>
  <si>
    <t>21800005584 CDO Kernel iNterfaceX Data Analysts Development</t>
  </si>
  <si>
    <t>Create Mentorship Event for Shiara Pillay with Godfrey Kgoedi</t>
  </si>
  <si>
    <t>Good day Alcinda, first of all thank you very much for giving me the privilege of being your mentee, I do believe that this opportunity will help me to speed up my technical skills and my Carrer. kindly find below some of the points that I would like to focus on this mentoring process:
Skill Enhancement
1. Advanced Financial Analysis: Guidance on mastering complex financial analysis techniques and tools.
2. Regulatory Knowledge: Keeping up-to-date with the latest accounting standards and financial regulations. 
3. Technical Proficiency: Improving your proficiency with accounting software and financial modeling tools.
Networking
1.Professional Associations: Encouragement to join and actively participate in professional accounting and finance associations.
2.Industry Events: Identifying and attending relevant industry conferences, seminars, and workshops to expand your professional network.
Feedback and Improvement
1.Performance Reviews: Regular, constructive feedback on your work, with specific examples and actionable advice for improvement.
2.Continuous Learning: Recommendations for courses, certifications, and other learning opportunities to stay ahead in your field.
Leadership Skills
1. Project Management: Developing skills to lead and manage financial projects effectively.
Mentorship and Coaching: Learning how to mentor junior colleagues and provide effective coaching.
happy to amend any point above</t>
  </si>
  <si>
    <t>Armando Antonio</t>
  </si>
  <si>
    <t>FNB Mozambique (Manuel Come Come)</t>
  </si>
  <si>
    <t>Financial Services Business Partner</t>
  </si>
  <si>
    <t>Create Mentorship Event for Armando Antonio with Alcinda Moezelaar</t>
  </si>
  <si>
    <t>Busi Mdumisi</t>
  </si>
  <si>
    <t>FNB Connect and Service Provider (Ashwin Gobind (Inherited))</t>
  </si>
  <si>
    <t>83100005537 FNB Connect Customer Support</t>
  </si>
  <si>
    <t>Create Mentorship Event for Busi Mdumisi with Mumbi Odame</t>
  </si>
  <si>
    <t>I would like to achieve the following through mentorship broaden my organizational knowledge for a possible career transition. I need career guidance and furthermore, build relationships and network.</t>
  </si>
  <si>
    <t>Samantha Williams</t>
  </si>
  <si>
    <t>FirstRand Short Term Insurance (Onkgopotse Moeletsi)</t>
  </si>
  <si>
    <t>79900010214 ST PLOC Claims</t>
  </si>
  <si>
    <t>Legal Advisor Law on Call</t>
  </si>
  <si>
    <t>Create Mentorship Event for Samantha Williams with Yasmin Kadwa</t>
  </si>
  <si>
    <t>I am interested in transitioning into the marketing field. This mentorship relationship would allow me to learn from someone who has been where I want to go, offering insights into the industry, networking opportunities, and advice on career development.
I am hoping my mentee will provide guidance and support as I work towards my personal and professional goals.</t>
  </si>
  <si>
    <t>Modjadji Mashego (Terminated)</t>
  </si>
  <si>
    <t>Create Mentorship Event for Modjadji Mashego (Terminated) with Pontso Mohlotsane</t>
  </si>
  <si>
    <t>Good Day Mrs. Williams,
I would like to learn more and get exposure about the HR functions with the organization. I am specifically interested in areas such as Learning and Development as well as selection and recruitment. Other areas of interest are HR soft skills that one should have while working in the Human Resources field.
I have only ever worked for FNB and have never put my qualification in the HR field to use and that is why I am very eager to learn. Having access to a Mentor will really broaden my horizon beyond what I have learned.
www.linkedin.com/in/otilie-sameul-a80130137</t>
  </si>
  <si>
    <t>Otilie Sameul</t>
  </si>
  <si>
    <t>FNB Namibia Limited (Elsoline Hendricks)</t>
  </si>
  <si>
    <t>302000016045 FNB Namibia Retail Operations Support</t>
  </si>
  <si>
    <t>Client Support Specialist</t>
  </si>
  <si>
    <t>Create Mentorship Event for Otilie Sameul with Annastasia Williams</t>
  </si>
  <si>
    <t>I would like you Mentor Me in order to develop and grow Learn New Things within the Business I have now worked for almost 5 years to be exact at Direct axis started in the Inbound Digicon/ Digital which Dissolved to end to end space I have Learnt a lot had Been Upskilled with Customer Services Income verifications and Communications I Believe that I need Growth Now I've In this department For long I need New challenges which will take me out of my comfort zone I have been applying on other roles as well to show case my skills I have applied on Some roles But I haven't been successful as yet
I have LQ 5 ( FAIS ) Matriculated in 2011</t>
  </si>
  <si>
    <t>Zimbini Mteza</t>
  </si>
  <si>
    <t>DirectAxis (Nafeesah Newman)</t>
  </si>
  <si>
    <t>99700015106 DA Business Unit 3</t>
  </si>
  <si>
    <t>Create Mentorship Event for Zimbini Mteza with Samira Harris</t>
  </si>
  <si>
    <t>I would like to broaden my organizational knowledge and get guidance on the next step in my career. I would also appreciate assistance on relationship building and networking.
LinkedIn Profile: https://www.linkedin.com/in/clement-molapo?lipi=urn%3Ali%3Apage%3Ad_flagship3_profile_view_base_contact_details%3Bxu%2BhRwGYTOK87DnDK%2FkuNw%3D%3D</t>
  </si>
  <si>
    <t>Clement Molapo</t>
  </si>
  <si>
    <t>FNB Commercial Core Juristic Platform (Chanel Meghrajh)</t>
  </si>
  <si>
    <t>34200009023 FNB Commercial CJP Credit Lending IT Architecture</t>
  </si>
  <si>
    <t>Create Mentorship Event for Clement Molapo with Gary Frank</t>
  </si>
  <si>
    <t>Hi Candice, I am a qualified Industrial Engineer, currently working in the bank as a team lead for Business Process Management in Core Banking Platform (CBP). I am looking to transition from Business process management and also get more exposure into what the rest of the business is about. I am keen to grow my career into a role that will afford me an opportunity to be exposed to strategy formulation and strategy execution, which I have had exposure to while I was in Management Consulting and I believe that Product Management could be a gateway for getting more exposure to strategy.
Though I may not particularly have Product Management experience, I believe that the analytical, problem solving, solution focused, people and stakeholder management skills I have acquired throughout my career would enable me to bring a different perspective in the Product Management space. In my current role, I do engage with various stakeholders, of which I am aware is a key skill required in Product Management. I have also been exposed to working and presenting to Exco forums throughout my career.
I would be delighted to be granted an opportunity to learn from you on what the role actually entails, and how to succeed in product management but also to truly ascertain whether this is indeed a role that will be suitable for me at this stage.
I have also attached a link to my LinkedIn Profile (as suggested on this Workday application form) so that you can get to know a little bit more about me and my career thus far and I suppose also see if I would be a good fit as a mentee that you can mentor.
I do hope to hear back from you soon.
LinkedIn Profile Link:  www.linkedin.com/in/mbali-modjela-7a62435a</t>
  </si>
  <si>
    <t>Create Mentorship Event for Mbali Modjela with Candice Lee Kondominas</t>
  </si>
  <si>
    <t>I have 14 years banking experience, rooted in sales &amp; services and my long-term career goal is to be CX specialist in the financial industry because my passion is service. Therefore, customer service is very dear to my heart, and I am requesting you Ms Nicki to be my career mentor as I belief your skills and knowledge and wisdom will brightly guide and empower me with necessary skills in crafting unforgettable customer journey, expand my experience, build my confidence, advance my career position.</t>
  </si>
  <si>
    <t>Tumi Kgaswane</t>
  </si>
  <si>
    <t>Create Mentorship Event for Tumi Kgaswane with Nicki Hill</t>
  </si>
  <si>
    <t>I would like insight on different accounting and administration that the First Rand Group uses to better equip myself for career opportunities. My previous mentor resigned recently and I was left without all my objectives being met.</t>
  </si>
  <si>
    <t>Create Mentorship Event for Keamogetswe Sema (Terminated) with Mongezi Mahlangu</t>
  </si>
  <si>
    <t>Sipho Maseko</t>
  </si>
  <si>
    <t>FNB Commercial Projects and Operations (Luvo Mabandla)</t>
  </si>
  <si>
    <t>34200009237 FNB Commercial Fulfilment Core</t>
  </si>
  <si>
    <t>Create Mentorship Event for Sipho Maseko with Deseree Noxolo Gumede</t>
  </si>
  <si>
    <t>As a young man only new to the workspace, I believe it's ideal and vital for me to seek mentorship for an easier integration into the corporate industry. Furthermore, getting career guidance from an individual with more years of experience in the workplace would contribute to my personal growth, career wise. Below are other points that find this initiative purposeful;
Mentor within the bank can help teach the banking culture as a whole (As I am relatively new to the organization)
Leadership skills and development skills
Networking Skills
Problem solving and conflict resolutions within the workplace</t>
  </si>
  <si>
    <t>Thato Thamage</t>
  </si>
  <si>
    <t>FNB Botswana Enabler (Gurven Nyame)</t>
  </si>
  <si>
    <t>5010153300 FNB Botswana Risk and Compliance</t>
  </si>
  <si>
    <t>Create Mentorship Event for Thato Thamage with Collen Tshebo</t>
  </si>
  <si>
    <t>Mentorship on management career path</t>
  </si>
  <si>
    <t>Kaahsifa Ahmed</t>
  </si>
  <si>
    <t>Chief Digital Office Kernel (Patience Malumba)</t>
  </si>
  <si>
    <t>Close Mentorship Event for Kaahsifa Ahmed with Elvira Krishna
Create Mentorship Event for Kaahsifa Ahmed with Elvira Krishna</t>
  </si>
  <si>
    <t>As someone currently participating in the Khula Leadership Program, I have been working diligently on developing my leadership skills and nurturing strong relationships with my mentors.
This program has been invaluable in helping me grow, both professionally and personally.
Joining the Mentorship Program aligns with my ongoing journey of self-development. I believe that the guidance and support offered through the program will not only help me refine my leadership capabilities but also broaden my perspective in areas where I seek further growth. I understand the importance of professionalism and maintaining a positive relationship with mentors, both of which I value deeply.
Being part of the Mentorship Program would provide an excellent opportunity for me to receive structured feedback, enhance my problem-solving skills, and gain insights from experienced professionals who can help me navigate the challenges and opportunities in my career. It would also allow me to contribute meaningfully to the organization by becoming more effective in my role.</t>
  </si>
  <si>
    <t>Noluthando Ndlovu (Terminated)</t>
  </si>
  <si>
    <t>Create Mentorship Event for Noluthando Ndlovu (Terminated) with Nondumiso Motlhala</t>
  </si>
  <si>
    <t>Dean Sauls</t>
  </si>
  <si>
    <t>FNB Points of Presence (Ayanda Ngema)</t>
  </si>
  <si>
    <t>38100000930 FNB POP SSD GN-Main</t>
  </si>
  <si>
    <t>Create Mentorship Event for Dean Sauls with Sipho Khumalo</t>
  </si>
  <si>
    <t>As per the RMB credit mentoring program.</t>
  </si>
  <si>
    <t>Doug Mundopa</t>
  </si>
  <si>
    <t>RMBSA TTS Credit Analysts (Tokollo Matsapola)</t>
  </si>
  <si>
    <t>Create Mentorship Event for Doug Mundopa with Bertus Huisman</t>
  </si>
  <si>
    <t>Tumelo Nkwane</t>
  </si>
  <si>
    <t>FNB Retail CDAO (Carmelita Adams)</t>
  </si>
  <si>
    <t>5910151530 FNB Retail CDAO DA Marketing</t>
  </si>
  <si>
    <t>Market Research Analyst</t>
  </si>
  <si>
    <t>Create Mentorship Event for Tumelo Nkwane with Athena Botha</t>
  </si>
  <si>
    <t>I would like to develop my leadership skills in preparation for my next role. What I would like to get out of this mentorship is:
An understanding of what leadership looks like at corporate level
Career guidance
Develop leadership skills
Manage a career transition
Relationship building and networking
LinkedIn profile: Khathutshelo Shaun Matidza | LinkedIn</t>
  </si>
  <si>
    <t>Khathutshelo Shaun Matidza</t>
  </si>
  <si>
    <t>RMBSA Global Markets Technology PAQT Team C (Moeketsi Msimango)</t>
  </si>
  <si>
    <t>77800000BTT RMBSA Global Markets Technology PAQT</t>
  </si>
  <si>
    <t>Create Mentorship Event for Khathutshelo Shaun Matidza with Jason Nader</t>
  </si>
  <si>
    <t>Mentorships as communicated.</t>
  </si>
  <si>
    <t>Jean Erasmus (Terminated)</t>
  </si>
  <si>
    <t>Create Mentorship Event for Jean Erasmus (Terminated) with Jean Du Plessis</t>
  </si>
  <si>
    <t>I would like to unpack my current skills set and explore opportunities to enhance my skills and explore new career paths within the group.</t>
  </si>
  <si>
    <t>Lizanne Philander</t>
  </si>
  <si>
    <t>RMBSA Global Markets Operations Custody Client Services (Trenton Booth)</t>
  </si>
  <si>
    <t>77800000OPV RMBSA Global Markets Operations Custody Client Services</t>
  </si>
  <si>
    <t>Custody Client Service Specialist</t>
  </si>
  <si>
    <t>Create Mentorship Event for Lizanne Philander with Mumbi Odame</t>
  </si>
  <si>
    <t>To grow my skills and knowledge in Risk Management as part of development for my next role</t>
  </si>
  <si>
    <t>Tumelo Thoka</t>
  </si>
  <si>
    <t>FNB Fiduciary (Nqobile Gigaba)</t>
  </si>
  <si>
    <t>Quality Assurance Manager</t>
  </si>
  <si>
    <t>Create Mentorship Event for Tumelo Thoka with Raymond Tyler</t>
  </si>
  <si>
    <t>Career guidance</t>
  </si>
  <si>
    <t>Makailia Manthary</t>
  </si>
  <si>
    <t>FirstRand Short Term Insurance (Alan Pullin)</t>
  </si>
  <si>
    <t>79900010216 ST Comp claims</t>
  </si>
  <si>
    <t>Controller</t>
  </si>
  <si>
    <t>Create Mentorship Event for Makailia Manthary with Aneshree Pather</t>
  </si>
  <si>
    <t>RMB Credit mentorship programme</t>
  </si>
  <si>
    <t>Tshilidzi Loyd Mufamadi (Terminated)</t>
  </si>
  <si>
    <t>Create Mentorship Event for Tshilidzi Loyd Mufamadi (Terminated) with Leon Sharfman</t>
  </si>
  <si>
    <t>For purposes of the RMB credit program</t>
  </si>
  <si>
    <t>Faith Duff</t>
  </si>
  <si>
    <t>Create Mentorship Event for Faith Duff with Thembi Ngobeni</t>
  </si>
  <si>
    <t>I am a person of many interests. One of them being a system administrator. I have worked at a web hosting company before so I do have an understanding of the kind of work is done (at least within that industry) but I the problem I have is the practical experience. At some point, I created a virtual machine on my home computer with Linux installed but I always felt that it never gave me what I was looking for which is to be able to work with the systems of the business as the configuration and setups are completely different.
I have an understanding of Python as well and currently practicing at home when I can (still beginner). I would like to improve both skills in order to get a career in that field.</t>
  </si>
  <si>
    <t>Zaheer Badroodien</t>
  </si>
  <si>
    <t>DirectAxis (Ulrich Van Wijngaarden)</t>
  </si>
  <si>
    <t>99700015108 DA Scripting</t>
  </si>
  <si>
    <t>User Experience Writer</t>
  </si>
  <si>
    <t>Close Mentorship Event for Zaheer Badroodien with Riaz Shaik
Create Mentorship Event for Zaheer Badroodien with Riaz Shaik</t>
  </si>
  <si>
    <t>Technical Up-Skillin</t>
  </si>
  <si>
    <t>Dustan Bedhasie</t>
  </si>
  <si>
    <t>FNB Personal and Private IT (Megan Schaffers)</t>
  </si>
  <si>
    <t>Create Mentorship Event for Dustan Bedhasie with Shaun Rampersad</t>
  </si>
  <si>
    <t>I am looking to get into a role that that will allow me to detect, resolve and mitigate against organizational inefficiencies.</t>
  </si>
  <si>
    <t>Katlego Maphutha</t>
  </si>
  <si>
    <t>Create Mentorship Event for Katlego Maphutha with Cuthbert (Sedutla) Sekgotodi</t>
  </si>
  <si>
    <t>As per RMB Credit Mentor programme</t>
  </si>
  <si>
    <t>Bavanisha Varaden</t>
  </si>
  <si>
    <t>Create Mentorship Event for Bavanisha Varaden with Bertus Huisman</t>
  </si>
  <si>
    <t>Desmond Medupe (Terminated)</t>
  </si>
  <si>
    <t>Create Mentorship Event for Desmond Medupe (Terminated) with Handri Kymdell</t>
  </si>
  <si>
    <t>RMB Credit mentoring programme</t>
  </si>
  <si>
    <t>Snazo Maepane</t>
  </si>
  <si>
    <t>FNB Chief Financial Office (Gideon Joubert)</t>
  </si>
  <si>
    <t>39400001969 FNB Finance and Support Executive Support</t>
  </si>
  <si>
    <t>Functional Business Planning and Delivery Specialist</t>
  </si>
  <si>
    <t>Create Mentorship Event for Snazo Maepane with Willy Robinson</t>
  </si>
  <si>
    <t>Morathi Ramokgopa</t>
  </si>
  <si>
    <t>Create Mentorship Event for Morathi Ramokgopa with Mmajobo Tsholo</t>
  </si>
  <si>
    <t>Precious Monareng</t>
  </si>
  <si>
    <t>RMBSA TTS Trade and Working Capital Transactors (Francois Van Der Plas)</t>
  </si>
  <si>
    <t>Create Mentorship Event for Precious Monareng with Wilhelm Pauer</t>
  </si>
  <si>
    <t>Andrea Andre (Terminated)</t>
  </si>
  <si>
    <t>Create Mentorship Event for Andrea Andre (Terminated) with Jan Botha</t>
  </si>
  <si>
    <t>Michael Mills</t>
  </si>
  <si>
    <t>RMBSA TTS Credit Analysts (Simone Riemer)</t>
  </si>
  <si>
    <t>Create Mentorship Event for Michael Mills with Terence O'Neill</t>
  </si>
  <si>
    <t>Career Interests
Leadership has been a keen interest of mine since I started my MBA program. I look forward to a more challenging and strategic role with a long-term view and implementation plan. Business Development within the retail space has been a good building block to exercise some managerial expertise and I would love to expand that expertise to include people management, organizational strategy and planning.</t>
  </si>
  <si>
    <t>Yonela Mgwedli</t>
  </si>
  <si>
    <t>Create Mentorship Event for Yonela Mgwedli with Jason Nader</t>
  </si>
  <si>
    <t>Mangi Mahlaba</t>
  </si>
  <si>
    <t>RMBSA IBD Credit Analysts (Danny Ma)</t>
  </si>
  <si>
    <t>Create Mentorship Event for Mangi Mahlaba with Willy Robinson</t>
  </si>
  <si>
    <t>Maite Leshabane (Terminated)</t>
  </si>
  <si>
    <t>Create Mentorship Event for Maite Leshabane (Terminated) with Terence O'Neill</t>
  </si>
  <si>
    <t>Danny Ma</t>
  </si>
  <si>
    <t>Create Mentorship Event for Danny Ma with Werner Van Oudenhove De St Gery</t>
  </si>
  <si>
    <t>Nitesh Khemchandani [C]</t>
  </si>
  <si>
    <t>RMB International Subs (Pankaj Shah [C])</t>
  </si>
  <si>
    <t>India</t>
  </si>
  <si>
    <t>77800000IBH FRSPL India Office</t>
  </si>
  <si>
    <t>Country Analyst</t>
  </si>
  <si>
    <t>Create Mentorship Event for Nitesh Khemchandani [C] with J.R. Hume</t>
  </si>
  <si>
    <t>As per Grow First PDF</t>
  </si>
  <si>
    <t>Deepam Gopal (Terminated)</t>
  </si>
  <si>
    <t>Create Mentorship Event for Deepam Gopal (Terminated) with Tsholofelo Mathye</t>
  </si>
  <si>
    <t>I would like to learn more about leadership styles</t>
  </si>
  <si>
    <t>Lettisha Sooknannan</t>
  </si>
  <si>
    <t>CDO Kernel (Doreen Mnisi)</t>
  </si>
  <si>
    <t>Create Mentorship Event for Lettisha Sooknannan with Fazia Parker</t>
  </si>
  <si>
    <t>Ushenka Angath</t>
  </si>
  <si>
    <t>RMBSA TTS Credit Analysts (Bavanisha Varaden)</t>
  </si>
  <si>
    <t>Create Mentorship Event for Ushenka Angath with Mayuri Ravjee</t>
  </si>
  <si>
    <t>To help me understand the PMO space better, give advise whilst i study Project Management, help me navigate through this journey.</t>
  </si>
  <si>
    <t>Vanesa Reid</t>
  </si>
  <si>
    <t>FNB HSL. (Natasha Naidoo)</t>
  </si>
  <si>
    <t>Create Mentorship Event for Vanesa Reid with Coenraad Pretorius</t>
  </si>
  <si>
    <t>Chetna Patel</t>
  </si>
  <si>
    <t>Create Mentorship Event for Chetna Patel with Bertus Huisman</t>
  </si>
  <si>
    <t>Nondumiso Blose</t>
  </si>
  <si>
    <t>Create Mentorship Event for Nondumiso Blose with Mayuri Ravjee</t>
  </si>
  <si>
    <t>To help me grow within my career
To extract the potential</t>
  </si>
  <si>
    <t>Tumelo Mabiletsa</t>
  </si>
  <si>
    <t>RMBSA Global Markets Technology Murex Team C (Lizelle Fouche)</t>
  </si>
  <si>
    <t>Murex Specialist</t>
  </si>
  <si>
    <t>Create Mentorship Event for Tumelo Mabiletsa with Annanda Basson
Edit Mentorship Event for Tumelo Mabiletsa with Annanda Basson</t>
  </si>
  <si>
    <t>Tshaimo Seanego</t>
  </si>
  <si>
    <t>RMB Segment (Marnus Breed)</t>
  </si>
  <si>
    <t>77800000QTS RMBSA Credit Risk Portfolio Management</t>
  </si>
  <si>
    <t>Credit Quantitative Analyst</t>
  </si>
  <si>
    <t>Create Mentorship Event for Tshaimo Seanego with Lambrie Van Straaten</t>
  </si>
  <si>
    <t>Nina Claasen</t>
  </si>
  <si>
    <t>RMBSA IBD Credit Analysts (Senzo Manzini)</t>
  </si>
  <si>
    <t>Credit Associate</t>
  </si>
  <si>
    <t>Create Mentorship Event for Nina Claasen with Lambrie Van Straaten</t>
  </si>
  <si>
    <t>Thobi Khumalo</t>
  </si>
  <si>
    <t>RMBSA Investment Banking Division (Siyanda Mflathelwa)</t>
  </si>
  <si>
    <t>77800000IFS RMBSA IBD Infrastructure Finance</t>
  </si>
  <si>
    <t>Create Mentorship Event for Thobi Khumalo with Thabang Moroa</t>
  </si>
  <si>
    <t>Kefiloe Mphatwe</t>
  </si>
  <si>
    <t>RMBSA Finance (Lunga Boyana)</t>
  </si>
  <si>
    <t>77800000FPC RMBSA Central Finance Leadership Team</t>
  </si>
  <si>
    <t>Create Mentorship Event for Kefiloe Mphatwe with Thembi Ngobeni</t>
  </si>
  <si>
    <t>Dayan Du Toit</t>
  </si>
  <si>
    <t>Create Mentorship Event for Dayan Du Toit with Thembi Ngobeni</t>
  </si>
  <si>
    <t>Create Mentorship Event for Mayuri Ravjee with Thembi Ngobeni</t>
  </si>
  <si>
    <t>To assist to transition to product house after completing short course. I'd like to match the knowledge i'd be acquiring to the actual duties in product house.</t>
  </si>
  <si>
    <t>Laona Dikgole</t>
  </si>
  <si>
    <t>FNB Connect and Service Provider (Mondli Cele)</t>
  </si>
  <si>
    <t>83100005534 FNB Connect Technology</t>
  </si>
  <si>
    <t>Create Mentorship Event for Laona Dikgole with Smangele Majola</t>
  </si>
  <si>
    <t>Prince Moloto (Terminated)</t>
  </si>
  <si>
    <t>Create Mentorship Event for Prince Moloto (Terminated) with Thembi Ngobeni</t>
  </si>
  <si>
    <t>Career guidance and Character development</t>
  </si>
  <si>
    <t>Ofentse Ditsele</t>
  </si>
  <si>
    <t>FNB Wealth and Investments (Wicus Potgieter)</t>
  </si>
  <si>
    <t>31400008459 FNB WI SPM Willowbridge</t>
  </si>
  <si>
    <t>Portfolio Management Assistant</t>
  </si>
  <si>
    <t>Create Mentorship Event for Ofentse Ditsele with Denis Nhatumbo</t>
  </si>
  <si>
    <t>Linda Shiba</t>
  </si>
  <si>
    <t>RMBSA TTS Operations Trade Operations Johannesburg (Chetna Patel)</t>
  </si>
  <si>
    <t>Create Mentorship Event for Linda Shiba with David Johnson</t>
  </si>
  <si>
    <t>Marnus Breed</t>
  </si>
  <si>
    <t>RMBSA LRC Credit Risk Portfolio and Capital Management (J.R. Hume)</t>
  </si>
  <si>
    <t>Credit Quantitative Analytics Head</t>
  </si>
  <si>
    <t>Create Mentorship Event for Marnus Breed with Colin Struwig</t>
  </si>
  <si>
    <t>Philip Karammel</t>
  </si>
  <si>
    <t>Create Mentorship Event for Philip Karammel with Natasha Nadasen</t>
  </si>
  <si>
    <t>Better integration into a team/business unit
Broaden organisational knowledge
Learn how to navigate the system</t>
  </si>
  <si>
    <t>Fhulufhelo Ramphabana</t>
  </si>
  <si>
    <t>FNB Retail Strategic Credit and Analytics (Cornelda Faber)</t>
  </si>
  <si>
    <t>5910522100 FNB Retail Strategic Credit and Analytics</t>
  </si>
  <si>
    <t>Create Mentorship Event for Fhulufhelo Ramphabana with Nivesh Jivan</t>
  </si>
  <si>
    <t>Njabulo Hlophe</t>
  </si>
  <si>
    <t>RMBSA Global Markets NBFI Credit Risk (Gareth Viljoen)</t>
  </si>
  <si>
    <t>Create Mentorship Event for Njabulo Hlophe with Ookame Maruping</t>
  </si>
  <si>
    <t>Andile Nkohliso</t>
  </si>
  <si>
    <t>Create Mentorship Event for Andile Nkohliso with Colin Struwig</t>
  </si>
  <si>
    <t>Create Mentorship Event for Senzo Manzini with Pete Cottrell</t>
  </si>
  <si>
    <t>Mary Ramodisa</t>
  </si>
  <si>
    <t>FNB Dynamic Decisioning (Miranda Ntushelo)</t>
  </si>
  <si>
    <t>Create Mentorship Event for Mary Ramodisa with Betty Moabelo</t>
  </si>
  <si>
    <t>Dolly Mphahlele (Terminated)</t>
  </si>
  <si>
    <t>I am looking for an opportunity where I would be involved in Consolidating and analysing financial data, considering business financial standing. Providing creative alternatives and recommendations to reduce costs and improve financial performance.  Assembling and summarizing data to structure sophisticated reports on financial status and risks.</t>
  </si>
  <si>
    <t>Create Mentorship Event for Tshepo Leroto with Dolly Mphahlele (Terminated)</t>
  </si>
  <si>
    <t>Meera Bhana</t>
  </si>
  <si>
    <t>FNB Private Core Banking (Bhavnesh Vallabh)</t>
  </si>
  <si>
    <t>Create Mentorship Event for Meera Bhana with Shanice Sunderpersadh</t>
  </si>
  <si>
    <t>Keziah Aiyer</t>
  </si>
  <si>
    <t>Banking Division (Dayan Du Toit)</t>
  </si>
  <si>
    <t>Create Mentorship Event for Keziah Aiyer with Cameron Peel</t>
  </si>
  <si>
    <t>Simbani Banda</t>
  </si>
  <si>
    <t>FNB Zambia Operations (Chiti Ndhlovu)</t>
  </si>
  <si>
    <t>Create Mentorship Event for Simbani Banda with Mitesh Makan</t>
  </si>
  <si>
    <t>Career guidance - looking to switch careers from Data Analytics to Asset Management.</t>
  </si>
  <si>
    <t>Ndivho Mamathuba</t>
  </si>
  <si>
    <t>FNB Loans (Ben Pillay)</t>
  </si>
  <si>
    <t>Create Mentorship Event for Ndivho Mamathuba with Mante Mothiba</t>
  </si>
  <si>
    <t>The purpose of this mentorship is to further develop my knowledge and leadership capabilities, while also seeking valuable guidance to support my career progression.</t>
  </si>
  <si>
    <t>Ashante Maitin</t>
  </si>
  <si>
    <t>FNB Personal and Private IT (Zaheer Moosa)</t>
  </si>
  <si>
    <t>Production Support Specialist</t>
  </si>
  <si>
    <t>Create Mentorship Event for Ashante Maitin with Zaheer Moosa</t>
  </si>
  <si>
    <t>I would like the guidance of a mentor to assist me navigate my career and other key areas which affect my growth.
I currently find myself feeling stagnated and I am not certain which direction I should take to move forward and grow.</t>
  </si>
  <si>
    <t>Oarabile Moshoeu</t>
  </si>
  <si>
    <t>FirstRand Short Term Insurance (Harold Thafeni)</t>
  </si>
  <si>
    <t>Paralegal Secretary</t>
  </si>
  <si>
    <t>Create Mentorship Event for Oarabile Moshoeu with Yasmin Kadwa</t>
  </si>
  <si>
    <t>Hi There,
Trust you are well
I am currently working as a User Experience Writer/Content Analyst, and I’m reaching out to seek your insights into the role of a Sales Specialist, as it aligns with my career aspirations.
I want to learn from someone who has already achieved success in the field and can guide me to enhance my knowledge.
With your guidance, I can feel more confident in turning prospects into customers.
I want to deepen my understanding of the market and industry to become a trusted partner in helping customers thrive.
I want to grow my network and access opportunities I wouldn’t find on my own.
I want to accelerate my career growth and prepare myself for leadership in sales.</t>
  </si>
  <si>
    <t>Meagan Fisher</t>
  </si>
  <si>
    <t>FNB Personal Segment Advisory and Suites (Meagan De Bruin)</t>
  </si>
  <si>
    <t>Close Mentorship Event for Meagan Fisher with John Cronje
Create Mentorship Event for Meagan Fisher with John Cronje</t>
  </si>
  <si>
    <t>Khauhelo Mofokeng</t>
  </si>
  <si>
    <t>FNB Retail COO (Tech Tyatyaza)</t>
  </si>
  <si>
    <t>Create Mentorship Event for Khauhelo Mofokeng with Shaun Caromba</t>
  </si>
  <si>
    <t>Good Morning
Trust you are well.
I have a strong background in IT Asset Management and System Analysis. As a former IT Asset Management Team Leader, I led a team of 7 direct reports, managing IT assets for over 600 cost centers in both Branch and Support roles. My collaborative work with the BI team, Technology Managers, I&amp;SS, and project managers has significantly improved efficiency across the board. I hold a BCom degree in Supply Chain Management and have always sought opportunities for growth within the business.
I am looking for a mentor who will teach me more about the organization and teach me new skills.
Thank You</t>
  </si>
  <si>
    <t>Farmeena Hoosen</t>
  </si>
  <si>
    <t>FNB Points of Presence (Elvira Krishna)</t>
  </si>
  <si>
    <t>Create Mentorship Event for Farmeena Hoosen with Coenraad Pretorius</t>
  </si>
  <si>
    <t>Jolandi Wassermann (Terminated)</t>
  </si>
  <si>
    <t>Prabashnee Govender</t>
  </si>
  <si>
    <t>34200003333 FNB Commercial National Sales Operations</t>
  </si>
  <si>
    <t>National Operations Manager</t>
  </si>
  <si>
    <t>Create Mentorship Event for Prabashnee Govender with Jolandi Wassermann (Terminated)</t>
  </si>
  <si>
    <t>Career growth (Leadership Development)</t>
  </si>
  <si>
    <t>Emelda Ndlovu</t>
  </si>
  <si>
    <t>Create Mentorship Event for Emelda Ndlovu with Elaine Knoetsec</t>
  </si>
  <si>
    <t>To gain insights and advises from experienced leaders</t>
  </si>
  <si>
    <t>Elmah Mosipi</t>
  </si>
  <si>
    <t>FNB Botswana Channels (Amantle Mphoeng)</t>
  </si>
  <si>
    <t>Create Mentorship Event for Elmah Mosipi with Lesego Nkepe</t>
  </si>
  <si>
    <t>Rekgethile Maduna</t>
  </si>
  <si>
    <t>Create Mentorship Event for Rekgethile Maduna with Loren Johnson</t>
  </si>
  <si>
    <t>Broaden organisational knowledge
Career guidance
Develop leadership skills</t>
  </si>
  <si>
    <t>Carla Blom</t>
  </si>
  <si>
    <t>FNB Commercial Core Juristic Platform (Bonokwakhe Mbuthu)</t>
  </si>
  <si>
    <t>Create Mentorship Event for Carla Blom with Gary Frank</t>
  </si>
  <si>
    <t>Throughout my tenure at FNB, I have admired your leadership and the remarkable achievements you have accomplished in the Customer Sales and Interactions space. Your strategic vision and ability to navigate complex challenges have been particularly inspiring to me. As I aspire to grow and make a significant impact in my field, I believe that your guidance and insights would be invaluable.
I am eager to learn from your experiences and am confident that your mentorship would not only help me enhance my skills but also provide me with the perspective needed to achieve my long-term career goals.
I am committed to making the most of this opportunity and am open to any format or schedule that suits you best.
LinkedIn - www.linkedin.com/in/shreyan-pale-24190817b</t>
  </si>
  <si>
    <t>Shreyan Pale</t>
  </si>
  <si>
    <t>FNB Retail Legal Risk and Compliance (Naas Du Toit)</t>
  </si>
  <si>
    <t>Create Mentorship Event for Shreyan Pale with Maryke Venter</t>
  </si>
  <si>
    <t>Broaden organisational knowledge
Career guidance
Develop leadership skills
LinkedIN Profile link:
https://secure-web.cisco.com/1MomCdubGzNKq5aG_sarpVGhFjZxagcK9m5Lvscag-7YwiXg8KWC126cQAYHAJYivXv3O2PX9VA2S8oVQiggkOuIgv2F5hADIiYRhcazgZ2oOb7IZe_irVpPlz5YOiKR2AfJLhclJT3jmtrgYUHdqkb9eSIrZAoR6gKlnPG1QAKQe2jISUOxvxJvI2IkfQrOlg979yxdtuOpdG-qGo_sFe4OHnP_c4l9vsfCWgfR9fBcynoXrkUfJihsUPZYRmyN_eiXeOFKtkjPurPPYt_KRYB8J0kwIioZh4xQ3eXcADDywdoQIMxirzqRCReTjsrpZJsAnsMKdFloE1amtc3vDVg/https%3A%2F%2Fwww.linkedin.com%2Fin%2Fshingai-faith-chikoko-65043425%3Futm_source%3Dshare%26utm_campaign%3Dshare_via%26utm_content%3Dprofile%26utm_medium%3Dios_app</t>
  </si>
  <si>
    <t>Shingai Chikoko</t>
  </si>
  <si>
    <t>RMBSA Global Markets Operations GSS Custody (Nthabiseng Sehlapelo)</t>
  </si>
  <si>
    <t>77800000OPQ RMBSA Global Markets Operations Corporate Actions</t>
  </si>
  <si>
    <t>Custody Operations Manager</t>
  </si>
  <si>
    <t>Create Mentorship Event for Shingai Chikoko with Mill Makanda</t>
  </si>
  <si>
    <t>Require assistance to evolve and thrive in information management</t>
  </si>
  <si>
    <t>Create Mentorship Event for Kuvashni Krishna with Athena Botha</t>
  </si>
  <si>
    <t>Obtain relevant practical experience within the Fiduciary environment due to career change.</t>
  </si>
  <si>
    <t>Create Mentorship Event for Mapule Mpoko with Nadira Umraw</t>
  </si>
  <si>
    <t>I am an application developer who started my career in insurance brokers. I've been with the team for 4-5 year where I have been promoted to a senior developer. I feel the need for a new journey as I no longer feel technically challenged. However, I find it difficult to look for new opportunities with the experience I have. I also find it difficult on knowing which technology I need to focus on, as there is so many to choose from. I would like to be full stack developer, but I feel stuck and need a sense of direction.</t>
  </si>
  <si>
    <t>Esronique Du Plessis</t>
  </si>
  <si>
    <t>First Risk and Advisory Services (Nokuphila Chili)</t>
  </si>
  <si>
    <t>Create Mentorship Event for Esronique Du Plessis with Barbara Engle</t>
  </si>
  <si>
    <t>having Jacqueline Becker as a Mentor will assist me greatly. This is a step into achieving my career goal of understanding Smart Trade and business better .i love analyzing and understanding Processes /things to details.
i have watched her grow and excel in this particular role and always admired how she helps by contributing towards the busines.so with all that i believe having her to guide me in this career journey with her personal experiences will be of great help with me becoming the person i want to be.</t>
  </si>
  <si>
    <t>Victory Mukhuwana</t>
  </si>
  <si>
    <t>REMS Real Estate Management Services (Jacqueline Becker)</t>
  </si>
  <si>
    <t>22300009629 REMS Fairland Catering</t>
  </si>
  <si>
    <t>Events Coordinator</t>
  </si>
  <si>
    <t>Create Mentorship Event for Victory Mukhuwana with Jacqueline Becker</t>
  </si>
  <si>
    <t>To help facilitate my personal and professional growth by providing guidance, support, and knowledge transfer from experienced mentors to mentees.</t>
  </si>
  <si>
    <t>Covani Govender</t>
  </si>
  <si>
    <t>FNB International SA (Nosikhumbuzo Mbelu Nxumalo)</t>
  </si>
  <si>
    <t>Create Mentorship Event for Covani Govender with Thirumala Pillay</t>
  </si>
  <si>
    <t>Thato Diko</t>
  </si>
  <si>
    <t>Create Mentorship Event for Thato Diko with Thabani Zungu</t>
  </si>
  <si>
    <t>Create Mentorship Event for Ookame Maruping with Thabani Zungu</t>
  </si>
  <si>
    <t>Guidance through my professional development by offering insights, advice and support based on my own experiences.</t>
  </si>
  <si>
    <t>Tom Seleka</t>
  </si>
  <si>
    <t>Create Mentorship Event for Tom Seleka with Themba Mabizela</t>
  </si>
  <si>
    <t>Career growth.</t>
  </si>
  <si>
    <t>Sufyaan Beg</t>
  </si>
  <si>
    <t>FNB HSL (Adila Katz)</t>
  </si>
  <si>
    <t>21200004026 HSL Servicing and Collections Arrears Pre Legal</t>
  </si>
  <si>
    <t>Create Mentorship Event for Sufyaan Beg with Eddie Roodt</t>
  </si>
  <si>
    <t>Luyanda Koni</t>
  </si>
  <si>
    <t>Create Mentorship Event for Luyanda Koni with Molai Mothejoa</t>
  </si>
  <si>
    <t>Caleb Qoyo</t>
  </si>
  <si>
    <t>RMBSA Broader Africa Country Risk (Gunther Kuschke)</t>
  </si>
  <si>
    <t>77800000EMS RMBSA Broader Africa Country Risk</t>
  </si>
  <si>
    <t>Create Mentorship Event for Caleb Qoyo with Molai Mothejoa</t>
  </si>
  <si>
    <t>Good day,
As an FNB employee who is employed as a Universal Advisor. As a recent graduate i possess a Bachelor of Commerce degree in Accounting and Finance , i would like mentorship in the finance sector as i am very passionate about the world of Finance.</t>
  </si>
  <si>
    <t>Obakeng Mokalapa</t>
  </si>
  <si>
    <t>FNB Points of Presence (Tebogo Mahanke)</t>
  </si>
  <si>
    <t>7710109800 FNB POP Branch Delivery Sunninghill</t>
  </si>
  <si>
    <t>Create Mentorship Event for Obakeng Mokalapa with Mongezi Mahlangu</t>
  </si>
  <si>
    <t>I have done my research on Helen and have heard very good testimonials on how she helps young professionals in Investment Banking navigate the new environment and helps and supports them reaching their full potential career-wise.
Being in Loan Capital Markets Solutions, I am sure Helen can advise me on the growth areas for a new Credit Analyst in the Retail and Consumer space, who is open to learning and see how different areas of the bank interact.</t>
  </si>
  <si>
    <t>Tebogo Moloanyana</t>
  </si>
  <si>
    <t>Create Mentorship Event for Tebogo Moloanyana with Helen Mkhize</t>
  </si>
  <si>
    <t>As a recent graduate with a diploma in Information Technology (Software Development), I am eager to transition from my current role in the cash floor to a career in IT, where I can build and refine my coding skills. To achieve this, I plan to strengthen my existing knowledge by focusing on core programming languages such as Python, JavaScript, and Java, while learning new technologies and frameworks. I will leverage online platforms like Codecademy, freeCodeCamp, and Coursera to take structured courses and work on interactive coding challenges through LeetCode and HackerRank. Hands-on practice will be crucial, so I plan to build personal projects, contribute to open-source initiatives, and create a portfolio on GitHub to showcase my work. Additionally, I will network with professionals in the IT field via LinkedIn and attend meetups or webinars to stay informed about industry trends and best practices. I will also look for entry-level positions, internships, or even internal opportunities within my current company to gain practical experience. Through continuous learning, persistence, and the completion of real-world projects, I am confident that I will successfully transition into the IT field and begin building the experience necessary for a long-term career in software development.</t>
  </si>
  <si>
    <t>Nkosinathi Nwamba</t>
  </si>
  <si>
    <t>FNB Commercial Cash Centre Pretoria (Elias Thamaga)</t>
  </si>
  <si>
    <t>Create Mentorship Event for Nkosinathi Nwamba with Jermaine Varnicker</t>
  </si>
  <si>
    <t>I am a motivated individual eager to expand my technical skills and deepen my understanding of software development life cycles (SDLC) and solutions architecture processes. My goal is to gain insight into how these frameworks drive innovation and deliver value. I am excited about the opportunity to collaborate, learn from experienced professionals, and contribute to meaningful projects as part of this journey</t>
  </si>
  <si>
    <t>Itumeleng Mothapo</t>
  </si>
  <si>
    <t>FNB Chief Risk Office Interactions and Risk Analytics (Kholofelo Napo)</t>
  </si>
  <si>
    <t>Create Mentorship Event for Itumeleng Mothapo with Grant Pentelow</t>
  </si>
  <si>
    <t>Career guidance
Manage a career transition
Relationship building and networking</t>
  </si>
  <si>
    <t>Phelela Majikijela</t>
  </si>
  <si>
    <t>FNB Private Banking and Advisory (Deolin Govender)</t>
  </si>
  <si>
    <t>Private Banking Analyst Private Clients</t>
  </si>
  <si>
    <t>Create Mentorship Event for Phelela Majikijela with Deolin Govender</t>
  </si>
  <si>
    <t>Rebotile Tisani</t>
  </si>
  <si>
    <t>FNB Commercial Forex Strategy (Scholtz Molipa)</t>
  </si>
  <si>
    <t>81800007681 FNB Commercial Forex Advisory Desk</t>
  </si>
  <si>
    <t>Client Service Consultant</t>
  </si>
  <si>
    <t>Create Mentorship Event for Rebotile Tisani with Reginald Mothubakgang</t>
  </si>
  <si>
    <t>Yama Mathobo</t>
  </si>
  <si>
    <t>RMBSA TTS Client Group Sales Enablement (Alcinda Moezelaar)</t>
  </si>
  <si>
    <t>TTS Client Intelligence Portfolio Analyst</t>
  </si>
  <si>
    <t>Create Mentorship Event for Yama Mathobo with Zukisani Dyasi</t>
  </si>
  <si>
    <t>Create Mentorship Event for Tebogo Moloanyana with Steven Harris</t>
  </si>
  <si>
    <t>Good Day Tebatso
I hope this message finds you well. I am reaching out to seek your guidance and support as I transition into a career in software development. I believe that your mentorship would be invaluable during this pivotal time in my career.
As I embark on this journey, I am eager to learn not only the technical skills required but also the best practices, industry insights, and strategies that can help me navigate this field effectively. I am particularly interested in [specific areas of software development, such as web development, mobile applications, etc.], and I would greatly appreciate your advice on resources, learning paths, or any projects you think would be beneficial for me.
I am committed to putting in the effort and would be grateful for any time you could spare for discussions or guidance. Thank you for considering my request. Your mentorship could make a significant difference in my professional growth.
Looking forward to hearing from you.
Best regards,
Sello Precias Masango</t>
  </si>
  <si>
    <t>Sello Masango</t>
  </si>
  <si>
    <t>CDO Infrastructure and Security Services (Callista Adams)</t>
  </si>
  <si>
    <t>IT Help Desk Technician</t>
  </si>
  <si>
    <t>Create Mentorship Event for Sello Masango with Tebatso Mokgokolo</t>
  </si>
  <si>
    <t>To foster personal and professional growth by creating meaningful connections between experienced mentors and myself, providing guidance, support and knowledge-sharing.</t>
  </si>
  <si>
    <t>Gibson Friar (Terminated)</t>
  </si>
  <si>
    <t>N/A (Ghana)</t>
  </si>
  <si>
    <t>Ghana</t>
  </si>
  <si>
    <t>Create Mentorship Event for Gibson Friar (Terminated) with Andre Olivier</t>
  </si>
  <si>
    <t>I am currently in Finance as part of the Finance partner team for the corporate and investment department. I want to learn move about Corporate and investment finance and well as treasury so i can give me best to the team. I aim is to be a treasury accountant. I hope you will take me as a mantee to coach me. i am willing and readily available to avail myself to be mentored.</t>
  </si>
  <si>
    <t>Michael Mac-Kittah (Terminated)</t>
  </si>
  <si>
    <t>Create Mentorship Event for Michael Mac-Kittah (Terminated) with Helen Mkhize</t>
  </si>
  <si>
    <t>Strategic gain against data and business development.</t>
  </si>
  <si>
    <t>Lillian Kalenzi</t>
  </si>
  <si>
    <t>Create Mentorship Event for Lillian Kalenzi with Duane Ryan</t>
  </si>
  <si>
    <t>Phepsile Dlamini (Terminated)</t>
  </si>
  <si>
    <t>Adeel Amod</t>
  </si>
  <si>
    <t>FNB Commercial Property Finance (Lourens Swanepoel)</t>
  </si>
  <si>
    <t>33900009242 FNB Commercial Leveraged Finance Inland</t>
  </si>
  <si>
    <t>Create Mentorship Event for Adeel Amod with Phepsile Dlamini (Terminated)</t>
  </si>
  <si>
    <t>Axolile Majola</t>
  </si>
  <si>
    <t>Create Mentorship Event for Axolile Majola with Willem Van Der Westhuizen</t>
  </si>
  <si>
    <t>I am requesting mentorship to advance my career in cybersecurity. I have acquired skills in this field that have increased my knowledge, and I believe a mentor can help me further develop my expertise and career trajectory.</t>
  </si>
  <si>
    <t>Siphiwe Sitwayi</t>
  </si>
  <si>
    <t>CDO Infrastructure and Security Services (Denis Nhatumbo)</t>
  </si>
  <si>
    <t>Create Mentorship Event for Siphiwe Sitwayi with Caryn Bell</t>
  </si>
  <si>
    <t>My purpose is to become a dialer administrator and I already posses a NQF 5 and 6 in Business Analysis, but with your skills and experience I hope to become one or just know what the role is about</t>
  </si>
  <si>
    <t>Giovanno Sheppard</t>
  </si>
  <si>
    <t>DirectAxis (Faizel Hoosain)</t>
  </si>
  <si>
    <t>Application Support Analyst</t>
  </si>
  <si>
    <t>Create Mentorship Event for Giovanno Sheppard with Afreen Kumandan</t>
  </si>
  <si>
    <t>To set up structure on how we're going to go about with our sessions.</t>
  </si>
  <si>
    <t>Colin Makwe</t>
  </si>
  <si>
    <t>Create Mentorship Event for Colin Makwe with Bjorn Coetzee</t>
  </si>
  <si>
    <t>To better understand my work path</t>
  </si>
  <si>
    <t>Alex Mulenga</t>
  </si>
  <si>
    <t>FNB Zambia Retail Segment (Brenda Mukuka Musonda)</t>
  </si>
  <si>
    <t>55300005792 FNB Zambia Luanshya Branch</t>
  </si>
  <si>
    <t>Create Mentorship Event for Alex Mulenga with Mwamba Musambo</t>
  </si>
  <si>
    <t>Good day Athena,
Trust you are well.
Please kindly consider me for the opportunity of being your mentee. I am humbly requesting your mentorship as I have witnessed you thrive, be very impactful and knowledgeable about Data Management topics.
While I already delivery in one of the Data Management knowledge areas, I would like to ask for your mentorship in order to help me with guided implementation and delivery of my work, especially for optimum stakeholder enablement, all of which will contribute to the development of my knowledge.
With this opportunity I intend to utilize my professional skills, soft skills, and gain more technical and leadership skills in order to be proactive and excel on requirements. By integrating my passion for Data Management with the learnings I will gain from you and additional training opportunities to further advance my skills, I intend to grow in my career and ultimately add measurable and valuable contributions to the business.
I have recently completed the DMF training and will be writing towards my certification soon. I have plans to further specialize in Data Governance and possibly Data Quality, while also expanding my knowledge across the Data Management knowledge areas.
Kind regards,
Ntokozo</t>
  </si>
  <si>
    <t>Ntokozo Mdluli</t>
  </si>
  <si>
    <t>FNB Commercial Analytics Insights Data (Zama Ntuli Zama)</t>
  </si>
  <si>
    <t>Create Mentorship Event for Ntokozo Mdluli with Athena Botha</t>
  </si>
  <si>
    <t>To gain support for my personal and professional development. Through guidance, sharing experiences, and offering.</t>
  </si>
  <si>
    <t>Ramafa Makhafola</t>
  </si>
  <si>
    <t>Create Mentorship Event for Ramafa Makhafola with Kgotso Buys</t>
  </si>
  <si>
    <t>To guide and provide exposure to the design culture and methods practiced/used within the FNB design space.</t>
  </si>
  <si>
    <t>Communication and Public Relations</t>
  </si>
  <si>
    <t>Jason Meyer</t>
  </si>
  <si>
    <t>FNB Personal Segment Advisory and Suites (Ayanda Mlangeni)</t>
  </si>
  <si>
    <t>Create Mentorship Event for Jason Meyer with Nolu Hlwatika</t>
  </si>
  <si>
    <t>Data Science Mentorship</t>
  </si>
  <si>
    <t>Ontlametse Activia Selobile</t>
  </si>
  <si>
    <t>FNB Finance and Support Executive Support (Rumana Mangera)</t>
  </si>
  <si>
    <t>39400004417 FNB Information Governance and Architecture</t>
  </si>
  <si>
    <t>Create Mentorship Event for Ontlametse Activia Selobile with Kholofelo Napo</t>
  </si>
  <si>
    <t>To grow within Data Analytical space</t>
  </si>
  <si>
    <t>Martha Mafisa</t>
  </si>
  <si>
    <t>Create Mentorship Event for Martha Mafisa with Patrick Motshweni</t>
  </si>
  <si>
    <t>Good day Michelle.
I hope this message finds you well. My name is Kgomotso Makhananesa, and I am currently working in the sales department for FNB CCXC. I have graduated with a Diploma in Public Relations and Communications and have developed a strong interest in transitioning into the marketing and communication space.
I believe that under your mentorship, I could gain invaluable knowledge and skills that would help me make a successful transition into marketing and communication space. 
I am committed to learning and am eager to contribute to any projects or initiatives you may be working on. I am confident that with your guidance, I can develop the necessary skills to excel in this field.
I hope to hear from you.
regards,
K</t>
  </si>
  <si>
    <t>Kgomotso Makhananesa</t>
  </si>
  <si>
    <t>FNB Central Finance (Nicolene Peens (Inherited))</t>
  </si>
  <si>
    <t>39400005848 FNB Central Finance PMO</t>
  </si>
  <si>
    <t>Communication Assistant</t>
  </si>
  <si>
    <t>Create Mentorship Event for Kgomotso Makhananesa with Michelle Ashen</t>
  </si>
  <si>
    <t>Broaden organisational knowledge
Career guidance
Develop leadership skills
Manage a career transition
Relationship building and networking</t>
  </si>
  <si>
    <t>Create Mentorship Event for Sunitha Govender with Vukile Sikhakhane</t>
  </si>
  <si>
    <t>Deal with diversity and inclusion challenges
Develop leadership skills
Learn how to navigate the system</t>
  </si>
  <si>
    <t>Christopher Thabane</t>
  </si>
  <si>
    <t>FR Hyphen Technology (Vishal Ramnath)</t>
  </si>
  <si>
    <t>IT Test Manager</t>
  </si>
  <si>
    <t>Create Mentorship Event for Christopher Thabane with Maleseli Lorraine Chefa</t>
  </si>
  <si>
    <t>Assist with upskilling from a system analyst to a system analyst lead</t>
  </si>
  <si>
    <t>Create Mentorship Event for Kaahsifa Ahmed with Shetal Bhoola</t>
  </si>
  <si>
    <t>To equip myself with necessary skills in the space of Machine Learning. This will enable me to build ML models and assist business going forward.</t>
  </si>
  <si>
    <t>Create Mentorship Event for Siyabonga Mthethwa with Humbulani Colbert Nekhumbe</t>
  </si>
  <si>
    <t>To grow within Analytical and information management space</t>
  </si>
  <si>
    <t>Dakalo Mulaudzi</t>
  </si>
  <si>
    <t>RMBSA TTS LRC Operational Risk Management (Vedanti Applesamy)</t>
  </si>
  <si>
    <t>77800000CRO RMBSA TTS Operational Risk</t>
  </si>
  <si>
    <t>Operational Risk Analyst</t>
  </si>
  <si>
    <t>Create Mentorship Event for Dakalo Mulaudzi with Kgotso Buys</t>
  </si>
  <si>
    <t>I hope you are doing well. I am reaching out to express my interest in learning from your expertise in Business Analysis. I have recently completed an NQF Level 5 Business Analysis certification and have been actively job shadowing with FNB Commercial TXP for the past two years, gaining experience in requirement gathering, stakeholder engagement, and process improvement.
As I work towards transitioning into a Business Analyst role, I would greatly appreciate the opportunity to learn from your insights and guidance. Your expertise in [mention any specific skills or achievements of the mentor] is inspiring, and I believe your mentorship would be invaluable in helping me refine my skills, navigate challenges, and grow in this field.
I understand your time is valuable, and I would be grateful for the chance to connect at your convenience, whether through a brief call, a coffee chat, or periodic check-ins. Please let me know if you would be open to this, and I would be happy to accommodate your schedule.
Thank you for your time and consideration—I look forward to the possibility of learning from you.
Best regards,</t>
  </si>
  <si>
    <t>Lebogang Serache</t>
  </si>
  <si>
    <t>Close Mentorship Event for Lebogang Serache with Thandiwe Mkalipi
Create Mentorship Event for Lebogang Serache with Thandiwe Mkalipi</t>
  </si>
  <si>
    <t>Mentee Withdrawal - Difficulty Connecting</t>
  </si>
  <si>
    <t>2x Years in Leadership. Guidance with challenges experiencing</t>
  </si>
  <si>
    <t>Racquel Nelson</t>
  </si>
  <si>
    <t>Create Mentorship Event for Racquel Nelson with Sue-Lynn Sheldon</t>
  </si>
  <si>
    <t>personal growth and development, i want to improve my coding skills and learn best practices from someone with more experience and expand my knowledge in specific areas.
I want to also improve my communication skills and learn how to effectively collaborate with team members above all, I'm motivated to learn and grow as a developer.</t>
  </si>
  <si>
    <t>Andiswa Tini</t>
  </si>
  <si>
    <t>FNB ConnectMe IT (Verushka Naidoo)</t>
  </si>
  <si>
    <t>84900009691 FNB ConnectMe IT Catalysts</t>
  </si>
  <si>
    <t>JAVA Developer</t>
  </si>
  <si>
    <t>Create Mentorship Event for Andiswa Tini with Barbara Engle</t>
  </si>
  <si>
    <t>developing skills and knowledge in risk and compliance within banking sector</t>
  </si>
  <si>
    <t>Jo-Ann Nels</t>
  </si>
  <si>
    <t>Create Mentorship Event for Jo-Ann Nels with Yamillah Katjirua</t>
  </si>
  <si>
    <t>I hope you are doing well. I am reaching out to express my interest in learning from your expertise in Business Analysis. I have recently completed an NQF Level 5 Business Analysis certification and have been actively job shadowing with FNB Commercial TXP for the past two years, gaining experience in requirement gathering, stakeholder engagement, and process improvement.
As I work towards transitioning into a Business Analyst role, I would greatly appreciate the opportunity to learn from your insights and guidance. Your expertise in is inspiring, and I believe your mentorship would be invaluable in helping me refine my skills, navigate challenges, and grow in this field.
I understand your time is valuable, and I would be grateful for the chance to connect at your convenience, whether through a brief call, a coffee chat, or periodic check-ins. Please let me know if you would be open to this, and I would be happy to accommodate your schedule.
Thank you for your time and consideration—I look forward to the possibility of learning from you.
Best regards,</t>
  </si>
  <si>
    <t>Close Mentorship Event for Lebogang Serache with Zanele Seshoka
Create Mentorship Event for Lebogang Serache with Zanele Seshoka</t>
  </si>
  <si>
    <t>I am deeply passionate about building a successful career in Banking and I am eager to learn from experienced professionals who can guide me in navigating the industry. A mentor's insights, expertise and advice would be invaluable in helping me develop the technical skills, strategic mindset and leadership qualities required to excel. I am committed to continuous growth and believe that mentorship will accelerate my ability to make meaningful contributions, overcome challenges and achieve my long-term career goals in Banking.
Thank you</t>
  </si>
  <si>
    <t>Katlego Bogopa</t>
  </si>
  <si>
    <t>Create Mentorship Event for Katlego Bogopa with Caroline Kepaletswe</t>
  </si>
  <si>
    <t>Close Mentorship Event for Lebogang Serache with Tshepho Rasemphe
Create Mentorship Event for Lebogang Serache with Tshepho Rasemphe</t>
  </si>
  <si>
    <t>Dear Aileen , 
I hope this message finds you well.
My name is Marcelo Coutinho , and I am currently working as a Desktop technician at FNB . I have been looking for a mentor to help me grow my IT and security Career in FNB .
I am excited to expand my knowledge and skills in It and Security at FNB, and I believe that your guidance and mentorship would be invaluable in helping me achieve my professional goals. I am eager to learn from your experience and insights, and I am committed to putting in the effort required to grow and succeed in this area.
I would be honored if you could consider mentoring me as I navigate this path. Your mentorship would greatly contribute to my development and help me make meaningful contributions to FNB and also my IT Career. 
Thank you for considering my request. I am looking forward to the possibility of learning from you.
Best regards,
Marcelo Coutinho</t>
  </si>
  <si>
    <t>Marcelo Coutinho</t>
  </si>
  <si>
    <t>CDO Infrastructure and Security Services (Manny Stathakis)</t>
  </si>
  <si>
    <t>Create Mentorship Event for Marcelo Coutinho with Aileen Spanier-Marson</t>
  </si>
  <si>
    <t>The purpose of this mentorship is to map out a career path, gain insights into various roles, apply and prepare for potential roles which may become available.</t>
  </si>
  <si>
    <t>Janine Hartley</t>
  </si>
  <si>
    <t>FNB Private Banking and Advisory (Maheshwarie Naidu)</t>
  </si>
  <si>
    <t>34100003238 PB&amp;A Admin and System Access</t>
  </si>
  <si>
    <t>Create Mentorship Event for Janine Hartley with Nicole Dooling</t>
  </si>
  <si>
    <t>I am seeking a mentor to advise me on my career development. My long-term ambition is to take on a leadership role within this field, and I believe having a mentor will provide valuable insights on the skills and competencies necessary to achieve this goal. Additionally, I am eager to learn from a mentor's experience, gain perspective on navigating challenges. Another key reason for my interest in mentorship is to foster meaningful professional relationships and expand my network, which I believe will contribute to my continued success and development within the industry.</t>
  </si>
  <si>
    <t>Lee-Roy Yonga</t>
  </si>
  <si>
    <t>FNB Chief Risk Office Interactions and Risk Analytics (Chantelle Pretorius (Inherited))</t>
  </si>
  <si>
    <t>39400003189 FNB Chief Risk Office Screening Services EXCO</t>
  </si>
  <si>
    <t>Create Mentorship Event for Lee-Roy Yonga with Jones Mabapa</t>
  </si>
  <si>
    <t>With a BA Hons in Psychology and a major in Organizational Psychology, coupled with my experience in FNB Sales (Retail &amp; Commercial), I am eager to leverage my background to contribute to and learn from your esteemed team.
My academic and professional journey (been with the bank since 2014) have afforded me an opportunity to develop a deep understanding of human behavior, motivation, and organizational dynamics. My studies in psychology have equipped me with the skills to analyze and understand the complexities of human interactions within a workplace.
Although I am currently in a Sales role, my passion lies in the field of Human Capital. I am particularly interested in how organizations can optimize their workforce, foster a positive work culture, and implement effective talent management strategies.
I believe that my background in psychology &amp; contact center experience could provide the organization with a unique perspective that can contribute to innovative solutions in human capital management.</t>
  </si>
  <si>
    <t>Thandeka Makhanya</t>
  </si>
  <si>
    <t>FNB Business CXC (Conrad Julius)</t>
  </si>
  <si>
    <t>34300006546 FNB Business CXC New to Bank Sales</t>
  </si>
  <si>
    <t>Create Mentorship Event for Thandeka Makhanya with Veronica Ntshalintshali</t>
  </si>
  <si>
    <t>My name is Tebogo, and I am currently working as an external sales and service consultant. I hold a postgraduate diploma in Management Information Systems, specialising in Business and Systems Analysis, along with a Bachelor of Business Administration.
As I look to advance my career, I am seeking to deepen my knowledge and understanding of business analysis. I am particularly interested in learning about best practices, required skills, and the evolving landscape of the field. Your expertise and experience in this area have inspired me, and I believe that your guidance would be incredibly valuable as I navigate this transition.
I would be grateful for the opportunity to connect with you for a brief chat or meeting, where I can gain insights into your career journey and gather advice on how I might enhance my skills in business analysis.</t>
  </si>
  <si>
    <t>TEBOGO KOMANE</t>
  </si>
  <si>
    <t>FNB Points of Presence (Pinky Duiker)</t>
  </si>
  <si>
    <t>7710305600 FNB PoP Branch Delivery External Mobile Team</t>
  </si>
  <si>
    <t>External Sales and Service Advisor OBR</t>
  </si>
  <si>
    <t>Create Mentorship Event for TEBOGO KOMANE with Zanele Seshoka</t>
  </si>
  <si>
    <t>My name is Tebogo, and I am currently working as an external sales and service consultant. I hold a postgraduate diploma in Management Information Systems, specializing in Business and Systems Analysis, along with a Bachelor of Business Administration.
As I look to advance my career, I am seeking to deepen my knowledge and understanding of business analysis. I am particularly interested in learning about best practices, required skills, and the evolving landscape of the field. Your expertise and experience in this area have inspired me, and I believe that your guidance would be incredibly valuable as I navigate this transition.
I would be grateful for the opportunity to connect with you for a brief chat or meeting, where I can gain insights into your career journey and gather advice on how I might enhance my skills in business analysis.</t>
  </si>
  <si>
    <t>Create Mentorship Event for TEBOGO KOMANE with Cuthbert (Sedutla) Sekgotodi</t>
  </si>
  <si>
    <t>To get support with professional development through guidance, sharing experiences, and offering.</t>
  </si>
  <si>
    <t>Create Mentorship Event for Ramafa Makhafola with Jurgens Van Rooyen</t>
  </si>
  <si>
    <t>To build my skills, career guidance, Relationship building and networking</t>
  </si>
  <si>
    <t>Collen Skosana</t>
  </si>
  <si>
    <t>FR Life Assurance (Ramarara Maponyane)</t>
  </si>
  <si>
    <t>61500010283 FR Life Ops Claims</t>
  </si>
  <si>
    <t>Claims Administrator</t>
  </si>
  <si>
    <t>Create Mentorship Event for Collen Skosana with Cuthbert (Sedutla) Sekgotodi</t>
  </si>
  <si>
    <t>Key objectives :
Better integration into a team/business unit
Bridging the gap for graduates and first-time joiners to the workplace
Broaden organisational knowledge
Career guidance
Deal with diversity and inclusion challenges
Develop leadership skills
Disruptive technologies
Innovation
Learn how to navigate the system
Manage a career transition
Relationship building and networking</t>
  </si>
  <si>
    <t>Shonise Naidoo</t>
  </si>
  <si>
    <t>Create Mentorship Event for Shonise Naidoo with Mervyn Moodley</t>
  </si>
  <si>
    <t>Career mentoring</t>
  </si>
  <si>
    <t>Nevashin Govindasamy</t>
  </si>
  <si>
    <t>FNB Commercial Core Juristic Platform (Gumani Sibeli)</t>
  </si>
  <si>
    <t>Systems and Support Analyst</t>
  </si>
  <si>
    <t>Create Mentorship Event for Nevashin Govindasamy with Christopher Pillay</t>
  </si>
  <si>
    <t>Provide leadership insights and challenge my thinking.</t>
  </si>
  <si>
    <t>Marius Lombard</t>
  </si>
  <si>
    <t>Create Mentorship Event for Marius Lombard with Sue-Lynn Sheldon</t>
  </si>
  <si>
    <t>Advance my technical skills.</t>
  </si>
  <si>
    <t>Nkulani Moshaba</t>
  </si>
  <si>
    <t>FNB International SA (Pretash Bhoola)</t>
  </si>
  <si>
    <t>Create Mentorship Event for Nkulani Moshaba with Siyabonga Mthethwa</t>
  </si>
  <si>
    <t>Create Mentorship Event for Rohan Schoeman with Himal Parbhoo</t>
  </si>
  <si>
    <t>Hi Mongezi,
I trust this is received well.
I am working towards growing within my career, I would like my next career step to become a financial manager. To learn good leadership skills and also need to know what I need to do to grow professionally. I would really appreciate it if you can set up time so we can chat to see how you can hold my hand in me achieving my objective.</t>
  </si>
  <si>
    <t>Create Mentorship Event for Thandeka Ntisana with Mongezi Mahlangu</t>
  </si>
  <si>
    <t>Hi Bertus,
I hope that you are well.
I am Chanelle van Heerden and I am currently a FirstJob Graduate working as a Transaction Manager for the Debt Trade and Solutions team in the Investment Banking Division.
I am applying for this mentorship program as I seek to leverage guidance, support, and industry insights to accelerate my personal and professional growth. As someone who aims to be a Credit Analyst at some point in my career. I hope this mentorship will help me gain valuable knowledge, develop strategic skills, and expand my network. I want to use this mentorship to learn from an experienced mentor who can offer tailored advice, challenge my perspectives, and empower me to achieve my goals. Ultimately, I believe this mentorship will equip me with the confidence, expertise, and resilience necessary to drive meaningful impact in my career.
I look forward to meeting you, because I believe you can help me in all stages of my career.</t>
  </si>
  <si>
    <t>Chanelle Van Heerden</t>
  </si>
  <si>
    <t>RMBSA IBD Operations Transaction Management (Samantha Yena)</t>
  </si>
  <si>
    <t>Create Mentorship Event for Chanelle Van Heerden with Bertus Huisman</t>
  </si>
  <si>
    <t>Aileen is a senior member of staff that is A-typical, her expertise in this aspect will aid me in exploring corporate and my ADHD. Her work in introducing LLMs and exploring the benefits or downsides of introducing them to FirstRands programmers.</t>
  </si>
  <si>
    <t>Caide Lander (Terminated)</t>
  </si>
  <si>
    <t>Create Mentorship Event for Caide Lander (Terminated) with Aileen Spanier-Marson</t>
  </si>
  <si>
    <t>Dear Nicholas Litton,
I hope this message finds you well. My name is Siyaan Davids, and I am currently working as a Client Desirability Analyst within the FNB CRO - Screening Services team. I recently completed my degree, and I am eager to further develop my skills and knowledge in the compliance field.
I am reaching out to you with the hope of establishing a mentorship relationship, as I believe that your guidance would be invaluable as I navigate the early stages of my career.
Specifically, I am interested in the following areas of mentoring:
Career Guidance: I would greatly appreciate your insights on how to effectively chart a career path within compliance, including potential opportunities for advancement and the skills that are most critical for success in this field.
Managing a Career Transition: As I transition from my academic background into a professional role, I would like to learn how to adapt my skills and knowledge to meet the demands of the industry. Your advice on overcoming challenges during this transition would be particularly beneficial.
Relationship Building and Networking: I understand the importance of building a strong professional network in compliance. I would like to learn from your experiences on how to cultivate meaningful relationships within the industry and leverage these connections for career growth.
I am committed to making the most of this mentorship opportunity and I am eager to learn from your expertise. Thank you for considering my request. I look forward to the possibility of working together and gaining your insights.
Kind regards,
Siyaan Davids</t>
  </si>
  <si>
    <t>Siyaan Davids</t>
  </si>
  <si>
    <t>FNB Chief Risk Office Client Desirability Risk Management (Prabashnee Naidoo)</t>
  </si>
  <si>
    <t>39400005345 FNB Chief Risk Office Screening Services AML</t>
  </si>
  <si>
    <t>Create Mentorship Event for Siyaan Davids with Nicholas Litton</t>
  </si>
  <si>
    <t>Exposure to data science field
Industry Insights
Practical Experience
Career Guidance
Networking</t>
  </si>
  <si>
    <t>Create Mentorship Event for Vuyiseka Myeki with Yudhvir Seetharam</t>
  </si>
  <si>
    <t>Sandile Dube</t>
  </si>
  <si>
    <t>Create Mentorship Event for Sandile Dube with Dima Thaba</t>
  </si>
  <si>
    <t>Leeresha was able to guide me and assist me with navigating the code bases</t>
  </si>
  <si>
    <t>Close Mentorship Event for Mpho Mosotho with Leeresha Dehaloo
Create Mentorship Event for Mpho Mosotho with Leeresha Dehaloo</t>
  </si>
  <si>
    <t>Assisted with expanding my domain knowledge in IAG. Worked with me to ensure all our Use Cases were up to UML standards.</t>
  </si>
  <si>
    <t>Close Mentorship Event for Leeresha Dehaloo with Nabeel Makkan
Create Mentorship Event for Leeresha Dehaloo with Nabeel Makkan</t>
  </si>
  <si>
    <t>Linda Hlophe (Terminated)</t>
  </si>
  <si>
    <t>Career growth and guidance with aspirations of becoming a great senior.</t>
  </si>
  <si>
    <t>Handry Xulu</t>
  </si>
  <si>
    <t>FNB eBucks (Norma Tshoke)</t>
  </si>
  <si>
    <t>25600005663 FNB eBucks Business Decision Support</t>
  </si>
  <si>
    <t>Create Mentorship Event for Handry Xulu with Linda Hlophe (Terminated)</t>
  </si>
  <si>
    <t>I am seeking a mentor within my workplace to guide me in transitioning from my current role as a Learning Architect to a career in Digital Marketing and Brand Media. With my background in content creation, design, and audience engagement, I am eager to apply my skills in a more strategic and impactful way within the marketing space. A mentor would provide invaluable insights into industry best practices, brand positioning, and corporate marketing strategies while helping me navigate the shift within the financial sector. Their guidance would enhance my understanding of digital marketing trends, strengthen my strategic thinking, and ensure a seamless transition into a role where I can contribute meaningfully to the organization’s brand growth and digital presence.</t>
  </si>
  <si>
    <t>Sibusiso Mnisi</t>
  </si>
  <si>
    <t>FNB Loans (Angelina Semetsi)</t>
  </si>
  <si>
    <t>79100009676 FNB Consumer Loans Human Resources</t>
  </si>
  <si>
    <t>Create Mentorship Event for Sibusiso Mnisi with Kehiloe Makhele</t>
  </si>
  <si>
    <t>Kenneth Mnguni</t>
  </si>
  <si>
    <t>FNB ConnectMe (Rakatsa Pelo)</t>
  </si>
  <si>
    <t>84900008643 FNB ConnectMe 2nd Level Supp</t>
  </si>
  <si>
    <t>Create Mentorship Event for Kenneth Mnguni with Dido Wa Kalonji</t>
  </si>
  <si>
    <t>Enhancement of strategical-thinking and decision making
Improve problem solving from operational to long-term focus
CDAO strategical alignment with retail segments
Effective resource management</t>
  </si>
  <si>
    <t>Solomzi Klaas</t>
  </si>
  <si>
    <t>FNB HSL (Ariel Eliasov (Inherited))</t>
  </si>
  <si>
    <t>38500009748 HSL. Business Intelligence</t>
  </si>
  <si>
    <t>Create Mentorship Event for Solomzi Klaas with Tibane Lebese</t>
  </si>
  <si>
    <t>To grow my domain knowledge on the different systems, learn how to use applications and tools for the systems analyst role.</t>
  </si>
  <si>
    <t>Simishka Dasupan</t>
  </si>
  <si>
    <t>FNB Points of Presence (Agmat Kenny)</t>
  </si>
  <si>
    <t>7710664100 FNB POP IT Application Development SSD</t>
  </si>
  <si>
    <t>Close Mentorship Event for Simishka Dasupan with Leeresha Dehaloo
Create Mentorship Event for Simishka Dasupan with Leeresha Dehaloo</t>
  </si>
  <si>
    <t>Fernando Moreira [C]</t>
  </si>
  <si>
    <t>Mainframe Leadership development.</t>
  </si>
  <si>
    <t>Cameron Scott</t>
  </si>
  <si>
    <t>20700005533 CDO Infrastructure and Security Services Mainframe</t>
  </si>
  <si>
    <t>Create Mentorship Event for Cameron Scott with Fernando Moreira [C]</t>
  </si>
  <si>
    <t>I am seeking a mentorship opportunity to enhance my digital marketing skills and achieve my goal of becoming a digital marketer. Through this mentoring relationship, I aim to:
Develop leadership skills: I aspire to take on more leadership roles within digital marketing and improve my ability to lead and inspire marketing teams effectively.
Broaden organizational knowledge: I want to gain a deeper understanding of digital marketing practices across different functions and operations within my company to better align my work with the overall business objectives.
Relationship building and networking: I am keen to build strong professional relationships and expand my network within the digital marketing community to open up new opportunities for collaboration and career advancement.
Ultimately, the purpose of this mentorship is for me to become a digital marketer, where I can leverage my skills and experience to lead successful marketing campaigns and drive positive outcomes for my organization.
I am highly motivated and committed to making the most of this mentorship experience. I believe that with the guidance and support of a mentor, I can achieve my career aspirations and contribute more effectively to my organization.</t>
  </si>
  <si>
    <t>Kelin Van Der Westhuizen</t>
  </si>
  <si>
    <t>FNB Connect and Service Provider (Tebogo Sape)</t>
  </si>
  <si>
    <t>Create Mentorship Event for Kelin Van Der Westhuizen with Nolwazi Ndlovu</t>
  </si>
  <si>
    <t>I hope you're doing well. I’m reaching out to express my interest in learning from your expertise as I work toward transitioning into a Business Analyst role. 
With eight years of experience as a Client Service Specialist, I have developed a strong foundation in problem-solving, stakeholder management, and process improvement. Additionally, I completed a Business Analysis NQF Level 5 certification and gained hands-on experience through a two-year job shadowing program at Commercial TXP.
As I continue refining my skills and preparing for this transition, I would greatly appreciate the opportunity to learn from your insights—whether through guidance, advice, or occasional check-ins. Your experience in [specific area, e.g., business process modeling, stakeholder engagement] would be invaluable in helping me navigate this journey.
If you're open to it, I would love to set up a brief meeting at your convenience to discuss this further. Please let me know a time that works for you.
Thank you for your time and consideration—I truly appreciate it.
Best regards,
Lebogang Serache</t>
  </si>
  <si>
    <t>Create Mentorship Event for Lebogang Serache with Cuthbert (Sedutla) Sekgotodi</t>
  </si>
  <si>
    <t>Assisting with code bases and understanding code for Online banking back end, managing codebases/git.</t>
  </si>
  <si>
    <t>Close Mentorship Event for Nabeel Makkan with Leeresha Dehaloo
Create Mentorship Event for Nabeel Makkan with Leeresha Dehaloo</t>
  </si>
  <si>
    <t>My objection is to equip myself with road map to step into a career of my choice (No experience), not necessary to get a job in that field, but to get more insight in that field / get exposure and weigh possibilities.
In short to assist with career choice / education / networking amongst others.</t>
  </si>
  <si>
    <t>Edison Mabanna</t>
  </si>
  <si>
    <t>FirstRand Short Term Insurance (Jade Griffin)</t>
  </si>
  <si>
    <t>79900010208 ST Operations</t>
  </si>
  <si>
    <t>Underwriter</t>
  </si>
  <si>
    <t>Create Mentorship Event for Edison Mabanna with Richard Foaden</t>
  </si>
  <si>
    <t>Nabeel helped with explaining processes in online banking, showing me how to do use cases, guided me through projects, process mapping, API's and business functions. He also assisted in helping me understand what the roles and responsibilities of being a systems analyst are and how to manage projects. We were assigned in multiple projects together where he showed great collaboration and helped me gather even more domain knowledge.</t>
  </si>
  <si>
    <t>Create Mentorship Event for Simishka Dasupan with Nabeel Makkan</t>
  </si>
  <si>
    <t>Assistance in these projects through my first year being a Systems Analyst. Supported me through meetings, guidance, technical understanding, detailed documentation and presenting
Passthrough parameters
EBE Sales Entry Point Enablement
Account Reactivations
Zobb seamless reg
RMB POP Template change
OBE events into BDP</t>
  </si>
  <si>
    <t>Albertina Andowa</t>
  </si>
  <si>
    <t>FNB Namibia Limited (Andria Liebenberg)</t>
  </si>
  <si>
    <t>302031B9N510 FNB Namibia Coast and Central North Area Office Walvis Bay</t>
  </si>
  <si>
    <t>Create Mentorship Event for Albertina Andowa with Annastasia Williams</t>
  </si>
  <si>
    <t>My goal is to get advice and guidance to help me grow both personally and professionally. I want to learn new skills, overcome challenges, and find opportunities that match my ambitions. By working with a mentor, I hope to gain confidence, clarity, and stay motivated while also building connections and expanding my knowledge.</t>
  </si>
  <si>
    <t>Shantel Lutchman</t>
  </si>
  <si>
    <t>FNB Personal Segment Advisory and Suites (Janine Napier)</t>
  </si>
  <si>
    <t>97200011062 FNB PSAS Connect Chat</t>
  </si>
  <si>
    <t>Create Mentorship Event for Shantel Lutchman with Zaheer Ismail</t>
  </si>
  <si>
    <t>Guidance in my career.</t>
  </si>
  <si>
    <t>Pashlin Naidoo</t>
  </si>
  <si>
    <t>CDO Kernel iNterfaceX (Liam Brodie)</t>
  </si>
  <si>
    <t>Create Mentorship Event for Pashlin Naidoo with Thaveshni Govender</t>
  </si>
  <si>
    <t>Hey Lorna, trust you're well.
I am particularly drawn to you as I can see you're currently in the FNB International area, which is where I'm interested in venturing into that leadership space. I believe that your guidance through mentorship will help me develop essential skills and knowledge. Your mentorship will not only enhance my professional development, but it'll also provide me with a valuable network support system.
Regards
Zamo</t>
  </si>
  <si>
    <t>Create Mentorship Event for Zamokuhle Ngema with Lorna Reid</t>
  </si>
  <si>
    <t>Assisted me with P24/068 - Digital Wallet Registration - Removal of email OTP as verification method (S)</t>
  </si>
  <si>
    <t>Raphaahle Tema</t>
  </si>
  <si>
    <t>Create Mentorship Event for Raphaahle Tema with Leeresha Dehaloo</t>
  </si>
  <si>
    <t>Leadership mentorship, and career mentorship</t>
  </si>
  <si>
    <t>Thato Kgalamono</t>
  </si>
  <si>
    <t>RMBSA Client Group Technology OCEP (Tyrone Naidoo)</t>
  </si>
  <si>
    <t>77800000CTJ CTJ-Client Engagement Technology</t>
  </si>
  <si>
    <t>Create Mentorship Event for Thato Kgalamono with Kgotso Buys</t>
  </si>
  <si>
    <t>Simone Dalliah-Pillay</t>
  </si>
  <si>
    <t>FNB Finance Business Solutions (Glaicy Dhurgaduth)</t>
  </si>
  <si>
    <t>32100000214 FNB Finance Business Solutions Finance Operation Centre East Coast</t>
  </si>
  <si>
    <t>Team Leader Administration</t>
  </si>
  <si>
    <t>Create Mentorship Event for Simone Dalliah-Pillay with Stacy Jeannes</t>
  </si>
  <si>
    <t>Hi there Naeem, hope you're well. I saw that your title is the head of Procurement, and I want to be exactly where you are in future. I'm currently in procurement myself as a requester and I enjoy it and would love to learn the broader aspects of and what your role entails. I have my bachelor's degree in commerce and will soon start my Honours specializing in supply chain. Thank you for your consideration</t>
  </si>
  <si>
    <t>Alyssia Pillay</t>
  </si>
  <si>
    <t>FNB Personal and Private IT (Urshla Jackson)</t>
  </si>
  <si>
    <t>Create Mentorship Event for Alyssia Pillay with Naeem Motala</t>
  </si>
  <si>
    <t>Dear Naomi,
I hope this letter finds you in good health :).
I am Rivoningo Maphanga, I'm currently a Data Scientist at FNB. My journey so far has been fueled by a deep-seated passion for applying quantitative models to solve complex problems. I’ve spent years analyzing data, improving predictive models, and tackling financial challenges. Now, I find myself drawn to the dynamic world of global markets - a space that blends innovation, strategy, and the fast-paced nature of financial decision-making.
My specific interest lies in roles like Front Office Quantitative Analyst, Market Risk Analyst, Trading, and Structuring. I am fascinated by how mathematical models and advanced analytics can help anticipate market movements, optimize trading strategies, and manage risks effectively. This intersection of data science and finance excites me because it presents an opportunity to use my technical skills in new ways - shaping market strategies, enhancing risk mitigation tactics, and ultimately driving business success in the global financial landscape.
While my background has prepared me with a robust foundation in mathematics and data science, I’m aware that the shift to global markets requires a different set of insights and strategic thinking. The landscape is ever-evolving, and I am eager to understand the nuances of this field - be it the intricacies of trading dynamics, the application of advanced risk models, or the real-world pressures that shape financial markets. I am not just looking for advice on how to transition, but rather a mentor who can guide me through the learning curve, challenge my assumptions, and help me refine my skills to excel in this new space.
My desire for mentorship is driven by a strong commitment to grow, adapt, and push the boundaries of my own potential. I am seeking guidance from an industry expert who can provide me with the knowledge, practical insights, and career strategies to ensure a seamless and successful transition into global markets. Your experience and success in the industry are qualities that I deeply admire, and I am confident that with your mentorship, I can gain the clarity and direction I need to successfully make this shift in my career.
I have included a link to my LinkedIn profile below for your reference, where you can review my background and experiences in more detail:
http://linkedin.com/in/rivo-tervin-maphanga-phd-5a27a5193.
My contact details are as follows:
Cell Phone: 079 664 3355
Email Work: rivoningo.maphanga@fnb.co.za and Personal: rivoningo.maphanga@gmail.com
I would be highly honored if you can allow us sometime in your busy schedule to meet for a coffee chat. It would also be an honor if you can consider my request, and I will always be excited about the possibility of working together and learning from your expertise. Thank you so much.
Sincerely,
Rivoningo Maphanga</t>
  </si>
  <si>
    <t>Rivoningo Maphanga (Terminated)</t>
  </si>
  <si>
    <t>Create Mentorship Event for Rivoningo Maphanga (Terminated) with Naomi Sekgobela</t>
  </si>
  <si>
    <t>Get guidance on how to better fulfill my role as Mainframe Systems Architect.</t>
  </si>
  <si>
    <t>Rishi Thulsie</t>
  </si>
  <si>
    <t>Create Mentorship Event for Rishi Thulsie with Fernando Moreira [C]</t>
  </si>
  <si>
    <t>Dear Melanie,
I wanted to express my sincere gratitude for agreeing to mentor me. I am excited to learn from your experience and insights, and I am confident that your guidance will help me to achieve my goals.
I would like to pursue my career in Project Management. The main purpose of this mentorship is to achieve my short-term goals (1-2 years) and would like to focus on the following under your guidance.
1. Identify key skills required for desired role and focus on developing them.
2. Pursue relevant certifications or training to enhance my skills and knowledge.
3. Pairing with experienced project managers to understand project management skills and techniques to the real-time projects.
I will define an action plan and then meet on consistent basis. Thank you again for your time and support, I look forward to our first meeting.</t>
  </si>
  <si>
    <t>Sushma Gundala</t>
  </si>
  <si>
    <t>Create Mentorship Event for Sushma Gundala with Melanie Sacks</t>
  </si>
  <si>
    <t>Career development
Guidance on education and professional growth
Building confidence and decision-making skills
Networking and Industry insight
Accountability and support</t>
  </si>
  <si>
    <t>Fikile Zwane</t>
  </si>
  <si>
    <t>FNB Commercial Sales Gauteng North (Ash Naidoo)</t>
  </si>
  <si>
    <t>34200006523 FNB Commercial Sales Gauteng Sandton 10 to 60M A</t>
  </si>
  <si>
    <t>Create Mentorship Event for Fikile Zwane with Thirumala Pillay</t>
  </si>
  <si>
    <t>To get guidance from Fernando w.r.t Technical skills, Management Skills, Life Skills and career guidance .</t>
  </si>
  <si>
    <t>Geveza Nhlapo</t>
  </si>
  <si>
    <t>20700005355 CDO Infrastructure and Security Services Mainframe Storage</t>
  </si>
  <si>
    <t>Create Mentorship Event for Geveza Nhlapo with Fernando Moreira [C]</t>
  </si>
  <si>
    <t>To have self-confidence and more confident in myself and my work.</t>
  </si>
  <si>
    <t>Mantsho Msibi</t>
  </si>
  <si>
    <t>RMBSA Central Operations Quality Assurance (Portia Orgill)</t>
  </si>
  <si>
    <t>77800000QLA RMBSA Quality Assurance</t>
  </si>
  <si>
    <t>Create Mentorship Event for Mantsho Msibi with Mumbi Odame</t>
  </si>
  <si>
    <t>Help with relationship building and networking, learn how to navigate the system. Deal with diversity and inclusion challenges.</t>
  </si>
  <si>
    <t>Fahmeeda Darsot</t>
  </si>
  <si>
    <t>Create Mentorship Event for Fahmeeda Darsot with Fernando Moreira [C]</t>
  </si>
  <si>
    <t>I want to learn to build models.</t>
  </si>
  <si>
    <t>Kabelo Sekgala</t>
  </si>
  <si>
    <t>FNB Wealth and Investments (Nkgopoleng Senkoto)</t>
  </si>
  <si>
    <t>46800004262 FNB WI Data and Analytics</t>
  </si>
  <si>
    <t>Create Mentorship Event for Kabelo Sekgala with Itumeleng Kgoare</t>
  </si>
  <si>
    <t>I joined the bank about five months ago and am currently in the process of familiarising myself with the organisational structure and how things are done. As part of my growth, I’m also actively seeking career guidance and opportunities to develop my leadership skills.
One area I’ve been finding particularly challenging is relationship-building and networking, and it’s something I’d really like to grow more confident in</t>
  </si>
  <si>
    <t>Create Mentorship Event for Gugu Sogobile with Malebo Phahlamohlaka</t>
  </si>
  <si>
    <t>Career growth and progression into a risk role</t>
  </si>
  <si>
    <t>Rodney Mputla</t>
  </si>
  <si>
    <t>FNB Retail COO (Thalente Teresia Mushayi)</t>
  </si>
  <si>
    <t>Create Mentorship Event for Rodney Mputla with Raymond Tyler</t>
  </si>
  <si>
    <t>Create Mentorship Event for Muhammad Seedat with Ashley Saffy</t>
  </si>
  <si>
    <t>Hi Muhammad,
I hope this message finds you well. My name is Nompumelelo Manzini, and I am currently working as a Systems Analyst in Retail Collections. I am passionate about advancing my career and aspire to become a Business Architect.
I would greatly appreciate your guidance and mentorship to help me achieve this goal. Your expertise and experience in the field would be invaluable to me as I navigate this career path.
Thank you for considering my request. I look forward to the opportunity to learn from you.
http://www.linkedin.com/in/nompumelelo-manzini-6292b821
Best regards,
Nompumelelo</t>
  </si>
  <si>
    <t>Nompumelelo Manzini</t>
  </si>
  <si>
    <t>FNB Personal and Private IT Collections IT (Bongani Msibi)</t>
  </si>
  <si>
    <t>Create Mentorship Event for Nompumelelo Manzini with Muhammad Seedat</t>
  </si>
  <si>
    <t>To assist with transitioning into leadership and help with career development</t>
  </si>
  <si>
    <t>Juhi Sewpersadh</t>
  </si>
  <si>
    <t>FNB Private Banking and Advisory (Keshir Gokul)</t>
  </si>
  <si>
    <t>34100003746 PB&amp;A Fairlands South Affluent</t>
  </si>
  <si>
    <t>Create Mentorship Event for Juhi Sewpersadh with Tejal Daya</t>
  </si>
  <si>
    <t>Develop leadership skills
Better integration into a team/business unit
Relationship building and networking</t>
  </si>
  <si>
    <t>Create Mentorship Event for Brian Sithole with Mapule Mahlangu</t>
  </si>
  <si>
    <t>Hi Lorna
I currently work as a Partner Growth Manager in the FNB eBucks space. I'm considering changing roles at the moment and would appreciate some guidance in navigating this. Having a background in Psychology and having worked in the startup environment and at an agency before, I'm looking for something that is more orientated around people, communication and processes as opposed my role at the moment which is more orientated towards revenue growth, negotiation and analytics. Your profile seems really interesting especially your work around change management.</t>
  </si>
  <si>
    <t>Caitlin Gow</t>
  </si>
  <si>
    <t>FNB eBucks (Bruce Gibbs)</t>
  </si>
  <si>
    <t>25600005686 FNB eBucks Relationship Management Retailers</t>
  </si>
  <si>
    <t>Partner Growth Manager</t>
  </si>
  <si>
    <t>Create Mentorship Event for Caitlin Gow with Lorna Reid</t>
  </si>
  <si>
    <t>I am a new technical manager. I need help with transitioning to my new role and also help with coaching and a soundboard.</t>
  </si>
  <si>
    <t>Yolanda Xaba</t>
  </si>
  <si>
    <t>CDO Kernel Workflow (Innocent Gumede)</t>
  </si>
  <si>
    <t>79000006375 CDO Kernel Workflow</t>
  </si>
  <si>
    <t>Create Mentorship Event for Yolanda Xaba with Shetal Bhoola</t>
  </si>
  <si>
    <t>Chuene Modikoa</t>
  </si>
  <si>
    <t>FNB Dynamic Decisioning (Hlompho Moloi)</t>
  </si>
  <si>
    <t>85500004896 FNB Private Integrated Advice</t>
  </si>
  <si>
    <t>Create Mentorship Event for Chuene Modikoa with Humbulani Colbert Nekhumbe</t>
  </si>
  <si>
    <t>SAS Technical Skills Coaching/Enhancement</t>
  </si>
  <si>
    <t>Keke Msiza</t>
  </si>
  <si>
    <t>Create Mentorship Event for Keke Msiza with Linda Hlophe (Terminated)</t>
  </si>
  <si>
    <t>Career development, technical skill growth and overall guidance.</t>
  </si>
  <si>
    <t>Amokelane Baloyi</t>
  </si>
  <si>
    <t>Create Mentorship Event for Amokelane Baloyi with Mohammed Abdul Hamid</t>
  </si>
  <si>
    <t>Someone once said, "Poor people ought to take rich people out to dinner and listen." (Networking) Perhaps not rich in terms of net worth, rich can be a broad spectrum.
That is what I would say is my purpose for this mentoring relationship. Having basically nonexistent professional education my best bet is hard work, continuous learning and charm.</t>
  </si>
  <si>
    <t>Siyabonga Gumede</t>
  </si>
  <si>
    <t>FNB Points of Presence (Themba Gova)</t>
  </si>
  <si>
    <t>7710523500 FNB POP Security Operations</t>
  </si>
  <si>
    <t>Create Mentorship Event for Siyabonga Gumede with Caryn Bell</t>
  </si>
  <si>
    <t>Career and Leadership mentorship</t>
  </si>
  <si>
    <t>Palesa Phosisi</t>
  </si>
  <si>
    <t>RMBSA IBD Technology Cluster 3 Testing Team (Heidi Coetzee)</t>
  </si>
  <si>
    <t>Create Mentorship Event for Palesa Phosisi with Heidi Coetzee</t>
  </si>
  <si>
    <t>To gain strategic insight and leadership guidance in the area of cash investments and broader treasury functions, helping me connect my analytical foundation (through the CFA and graduate program) with real-world decision-making at an executive level. I hope to learn how to think beyond the numbers—to understand how senior leaders balance liquidity, yield, risk, and stakeholder priorities in a banking context. Ultimately, I aim to develop into a well-rounded investment professional who can contribute meaningfully to both product innovation and client strategy.</t>
  </si>
  <si>
    <t>Blessing Mpafa</t>
  </si>
  <si>
    <t>Create Mentorship Event for Blessing Mpafa with Himal Parbhoo</t>
  </si>
  <si>
    <t>I have been awarded learnership for Occupational Certificate: Organizational Risk Practitioner. Therefore, I require guidance and assistance for me to be able to achieve the required objectives and acquire knowledge in the field of Risk Management and to be able to grow into my aspired future role.</t>
  </si>
  <si>
    <t>Create Mentorship Event for Nomvula Luphoko with Renusha Moodley</t>
  </si>
  <si>
    <t>The reason i would like to have a mentor is because i would like to advance my career in the finance space since i myself am a bachelor of commerce in accounting and finance degree holder. I am very eager to learn from others and also to apply the knowledge i have acquired from the qualification i possess.
Hope to hear from you soon.</t>
  </si>
  <si>
    <t>Create Mentorship Event for Obakeng Mokalapa with Mashudu Matsila</t>
  </si>
  <si>
    <t>I recently completed my Postgraduate Diploma in Risk Management, and I would like to broaden my knowledge and skills in risk management. My goal is to go into the risk management field and with the help and guidance of a mentor I believe I will gain a lot of insight.</t>
  </si>
  <si>
    <t>Nondumiso Gumbi</t>
  </si>
  <si>
    <t>FNB Private Banking and Advisory (Amanda Nematswerane)</t>
  </si>
  <si>
    <t>34100008793 PB&amp;A MyFAIS Solutions</t>
  </si>
  <si>
    <t>Create Mentorship Event for Nondumiso Gumbi with Rialivhuwa Mudau</t>
  </si>
  <si>
    <t>Dear Tammy,
I hope this message finds you well.
As previously discussed, I have a keen interest in pursuing a career in Compliance.
I am reaching out to you because I admire your extensive experience and expertise in the field. I believe that your guidance would be invaluable as I navigate the early stages of my career. I am eager to learn from your insights and experiences, and I am committed to developing my skills in this area.
Thank you for considering my request. I look forward to hearing from you.
Warm regards,
Siyaan</t>
  </si>
  <si>
    <t>Create Mentorship Event for Siyaan Davids with Thirumala Pillay</t>
  </si>
  <si>
    <t>Thuba Mthembu (Terminated)</t>
  </si>
  <si>
    <t>Good Evening, my name is Kamogelo Moleya, I'm currently in the cash space and would like to move to the Digital Marketing space. I am currently studying Advanced Digital Marketing.</t>
  </si>
  <si>
    <t>Kamogelo Moleya</t>
  </si>
  <si>
    <t>Create Mentorship Event for Kamogelo Moleya with Thuba Mthembu (Terminated)</t>
  </si>
  <si>
    <t>As a current Quality Assurance (QA) professional and a second year IT student. I am actively working toward a career transition into the broader field of Information Technology, with a specific interest in software development. I am passionate about developing and have already gained experience learning programming languages such as Python, Java, JavaScript.
I had the opportunity to participate in the 2025 FNB App Academy, which deepened my interest in development and gave me practical exposure to building applications.
To support my career transition and growth, I am seeking a mentor who can provide:
Career Guidance: Help me gain clarity on the best development paths within IT, understand industry expectations and advise on certifications and skills to focus on.
Career Transition Management: Assist me in navigating the shift from QA to development, including leveraging my existing skills, building a strong development portfolio and gaining confidence in new responsibilities.
Relationship Building and Networking: Guide me on how to build meaningful professional connections within the IT industry and connect with communities and opportunities that support my growth.
Having a mentor experienced in software development would be invaluable as I work towards building a successful career in IT.
I would have liked to attach my CV for your reference, but unfortunately, the attachment section does not provide an option to upload documents. If there's an alternative way I can share it with you such as via email or a shared link please let me know and I'd be happy to do so.</t>
  </si>
  <si>
    <t>Basetsana Sekaja</t>
  </si>
  <si>
    <t>FirstRand Short Term Insurance (Charlotte Sikhakhane)</t>
  </si>
  <si>
    <t>Create Mentorship Event for Basetsana Sekaja with Henry Lesar</t>
  </si>
  <si>
    <t>Mbali Ndhlovu</t>
  </si>
  <si>
    <t>FNB Commercial Chief Risk Office (Dhaamin Pietersen)</t>
  </si>
  <si>
    <t>Create Mentorship Event for Mbali Ndhlovu with Goitsemodimo Melesi</t>
  </si>
  <si>
    <t>Lezandre Adams</t>
  </si>
  <si>
    <t>FNB Connect and Service Provider (Elvira Moses)</t>
  </si>
  <si>
    <t>83100005572 FNB Connect Operations</t>
  </si>
  <si>
    <t>Create Mentorship Event for Lezandre Adams with Kavilan Rajagopaul Pillay</t>
  </si>
  <si>
    <t>As an aspiring accounting and finance professional seeking to start a career in the global market space, I believe that having your guidance could sharpen my analytical skills, broaden my perspective on market behavior, and help me grow into a well-rounded professional</t>
  </si>
  <si>
    <t>Georgette Akua Baah-Danquah</t>
  </si>
  <si>
    <t>Ghana Corporate and Investment Banking (Stephen Mordey)</t>
  </si>
  <si>
    <t>55400006504 Ghana Custody</t>
  </si>
  <si>
    <t>Corporate Actions Specialist</t>
  </si>
  <si>
    <t>Create Mentorship Event for Georgette Akua Baah-Danquah with Annanda Basson</t>
  </si>
  <si>
    <t>For Job development and analysis improvement</t>
  </si>
  <si>
    <t>Tanya Zackey</t>
  </si>
  <si>
    <t>Create Mentorship Event for Tanya Zackey with Heidi Coetzee</t>
  </si>
  <si>
    <t>To guide me by sharing knowledge, best practices, and problem-solving strategies. To also help foster growth, confidence, and technical excellence within the team.</t>
  </si>
  <si>
    <t>Xolani Dennis Zwane</t>
  </si>
  <si>
    <t>CDO Kernel ECM (Kaone Leshomo)</t>
  </si>
  <si>
    <t>78200000INE FRCC INE - India Expenses</t>
  </si>
  <si>
    <t>Learnership</t>
  </si>
  <si>
    <t>Specialised Development Programs (Graduate/ Trainee)</t>
  </si>
  <si>
    <t>Close Mentorship Event for Xolani Dennis Zwane with Kevin Smith
Create Mentorship Event for Xolani Dennis Zwane with Kevin Smith
Edit Mentorship Event for Xolani Dennis Zwane with Kevin Smith</t>
  </si>
  <si>
    <t>Matthew West</t>
  </si>
  <si>
    <t>Close Mentorship Event for Matthew West with Kevin Smith
Create Mentorship Event for Matthew West with Kevin Smith</t>
  </si>
  <si>
    <t>Dear Kavilan,
I trust you are well. My journey in the volunteer space since 2016 has been partnering with schools specifically Tembisa High School to assist with their challenges, I provide solutions and implementation of these solutions. There are times where the derived goals were a Program or a Project. During my volunteer journey, I have been supported by many Executives within the FirstRand group. Whilst I am truly grateful for the support that I received, I would like to gain the technical support and expertise to assist me further and I believe that with your guidance, this can be achieved.
Kind regards,
Logeshnie</t>
  </si>
  <si>
    <t>Lu Pillay</t>
  </si>
  <si>
    <t>FNB Private Banking &amp; Advisory (Wendy Mcfadden)</t>
  </si>
  <si>
    <t>34100003202 PB&amp;A Sandton Wealth</t>
  </si>
  <si>
    <t>Create Mentorship Event for Lu Pillay with Kavilan Rajagopaul Pillay</t>
  </si>
  <si>
    <t>Getting guidance about what system analyst does as a career
This for me to understand the functional requirements, technical requirement and business requirement
getting more knowledge about the business system operations.</t>
  </si>
  <si>
    <t>Nonhlanhla Mahlaba</t>
  </si>
  <si>
    <t>FNB Loans (Madelein Greyvensteyn)</t>
  </si>
  <si>
    <t>Create Mentorship Event for Nonhlanhla Mahlaba with Aobakwe Kgobokoe</t>
  </si>
  <si>
    <t>Dear Mr. Litton,
I hope this message finds you well. My name is Keamogetse Roberts, and I am an admitted attorney working as a Quality Assurer under Short Term Insurance. While I am grateful for the opportunity to contribute to the bank in this role, I am eager to grow and expand my career within the organization, leveraging both my legal background and my passion for the financial industry.
However, I must admit I feel a bit uncertain about the best path forward. Having practiced law briefly during my articles before transitioning to FNB, I'm still exploring how to align my qualifications with opportunities available in the banking sector. Currently, I am in the process of writing the RE5 examination and considering pursuing RE1, hoping these certifications will open new possibilities.
This is where I believe your guidance could make a profound difference. Your experience and insights in the industry would be invaluable as I navigate questions like:
How can I best leverage my legal training within FNB's ecosystem?
What skills or certifications (beyond RE1 and RE5) should I prioritize to advance in compliance, risk, or another relevant area?
Are there specific roles or projects you'd recommend I explore to bridge my legal experience with banking operations?
I would greatly appreciate the opportunity to learn from your journey and advice. Your mentorship could help me gain clarity, confidence and a strategic direction as I work toward contributing more meaningfully to the bank and my own professional growth.
Thank you for considering my request. I am happy to accommodate your schedule and would be thrilled to connect at your convenience. I am unable to attach my CV, the system is currently not giving me the option to attach any documents. I would also like to inform you that Talent Conncet have scheduled a meeting with me on Friday to assist me in reviewing both my talent card and CV.
Please let me know if there is any additional information I can provide.
Warm regards,
Keamogetse Roberts</t>
  </si>
  <si>
    <t>Keamogetse Roberts</t>
  </si>
  <si>
    <t>Create Mentorship Event for Keamogetse Roberts with Nicholas Litton</t>
  </si>
  <si>
    <t>Upskilling into Architecture</t>
  </si>
  <si>
    <t>Tariq Ismail</t>
  </si>
  <si>
    <t>FNB Dynamic Decisioning (Zunaid Le Roux)</t>
  </si>
  <si>
    <t>23900008011 FNB D2 Data Management</t>
  </si>
  <si>
    <t>Create Mentorship Event for Tariq Ismail with Andre Olivier</t>
  </si>
  <si>
    <t>Having successfully completed the Essentials to Compliance course through UCT GetSmarter, I am eager to deepen my practical understanding of compliance frameworks and regulatory environments through structured mentoring. While the course provided a solid theoretical foundation in key areas such as governance, risk management, regulatory compliance, and ethics, I recognize that real-world application is essential to becoming an effective compliance professional. Mentorship can help shape my career path by identifying areas of specialization, building professional networks, and preparing for certification or advancement opportunities in the compliance field .</t>
  </si>
  <si>
    <t>Roslyn Govender</t>
  </si>
  <si>
    <t>FNB Private Banking &amp; Advisory (Janet Dadswell)</t>
  </si>
  <si>
    <t>34100007662 PB&amp;A Midrand Wealth</t>
  </si>
  <si>
    <t>Create Mentorship Event for Roslyn Govender with Thirumala Pillay</t>
  </si>
  <si>
    <t>Workplace agreement for the Occupational Compliance certification course.</t>
  </si>
  <si>
    <t>Shane Damons</t>
  </si>
  <si>
    <t>FNB Cash Investments (Shaista Sarally)</t>
  </si>
  <si>
    <t>65100008535 FNB Cash Investments LRC</t>
  </si>
  <si>
    <t>Complaints Manager</t>
  </si>
  <si>
    <t>Create Mentorship Event for Shane Damons with Thirumala Pillay</t>
  </si>
  <si>
    <t>With a qualification in Communications Management and no prior work experience in the field, this mentorship offers a valuable opportunity to gain industry-specific exposure and strengthen my expertise in marketing and communications within the banking sector</t>
  </si>
  <si>
    <t>Ofentse Pitso</t>
  </si>
  <si>
    <t>FNB Commercial Forex Fulfilment (Mosa Dhlamini)</t>
  </si>
  <si>
    <t>81800008163 FNB Commercial Forex Drafts</t>
  </si>
  <si>
    <t>Create Mentorship Event for Ofentse Pitso with Liesel Claase</t>
  </si>
  <si>
    <t>I need guidance, support and help to develop legal skills and obtain advice on career growth and new opportunities.</t>
  </si>
  <si>
    <t>Caledon Hluyako</t>
  </si>
  <si>
    <t>FirstRand Short Term Insurance (Tshifhiwa Moseta)</t>
  </si>
  <si>
    <t>Create Mentorship Event for Caledon Hluyako with Yasmin Kadwa</t>
  </si>
  <si>
    <t>Viera Macheve</t>
  </si>
  <si>
    <t>HYPHEN (Cathy Davis)</t>
  </si>
  <si>
    <t>23300002342 FR Hyphen Payments Distribution Operations</t>
  </si>
  <si>
    <t>PDA Client Service Solutions Specialist</t>
  </si>
  <si>
    <t>Create Mentorship Event for Viera Macheve with Alcinda Moezelaar</t>
  </si>
  <si>
    <t>Leadership, IT Development, Strategy</t>
  </si>
  <si>
    <t>Nkosinathi Ngwenya</t>
  </si>
  <si>
    <t>FNB Points of Presence (Thato Rampyeshe)</t>
  </si>
  <si>
    <t>Create Mentorship Event for Nkosinathi Ngwenya with Candice Mesk</t>
  </si>
  <si>
    <t>Assisting me with developing my technical skills and understanding end to end processes</t>
  </si>
  <si>
    <t>Mbali Mdluli (Terminated)</t>
  </si>
  <si>
    <t>Create Mentorship Event for Mbali Mdluli (Terminated) with Humbulani Colbert Nekhumbe</t>
  </si>
  <si>
    <t>guidance with python coding</t>
  </si>
  <si>
    <t>Ndila Nkhumeleni</t>
  </si>
  <si>
    <t>FNB Commercial Analytics Insights Data (Miemie Bester)</t>
  </si>
  <si>
    <t>Create Mentorship Event for Ndila Nkhumeleni with Humbulani Colbert Nekhumbe</t>
  </si>
  <si>
    <t>Career guidance
Manage a career transition</t>
  </si>
  <si>
    <t>Create Mentorship Event for Sifisosakhe Dube with Shetal Bhoola</t>
  </si>
  <si>
    <t>I would like support for my career journey by having someone to mentor me</t>
  </si>
  <si>
    <t>Create Mentorship Event for Yanga Babana with Alison Felix-Lodewyk</t>
  </si>
  <si>
    <t>How to navigate the workplace and how to make the most of my internship experience</t>
  </si>
  <si>
    <t>Lucia Mokwena</t>
  </si>
  <si>
    <t>FirstJob 18.2 Internal</t>
  </si>
  <si>
    <t>RMBSA IBD Operations Transaction Management Unit (Reuven Singh)</t>
  </si>
  <si>
    <t>77800000RMJ RMBSA Central COO Leadership Team</t>
  </si>
  <si>
    <t>FirstJob Graduate</t>
  </si>
  <si>
    <t>Create Mentorship Event for Lucia Mokwena with Alcinda Moezelaar</t>
  </si>
  <si>
    <t>My name is Zintle Buyana and I have been an employee of Direct Axis (FRG) since July 2019 shortly after completing my Bachelor of Arts Degree in Industrial Psychology and Ethics. I pride myself in constantly improving status quo and have always been passionate about my future and career goal regardless of my circumstances.
In the notion of improving myself, last year I decided to enroll for the Honours programme I have always wanted to be a part of. In 2019 I was not accepted for this programme and decided to join the world of work. After 5 years, I tried again and got accepted. I have not been able to complete any internships within the field after graduating as I had to find employment and take care of my family. However I have never let go of my dream of continuing with studies and hopefully pursuing a career as an Industrial Psychologist one day.
I am currently doing my Honours in Industrial Psychologist and would like to get on the field experience within the I/O Psychology and/or Human Resources, Talent field. I will be doing research in Human Resources and Organisational &amp; Career Psychology this semester therefore this mentorship will be a great advantage. I am willing and opening to learning everything and anything to help me get a better understanding of the career path I aspire to go into.
It would be a great honour and privilege to be given this opportunity of being a mentee as I have always dreamed of putting myself in positions that will open doors for me and to learn.
I can be contact on all platforms including LinkedIn, which I will attach my profile's link below. My contact number is 060 650 0135 and email address is ZintleB@fnb.co.za 
LinkedIn Profile: linkedin.com/in/zintle-zimkhitha-buyana-5382b01ba
Regards
Zintle</t>
  </si>
  <si>
    <t>Zintle Buyana</t>
  </si>
  <si>
    <t>FNB Retail COO (Mercia Brandt)</t>
  </si>
  <si>
    <t>69000007502 FNB Retail Service Recovery</t>
  </si>
  <si>
    <t>Service Recovery Advisor</t>
  </si>
  <si>
    <t>Create Mentorship Event for Zintle Buyana with Alison Felix-Lodewyk</t>
  </si>
  <si>
    <t>The purpose of this mentorship is to gain practical guidance, insights and feedback from an experienced business analyst as yourself in order to strengthen my analytical skills, stakeholder management capabilities and problem-solving approach. I aim to learn industry best practices, refine my techniques in requirement gathering, documentation and develop the confidence to excel in complex projects. The goal is to grow into highly effective and impactful business analyst who delivers value to both stakeholders and orgainisation. In short to be a well-rounded business analyst and individual.</t>
  </si>
  <si>
    <t>Laura Tomaz</t>
  </si>
  <si>
    <t>RMBSA Global Markets Data, Analytics and Business Intelligence (Suren Reddy)</t>
  </si>
  <si>
    <t>77800000FIM RMBSA Global Markets Data and Analytics</t>
  </si>
  <si>
    <t>Create Mentorship Event for Laura Tomaz with Meera Khandoo</t>
  </si>
  <si>
    <t>Creating this programme to track progress on my career growth with my selected Mentor. The objective for this is to get guidance on how to advance myself and better prepare for future career aspirations.</t>
  </si>
  <si>
    <t>Kaone Leshomo</t>
  </si>
  <si>
    <t>Create Mentorship Event for Kaone Leshomo with Rethabile Tsekedi</t>
  </si>
  <si>
    <t>Refilwe Semenya</t>
  </si>
  <si>
    <t>FNB Customer and Sales Interactions (Lenice Pretorius)</t>
  </si>
  <si>
    <t>Create Mentorship Event for Refilwe Semenya with Duane Ryan</t>
  </si>
  <si>
    <t>Skills development for career growth</t>
  </si>
  <si>
    <t>Terrance Ncube</t>
  </si>
  <si>
    <t>FNB Commercial Merchant Services (Derek George)</t>
  </si>
  <si>
    <t>22800008894 FNB Commercial Merchant Services Support POS</t>
  </si>
  <si>
    <t>Create Mentorship Event for Terrance Ncube with Tebogo Mashigo</t>
  </si>
  <si>
    <t>Tamryn August</t>
  </si>
  <si>
    <t>RMB Private Equity Chief Financial Office (Anuroop Nair)</t>
  </si>
  <si>
    <t>77800000PED RMB Ventures</t>
  </si>
  <si>
    <t>Create Mentorship Event for Tamryn August with Thirumala Pillay</t>
  </si>
  <si>
    <t>Create Mentorship Event for Georgette Akua Baah-Danquah with Naomi Sekgobela</t>
  </si>
  <si>
    <t>I am seeking to develop myself in my career, to be able to match my interests and capabilities through real world guidance. Also growing my relationships within the organisation so as to broaden my horizon and learn more than what I have encountered so far.</t>
  </si>
  <si>
    <t>Create Mentorship Event for Moreblessing Mupfumira with Athena Botha</t>
  </si>
  <si>
    <t>I am seeking mentorship to transition my career into the field of data analytics. My background includes over five years of professional experience in financial operations, data management, and project coordination. I am proficient in data analysis using tools like advanced Excel, SPSS, and STATA, and have practical experience in data collection, organization, and reporting from past roles.
My goal is to gain structured guidance on applying my foundational analytical skills to a dedicated data analytics role. I am particularly interested in learning about best practices for developing and implementing M&amp;E systems, advancing my skills in data visualization and programming languages (e.g., Python), and understanding career pathways within the data analytics sector. I am eager to learn from an experienced professional to refine my skills and bridge the gap between my current experience and my career aspirations.</t>
  </si>
  <si>
    <t>Bupe Mwiya</t>
  </si>
  <si>
    <t>Create Mentorship Event for Bupe Mwiya with Athena Botha</t>
  </si>
  <si>
    <t>Relationship building and networking
Navigating the workplace
Capitalize on my internship experience</t>
  </si>
  <si>
    <t>Create Mentorship Event for Lucia Mokwena with Cathrin Pretorius</t>
  </si>
  <si>
    <t>Good afternoon, Aslam. I hope you well.  My name is Elizabeth. i am a Finance administrator, holding Bcom Accounting degree (Bcompt). I am seeking mentorship to improve my skills and gain insights into the industry. Would you be available for a brief meeting? I am flexible with the time and can adjust to your schedule. Thank you for considering my request.</t>
  </si>
  <si>
    <t>Elizabeth Sarpong</t>
  </si>
  <si>
    <t>Create Mentorship Event for Elizabeth Sarpong with Aslam Khan</t>
  </si>
  <si>
    <t>Create Mentorship Event for Bupe Mwiya with Margaret Mwewa</t>
  </si>
  <si>
    <t>Maxine Smith (Terminated)</t>
  </si>
  <si>
    <t>I want to learn, explore and grow with the business learn new skills and dig to new testing approaches as it is interesting and exciting job. I want to be part of the team that contribute into high quality product on the market and assist in hidden problems in software.</t>
  </si>
  <si>
    <t>Mbusi Nzimande</t>
  </si>
  <si>
    <t>CDO Infrastructure and Security Services (Victor Kubayi)</t>
  </si>
  <si>
    <t>Create Mentorship Event for Mbusi Nzimande with Maxine Smith (Terminated)</t>
  </si>
  <si>
    <t>Good day Thandiwe.
My name is Akhona Khumalo, and I am currently a CX Design Specialist within Commercial. I am interested in transitioning into a Business Analyst role and am seeking mentorship to support this journey. With a solid foundation in project management from my time as a Junior Project Manager in the mining sector, coupled with my current experience in customer experience, I bring a unique blend of structured problem-solving, stakeholder engagement, and user-centered thinking.
Having recently completed a few training, my appreciation for the strategic impact of the Business Analyst role has grown significantly. I now have a clearer vision of how business analysis connects strategy with execution—something I’m eager to be part of.
Through this mentoring relationship, I hope to gain practical insights into the day-to-day responsibilities of a Business Analyst, deepen my understanding of FNB’s approach to business analysis, and develop the skills required to thrive in this role.
Looking forward to your response!</t>
  </si>
  <si>
    <t>Akhona Khumalo</t>
  </si>
  <si>
    <t>FNB Commercial National Sales and Service (Priyanka Moonsamy)</t>
  </si>
  <si>
    <t>Create Mentorship Event for Akhona Khumalo with Thandiwe Mkalipi</t>
  </si>
  <si>
    <t>Developing leadership skills and work on a plan to transition from technical role to full leadership</t>
  </si>
  <si>
    <t>Tsholofelo Letsoko</t>
  </si>
  <si>
    <t>RMBSA Global Markets Algorithmic Trading Technology (Zwivhuya Tshitovha)</t>
  </si>
  <si>
    <t>IT Team Lead</t>
  </si>
  <si>
    <t>Create Mentorship Event for Tsholofelo Letsoko with Santelle Naicker</t>
  </si>
  <si>
    <t>Saihil Rewachanda</t>
  </si>
  <si>
    <t>RMBSA IBD Finance (Amy Moodley)</t>
  </si>
  <si>
    <t>77800000FRC RMBSA Chartered Accountant Graduate Programme</t>
  </si>
  <si>
    <t>Chartered Accountant Graduate</t>
  </si>
  <si>
    <t>Create Mentorship Event for Saihil Rewachanda with Kubeshan Padayachy</t>
  </si>
  <si>
    <t>The purpose for this relationship is for guidance on the new career I am aspiring to get into.</t>
  </si>
  <si>
    <t>Dineo Masemene</t>
  </si>
  <si>
    <t>RMBSA Global Markets GSS Fiduciary Oversight Team A (Shawn Viljoen)</t>
  </si>
  <si>
    <t>77800000TSS RMBSA Global Markets GSS Trustee Services</t>
  </si>
  <si>
    <t>Fiduciary Portfolio Oversight Analyst</t>
  </si>
  <si>
    <t>Create Mentorship Event for Dineo Masemene with Dineo Phala</t>
  </si>
  <si>
    <t>Dear Dineo,
I hope this message finds you well.
I am reaching out to kindly request your mentorship as I explore a potential career transition. I have long admired RMB and the impactful work done there, and I would love to learn more about your role and daily responsibilities.
Your insights would be incredibly valuable as I consider this new path, and I would greatly appreciate any guidance or advice you could share.
Thank you in advance for your time and consideration.
Regards,
Mamokwena Maponya</t>
  </si>
  <si>
    <t>Mamokwena Maponya</t>
  </si>
  <si>
    <t>WB ABF Sales Gauteng (Dudu Khumalo)</t>
  </si>
  <si>
    <t>30100007081 WB ABF Gauteng Banked</t>
  </si>
  <si>
    <t>Create Mentorship Event for Mamokwena Maponya with Dineo Phala</t>
  </si>
  <si>
    <t>Career coaching and guidance in growing and transitioning to a HR generalist role in future.
Setting clear goals for upskilling beyond recruitment
Involve me in projects and shadowing opportunities
Assist with providing feedback on work done,challenges and areas of improvement</t>
  </si>
  <si>
    <t>Lerato Kabeya</t>
  </si>
  <si>
    <t>FNB Retail P Human Capital (Jackie Singh)</t>
  </si>
  <si>
    <t>54100009264 FNB Fiduciary HR and L&amp;D</t>
  </si>
  <si>
    <t>Create Mentorship Event for Lerato Kabeya with Zithulele Mjiako</t>
  </si>
  <si>
    <t>Guidance on career growth and prospects, general leadership and self-development opportunities</t>
  </si>
  <si>
    <t>Themba Mabena</t>
  </si>
  <si>
    <t>FNB Commercial Cash Operations Support (Kulane  Trevor Mavikane)</t>
  </si>
  <si>
    <t>Create Mentorship Event for Themba Mabena with Mumbi Odame</t>
  </si>
  <si>
    <t>I would like Puleng Montseng to be assigned as my mentor within the organization .As I continue to grow in my role as Financial Administrator,I am also preparing to pursue an Honours degree in Supply Chain Management upon completing my BCOM. I am actively seeking opportunies of becoming an Financial Accountant as it will strengthen my foundation of perusing the role in Supply Chain.</t>
  </si>
  <si>
    <t>Lorato Chipu</t>
  </si>
  <si>
    <t>REMS Real Estate Management Services (Heidi Daniels)</t>
  </si>
  <si>
    <t>Create Mentorship Event for Lorato Chipu with Puleng Montseng</t>
  </si>
  <si>
    <t>Mbali Mnguni</t>
  </si>
  <si>
    <t>RMBSA Enablement Technology Credit Team C (Wayne Goosen)</t>
  </si>
  <si>
    <t>Create Mentorship Event for Mbali Mnguni with Zwivhuya Tshitovha</t>
  </si>
  <si>
    <t>My name is Christinah and I'm signing up for the mentorship programme for the purpose of networking and building relationships. My intention is to learn from others and use the skills to navigate my career journey at RMB. It's not for career gains or progression only, but also to develop character and self-awareness.</t>
  </si>
  <si>
    <t>Christinah Rabothata</t>
  </si>
  <si>
    <t>RMBSA Enablement Technology Credit Team B (Veneshree Lachman)</t>
  </si>
  <si>
    <t>Create Mentorship Event for Christinah Rabothata with Cathrin Pretorius</t>
  </si>
  <si>
    <t>Currently, I serve as a Data Analyst, where I’ve developed a strong foundation in data analysis, reporting, and systems thinking. I’m also pursuing a master’s degree in Artificial Intelligence, which has deepened my understanding of machine learning, intelligent systems, and the strategic potential of AI in enterprise environments.
As I look ahead, I’m eager to evolve into a role that blends AI strategy with architectural thinking designing scalable, ethical, and business-aligned AI systems. Your leadership in Information Architecture is deeply inspiring, and I believe your mentorship would be invaluable in helping me:
Understand how information architecture supports AI scalability and governance.
Learn how to bridge technical and business domains through strategic data design.
Gain exposure to leadership practices in AI-driven transformation
I would be grateful for the opportunity to learn from your experience and contribute meaningfully to initiatives that align with both our department’s goals and the broader AI vision.
Thank you for considering my request. I’m happy to meet at your convenience to discuss how we might structure this mentorship.</t>
  </si>
  <si>
    <t>Lorraine Nobela</t>
  </si>
  <si>
    <t>FNB Commercial Analytics Insight and Data (Mmadikgale Moenyane)</t>
  </si>
  <si>
    <t>Create Mentorship Event for Lorraine Nobela with Athena Botha</t>
  </si>
  <si>
    <t>I I would like assistance with career mentoring.</t>
  </si>
  <si>
    <t>Create Mentorship Event for Yanga Babana with Babalwa Masoka</t>
  </si>
  <si>
    <t>coaching and guidance with career transitioning to advice enablement specialist</t>
  </si>
  <si>
    <t>Nontokozo Sibeko</t>
  </si>
  <si>
    <t>FNB Private Banking and Advisory (Anele Madhlabane)</t>
  </si>
  <si>
    <t>Create Mentorship Event for Nontokozo Sibeko with Malini Mudaly</t>
  </si>
  <si>
    <t>Complete mentorship program in 6 months
learn insights on how to explore research projects, current and future.
Build a professional network. 
Gain industry insights on AI tech
Have a career development plan.
Improve job search skills to become an architect in the next year 2026
Set boundaries and be more self-aware.
Learn great communication and interpersonal skills
Be able to package and sell myself well all the time</t>
  </si>
  <si>
    <t>Talent Chinyani</t>
  </si>
  <si>
    <t>FNB Commercial Core Juristic Platform (Carla Blom)</t>
  </si>
  <si>
    <t>Create Mentorship Event for Talent Chinyani with Wesley Francis</t>
  </si>
  <si>
    <t>Good Day Billy
I trust that you are doing great.
Thank you once more for accepting to mentor me from your wealth of experience and top-notch leadership qualities and prowess.
I have set up this as our first mentorship session and already created subsequent recurring session after this one.
Looking forward to learning from your great leadership qualities and experience.
Besides what I shared as my objectives in our introduction meeting plus any other you may add as needed; I am looking forward to learning:
Aspirations:
Leadership Practices that drive success and overall, Team performance
Stakeholder Management especially, Top leadership
How best I can be ready for the next level leadership role. Key steps to take now for me to be ready when the career growth opportunity presents itself (repositioning myself)
Leading Team: Best practices that foster teamwork, conflict resolution and managing team dynamics
How to be a “Good Leader” who inspires others to be the best versions of themselves (believe in themselves)
A “Glimpse into Exco Life” and pointers of Exco expectations from Junior management leaders like me
Pointers on Personal Development
Challenges:
To transition from my junior management role to the next leave management role
Soft Skills that can propel me to the next level
Channelling the passion, I have and desire to grow into a “Calm, collected and cool-headed leader who analyses situations and then puts a leadership cap on to lead especially in difficult situations
Self-Management: Getting the “Art of Self Mastery” which then translates into better self and Team management.
Looking forward to your incredible support on this journey ahead and am so excited about it.</t>
  </si>
  <si>
    <t>Shadreck Njobvu</t>
  </si>
  <si>
    <t>FNB Zambia Commercial (Esther Munatamba)</t>
  </si>
  <si>
    <t>55300007619 FNB Zambia SME Business</t>
  </si>
  <si>
    <t>Create Mentorship Event for Shadreck Njobvu with Billy Samuel Mwape</t>
  </si>
  <si>
    <t>I'm stuck. I am transitioning in a leadership role and not sure that this is the right direction for me.</t>
  </si>
  <si>
    <t>Create Mentorship Event for Roshni Morar with Tswelo Kodisang</t>
  </si>
  <si>
    <t>Michaela Dantu</t>
  </si>
  <si>
    <t>FNB Financial Advisory (Andre Van Der Westhuizen)</t>
  </si>
  <si>
    <t>34100003289 PB&amp;A Advice Governance and Monitoring</t>
  </si>
  <si>
    <t>Advice Monitoring Specialist</t>
  </si>
  <si>
    <t>Create Mentorship Event for Michaela Dantu with Alcinda Moezelaar</t>
  </si>
  <si>
    <t>Phindile Manqele</t>
  </si>
  <si>
    <t>FNB Points of Presence (Kelebogile Thoka)</t>
  </si>
  <si>
    <t>771011800 FNB POP Branch Delivery Kempton Park</t>
  </si>
  <si>
    <t>Create Mentorship Event for Phindile Manqele with Allen Chapingidza</t>
  </si>
  <si>
    <t>Good Day Kholofelo,
I hope you're doing well. I came across your LinkedIn profile and was truly inspired by your journey—starting off as a graduate in the quants space and progressing so impressively in your career. My name is Tshepo Moeletsi, and I’m currently part of the Graduate Programme, working in D2 as a Data Scientist within the ScoringX team. We focus on building scorecards and collaborate closely with the Credit Card team.
I’m currently pursuing my Master’s in Data Science and I'm passionate about growing in this field. I aspire to become well-versed in the data space and would greatly appreciate any guidance you could offer. In addition to my role, I also serve on the Grad Exco in the Events Portfolio, where I act as a liaison between the graduates and the recruitment team. I’m responsible for planning key events such as the final graduation and mid-session connect.
If you have the capacity, I would be honored if you could consider mentoring me. I’d love to set up a call to introduce myself and learn more from you. If that’s not possible, I’d still be very grateful for any advice or direction you can share.</t>
  </si>
  <si>
    <t>Tshepo Moeletsi</t>
  </si>
  <si>
    <t>FNB Dynamic Decisioning (Vishnu Singh [C])</t>
  </si>
  <si>
    <t>Create Mentorship Event for Tshepo Moeletsi with Kholofelo Napo</t>
  </si>
  <si>
    <t>My main goal is to accelerate my personal and professional development by cultivating a growth mindset. I want to improve my ability to manage emotions , build strong relationships in the organization and develop my technical skills in the Cyber security space.</t>
  </si>
  <si>
    <t>Koketjo Matlala</t>
  </si>
  <si>
    <t>Data Loss Analyst</t>
  </si>
  <si>
    <t>Create Mentorship Event for Koketjo Matlala with Aileen Spanier-Marson</t>
  </si>
  <si>
    <t>I’m at the very beginning of my career and often feel unsure about how to move forward in this industry. I’m looking for a mentor who can help and advise me on skills I can learn, to help my career move towards becoming a portfolio manager and a trusted advisor, beyond what I’ve learnt in university and through the CFA programme. Having someone who’s been part of the industry by my side would give me a clearer understanding of how things work and help me take meaningful steps towards my career goals.
www.linkedin.com/in/CaitlinStone2106/</t>
  </si>
  <si>
    <t>Caitlin Stone</t>
  </si>
  <si>
    <t>RMB Private Bank (Kreneshen Moodley)</t>
  </si>
  <si>
    <t>Create Mentorship Event for Caitlin Stone with Richard Levesque</t>
  </si>
  <si>
    <t>Technical Team Leader Mentoring</t>
  </si>
  <si>
    <t>Create Mentorship Event for Kellan Govender with Asha Rampershad</t>
  </si>
  <si>
    <t>To learn how to use tools like Power BI, Lists, and SharePoint in my work. I’m looking to grow my own capability in using these platforms more effectively in my compliance risk role — especially to improve some of the manual processes in our team.</t>
  </si>
  <si>
    <t>Daniel Loots</t>
  </si>
  <si>
    <t>FR Life Assurance (Sabiha Khan)</t>
  </si>
  <si>
    <t>61500010275 FR Life Legal Governance and Compliance</t>
  </si>
  <si>
    <t>Create Mentorship Event for Daniel Loots with Aileen Spanier-Marson</t>
  </si>
  <si>
    <t>To upskill on Solution Strategist as a role and transition when the mentor finds the mentee ready</t>
  </si>
  <si>
    <t>Create Mentorship Event for Deshnee Boodhram with Sachin Arjun</t>
  </si>
  <si>
    <t>To develop my programming skills as a junior developer</t>
  </si>
  <si>
    <t>Sherwin Singh</t>
  </si>
  <si>
    <t>Create Mentorship Event for Sherwin Singh with Kellan Govender</t>
  </si>
  <si>
    <t>Hi Melissa
i am an aspiring internal auditor and would like to receive mentorship in this career line. i am currently pursuing my internal audit postgraduate qualification with Unisa while working as a universal advisor. i would really appreciate any kind of mentorship and career guidance i can receive.
Looking forward to hearing and working with you.</t>
  </si>
  <si>
    <t>Jabulani Maxwell Masilela</t>
  </si>
  <si>
    <t>FNB Points of Presence (Alichia Van Eeden)</t>
  </si>
  <si>
    <t>7710413200 FNB POP Branch Delivery Table Bay Mall</t>
  </si>
  <si>
    <t>Create Mentorship Event for Jabulani Maxwell Masilela with Melissa Delie</t>
  </si>
  <si>
    <t>Training on Workday</t>
  </si>
  <si>
    <t>Create Mentorship Event for Farieda Mayet with Grant Pentelow</t>
  </si>
  <si>
    <t>Upskilling myself and learning.</t>
  </si>
  <si>
    <t>Joshua Hlanyane</t>
  </si>
  <si>
    <t>FNB ERP Technology (Rashaad Van Doorsen)</t>
  </si>
  <si>
    <t>39400004629 FNB CFP IT Operations</t>
  </si>
  <si>
    <t>Create Mentorship Event for Joshua Hlanyane with Muhammad Seedat</t>
  </si>
  <si>
    <t>Nozipho Nyathi</t>
  </si>
  <si>
    <t>FNB Wealth (Zithulele Mjiako)</t>
  </si>
  <si>
    <t>Human Capital Coordinator</t>
  </si>
  <si>
    <t>Create Mentorship Event for Nozipho Nyathi with Elaine Knoetsec</t>
  </si>
  <si>
    <t>As a mentee, my purpose is to develop greater confidence and competence in the field of project management. I seek guidance and support to deepen my understanding of strategic decision-making and enhance my time management skills. Through this mentorship, I aim to grow both professionally and personally, gaining practical insights that will empower me to lead projects effectively and contribute meaningfully to organizational success. I am committed to active learning, open communication, and applying the knowledge gained to achieve measurable outcomes.</t>
  </si>
  <si>
    <t>Golaotswe Matlala</t>
  </si>
  <si>
    <t>FNB Retail CDAO (Elezar Alley)</t>
  </si>
  <si>
    <t>Create Mentorship Event for Golaotswe Matlala with Coenraad Pretorius</t>
  </si>
  <si>
    <t>To enhance leadership skills
Grow knowledge for accountable business</t>
  </si>
  <si>
    <t>Megan Schaffers</t>
  </si>
  <si>
    <t>Create Mentorship Event for Megan Schaffers with Farieda Mayet</t>
  </si>
  <si>
    <t>Career developement</t>
  </si>
  <si>
    <t>Create Mentorship Event for Siphiwe Sitwayi with Tshepiso Matabane</t>
  </si>
  <si>
    <t>In-house technical knowledge 
To assist in learning and getting up to speed in all the in-house technical knowledge necessary to be a productive member of the team.</t>
  </si>
  <si>
    <t>Luke Smith</t>
  </si>
  <si>
    <t>Create Mentorship Event for Luke Smith with Menzi Skhosana</t>
  </si>
  <si>
    <t>My name is Modiegi Pheto, and I am currently working as a Learning Consultant based in Johannesburg. I recently completed my BCom in Business Management with a focus on Project Management, and I am eager to take the next step in my career journey.
I am reaching out to find how to find a mentor as I transition into a career in Product Management or Project Management. I believe that learning from someone with expertise would provide invaluable guidance as I navigate this path.
My goal is to deepen my understanding of strategic product development, stakeholder engagement, and business impact areas I am passionate about and committed to growing in. I am open to feedback, willing to learn, and excited to contribute meaningfully wherever I can.
I would be truly grateful for the opportunity to connect and learn.</t>
  </si>
  <si>
    <t>Modiegi Pheto</t>
  </si>
  <si>
    <t>FNB Retail P Human Capital (Sameegah Boomgaard)</t>
  </si>
  <si>
    <t>20300008505 FNB Product Learning and Development</t>
  </si>
  <si>
    <t>Create Mentorship Event for Modiegi Pheto with Frank Dhlamini</t>
  </si>
  <si>
    <t>Develop leadership skills. Gaining Confidence in leading, communicating, and listening. Adding value and purpose to every encounter.
Relationship building and networking. Learn how to build relationships and networks across departments and organisations.</t>
  </si>
  <si>
    <t>Lisa Kabengele</t>
  </si>
  <si>
    <t>FNB Zambia Operations (Brian Milandile)</t>
  </si>
  <si>
    <t>Create Mentorship Event for Lisa Kabengele with Billy Samuel Mwape</t>
  </si>
  <si>
    <t>Terri Christian</t>
  </si>
  <si>
    <t>FNB eBucks (Baveeta Poonan)</t>
  </si>
  <si>
    <t>25600005677 FNB eBucks Call Centre</t>
  </si>
  <si>
    <t>Create Mentorship Event for Terri Christian with Allen Chapingidza</t>
  </si>
  <si>
    <t>Through this mentorship, I aim to:
Deepen my understanding of data architecture principles, frameworks, and best practices.
Strengthen my ability to design scalable, efficient, and secure data solutions aligned with business needs.
Enhance my skills in data modeling, integration, governance, and platform selection.
Receive feedback and direction on real-world challenges and projects to accelerate my growth.
Build confidence in contributing to architectural decisions and long-term data strategy within my organization.
This mentorship will serve as a valuable opportunity to bridge the gap between theory and practice, and to prepare me for more advanced responsibilities in data architecture.</t>
  </si>
  <si>
    <t>Zandile Moloi</t>
  </si>
  <si>
    <t>FNB Commercial TxP (Josiah Ndlozi)</t>
  </si>
  <si>
    <t>39800007912 FNB Commercial TxP Business Intelligence</t>
  </si>
  <si>
    <t>Create Mentorship Event for Zandile Moloi with Athena Botha</t>
  </si>
  <si>
    <t>Nandipha Mkhabile</t>
  </si>
  <si>
    <t>REMS Real Estate Management Services (Eugene Mngadi)</t>
  </si>
  <si>
    <t>22300005122 FNB REMS Owned Property</t>
  </si>
  <si>
    <t>Create Mentorship Event for Nandipha Mkhabile with Mashudu Matsila</t>
  </si>
  <si>
    <t>Career guidance
Develop leadership skills
Relationship building and networking</t>
  </si>
  <si>
    <t>Create Mentorship Event for Zaida Cornelissen with Farieda Mayet</t>
  </si>
  <si>
    <t>The primary purpose of engaging a career mentor during this transition is to provide guidance, support, and practical insights that bridge the gap between business-focused analysis and technical system design. 
1. Role Clarification
Understand the differences and overlaps between BA and SA roles.
Gain clarity on responsibilities, deliverables, and expectations in a Systems Analyst position.
2. Skill Development
Identify technical skills required (e.g., system architecture, database design, integration concepts).
Recommend training resources and certifications relevant to system analysis.
3. Practical Exposure
Share real-world examples of system analysis projects.
Provide hands-on guidance on tools and methodologies (e.g., UML diagrams, ER modeling, API specifications).
4. Career Strategy
Advise on positioning your BA experience to highlight transferable skills.
Help build a transition roadmap with achievable milestones.
5. Networking and Industry Insights
Introduce you to professional networks and communities.
Offer insights into industry trends and best practices for system analysis.
6. Confidence and Support
Offer feedback on your progress and areas for improvement.
Act as a sounding board for questions and challenges during the transition.</t>
  </si>
  <si>
    <t>Sibongile Ubisi</t>
  </si>
  <si>
    <t>FNB Collections and Platform Enablement (Peter Gibbens)</t>
  </si>
  <si>
    <t>Create Mentorship Event for Sibongile Ubisi with Dane Pillay</t>
  </si>
  <si>
    <t>I am in the FirstRand Chief Digital Office, reporting to Kevin Mitchell.
It's been quite a transition from Retail where I was before, and I'm interacting with sets of very senior stakeholders.
FirstRand Coaching suggested that I should reach out to Tswelo who has made himself available as a mentor on the programme, thus I'm reaching out for transition / leadership mentoring.</t>
  </si>
  <si>
    <t>Jared Landsman</t>
  </si>
  <si>
    <t>Platform Strategy Lead</t>
  </si>
  <si>
    <t>Create Mentorship Event for Jared Landsman with Tswelo Kodisang</t>
  </si>
  <si>
    <t>Refine my leadership and people management skills in order to prepare me to manage larger teams and become eligible for leadership roles within FirstRand.</t>
  </si>
  <si>
    <t>Dyllin Dannhauser</t>
  </si>
  <si>
    <t>FNB Points of Presence (Guy Wigg)</t>
  </si>
  <si>
    <t>7710645500 FNB POP Risk Assurance</t>
  </si>
  <si>
    <t>IT Risk Manager</t>
  </si>
  <si>
    <t>Create Mentorship Event for Dyllin Dannhauser with Jaco Loots</t>
  </si>
  <si>
    <t>I would like help on creating mentorship for Points of presence</t>
  </si>
  <si>
    <t>Create Mentorship Event for Mawande Ngcai with Zaheer Ismail</t>
  </si>
  <si>
    <t>Hilde Josef</t>
  </si>
  <si>
    <t>FNB Namibia Limited (Mirjam Alugodhi)</t>
  </si>
  <si>
    <t>302000001498 FNB Namibia Far North Area Office Outapi</t>
  </si>
  <si>
    <t>Create Mentorship Event for Hilde Josef with Annastasia Williams</t>
  </si>
  <si>
    <t>To grow professionally and develop in my career journey: 
Areas of Focus:
Career Guidance
Skills Development
Goals and Accountability
Confidence Building
Knowledge Transfer
Networking</t>
  </si>
  <si>
    <t>Nomthunzi Bangani</t>
  </si>
  <si>
    <t>Create Mentorship Event for Nomthunzi Bangani with Umphile Moroe</t>
  </si>
  <si>
    <t>My commitment to growth and willingness to take action.</t>
  </si>
  <si>
    <t>Richard Pettey-Agamatey</t>
  </si>
  <si>
    <t>Ghana Support Functions (Alberta Cudjoe)</t>
  </si>
  <si>
    <t>55400008999 Ghana Ops Risk and Projects</t>
  </si>
  <si>
    <t>Securities Custodian</t>
  </si>
  <si>
    <t>Create Mentorship Event for Richard Pettey-Agamatey with Gary Frank</t>
  </si>
  <si>
    <t>As a Business Banker, I am committed to deepening my strategic impact and strengthening the value I bring to clients and the organisation. Through a mentoring relationship, I aim to enhance my ability to structure more complex business solutions, sharpen my leadership capability, and broaden my understanding of the wider business ecosystem.</t>
  </si>
  <si>
    <t>Thebe Ditshego</t>
  </si>
  <si>
    <t>Create Mentorship Event for Thebe Ditshego with Bruce Ncube</t>
  </si>
  <si>
    <t>TESTING for incoming mentees</t>
  </si>
  <si>
    <t>Close Mentorship Event for Nathan Ngqwebo with Malamba Lavhengwa
Create Mentorship Event for Nathan Ngqwebo with Malamba Lavhengwa</t>
  </si>
  <si>
    <t>I am seeking a mentor to support me in the next stage of my professional growth, particularly in strengthening my leadership capabilities, expanding my organisational knowledge, and enhancing my relationship‑building and networking skills.
As someone who recently re-joined the bank, I recognise the importance of developing a strong leadership presence one that inspires others, drives collaboration, and supports strategic delivery. I believe that learning from a mentor who has successfully navigated similar challenges will help me refine my leadership style, improve decision‑making, and build greater confidence in leading teams and initiatives.</t>
  </si>
  <si>
    <t>Dineo Makgota</t>
  </si>
  <si>
    <t>FNB Private Core Banking (Simphiwe Mabaso)</t>
  </si>
  <si>
    <t>Create Mentorship Event for Dineo Makgota with Mpumie Twala</t>
  </si>
  <si>
    <t>I am seeking mentorship to support my transition into a Finance-focused role, specifically as a Financial Accountant or Financial Administrator within FNB. I currently work as an Online Business Banker and hold a National Diploma in Accounting, along with a certificate in Commercial Accounting. I will also be enrolling for an Advanced Diploma in Accounting Science.
I am motivated to learn from someone who has successfully navigated the Finance path within the organization. Your journey from Financial Accountant to Financial Manager strongly resonates with my own career aspirations, and I believe your guidance would be invaluable in helping me bridge the gap between my current role and my long-term goals.
Through this mentoring relationship, I hope to gain practical insight into Finance roles, strengthen my technical and professional skills, understand how to position myself for internal opportunities, and grow with clarity and confidence within the FirstRand Group. I am committed, eager to learn, and deeply invested in building a meaningful and sustainable career in Finance.</t>
  </si>
  <si>
    <t>Thandubuhle Sompetha</t>
  </si>
  <si>
    <t>FNB Business CXC (Sibahle Mazibuko)</t>
  </si>
  <si>
    <t>Create Mentorship Event for Thandubuhle Sompetha with Mongezi Mahlangu</t>
  </si>
  <si>
    <t>Purpose majorly centered around strategic growth, influence, and positioning for senior leadership.
Develop leadership skills
Broaden organisational knowledge
Relationship building and networking</t>
  </si>
  <si>
    <t>Gomolemo Rabalone</t>
  </si>
  <si>
    <t>FNB Botswana Treasury (Tshepiso Mokgethi-Magapa)</t>
  </si>
  <si>
    <t>501071800 FNB Botswana Treasury Head Office</t>
  </si>
  <si>
    <t>Treasury Risk Manager</t>
  </si>
  <si>
    <t>Create Mentorship Event for Gomolemo Rabalone with Baile Corrigan</t>
  </si>
  <si>
    <t>Create Mentorship Event for Ragel Shivute with Annastasia Williams</t>
  </si>
  <si>
    <t>1. Goal 1, Learn how to be a good group leader and to learn how to work with other people as a group 
2. Goal 2, Work with passion and purpose
3. Goal 3, Have a good working experience and good customer service provider</t>
  </si>
  <si>
    <t>Pfarelo Shyleen Mudau</t>
  </si>
  <si>
    <t>FNB Personal Segment Advisory and Suites (Ashleigh Tombeen)</t>
  </si>
  <si>
    <t>47100005652 FNB Youth Employment Scheme</t>
  </si>
  <si>
    <t>FirstJob Learner</t>
  </si>
  <si>
    <t>Create Mentorship Event for Pfarelo Shyleen Mudau with Caleb Sindi</t>
  </si>
  <si>
    <t>1. Building strong work ethic and helping customers
2. Getting an advisor position
3. Career growth</t>
  </si>
  <si>
    <t>Anelisa John</t>
  </si>
  <si>
    <t>FNB Points of Presence (Ntsikelelo Kupiso)</t>
  </si>
  <si>
    <t>7710710300 FNB POP Branch Delivery Youth Development</t>
  </si>
  <si>
    <t>Create Mentorship Event for Anelisa John with Costa Hagios</t>
  </si>
  <si>
    <t>I am particularly interested in gaining career guidance, building strong professional relationships and learning how to network effectively within the organisation and the broader financial industry. I believe that exposure to real experience, honest feedback and practical advice will help me make informed decisions and position myself for growth opportunities.
My goal is to develop a strong professional presence and make informed career decisions, while building strong leadership skills.</t>
  </si>
  <si>
    <t>Azwi Singo</t>
  </si>
  <si>
    <t>Create Mentorship Event for Azwi Singo with Gudani Khuswana</t>
  </si>
  <si>
    <t>Hello
I hope you’re well. My name is Mbhalenhle Mahuhushi, and I recently joined RMB in October 2025 through the Operations Experience Graduate Programme. I’m currently placed within the GoldenSource Business Analysis team under Munnera.
I came across your profile on LinkedIn and was really inspired by your journey. Even though our educational backgrounds are quite different, I deeply admire the depth of your expertise and the direction your career has taken. Your work sits in a space I’m very interested in exploring and eventually growing into.
I’m currently in a stage where I’m trying to strengthen my technical capabilities, sharpen my analytical thinking, and broaden my understanding of the business. I would really appreciate the opportunity to learn from you, whether through occasional conversations, guidance on development areas, or any insights you feel would help someone early in their career.
If you’re open to it, I would be grateful for the chance to connect and potentially explore a mentorship relationship.</t>
  </si>
  <si>
    <t>Mbhalenhle Mahuhushi</t>
  </si>
  <si>
    <t>RMBSA Operations Product Owner Golden Source (Muneera Khan)</t>
  </si>
  <si>
    <t>Create Mentorship Event for Mbhalenhle Mahuhushi with Aobakwe Kgobokoe</t>
  </si>
  <si>
    <t>Goal 1-Learn more about the work process of bank
Goal 2 -help in delivering advice in finacial aspects
Goal 3 - Gaining as much as much experience and knowledge about FNB  as a whole and how to grow within the company</t>
  </si>
  <si>
    <t>Buhlebendalo Mbele</t>
  </si>
  <si>
    <t>FNB Points of Presence (Siyabonga Mncwabe)</t>
  </si>
  <si>
    <t>Create Mentorship Event for Buhlebendalo Mbele with Costa Hagios</t>
  </si>
  <si>
    <t>I hope this finds you well. I am writing to express my request to be considered as a mentee.
As of May 2025, I have enrolled in a learnership program for RISK PRACTITIONER NQF LEVEL 6, and I believe that structured guidance from an experienced mentor would be invaluable in accelerating my growth. I am eager to gain insight into my career with more knowledge and skills.
My goal is to use the knowledge gained and add greater value to the team and the company.
I hope you would consider my request, and I look forward to the possibility of learning and growing through this mentorship opportunity.</t>
  </si>
  <si>
    <t>Nhlanhla Shongwe</t>
  </si>
  <si>
    <t>FNB Private Core Banking (Cordelia Martin)</t>
  </si>
  <si>
    <t>Create Mentorship Event for Nhlanhla Shongwe with Nicholas Litton</t>
  </si>
  <si>
    <t>This year I want to achieve the following:
1. Secure my career foundation
2. Sharpen my professional skills
3. Get my finances under control</t>
  </si>
  <si>
    <t>Nomosebenzi Zwane</t>
  </si>
  <si>
    <t>FNB Wealth and Investments (Melany Woods)</t>
  </si>
  <si>
    <t>Create Mentorship Event for Nomosebenzi Zwane with Noluthando Buthelezi</t>
  </si>
  <si>
    <t>Shawn Tshinabe</t>
  </si>
  <si>
    <t>FNB Wealth and Investments (Wojciech Boryna)</t>
  </si>
  <si>
    <t>Create Mentorship Event for Shawn Tshinabe with Liso Tabata</t>
  </si>
  <si>
    <t>Good day I was informed to find my mentor</t>
  </si>
  <si>
    <t>Thabang Monicca Mokobela</t>
  </si>
  <si>
    <t>FNB Points of Presence (Magauta Kubai)</t>
  </si>
  <si>
    <t>Create Mentorship Event for Thabang Monicca Mokobela with Isaac Chauque</t>
  </si>
  <si>
    <t>One of my main goals is to grow in the Business Intelligence and Data Analysis space, as I’m passionate about using data to solve problems and support better decision‑making.</t>
  </si>
  <si>
    <t>Daisy Maseko</t>
  </si>
  <si>
    <t>FNB Private Banking and Advisory (Ryan Bhugwandeen)</t>
  </si>
  <si>
    <t>Create Mentorship Event for Daisy Maseko with Athena Botha</t>
  </si>
  <si>
    <t>1] Would love to learn more about the banking world and do my best to succeed within this learnership.  
2] Would love to build myself within the banking world to grow and expend my experience. 
3] Would love to build myself with this learnership and gain as much knowledge as possible, and network as much as i can for bigger and better opportunities.</t>
  </si>
  <si>
    <t>Tidimalo Monyai</t>
  </si>
  <si>
    <t>FNB Personal Core Banking (Shantell Ryan)</t>
  </si>
  <si>
    <t>Create Mentorship Event for Tidimalo Monyai with Kaylyn Karuppen</t>
  </si>
  <si>
    <t>Phillippa Tshinabe</t>
  </si>
  <si>
    <t>FNB Commercial Public Sector (Andre Prinsloo)</t>
  </si>
  <si>
    <t>Create Mentorship Event for Phillippa Tshinabe with Georgia Wensley</t>
  </si>
  <si>
    <t>I want to learn more about the different products the bank offer. I want to improve my work skills. I want to achieve good relationships with my customers and aim for a permanent position at FNB.</t>
  </si>
  <si>
    <t>Rozetta Raman</t>
  </si>
  <si>
    <t>FNB Points of Presence (Jaco Van Staden)</t>
  </si>
  <si>
    <t>Create Mentorship Event for Rozetta Raman with Veroshan Thaver</t>
  </si>
  <si>
    <t>To learn more about the corporate world
To navigate my way in the banking industry</t>
  </si>
  <si>
    <t>Nombulelo Daphney Nkosi</t>
  </si>
  <si>
    <t>FNB Points of Presence (Beatrice Mhlabane)</t>
  </si>
  <si>
    <t>Create Mentorship Event for Nombulelo Daphney Nkosi with Rudzani Thagwana</t>
  </si>
  <si>
    <t>The Top 3 goals that I'd love to achieve this year are:
Career guidance
Develop leadership skills
Relationship building and networking</t>
  </si>
  <si>
    <t>Sibahle Mnguni</t>
  </si>
  <si>
    <t>Create Mentorship Event for Sibahle Mnguni with Nozipho Victoria Sidambe</t>
  </si>
  <si>
    <t>I aim to better my skill and build my esteem in the business unite .
Another one is to learn to navigate the system and accomplish my assessments both in school and at work my goal is to be better than my previous .</t>
  </si>
  <si>
    <t>LUVHUNO KOPANE</t>
  </si>
  <si>
    <t>FNB Loans (Evangeleen Damons)</t>
  </si>
  <si>
    <t>Create Mentorship Event for LUVHUNO KOPANE with Mohau Tlamama</t>
  </si>
  <si>
    <t>Develop confidence and independence
Become highly skilled, not just qualified
Build money discipline early</t>
  </si>
  <si>
    <t>Xivono Rival Maluleke</t>
  </si>
  <si>
    <t>FNB Points of Presence (Cobus Steinman)</t>
  </si>
  <si>
    <t>Create Mentorship Event for Xivono Rival Maluleke with Lehlogonolo Phineas Mbiza</t>
  </si>
  <si>
    <t>Vangile Mhlambi</t>
  </si>
  <si>
    <t>FNB Points of Presence (Faziela Hassan)</t>
  </si>
  <si>
    <t>Create Mentorship Event for Vangile Mhlambi with Hilde Metumo Shimpanda</t>
  </si>
  <si>
    <t>1. Develop leadership skills
2. Career guidance
3. Relationship building and networking</t>
  </si>
  <si>
    <t>Ntshuxeko Isaac Ndlovu</t>
  </si>
  <si>
    <t>FNB Wealth and Investments (Aubrey Gouws)</t>
  </si>
  <si>
    <t>Create Mentorship Event for Ntshuxeko Isaac Ndlovu with Ofentse Pilane</t>
  </si>
  <si>
    <t>1) Learn as much as I can
2) Build a strong network
3) Deliver results</t>
  </si>
  <si>
    <t>FNB Finance Business Solutions (Phumzile Mncadi)</t>
  </si>
  <si>
    <t>Create Mentorship Event for Rudzani Ravele with Bongani Baloyi</t>
  </si>
  <si>
    <t>Thato Thokozani Molefe</t>
  </si>
  <si>
    <t>FNB Commercial Sales Gauteng South and Central (Pride Mnamatha)</t>
  </si>
  <si>
    <t>Create Mentorship Event for Thato Thokozani Molefe with Georgia Wensley</t>
  </si>
  <si>
    <t>What I want to achieve:
1. To receive a permanent position offer at the end of my FirstJob term in my current FirstJob  department 
2.Enhance my communication skills both verbally and non-verbally 
3.To learn how to use money wisely and effectively</t>
  </si>
  <si>
    <t>Katlego Modieginyana</t>
  </si>
  <si>
    <t>FNB Finance Business Solutions (Mogie Padayachee)</t>
  </si>
  <si>
    <t>Create Mentorship Event for Katlego Modieginyana with Hilde Metumo Shimpanda</t>
  </si>
  <si>
    <t>I want to learn how the banking industry works and how to deliver excellent service to customers 
I want to be permanently employed by FNB and apply all the skills and knowledge I have gained
I want to start a small business</t>
  </si>
  <si>
    <t>Yonela Siswana</t>
  </si>
  <si>
    <t>FNB Points of Presence (Madeleine Labuschagne)</t>
  </si>
  <si>
    <t>Create Mentorship Event for Yonela Siswana with Malvin Maposa</t>
  </si>
  <si>
    <t>1. Professional Development and Career Growth
2. Practical Workplace Skills and Confidence
3. Ethical Conduct and Market Practice Mastery</t>
  </si>
  <si>
    <t>Zimasile Mnothoza</t>
  </si>
  <si>
    <t>FNB Points of Presence (Raino Botha)</t>
  </si>
  <si>
    <t>Create Mentorship Event for Zimasile Mnothoza with Savannah Tadden</t>
  </si>
  <si>
    <t>- Networking opportunities
- Career growth
- Leadership skills enhancement</t>
  </si>
  <si>
    <t>Create Mentorship Event for Sinazo Ndzawombi with Maphelo Mpofu</t>
  </si>
  <si>
    <t>Goal 1: Learn how to open accounts.
Goal 2: Reach my targets.
Goal 3: Learn everything about the banking industry.</t>
  </si>
  <si>
    <t>Nosiphiwe Sweetness Zulu</t>
  </si>
  <si>
    <t>FNB Points of Presence (Leratamang Okereke)</t>
  </si>
  <si>
    <t>Create Mentorship Event for Nosiphiwe Sweetness Zulu with Neo Mphuthi</t>
  </si>
  <si>
    <t>This year I want to achieve the following goals:
1.Improve customer service-especially when making calls to clients
2. Professional networking- grow professionally
3. Manage difficult customers
www.linkedin.com/in/asemahle-ndlebe-15392522b</t>
  </si>
  <si>
    <t>Asemahle Ndlebe</t>
  </si>
  <si>
    <t>FNB Commercial Public Sector Banking National Sales East (Anrie Spangenberg)</t>
  </si>
  <si>
    <t>84100002701 FNB Commercial Public Sector Western Cape</t>
  </si>
  <si>
    <t>Create Mentorship Event for Asemahle Ndlebe with Thabo Zwane</t>
  </si>
  <si>
    <t>2026 Professional Goals
1. Permanent Employment 
2. Exam Progress
3. Improve PowerBI skills</t>
  </si>
  <si>
    <t>Elmon Ramahoshi</t>
  </si>
  <si>
    <t>Create Mentorship Event for Elmon Ramahoshi with Sisanda Sibanda</t>
  </si>
  <si>
    <t>Goal 1- Learn new Skills and boost self confidence in the field of sales 
Goal 2- Complete all formative assignments on Learnership portal on time or even before time scheduled time frame.
Goal 3- Complete my workbook by October and obtain my NQF 5 banking Certificate at the end of program.</t>
  </si>
  <si>
    <t>Mosima Lucia Mnisi</t>
  </si>
  <si>
    <t>FNB Points of Presence (Livhuwani Mandiwana)</t>
  </si>
  <si>
    <t>Create Mentorship Event for Mosima Lucia Mnisi with Njabulo Preysgod Nsibande</t>
  </si>
  <si>
    <t>I wish to learn how to network and build relationships
I want to understand business value, &amp; master feedback</t>
  </si>
  <si>
    <t>Nonhlakanipho Prayer Masanabo</t>
  </si>
  <si>
    <t>FNB Points of Presence (Khomotso Seopela)</t>
  </si>
  <si>
    <t>Create Mentorship Event for Nonhlakanipho Prayer Masanabo with Malamba Lavhengwa</t>
  </si>
  <si>
    <t>FRV/FJ Mentorship Programme</t>
  </si>
  <si>
    <t>Lehlohonolo Maake</t>
  </si>
  <si>
    <t>Corporate Investment Bank Internal Audit (Precious Ilunga)</t>
  </si>
  <si>
    <t>20200007979 FRCC Human Capital Special Projects</t>
  </si>
  <si>
    <t>Create Mentorship Event for Lehlohonolo Maake with Xola Ntlangula</t>
  </si>
  <si>
    <t>This year I'd like to achieve the following gaols: 
1. Be hired permanently by the end of the learnership programme.
2. Get good grades on my schoolwork.
3. Make improvements of my well-being.</t>
  </si>
  <si>
    <t>Nomthandazo Chabalala</t>
  </si>
  <si>
    <t>FNB Finance Business Solutions (Asheen Sewgoolam)</t>
  </si>
  <si>
    <t>Create Mentorship Event for Nomthandazo Chabalala with Luleka Righteous Khumalo</t>
  </si>
  <si>
    <t>Career Guidance.
Disruptive Technologies.
Manage a career transition.
Relationship building and networking.</t>
  </si>
  <si>
    <t>Penchele Kakudi</t>
  </si>
  <si>
    <t>FNB Points of Presence (Modise Mabote)</t>
  </si>
  <si>
    <t>Create Mentorship Event for Penchele Kakudi with Nozipho Victoria Sidambe</t>
  </si>
  <si>
    <t>I would like to provide excellent customer service, would like to improve my work-life balance and also increase my performance metrics.</t>
  </si>
  <si>
    <t>Lihle Konzeka</t>
  </si>
  <si>
    <t>FNB Points of Presence (Thembalethu Badiwe)</t>
  </si>
  <si>
    <t>Create Mentorship Event for Lihle Konzeka with Noluthando Buthelezi</t>
  </si>
  <si>
    <t>I want to learn how to be the best in sales.
I want to boost my skills.
I want to meet and go extra miles with my target market.</t>
  </si>
  <si>
    <t>Thobile Buthelezi</t>
  </si>
  <si>
    <t>FNB Points of Presence (Sindisiwe Zondi)</t>
  </si>
  <si>
    <t>Create Mentorship Event for Thobile Buthelezi with Nathan Ngqwebo</t>
  </si>
  <si>
    <t>Develop professional banking skills.
Perform well in this learnership.
learn how to balance work and academics.</t>
  </si>
  <si>
    <t>Bonolo Ntoloane</t>
  </si>
  <si>
    <t>FNB Points of Presence (Dakalo Ndove)</t>
  </si>
  <si>
    <t>Create Mentorship Event for Bonolo Ntoloane with Reitumetse Rabotapi</t>
  </si>
  <si>
    <t>Simthandile Jiyane</t>
  </si>
  <si>
    <t>FNB Volunteers (Solomon Mzinyane)</t>
  </si>
  <si>
    <t>Create Mentorship Event for Simthandile Jiyane with Neo Mphuthi</t>
  </si>
  <si>
    <t>This year I want to achieve the following goals:
Goal 1
1. To gain a strong understanding of FNB Commercial Banking products, systems and processes so that I can confidently support clients and contribute effectively to the team. 
Goal 2
2. To develop practical workplace skills including customer service, compliance and teamwork by participating in daily operations and learning from experienced colleagues and my mentor 
Goal 3
3. To grow to competent and reliable commercial banking professional at FNB, with long-term goal of building a permanent career within the organization and adding value to both clients and the bank.</t>
  </si>
  <si>
    <t>Xihluke Mabunda</t>
  </si>
  <si>
    <t>FNB Commercial Sales Inland (Ingrit Msibi)</t>
  </si>
  <si>
    <t>Create Mentorship Event for Xihluke Mabunda with Talhah Shahzada</t>
  </si>
  <si>
    <t>FNB Points of Presence (Rachel Zwane)</t>
  </si>
  <si>
    <t>Close Mentorship Event for Katleho Sondlo with Nathan Ngqwebo
Create Mentorship Event for Katleho Sondlo with Nathan Ngqwebo</t>
  </si>
  <si>
    <t>More Skills
Work Experience 
Get Permanent Job</t>
  </si>
  <si>
    <t>Thabo Mthembu</t>
  </si>
  <si>
    <t>FNB Points of Presence (Bokang Kitsa)</t>
  </si>
  <si>
    <t>Create Mentorship Event for Thabo Mthembu with Nathan Ngqwebo</t>
  </si>
  <si>
    <t>Nosisa Zungu</t>
  </si>
  <si>
    <t>FNB Commercial Merchant Services (Itu Mokoka)</t>
  </si>
  <si>
    <t>Create Mentorship Event for Nosisa Zungu with Rudzani Thagwana</t>
  </si>
  <si>
    <t>A very good morning I need Mentor to assist me On knowing and Understanding the IT environment and the diagrams the reason for that is I'm currently studying degree on IT so I need the clear understanding of what is needed.</t>
  </si>
  <si>
    <t>Mandla Mthembu</t>
  </si>
  <si>
    <t>FNB Collections and Platform Enablement (Burton Hammond)</t>
  </si>
  <si>
    <t>79700003307 Collections Platform</t>
  </si>
  <si>
    <t>Create Mentorship Event for Mandla Mthembu with Aobakwe Kgobokoe</t>
  </si>
  <si>
    <t>2026 goals
1. Achieve targets.
2. Stay courageous.
3. Try something new exciting.</t>
  </si>
  <si>
    <t>Reabetsoe Moshoeshoe</t>
  </si>
  <si>
    <t>FNB Points of Presence (Nasiphi Gxumisa)</t>
  </si>
  <si>
    <t>Create Mentorship Event for Reabetsoe Moshoeshoe with Ofentse Pilane</t>
  </si>
  <si>
    <t>This year I want to archive the following goals.
1.I want to earn myself a permeant position at my current role at FNB.
2.I want to learn new skills which will help me contribute to the organization. 
3.I want to grow my knowledge and talent so I can be able to empower others.</t>
  </si>
  <si>
    <t>Thapelo Phatudi</t>
  </si>
  <si>
    <t>Create Mentorship Event for Thapelo Phatudi with Luleka Righteous Khumalo</t>
  </si>
  <si>
    <t>identity career paths within FNB
how to reach my targets faster
building ready work skills</t>
  </si>
  <si>
    <t>Precious Phalwane</t>
  </si>
  <si>
    <t>FNB Points of Presence (Penny Manganye)</t>
  </si>
  <si>
    <t>Create Mentorship Event for Precious Phalwane with Liso Tabata
Edit Mentorship Event for Precious Phalwane with Liso Tabata</t>
  </si>
  <si>
    <t>1. I want to learn more than i already know about the banking industry.
2. Improve my knowledge on sales.
3. Get my certificate at the end the program.</t>
  </si>
  <si>
    <t>Karabelo Innocent Finger</t>
  </si>
  <si>
    <t>FNB Points of Presence (Khulu Bongelo)</t>
  </si>
  <si>
    <t>Create Mentorship Event for Karabelo Innocent Finger with Gudani Khuswana</t>
  </si>
  <si>
    <t>This year, I wish to:
Learn- How to confidently approach customers with a clear voice. 
Do- I want to be able to go out and look for sales and be able to achieve my targets. 
Achieve- I wish to achieve my goals and be able to secure a permanent position.</t>
  </si>
  <si>
    <t>Nosipho Angela Sithole (Terminated)</t>
  </si>
  <si>
    <t>Create Mentorship Event for Nosipho Angela Sithole (Terminated) with Kaylyn Karuppen</t>
  </si>
  <si>
    <t>1. Understand how to handle crisis in tough communication situations like data breach, addressing issues that can affect customers and business.
2. Know how to measure communication success using analytics to show impact 
3. Internal PR keeping employees informed and on brand</t>
  </si>
  <si>
    <t>Mondli Chauke</t>
  </si>
  <si>
    <t>Create Mentorship Event for Mondli Chauke with Tokelo Monare</t>
  </si>
  <si>
    <t>1. Gain fresh perspective
2. Strengthen my knowledge
3. Refine communication skills</t>
  </si>
  <si>
    <t>Nyiko Magomani</t>
  </si>
  <si>
    <t>FNB Personal Human Capital (Vanessa Mileham)</t>
  </si>
  <si>
    <t>Close Mentorship Event for Nyiko Magomani with Nathan Ngqwebo
Create Mentorship Event for Nyiko Magomani with Nathan Ngqwebo</t>
  </si>
  <si>
    <t>I want to be the best Sweet Spot first jobber in the FNB history.
To obtain NQF 5 Certificate at FNB
Be permanently employed at FNB</t>
  </si>
  <si>
    <t>Khonaye Ntshwanti</t>
  </si>
  <si>
    <t>FNB Points of Presence (Tessa Nkewana)</t>
  </si>
  <si>
    <t>Create Mentorship Event for Khonaye Ntshwanti with Msimisi Dlamini</t>
  </si>
  <si>
    <t>Customer service 
Know all the banking products
Bank Challenges</t>
  </si>
  <si>
    <t>Nosihle Gcaba</t>
  </si>
  <si>
    <t>FNB Points of Presence (Ashveer Kissoon)</t>
  </si>
  <si>
    <t>Create Mentorship Event for Nosihle Gcaba with Malamba Lavhengwa</t>
  </si>
  <si>
    <t>Adapting in the workplace
Reaching sales targets
Learning valuable skills</t>
  </si>
  <si>
    <t>Nonceba Ludidi</t>
  </si>
  <si>
    <t>FNB Points of Presence (Charlton Willemse)</t>
  </si>
  <si>
    <t>Create Mentorship Event for Nonceba Ludidi with Costa Muthai</t>
  </si>
  <si>
    <t>This year i want to achieve the following goals:
1. Successfully complete the qualification I am enrolled in.
2.Learn and understand more about all the departments in my business unit.
3.Aquire a permanent position in my department.</t>
  </si>
  <si>
    <t>Kamogelo Ndlovu</t>
  </si>
  <si>
    <t>FNB Commercial Merchant Services (Khothatso Mackay)</t>
  </si>
  <si>
    <t>Create Mentorship Event for Kamogelo Ndlovu with Veroshan Thaver</t>
  </si>
  <si>
    <t>Goal 1: Master fundamentals as to get solid in kitchen basics like knife skills, cooking techniques, and food safety.
Goal 2: Learn from the best :Absorb knowledge and skills from experienced chefs, and ask tons of questions.
Goal 3: Gets hands-on experience: Dive into different kitchen stations, work on live orders also cooking for crowds, e.g. buffet, special events.</t>
  </si>
  <si>
    <t>Philiswa Lungeleni Msane</t>
  </si>
  <si>
    <t>REMS Real Estate Management Services (Rani Roopnarain)</t>
  </si>
  <si>
    <t>FirstJob Intern</t>
  </si>
  <si>
    <t>Create Mentorship Event for Philiswa Lungeleni Msane with Lehlogonolo Phineas Mbiza</t>
  </si>
  <si>
    <t>Goal number 1: I need to get retained at the end at the end of my learnership. 
Goal number 2: Know how to fit in with corporations and with any corporate culture. 
Goal number 3: I need to know how to network and set myself apart from the majority.</t>
  </si>
  <si>
    <t>Bonga Sondlo</t>
  </si>
  <si>
    <t>FNB Wealth and Investments (Smita Hira (Inherited))</t>
  </si>
  <si>
    <t>Create Mentorship Event for Bonga Sondlo with Tebogo Matome Raphadu</t>
  </si>
  <si>
    <t>Hi, I hope you’re well. My name is Mbhalenhle Mahuhushi, and I recently joined RMB in October 2025 through the Operations Experience Graduate Programme. I’m currently placed within the GoldenSource Business Analysis team under Munnera.
I came across your profile on LinkedIn and was really inspired by your journey. Even though our educational backgrounds are quite different, I deeply admire the depth of your expertise and the direction your career has taken. Your work sits in a space I’m very interested in exploring and eventually growing into.
I’m currently in a stage where I’m trying to strengthen my technical capabilities, sharpen my analytical thinking, and broaden my understanding of the business. I would really appreciate the opportunity to learn from you, whether through occasional conversations, guidance on development areas, or any insights you feel would help someone early in their career.
If you’re open to it, I would be grateful for the chance to connect and potentially explore a mentorship relationship. Thank you for considering my request, and either way, I truly appreciate the work you do and the inspiration it provides.
Kind regards</t>
  </si>
  <si>
    <t>Create Mentorship Event for Mbhalenhle Mahuhushi with Tshepiso Mngomezulu</t>
  </si>
  <si>
    <t>This year i would like to achieve the following goals:
1. Develop new skills, especially in problem-solving and analytical thinking.
2. Build strong technical skills along with effective communication abilities.
3. Secure a job in a technical field where I can continue learning and developing myself.</t>
  </si>
  <si>
    <t>Siphesihle Anderson Kwelemthini</t>
  </si>
  <si>
    <t>FNB Commercial TxP (Maganda Nthimbane)</t>
  </si>
  <si>
    <t>Close Mentorship Event for Siphesihle Anderson Kwelemthini with Ronewa Errol Maemu Tshikosi
Create Mentorship Event for Siphesihle Anderson Kwelemthini with Ronewa Errol Maemu Tshikosi</t>
  </si>
  <si>
    <t>Mmapaseka Mmamogale</t>
  </si>
  <si>
    <t>FNB Points of Presence (Nicolene Maritz (Inherited))</t>
  </si>
  <si>
    <t>Create Mentorship Event for Mmapaseka Mmamogale with Ronewa Errol Maemu Tshikosi</t>
  </si>
  <si>
    <t>Goal 1- Building a strong solid foundation in banking by learning the systems and understand how the bank works and understand my role and excel in it.
Goal 2- Develop good judgement and risk awareness 
Goal 3- Grow professionally in the financial industry</t>
  </si>
  <si>
    <t>Winnie Sithole</t>
  </si>
  <si>
    <t>FNB Points of Presence (Yota Christodoulou)</t>
  </si>
  <si>
    <t>Create Mentorship Event for Winnie Sithole with Gudani Khuswana</t>
  </si>
  <si>
    <t>1.Systems knowledge
2.Academics
3.Excellence in doing my job.
4.Emotional intelligence</t>
  </si>
  <si>
    <t>Amishoni Vivian Shirindza</t>
  </si>
  <si>
    <t>FNB Personal Segment Advisory and Suites (Veronica Nhlapo)</t>
  </si>
  <si>
    <t>Create Mentorship Event for Amishoni Vivian Shirindza with Rohan Schoeman</t>
  </si>
  <si>
    <t>My three top goals:
1. Finish the learnership without breaking any rules.
2. Pass my assignments with outstanding marks.
3. Build my first career path.</t>
  </si>
  <si>
    <t>Sphelele Ndhlovu</t>
  </si>
  <si>
    <t>FNB Points of Presence (Sfiso Sibiya)</t>
  </si>
  <si>
    <t>Create Mentorship Event for Sphelele Ndhlovu with Nobuhle Mlahleki</t>
  </si>
  <si>
    <t>Develop a deeper understanding of FNB's talent acquisition and development strategies.
Improve my skills in HR analytics and reporting.
Position myself for a permanent role in the HC department.</t>
  </si>
  <si>
    <t>Nqobile Nhlapho</t>
  </si>
  <si>
    <t>Create Mentorship Event for Nqobile Nhlapho with Sizolwethu Mthombeni</t>
  </si>
  <si>
    <t>1. Improve my sales numbers
2. Learn more about the banking industry
3. Become a permanent member at FNB</t>
  </si>
  <si>
    <t>Molefi Macdonald Modumaela</t>
  </si>
  <si>
    <t>Create Mentorship Event for Molefi Macdonald Modumaela with Talhah Shahzada</t>
  </si>
  <si>
    <t>I want to learn more about finance and economy at large, help clients to have more financial freedom and help with acknowledge about investments.
Achieve understanding of financial success and economical skills.</t>
  </si>
  <si>
    <t>FNB Commercial Cash (Jen Cleland)</t>
  </si>
  <si>
    <t>Create Mentorship Event for Kutlwano Lekgetho with Muhammad Moosa</t>
  </si>
  <si>
    <t>This year I want to achieve the following goal:
1. Gaining practical banking skills
2. Gaining communication skills 
3. Get a permanent position at the end of the learnership</t>
  </si>
  <si>
    <t>FNB Points of Presence (Zinhle Pikwa)</t>
  </si>
  <si>
    <t>Create Mentorship Event for Gugu Yeni with Muhammad Moosa</t>
  </si>
  <si>
    <t>Grow Into a High‑Performing, Career‑Ready Employee
gain leadership skills.
Build Strong Banking &amp; Financial Skills.</t>
  </si>
  <si>
    <t>Sabelo Mshiywa</t>
  </si>
  <si>
    <t>FNB Commercial Public Sector (Thobela Jemsana)</t>
  </si>
  <si>
    <t>84100002705 FNB Commercial Public Sector KZN</t>
  </si>
  <si>
    <t>Create Mentorship Event for Sabelo Mshiywa with Lehlogonolo Phineas Mbiza</t>
  </si>
  <si>
    <t>This is year I want to achieve the following goals:
1: permanent advance 
2:Growth in banking</t>
  </si>
  <si>
    <t>Nhluvuko Rookie Maluleke</t>
  </si>
  <si>
    <t>FNB Points of Presence (Dimakatso Mokoena)</t>
  </si>
  <si>
    <t>Create Mentorship Event for Nhluvuko Rookie Maluleke with Nathan Ngqwebo</t>
  </si>
  <si>
    <t>1. I want to learn at the teller department 
2. Be proficient in sales and sell 
3. Be comfortable in making presentations</t>
  </si>
  <si>
    <t>Phumlile Lureme</t>
  </si>
  <si>
    <t>FNB Points of Presence (Ntsikelelo Buti)</t>
  </si>
  <si>
    <t>Create Mentorship Event for Phumlile Lureme with Andisa Mashimbye</t>
  </si>
  <si>
    <t>Bridging the gap for graduates and first-time joiners to the workplace
Learn how to navigate the system</t>
  </si>
  <si>
    <t>Stanley Malepe</t>
  </si>
  <si>
    <t>Create Mentorship Event for Stanley Malepe with Nobuhle Mlahleki</t>
  </si>
  <si>
    <t>This year I want to learn the following:
1. Communication skills 
2. Good organizational skills
3. Allow room for growth</t>
  </si>
  <si>
    <t>Mamosa Mokoena</t>
  </si>
  <si>
    <t>FNB Finance Business Solutions (Sandra Block)</t>
  </si>
  <si>
    <t>Create Mentorship Event for Mamosa Mokoena with Andisa Mashimbye</t>
  </si>
  <si>
    <t>mentoring and helping in managing and coping with my studies my studies</t>
  </si>
  <si>
    <t>Lindokuhle Madonsela</t>
  </si>
  <si>
    <t>FNB Points of Presence (Dion Sibiya)</t>
  </si>
  <si>
    <t>Create Mentorship Event for Lindokuhle Madonsela with Sandile Mthiyane</t>
  </si>
  <si>
    <t>I want to learn how to open accounts, do transactions and achieve a permanent job with FNB</t>
  </si>
  <si>
    <t>Snenhlanhla Bridget Shabalala</t>
  </si>
  <si>
    <t>FNB Points of Presence (Sibo Buthelezi)</t>
  </si>
  <si>
    <t>Create Mentorship Event for Snenhlanhla Bridget Shabalala with Ntsako Rebecca Zondani</t>
  </si>
  <si>
    <t>I need a mentor to guide me and as well as help me to accelerate my professional growth in the banking industry. I need a mentor because there is a lot to learn from them. I want to learn and grow with banking, and I know that I can only do that through mentorship from my mentor.</t>
  </si>
  <si>
    <t>FNB Points of Presence (Esther Masombuka)</t>
  </si>
  <si>
    <t>Create Mentorship Event for Stella Lekhoaba with Allen Chapingidza</t>
  </si>
  <si>
    <t>This year i want to achieve the following goals;
1.understanding clearly 
2. further my learning
3. be productive and finishing on time</t>
  </si>
  <si>
    <t>Tshegofatso Mokoto</t>
  </si>
  <si>
    <t>FNB Points of Presence (Wanda Mitton)</t>
  </si>
  <si>
    <t>Create Mentorship Event for Tshegofatso Mokoto with Ntsako Rebecca Zondani</t>
  </si>
  <si>
    <t>Nkosinomusa Dladla</t>
  </si>
  <si>
    <t>FNB Chief Risk Office IT (Perlin Pillay)</t>
  </si>
  <si>
    <t>Create Mentorship Event for Nkosinomusa Dladla with Tokelo Monare</t>
  </si>
  <si>
    <t>1. Problem-solving
2. Communication Skill
3. Exposure to new and different perspectives</t>
  </si>
  <si>
    <t>Create Mentorship Event for Nyiko Magomani with Sandile Mthiyane</t>
  </si>
  <si>
    <t>goals that I want to achieve this year
1.Understand every financial products in the bank and deliver outstanding customer service
2.Take on challenging projects to build my skills
3.Connect with my mentor and colleagues to learn and grow as person.</t>
  </si>
  <si>
    <t>Zethu Sibango</t>
  </si>
  <si>
    <t>FNB Points of Presence (Siya Doda)</t>
  </si>
  <si>
    <t>Create Mentorship Event for Zethu Sibango with Costa Hagios</t>
  </si>
  <si>
    <t>Create Mentorship Event for Nontokozo Maphanga with Nikail Singh</t>
  </si>
  <si>
    <t>I'm looking for guidance on advancing my career in the banking industry as a First Jobber currently. I had also like to gain clarity on my strengths/weaknesses and areas for growth, and to develop a strategy to reach my goals. I had like to achieve the following Career direction, adapting to new environment, improve skills and gain confidence in opening accounts, networking opportunities and guidance to overcome obstacles.</t>
  </si>
  <si>
    <t>Anelisa Fancy Juddy Mankayi</t>
  </si>
  <si>
    <t>FNB Points of Presence (Kaylene Walters (Inherited))</t>
  </si>
  <si>
    <t>Create Mentorship Event for Anelisa Fancy Juddy Mankayi with Atiyya Hoosain</t>
  </si>
  <si>
    <t>Goals
1. Learn as much as possible and gain practical experience
2. Grow professionally and Build network
3. Work towards permanent employment</t>
  </si>
  <si>
    <t>FNB Points of Presence (Laeeqah Mohamed)</t>
  </si>
  <si>
    <t>Create Mentorship Event for Ncediwe Mphantsi with Julia Ndjene</t>
  </si>
  <si>
    <t>Time management
Organizing skills
Presentation skills</t>
  </si>
  <si>
    <t>Nonyameko Mbali</t>
  </si>
  <si>
    <t>FNB Points of Presence (Phomolo Monotoe)</t>
  </si>
  <si>
    <t>Create Mentorship Event for Nonyameko Mbali with Rudzani Thagwana</t>
  </si>
  <si>
    <t>help finish my work on time 
help meet my sales daily target
guide me on how to deal with customers 
motivate me about career I am enrolled in</t>
  </si>
  <si>
    <t>Liso Eugene Maphithiza</t>
  </si>
  <si>
    <t>FNB Points of Presence (Coceka Zoko)</t>
  </si>
  <si>
    <t>Create Mentorship Event for Liso Eugene Maphithiza with Anele Mkhize</t>
  </si>
  <si>
    <t>Better integration into a team/business unit
Bridging the gap for graduates and first-time joiners to the workplace
Broaden organizational knowledge
Career guidance</t>
  </si>
  <si>
    <t>Maela Salome Monareng</t>
  </si>
  <si>
    <t>FNB Points of Presence (Onica Manganye)</t>
  </si>
  <si>
    <t>Create Mentorship Event for Maela Salome Monareng with Sachin Moodley</t>
  </si>
  <si>
    <t>This year I want to achieve the following goals:
Goal 1- To become more confident in the work that I do and produce.
Goal 2- To learn how to better approach and receive more customers.
Goal 3- To learn how to balance my work and academic responsibilities.</t>
  </si>
  <si>
    <t>FNB Points of Presence (Shirese Russion)</t>
  </si>
  <si>
    <t>Create Mentorship Event for Erron Goliath with Sachin Moodley</t>
  </si>
  <si>
    <t>I am seeking mentorship to help me navigate my career journey more effectively. I want to learn from real experience, gain practical advice, and develop the mindset and skills needed to build a successful and fulfilling career.</t>
  </si>
  <si>
    <t>Singo Fhulufhedzani</t>
  </si>
  <si>
    <t>FNB Personal Segment Advisory and Suites (Kd Mac Chambers)</t>
  </si>
  <si>
    <t>Solutions Analyst</t>
  </si>
  <si>
    <t>Create Mentorship Event for Singo Fhulufhedzani with Simon Makhura</t>
  </si>
  <si>
    <t>I am seeking mentorship to support my transition into the data science space with a focus on managing a strategic career shift, broadening my organizational knowledge and understanding innovation and disruptive technology in analytics and AI. I am deeply passionate about being dynamic in a rapidly evolving technology landscape and positioning myself ahead of change to contribute to organizational growth. My long-term goal is to build centralized, efficient data environments where advanced analytics, predictive insights, and seamless data flow become standard practice across the organization.</t>
  </si>
  <si>
    <t>KGOTSO LEHARI</t>
  </si>
  <si>
    <t>FNB Retail COO (Gerarde Naidoo)</t>
  </si>
  <si>
    <t>69000005233 FNB Retail Business Solutions</t>
  </si>
  <si>
    <t>Create Mentorship Event for KGOTSO LEHARI with Bheki Cele</t>
  </si>
  <si>
    <t>This year I want to achieve the following goals:
1. Discover a direct and clearer path into becoming a Data Analysis and action on it.
2. Stay consistent in gathering the required skills and pass the PL-300 Microsoft PowerBI Data Analyst Certification Exam by end of June.
3. Network and have a good connection with people in the Data Science and Data Analysis field.</t>
  </si>
  <si>
    <t>Create Mentorship Event for Kopano Mpya with Zachary Correia</t>
  </si>
  <si>
    <t>I’m seeking a mentor in data analytics because I enjoy working with numbers and turning data into meaningful insights. I’m currently new into building dashboards and have discovered a strong interest in data-driven problem solving. A mentor would help guide my transition into a data analyst role by providing industry insight, feedback on my work, and advice on the skills needed to grow in this field.</t>
  </si>
  <si>
    <t>Thubaelihle Nkosi</t>
  </si>
  <si>
    <t>First Risk and Advisory Services (Neo Mashike)</t>
  </si>
  <si>
    <t>16900010749 First Risk and Advisory Services IB Operations</t>
  </si>
  <si>
    <t>Create Mentorship Event for Thubaelihle Nkosi with Kholofelo Napo</t>
  </si>
  <si>
    <t>FNB Points of Presence (Keegan Naicker)</t>
  </si>
  <si>
    <t>Create Mentorship Event for Shrika Jaikishor with Sihle Mthembu</t>
  </si>
  <si>
    <t>I’m looking for a mentor to support my career growth, leadership development, and strategic thinking as I continue to evolve as a delivery leader navigating complex organisational environments to broaden my impact.</t>
  </si>
  <si>
    <t>Thato Khabo</t>
  </si>
  <si>
    <t>FNB ConnectMe (Mahlokileng Semenya)</t>
  </si>
  <si>
    <t>Create Mentorship Event for Thato Khabo with Tinyiko Ndlovu</t>
  </si>
  <si>
    <t>1. skill development
2. Banking experiences.
3. Networking and team working</t>
  </si>
  <si>
    <t>Nokuthula Shabangu</t>
  </si>
  <si>
    <t>FNB Points of Presence (Sandile Nkosi)</t>
  </si>
  <si>
    <t>Create Mentorship Event for Nokuthula Shabangu with Andisa Mashimbye</t>
  </si>
  <si>
    <t>This year  i want to achieve this goals:
Better integration into a team/business unit
Learn how to navigate the system
Develop leadership skills</t>
  </si>
  <si>
    <t>Create Mentorship Event for Lyla Maluleke with Mologadi Francinah Chuene</t>
  </si>
  <si>
    <t>1. I want to learn how to lead a group or lot of people at once.
2. I want to finish this programme and get the qualification.
3. I want to get permanent position here at Fnb.</t>
  </si>
  <si>
    <t>Timyiko Rejoyce Ndobe</t>
  </si>
  <si>
    <t>Create Mentorship Event for Timyiko Rejoyce Ndobe with Mologadi Francinah Chuene</t>
  </si>
  <si>
    <t>Personal brand development
Strategic thinking</t>
  </si>
  <si>
    <t>Tyrese Lewis</t>
  </si>
  <si>
    <t>CDO Kernel iNterfaceX (Alricco Johnson)</t>
  </si>
  <si>
    <t>Create Mentorship Event for Tyrese Lewis with Duane Ryan</t>
  </si>
  <si>
    <t>1- Learn how to provide financial advice and services
2- I want to complete the learnership program with good understanding of all content.
3- I want to be highly employable having required knowledge, skills and experience.</t>
  </si>
  <si>
    <t>FNB Points of Presence (Tsholofelo Sengadi)</t>
  </si>
  <si>
    <t>Create Mentorship Event for Gaolatlheope Moraka with Ntuthuko Yiga</t>
  </si>
  <si>
    <t>I need to practically understand AML Compliance on a high level and be job ready for career transition.</t>
  </si>
  <si>
    <t>Nokuthula Makhubo</t>
  </si>
  <si>
    <t>FNB Commercial Projects and Operations (Elzeth Van Der Walt)</t>
  </si>
  <si>
    <t>34200008517 FNB Commercial LCS WB Collateral</t>
  </si>
  <si>
    <t>Collateral Analyst</t>
  </si>
  <si>
    <t>Create Mentorship Event for Nokuthula Makhubo with Enoch Ndlovu</t>
  </si>
  <si>
    <t>Accelerated skill acquisition:
Java.
Playwright.
Standards and Best Practices:
CI/CD pipeline.</t>
  </si>
  <si>
    <t>Josaya Hanyane</t>
  </si>
  <si>
    <t>Create Mentorship Event for Josaya Hanyane with Jj Siecker</t>
  </si>
  <si>
    <t>I have increasingly been taking on system analysis responsibilities in my current role as a Test Analyst, which has strengthened my interest in the discipline. I am committed to transitioning into a System Analyst role and believe that mentorship will provide valuable guidance, practical insight, and structured support to help me develop the necessary skills and broaden my capability in this area.</t>
  </si>
  <si>
    <t>Naletsana Moloantoa</t>
  </si>
  <si>
    <t>Create Mentorship Event for Naletsana Moloantoa with Kamal Bhana</t>
  </si>
  <si>
    <t>Marcia De Menezes</t>
  </si>
  <si>
    <t>I need to practically understand compliance matters on a high level and be ready for a transition.</t>
  </si>
  <si>
    <t>Create Mentorship Event for Nokuthula Makhubo with Marcia De Menezes</t>
  </si>
  <si>
    <t>Skills and career development
Knowledge and career sharing
networking opportunities
confidence building
Career direction and clarity</t>
  </si>
  <si>
    <t>Khangwelo Tshikukuvhe</t>
  </si>
  <si>
    <t>FNB HSL (Douglas Lesiba)</t>
  </si>
  <si>
    <t>Campaigns Specialist</t>
  </si>
  <si>
    <t>Create Mentorship Event for Khangwelo Tshikukuvhe with Coenraad Pretorius</t>
  </si>
  <si>
    <t>As a FirstJobber learnership candidate at FNB with a background in Psychology, my goal is to gain a comprehensive understanding of the banking environment while developing myself holistically within the organisation. Although my current role focuses on sales, I am committed to mastering sales techniques, improving my confidence, communication skills, and resilience, as I understand these are foundational skills in banking. I would like to learn more about banking products, internal systems, compliance processes, and administrative workflows, as I aspire to secure a permanent role within the administrative sector of the bank. In the long term, I aim to combine my banking experience with my academic background in Industrial Psychology to add value in areas related to organisational effectiveness, employee performance, and customer experience. I am eager to grow, learn from guidance, and position myself as a reliable and valuable asset to FNB.</t>
  </si>
  <si>
    <t>Kopano Thupae</t>
  </si>
  <si>
    <t>FNB Points of Presence (Sharon Mwale)</t>
  </si>
  <si>
    <t>Create Mentorship Event for Kopano Thupae with Njabulo Preysgod Nsibande</t>
  </si>
  <si>
    <t>Mpho Marakalala</t>
  </si>
  <si>
    <t>FNB Private Banking &amp; Advisory (Tejal Daya)</t>
  </si>
  <si>
    <t>Create Mentorship Event for Mpho Marakalala with Nastassja Nydoo</t>
  </si>
  <si>
    <t>I am seeking mentorship to help me grow both personally and professionally as I continue to navigate the workplace. As I build my career, I believe having a mentor will provide me with valuable guidance, direction, and support. I am looking for someone who can help me better understand the organisational environment, strengthen my decision‑making, and expand my professional network.
Additionally, I am seeking career guidance to clarify my long‑term goals and identify the steps I need to take to achieve them. I want to learn from someone with experience who can share insights, challenge my thinking, and help me develop the skills necessary to progress confidently in my career journey</t>
  </si>
  <si>
    <t>Yandiswa Ntentesa</t>
  </si>
  <si>
    <t>RMBSA Global Markets Operations Local and Currency Money Market (Mapula Mokgosi)</t>
  </si>
  <si>
    <t>77800000OMM RMBSA Global Markets Operations Money Markets Operations</t>
  </si>
  <si>
    <t>Trade Execution Operations Specialist</t>
  </si>
  <si>
    <t>Create Mentorship Event for Yandiswa Ntentesa with Naomi Sekgobela</t>
  </si>
  <si>
    <t>I’m seeking mentorship to accelerate my transition into a Compliance Monitoring Manager role within FRCC. My goals are to 
(1) develop practical leadership capability (people, portfolio and assurance standards), 
(2) refine my career positioning and close specific readiness gaps, and 
(3) learn to navigate FirstRand’s governance and stakeholder landscape more effectively for group‑wide impact. 
I bring 7+ years in AML/CFT and monitoring, strong data‑driven analysis, and I’m currently completing an LLB to deepen legal advisory skills. I’m looking for a mentor who can challenge my thinking, share playbooks that work in the Group context, and help me build a focused 6–12‑month development plan with measurable outcomes.</t>
  </si>
  <si>
    <t>Create Mentorship Event for Enoch Ndlovu with Thirumala Pillay</t>
  </si>
  <si>
    <t>Hi Marcia, 
I trust you are well.
I am writing to you for your assistance and guidance in mentoring me. I am currently a myFais Solutions Quality Assurer and would love to enter into Compliance. Your help, guidance and mentorship would be highly appreciated.
I have completed my Postgraduate Diploma in Risk Management and would love the opportunity to shadow you.
Looking forward to hearing from you.</t>
  </si>
  <si>
    <t>Create Mentorship Event for Nondumiso Gumbi with Marcia De Menezes</t>
  </si>
  <si>
    <t>I’m very interested in growing into a Business Analyst role over time. I’d love to start by shadowing a BA during requirements sessions, then gradually take on documentation and smaller pieces of work as I develop the skills. If possible, I’d appreciate a phased approach where I can build toward eventually owning BA responsibilities.</t>
  </si>
  <si>
    <t>Aidan Jannemann</t>
  </si>
  <si>
    <t>CDO Kernel iNterfaceX (Gizelle Phillips)</t>
  </si>
  <si>
    <t>Create Mentorship Event for Aidan Jannemann with Nastassja Nydoo</t>
  </si>
  <si>
    <t>To gain practical experience from someone I can occasionally check-things with, particularly around navigating the department, stakeholder engagement, and understanding how we implement governance in practice in the department. The intention is to learn in a practical and workplace focused sense.</t>
  </si>
  <si>
    <t>Zizipo Ntwembi</t>
  </si>
  <si>
    <t>Create Mentorship Event for Zizipo Ntwembi with Jermaine Varnicker</t>
  </si>
  <si>
    <t>I am currently pursuing a Diploma in Marketing Management while working full-time, with a strong interest in combining marketing strategy and commercial law within a corporate environment. I am seeking mentorship to gain practical guidance on navigating the business environment, understanding organisational structures, and positioning myself for growth in roles that integrate marketing, compliance, and business management.
Through this mentorship, I would like to strengthen my leadership capabilities, improve my professional decision-making skills, and better understand how commercial law principles apply within marketing and business operations. I am particularly interested in learning how to manage career progression strategically while balancing academic development and professional responsibilities.
I am eager to gain insights from an experienced professional who can guide me in building confidence, expanding my organisational knowledge, and developing long-term career clarity.</t>
  </si>
  <si>
    <t>Pumlani Mlanjana</t>
  </si>
  <si>
    <t>FNB Points of Presence (Marna Meyer)</t>
  </si>
  <si>
    <t>7710103600 FNB POP Branch Delivery Langenhovenpark</t>
  </si>
  <si>
    <t>Create Mentorship Event for Pumlani Mlanjana with Adnaan Rayned</t>
  </si>
  <si>
    <t>I would like to Job shadow and Career guidance. I have a PGdip in financial management but no experience in my field. I am passionate about risk and finance.</t>
  </si>
  <si>
    <t>Nicole Fynn</t>
  </si>
  <si>
    <t>Create Mentorship Event for Nicole Fynn with Angela Meilhon</t>
  </si>
  <si>
    <t>My purpose in pursuing business leadership is to contribute to decisions that shape sustainable value, 
align technology with strategic intent and positively influence First Rand Group outcomes.
As a senior Java Developer, I have spent the past 7 years translating complex requirements into 
dependable systems, developing a disciplined approach to problem solving, accountability and long-term thinking.
This experience has clarified my conviction that meaningful impact is achieved not only through technical excellence, but through leadership that sets direction and enables people to perform at their greatest potential.
I am motivated to move into business leadership to apply systems thinking at an organisational level, where strategy, resources and people intersect. My technical background equips me to evaluate opportunities realistically, make informed decisions and manage potential risks in a responsible manner.
My purpose is to bridge technology and business with clarity and integrity, ensuring that innovation serves clear objectives and delivers measurable value.
By transitioning into business leadership, I seek to expand my responsibility from delivering solutions to shaping vision, guiding teams and contributing to outcomes that are sustainable, ethical and aligned with First Rand Group goals.</t>
  </si>
  <si>
    <t>Lawrence Matjeni</t>
  </si>
  <si>
    <t>CDO Kernel iNterfaceX (Melvin Phuti)</t>
  </si>
  <si>
    <t>21800009982 CDO Kernel iNterfaceX Tech Online Banking Dev</t>
  </si>
  <si>
    <t>Create Mentorship Event for Lawrence Matjeni with Dido Wa Kalonji</t>
  </si>
  <si>
    <t>What I hope to achieve through this mentorship is a combination of career guidance and technical development. Even though I am moving into Test Analysis, I believe your Business Analysis experience is closely aligned with where I want to grow especially around system understanding, requirements analysis, process improvement, and Agile delivery. I would love your mentorship in building the right skills, gaining exposure, and shaping a clear career path as I move into the tech space within FNB</t>
  </si>
  <si>
    <t>Vusile Lamola</t>
  </si>
  <si>
    <t>FirstRand Short Term Insurance (Natasha Staak)</t>
  </si>
  <si>
    <t>Create Mentorship Event for Vusile Lamola with Nastassja Nydoo</t>
  </si>
  <si>
    <t>Kimita Ramalingum</t>
  </si>
  <si>
    <t>FNB Connect and Service Provider (Thuto Ngala)</t>
  </si>
  <si>
    <t>Create Mentorship Event for Kimita Ramalingum with Bradley Williams</t>
  </si>
  <si>
    <t>For Career growth as I am interested in Data Analytics but have zero experience which makes it difficult to get the role. Currently doing my honors in BBA specializing in Project Management.</t>
  </si>
  <si>
    <t>Solomon Lebethe</t>
  </si>
  <si>
    <t>FNB Personal Segment Advisory and Suites (Anthony Quail)</t>
  </si>
  <si>
    <t>Create Mentorship Event for Solomon Lebethe with Nonhlanhla Gumede Moloto</t>
  </si>
  <si>
    <t>Career mentorship for Business Analyst.</t>
  </si>
  <si>
    <t>Create Mentorship Event for Mpho Marakalala with Nonhlanhla Gumede Moloto</t>
  </si>
  <si>
    <t>Mentorship to introduce workplace</t>
  </si>
  <si>
    <t>Tsakiso Mathebula</t>
  </si>
  <si>
    <t>FNB Commercial Projects and Operations (Matieho Serame)</t>
  </si>
  <si>
    <t>Create Mentorship Event for Tsakiso Mathebula with Liso Tabata</t>
  </si>
  <si>
    <t>Create Mentorship Event for Zizipo Ntwembi with David Manala</t>
  </si>
  <si>
    <t>FNB Points of Presence (Siyabulela Bomela)</t>
  </si>
  <si>
    <t>Create Mentorship Event for Phumlani Ncewula with Shamein Makungu Sabeka</t>
  </si>
  <si>
    <t>Lindokuhle Mgaga</t>
  </si>
  <si>
    <t>RMBSA Global Markets Technology Securities Financing (Denise Karangwa)</t>
  </si>
  <si>
    <t>Create Mentorship Event for Lindokuhle Mgaga with Zwivhuya Tshitovha</t>
  </si>
  <si>
    <t>Dear Aina,
I hope you are doing well.
I am writing to kindly ask if you would consider being my mentor in the HC space. I truly admire your expertise and experience, and I believe I could learn a great deal from your guidance as I continue to grow and develop in this area.
My goal is to strengthen my knowledge and practical understanding within HC, and I would greatly value the opportunity to learn from your insights, leadership, and professional journey. Even occasional guidance or check-ins would mean a lot to me.
Please let me know if this is something you would be open to discussing. I would sincerely appreciate your support.
Kind regards,</t>
  </si>
  <si>
    <t>Create Mentorship Event for Lorraine Alberto with Aina Ipinge</t>
  </si>
  <si>
    <t>Keitumetse Mahoa</t>
  </si>
  <si>
    <t>RMBSA TTS Operations Trade Operations Johannesburg (Berlina Ditswako Ramotsho)</t>
  </si>
  <si>
    <t>Trade Operations Processing Specialist</t>
  </si>
  <si>
    <t>Create Mentorship Event for Keitumetse Mahoa with Tumi Zwane</t>
  </si>
  <si>
    <t>Hi Nonhlanhla,
Hope you are well.
I’m reaching out to express my interest in seeking mentorship as I develop my career in information management. Given your experience and leadership in this field, I would greatly value any guidance or insights you’d be willing to share.
If you're open to a brief conversation or occasional guidance, I would truly appreciate the opportunity. I understand your time is valuable, and I’d be happy to connect at your convenience.
Thanks</t>
  </si>
  <si>
    <t>Create Mentorship Event for Tshepiso Mokadi with Nonhlanhla Gumede Moloto</t>
  </si>
  <si>
    <t>Guidance and Mentorship to reach career and workplace goals</t>
  </si>
  <si>
    <t>Create Mentorship Event for Nikki Singh with Xola Ntlangula</t>
  </si>
  <si>
    <t>Mavhungu Nicholas</t>
  </si>
  <si>
    <t>FNB Commercial Sales Inland (Khanyisa Tsibolane)</t>
  </si>
  <si>
    <t>Create Mentorship Event for Mavhungu Nicholas with Noluthando Buthelezi</t>
  </si>
  <si>
    <t>Career advancement
Skills development
Boosted confidence
Networking opportunities.</t>
  </si>
  <si>
    <t>Lerato Mgidi</t>
  </si>
  <si>
    <t>RMBSA Global Markets Technology Custody Testing Team (Darryl Toy)</t>
  </si>
  <si>
    <t>77800000CZZ RMBSA Global Markets Technology Custody</t>
  </si>
  <si>
    <t>Create Mentorship Event for Lerato Mgidi with Denise Karangwa</t>
  </si>
  <si>
    <t>Focus Area: Presentation, Influence &amp; Persuasion
Focus Area: Technical Growth (Information Architecture: Group Data Platform Technology Stack, Information Architecture Framework, AI Rails &amp; Principles)</t>
  </si>
  <si>
    <t>Thero Gaborutwe</t>
  </si>
  <si>
    <t>5010492100 FNB Botswana Data Management Office</t>
  </si>
  <si>
    <t>Information Management Analyst</t>
  </si>
  <si>
    <t>Create Mentorship Event for Thero Gaborutwe with Athena Botha</t>
  </si>
  <si>
    <t>Niels Achimo</t>
  </si>
  <si>
    <t>N/A (Mozambique)</t>
  </si>
  <si>
    <t>5150MOZ2030 FNB Mozambique L and D Talent and Recruitment</t>
  </si>
  <si>
    <t>Create Mentorship Event for Niels Achimo with Shana Machado</t>
  </si>
  <si>
    <t>Helping prepare for future roles such as Application Dev Manager</t>
  </si>
  <si>
    <t>Create Mentorship Event for Mashir Moodley with Jaco Grobler</t>
  </si>
  <si>
    <t>I am currently in my first job as a learner and am looking for a mentoring relationship to support my growth and help me gain clearer direction in my career. I want to better understand how to develop within the organisation, build my skills, and prepare myself for future opportunities.
I am particularly interested in:
-Career guidance – to gain a better understanding of possible career paths and what I need to focus on to grow.
-Relationship building and networking – to improve how I connect, communicate, and work with colleagues across different teams.
-Broadening organisational knowledge – to learn more about how the organisation operates and how different departments contribute to overall success.
Through this mentorship I hope to receive practical advice, constructive feedback, and new perspectives that will help me build confidence, improve my performance, and become more proactive in my role.</t>
  </si>
  <si>
    <t>Create Mentorship Event for Nthabiseng Letsoalo with Gugu Sogobile</t>
  </si>
  <si>
    <t>Faheemah Limbada</t>
  </si>
  <si>
    <t>Create Mentorship Event for Faheemah Limbada with Narisha Govender</t>
  </si>
  <si>
    <t>Self &amp; Career development.</t>
  </si>
  <si>
    <t>Create Mentorship Event for Solomon Lebethe with Deshnee Boodhram</t>
  </si>
  <si>
    <t>YTDP broader Africa - Year 2
The purpose of the mentorship plan is to learn from an experienced senior professional in the Business.
The goals set by the mentee are as follows:
1. Become a better communicator &amp; public speaker. This includes giving professional updates, presentations &amp; chairing meetings.
2. Learn how to network effectively &amp; build strong professional relationships.
3. Develop leadership, confidence &amp; assertiveness skills.
As well as any other areas of development the mentor will advise/identify.</t>
  </si>
  <si>
    <t>Busiswa Mdluli</t>
  </si>
  <si>
    <t>FNB Eswatini (Dido Wa Kalonji (Inherited))</t>
  </si>
  <si>
    <t>5020322600 FNB Eswatini Information Technology</t>
  </si>
  <si>
    <t>Create Mentorship Event for Busiswa Mdluli with Dario Neto</t>
  </si>
  <si>
    <t>Purpose
I want a mentor to help me learn and grow. I need guidance and support to gain new skills and confidence in the FNB Group. I also want insights about my career and feedback to help me avoid common mistakes.</t>
  </si>
  <si>
    <t>Create Mentorship Event for Siphesihle Anderson Kwelemthini with Gugu Sogobile</t>
  </si>
  <si>
    <t>Total in Workday</t>
  </si>
  <si>
    <t>Available</t>
  </si>
  <si>
    <t>Mentor Name</t>
  </si>
  <si>
    <t>Mentor Type(s)</t>
  </si>
  <si>
    <t>Country</t>
  </si>
  <si>
    <t>Active Mentees
(Workday)</t>
  </si>
  <si>
    <t>Capacity Status</t>
  </si>
  <si>
    <t>In Programme?
(auto-check)</t>
  </si>
  <si>
    <t>Total Enrolled Mentors</t>
  </si>
  <si>
    <t>Not on Workday (Action Req)</t>
  </si>
  <si>
    <t>Max Mentees
(default=3)</t>
  </si>
  <si>
    <t>Date Added
to Programme</t>
  </si>
  <si>
    <t>Supervisory Org</t>
  </si>
  <si>
    <t>Workday Status</t>
  </si>
  <si>
    <t xml:space="preserve">Current Mentees
</t>
  </si>
  <si>
    <t xml:space="preserve">Remaining
Capacity
</t>
  </si>
  <si>
    <t>Overdue – Book Now</t>
  </si>
  <si>
    <t>No Next Session</t>
  </si>
  <si>
    <t>🔍 Type name or ID:</t>
  </si>
  <si>
    <t>Employee ID
(auto)</t>
  </si>
  <si>
    <t>Full Name
(auto)</t>
  </si>
  <si>
    <t>Cohort
(auto)</t>
  </si>
  <si>
    <t>Active Mentor
(assign here)</t>
  </si>
  <si>
    <t>Last Session
Date
(auto from form)</t>
  </si>
  <si>
    <t>Next Session
Date
(auto from form)</t>
  </si>
  <si>
    <t>Session
Health
(auto)</t>
  </si>
  <si>
    <t>Total Sessions Logged:</t>
  </si>
  <si>
    <t>Sessions This Month:</t>
  </si>
  <si>
    <t>Concerns Flagged:</t>
  </si>
  <si>
    <t>Timestamp
(Form Auto)</t>
  </si>
  <si>
    <t>Submitted By
(Role)</t>
  </si>
  <si>
    <t>Intern Name</t>
  </si>
  <si>
    <t>Session Date</t>
  </si>
  <si>
    <t>Duration
(mins)</t>
  </si>
  <si>
    <t>Key Discussion
Points</t>
  </si>
  <si>
    <t>Action Items /
Takeaways</t>
  </si>
  <si>
    <t>Next Session
Planned Date</t>
  </si>
  <si>
    <t>Next Session
Focus</t>
  </si>
  <si>
    <t>Concern
Flagged?
(Yes/No)</t>
  </si>
  <si>
    <t>Concern
Details</t>
  </si>
  <si>
    <t>← Paste form data here</t>
  </si>
  <si>
    <t>Total Responses:</t>
  </si>
  <si>
    <t>Avg Meeting Value:</t>
  </si>
  <si>
    <t>Avg Goal Progress:</t>
  </si>
  <si>
    <t>Avg Support Felt:</t>
  </si>
  <si>
    <t>Concerns Raised:</t>
  </si>
  <si>
    <t>Respondent
Name</t>
  </si>
  <si>
    <t>Role
(Mentor/Intern)</t>
  </si>
  <si>
    <t>Mentor/Intern
Pair</t>
  </si>
  <si>
    <t>Q1: Meeting
Value
(1-5)</t>
  </si>
  <si>
    <t>Q2: Goal
Progress
(1-5)</t>
  </si>
  <si>
    <t>Q3: Support
Felt
(1-5)</t>
  </si>
  <si>
    <t>Q4: Next Steps
Clarity
(1-5)</t>
  </si>
  <si>
    <t>Sessions
This Month</t>
  </si>
  <si>
    <t>What's
Working Well</t>
  </si>
  <si>
    <t>What Would
Make It Better</t>
  </si>
  <si>
    <t>Concern /
Support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</si>
</sst>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mm:ss"/>
    <numFmt numFmtId="165" formatCode="dd\ mmm\ yyyy\ hh:mm"/>
    <numFmt numFmtId="166" formatCode="dd\ mmm\ yyyy"/>
    <numFmt numFmtId="167" formatCode="0.0"/>
  </numFmts>
  <fonts count="30" x14ac:knownFonts="1">
    <font>
      <sz val="11"/>
      <color theme="1"/>
      <name val="Calibri"/>
      <family val="2"/>
      <charset val="1"/>
    </font>
    <font>
      <b/>
      <sz val="11"/>
      <color rgb="FFFFFFFF"/>
      <name val="Arial"/>
      <charset val="1"/>
    </font>
    <font>
      <sz val="9"/>
      <name val="Arial"/>
      <charset val="1"/>
    </font>
    <font>
      <b/>
      <sz val="9"/>
      <color rgb="FF1B2A4A"/>
      <name val="Arial"/>
      <charset val="1"/>
    </font>
    <font>
      <b/>
      <sz val="9"/>
      <color rgb="FFFFFFFF"/>
      <name val="Arial"/>
      <charset val="1"/>
    </font>
    <font>
      <sz val="9"/>
      <color rgb="FF1B2A4A"/>
      <name val="Arial"/>
      <charset val="1"/>
    </font>
    <font>
      <b/>
      <sz val="14"/>
      <color rgb="FFFFFFFF"/>
      <name val="Arial"/>
      <charset val="1"/>
    </font>
    <font>
      <i/>
      <sz val="9"/>
      <color rgb="FF1B2A4A"/>
      <name val="Arial"/>
      <charset val="1"/>
    </font>
    <font>
      <sz val="9"/>
      <color rgb="FF000000"/>
      <name val="Arial"/>
      <charset val="1"/>
    </font>
    <font>
      <sz val="8"/>
      <color rgb="FF000000"/>
      <name val="Arial"/>
      <charset val="1"/>
    </font>
    <font>
      <b/>
      <sz val="10"/>
      <color rgb="FFFFFFFF"/>
      <name val="Arial"/>
      <charset val="1"/>
    </font>
    <font>
      <sz val="10"/>
      <color rgb="FF000000"/>
      <name val="Arial"/>
      <charset val="1"/>
    </font>
    <font>
      <sz val="10"/>
      <color rgb="FF1F3864"/>
      <name val="Arial"/>
      <charset val="1"/>
    </font>
    <font>
      <b/>
      <sz val="10"/>
      <color rgb="FF000000"/>
      <name val="Arial"/>
      <charset val="1"/>
    </font>
    <font>
      <i/>
      <sz val="9"/>
      <color rgb="FF888888"/>
      <name val="Arial"/>
      <charset val="1"/>
    </font>
    <font>
      <b/>
      <sz val="11"/>
      <color rgb="FF1A3C2E"/>
      <name val="Arial"/>
      <charset val="1"/>
    </font>
    <font>
      <sz val="10"/>
      <name val="Arial"/>
      <charset val="1"/>
    </font>
    <font>
      <b/>
      <sz val="9"/>
      <color rgb="FF000000"/>
      <name val="Arial"/>
      <charset val="1"/>
    </font>
    <font>
      <b/>
      <sz val="9"/>
      <color rgb="FF1F3864"/>
      <name val="Arial"/>
      <charset val="1"/>
    </font>
    <font>
      <i/>
      <sz val="9"/>
      <color rgb="FF1F3864"/>
      <name val="Arial"/>
      <charset val="1"/>
    </font>
    <font>
      <i/>
      <sz val="8"/>
      <color rgb="FF8FA9C5"/>
      <name val="Arial"/>
      <charset val="1"/>
    </font>
    <font>
      <b/>
      <sz val="10"/>
      <color rgb="FF1F3864"/>
      <name val="Arial"/>
      <charset val="1"/>
    </font>
    <font>
      <b/>
      <sz val="9"/>
      <color theme="0"/>
      <name val="Arial"/>
      <family val="2"/>
    </font>
    <font>
      <b/>
      <sz val="10"/>
      <color theme="0"/>
      <name val="Arial"/>
      <family val="2"/>
    </font>
    <font>
      <b/>
      <sz val="9"/>
      <name val="Arial"/>
      <family val="2"/>
    </font>
    <font>
      <b/>
      <sz val="10"/>
      <color rgb="FFFFFFFF"/>
      <name val="Arial"/>
      <family val="2"/>
    </font>
    <font>
      <b/>
      <sz val="9"/>
      <color rgb="FF000000"/>
      <name val="Arial"/>
      <family val="2"/>
    </font>
    <font>
      <b/>
      <sz val="10"/>
      <color rgb="FF000000"/>
      <name val="Arial"/>
      <family val="2"/>
    </font>
    <font>
      <b/>
      <sz val="15"/>
      <color rgb="FFFFFFFF"/>
      <name val="Arial"/>
      <family val="2"/>
    </font>
    <font>
      <b/>
      <sz val="11"/>
      <color rgb="FFFFFFFF"/>
      <name val="Arial"/>
      <family val="2"/>
    </font>
  </fonts>
  <fills count="22">
    <fill>
      <patternFill patternType="none"/>
    </fill>
    <fill>
      <patternFill patternType="gray125"/>
    </fill>
    <fill>
      <patternFill patternType="solid">
        <fgColor rgb="FF1B2A4A"/>
        <bgColor rgb="FF1F3864"/>
      </patternFill>
    </fill>
    <fill>
      <patternFill patternType="solid">
        <fgColor rgb="FFF2F2F2"/>
        <bgColor rgb="FFF2F3F4"/>
      </patternFill>
    </fill>
    <fill>
      <patternFill patternType="solid">
        <fgColor rgb="FFFFF3CD"/>
        <bgColor rgb="FFFFF2CC"/>
      </patternFill>
    </fill>
    <fill>
      <patternFill patternType="solid">
        <fgColor rgb="FFF2F3F4"/>
        <bgColor rgb="FFF2F2F2"/>
      </patternFill>
    </fill>
    <fill>
      <patternFill patternType="solid">
        <fgColor rgb="FFFFFFFF"/>
        <bgColor rgb="FFFFFDE7"/>
      </patternFill>
    </fill>
    <fill>
      <patternFill patternType="solid">
        <fgColor rgb="FF1A3C2E"/>
        <bgColor rgb="FF1B2A4A"/>
      </patternFill>
    </fill>
    <fill>
      <patternFill patternType="solid">
        <fgColor rgb="FFD6EAE1"/>
        <bgColor rgb="FFD6E4F0"/>
      </patternFill>
    </fill>
    <fill>
      <patternFill patternType="solid">
        <fgColor rgb="FFFFF9C4"/>
        <bgColor rgb="FFFFF3CD"/>
      </patternFill>
    </fill>
    <fill>
      <patternFill patternType="solid">
        <fgColor rgb="FFD9E9F7"/>
        <bgColor rgb="FFD6E4F0"/>
      </patternFill>
    </fill>
    <fill>
      <patternFill patternType="solid">
        <fgColor rgb="FFE8F4FD"/>
        <bgColor rgb="FFEBF3FB"/>
      </patternFill>
    </fill>
    <fill>
      <patternFill patternType="solid">
        <fgColor rgb="FF54B9AC"/>
        <bgColor rgb="FF1F3864"/>
      </patternFill>
    </fill>
    <fill>
      <patternFill patternType="solid">
        <fgColor rgb="FF54B9AC"/>
        <bgColor rgb="FFAAAAAA"/>
      </patternFill>
    </fill>
    <fill>
      <patternFill patternType="solid">
        <fgColor rgb="FF54B9AC"/>
        <bgColor rgb="FF1E8449"/>
      </patternFill>
    </fill>
    <fill>
      <patternFill patternType="solid">
        <fgColor rgb="FF54B9AC"/>
        <bgColor rgb="FF4472C4"/>
      </patternFill>
    </fill>
    <fill>
      <patternFill patternType="solid">
        <fgColor rgb="FF54B9AC"/>
        <bgColor indexed="64"/>
      </patternFill>
    </fill>
    <fill>
      <patternFill patternType="solid">
        <fgColor rgb="FF54B9AC"/>
        <bgColor rgb="FFD0D0D0"/>
      </patternFill>
    </fill>
    <fill>
      <patternFill patternType="solid">
        <fgColor rgb="FF54B9AC"/>
        <bgColor rgb="FF1B2A4A"/>
      </patternFill>
    </fill>
    <fill>
      <patternFill patternType="solid">
        <fgColor rgb="FF54B9AC"/>
        <bgColor rgb="FF117A65"/>
      </patternFill>
    </fill>
    <fill>
      <patternFill patternType="solid">
        <fgColor rgb="FF54B9AC"/>
        <bgColor rgb="FFD9E9F7"/>
      </patternFill>
    </fill>
    <fill>
      <patternFill patternType="solid">
        <fgColor rgb="FF54B9AC"/>
        <bgColor rgb="FFD1F2EB"/>
      </patternFill>
    </fill>
  </fills>
  <borders count="8">
    <border>
      <left/>
      <right/>
      <top/>
      <bottom/>
      <diagonal/>
    </border>
    <border>
      <left style="thin">
        <color rgb="FFBDC3C7"/>
      </left>
      <right style="thin">
        <color rgb="FFBDC3C7"/>
      </right>
      <top style="thin">
        <color rgb="FFBDC3C7"/>
      </top>
      <bottom style="thin">
        <color rgb="FFBDC3C7"/>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style="thin">
        <color rgb="FFB0C4D8"/>
      </left>
      <right style="thin">
        <color rgb="FFB0C4D8"/>
      </right>
      <top style="thin">
        <color rgb="FFB0C4D8"/>
      </top>
      <bottom style="thin">
        <color rgb="FFB0C4D8"/>
      </bottom>
      <diagonal/>
    </border>
    <border>
      <left style="medium">
        <color rgb="FF2E5FA3"/>
      </left>
      <right style="medium">
        <color rgb="FF2E5FA3"/>
      </right>
      <top style="medium">
        <color rgb="FF2E5FA3"/>
      </top>
      <bottom style="medium">
        <color rgb="FF2E5FA3"/>
      </bottom>
      <diagonal/>
    </border>
    <border>
      <left style="thin">
        <color indexed="64"/>
      </left>
      <right style="thin">
        <color indexed="64"/>
      </right>
      <top style="thin">
        <color indexed="64"/>
      </top>
      <bottom style="thin">
        <color indexed="64"/>
      </bottom>
      <diagonal/>
    </border>
    <border>
      <left/>
      <right/>
      <top/>
      <bottom style="thin">
        <color rgb="FFCCCCCC"/>
      </bottom>
      <diagonal/>
    </border>
  </borders>
  <cellStyleXfs count="1">
    <xf numFmtId="0" fontId="0" fillId="0" borderId="0"/>
  </cellStyleXfs>
  <cellXfs count="87">
    <xf numFmtId="0" fontId="0" fillId="0" borderId="0" xfId="0"/>
    <xf numFmtId="0" fontId="2" fillId="0" borderId="0" xfId="0" applyFont="1"/>
    <xf numFmtId="0" fontId="4" fillId="2"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164" fontId="9" fillId="5" borderId="1" xfId="0" applyNumberFormat="1" applyFont="1" applyFill="1" applyBorder="1" applyAlignment="1">
      <alignment horizontal="left" vertical="center" wrapText="1"/>
    </xf>
    <xf numFmtId="0" fontId="9" fillId="6" borderId="1" xfId="0" applyFont="1" applyFill="1" applyBorder="1" applyAlignment="1">
      <alignment horizontal="left" vertical="center" wrapText="1"/>
    </xf>
    <xf numFmtId="164" fontId="9" fillId="6" borderId="1" xfId="0" applyNumberFormat="1" applyFont="1" applyFill="1" applyBorder="1" applyAlignment="1">
      <alignment horizontal="left" vertical="center" wrapText="1"/>
    </xf>
    <xf numFmtId="0" fontId="8" fillId="6" borderId="1" xfId="0" applyFont="1" applyFill="1" applyBorder="1" applyAlignment="1">
      <alignment horizontal="center" vertical="center" wrapText="1"/>
    </xf>
    <xf numFmtId="165" fontId="14" fillId="9" borderId="3" xfId="0" applyNumberFormat="1" applyFont="1" applyFill="1" applyBorder="1" applyAlignment="1">
      <alignment horizontal="left" vertical="center" wrapText="1"/>
    </xf>
    <xf numFmtId="0" fontId="0" fillId="9" borderId="3" xfId="0" applyFill="1" applyBorder="1" applyAlignment="1">
      <alignment horizontal="left" vertical="center" wrapText="1"/>
    </xf>
    <xf numFmtId="166" fontId="0" fillId="9" borderId="3" xfId="0" applyNumberFormat="1" applyFill="1" applyBorder="1" applyAlignment="1">
      <alignment horizontal="left" vertical="center" wrapText="1"/>
    </xf>
    <xf numFmtId="165" fontId="0" fillId="6" borderId="3" xfId="0" applyNumberFormat="1" applyFill="1" applyBorder="1" applyAlignment="1">
      <alignment horizontal="left" vertical="center" wrapText="1"/>
    </xf>
    <xf numFmtId="0" fontId="0" fillId="6" borderId="3" xfId="0" applyFill="1" applyBorder="1" applyAlignment="1">
      <alignment horizontal="left" vertical="center" wrapText="1"/>
    </xf>
    <xf numFmtId="166" fontId="0" fillId="6" borderId="3" xfId="0" applyNumberFormat="1" applyFill="1" applyBorder="1" applyAlignment="1">
      <alignment horizontal="left" vertical="center" wrapText="1"/>
    </xf>
    <xf numFmtId="165" fontId="0" fillId="8" borderId="3" xfId="0" applyNumberFormat="1" applyFill="1" applyBorder="1" applyAlignment="1">
      <alignment horizontal="left" vertical="center" wrapText="1"/>
    </xf>
    <xf numFmtId="0" fontId="0" fillId="8" borderId="3" xfId="0" applyFill="1" applyBorder="1" applyAlignment="1">
      <alignment horizontal="left" vertical="center" wrapText="1"/>
    </xf>
    <xf numFmtId="166" fontId="0" fillId="8" borderId="3" xfId="0" applyNumberFormat="1" applyFill="1" applyBorder="1" applyAlignment="1">
      <alignment horizontal="left" vertical="center" wrapText="1"/>
    </xf>
    <xf numFmtId="165" fontId="14" fillId="8" borderId="3" xfId="0" applyNumberFormat="1" applyFont="1" applyFill="1" applyBorder="1" applyAlignment="1">
      <alignment horizontal="center" vertical="center"/>
    </xf>
    <xf numFmtId="0" fontId="0" fillId="8" borderId="3" xfId="0" applyFill="1" applyBorder="1" applyAlignment="1">
      <alignment horizontal="center" vertical="center"/>
    </xf>
    <xf numFmtId="1" fontId="0" fillId="8" borderId="3" xfId="0" applyNumberFormat="1" applyFill="1" applyBorder="1" applyAlignment="1">
      <alignment horizontal="center" vertical="center"/>
    </xf>
    <xf numFmtId="165" fontId="0" fillId="6" borderId="3" xfId="0" applyNumberFormat="1" applyFill="1" applyBorder="1" applyAlignment="1">
      <alignment horizontal="center" vertical="center"/>
    </xf>
    <xf numFmtId="0" fontId="0" fillId="6" borderId="3" xfId="0" applyFill="1" applyBorder="1" applyAlignment="1">
      <alignment horizontal="center" vertical="center"/>
    </xf>
    <xf numFmtId="1" fontId="0" fillId="6" borderId="3" xfId="0" applyNumberFormat="1" applyFill="1" applyBorder="1" applyAlignment="1">
      <alignment horizontal="center" vertical="center"/>
    </xf>
    <xf numFmtId="165" fontId="0" fillId="8" borderId="3" xfId="0" applyNumberFormat="1" applyFill="1" applyBorder="1" applyAlignment="1">
      <alignment horizontal="center" vertical="center"/>
    </xf>
    <xf numFmtId="0" fontId="11" fillId="6" borderId="3" xfId="0" applyFont="1" applyFill="1" applyBorder="1" applyAlignment="1">
      <alignment horizontal="left" vertical="center"/>
    </xf>
    <xf numFmtId="0" fontId="15" fillId="6" borderId="3" xfId="0" applyFont="1" applyFill="1" applyBorder="1" applyAlignment="1">
      <alignment horizontal="center" vertical="center"/>
    </xf>
    <xf numFmtId="167" fontId="15" fillId="6" borderId="3" xfId="0" applyNumberFormat="1" applyFont="1" applyFill="1" applyBorder="1" applyAlignment="1">
      <alignment horizontal="center" vertical="center"/>
    </xf>
    <xf numFmtId="0" fontId="11" fillId="8" borderId="3" xfId="0" applyFont="1" applyFill="1" applyBorder="1" applyAlignment="1">
      <alignment horizontal="left" vertical="center"/>
    </xf>
    <xf numFmtId="0" fontId="15" fillId="8" borderId="3" xfId="0" applyFont="1" applyFill="1" applyBorder="1" applyAlignment="1">
      <alignment horizontal="center" vertical="center"/>
    </xf>
    <xf numFmtId="167" fontId="15" fillId="8" borderId="3" xfId="0" applyNumberFormat="1" applyFont="1" applyFill="1" applyBorder="1" applyAlignment="1">
      <alignment horizontal="center" vertical="center"/>
    </xf>
    <xf numFmtId="9" fontId="15" fillId="6" borderId="3" xfId="0" applyNumberFormat="1" applyFont="1" applyFill="1" applyBorder="1" applyAlignment="1">
      <alignment horizontal="center" vertical="center"/>
    </xf>
    <xf numFmtId="0" fontId="10" fillId="7" borderId="3" xfId="0" applyFont="1" applyFill="1" applyBorder="1" applyAlignment="1">
      <alignment horizontal="center" vertical="center"/>
    </xf>
    <xf numFmtId="0" fontId="16" fillId="8" borderId="3" xfId="0" applyFont="1" applyFill="1" applyBorder="1" applyAlignment="1">
      <alignment horizontal="center" vertical="center"/>
    </xf>
    <xf numFmtId="167" fontId="16" fillId="8" borderId="3" xfId="0" applyNumberFormat="1" applyFont="1" applyFill="1" applyBorder="1" applyAlignment="1">
      <alignment horizontal="center" vertical="center"/>
    </xf>
    <xf numFmtId="0" fontId="16" fillId="6" borderId="3" xfId="0" applyFont="1" applyFill="1" applyBorder="1" applyAlignment="1">
      <alignment horizontal="center" vertical="center"/>
    </xf>
    <xf numFmtId="167" fontId="16" fillId="6" borderId="3" xfId="0" applyNumberFormat="1" applyFont="1" applyFill="1" applyBorder="1" applyAlignment="1">
      <alignment horizontal="center" vertical="center"/>
    </xf>
    <xf numFmtId="0" fontId="18" fillId="10" borderId="4" xfId="0" applyFont="1" applyFill="1" applyBorder="1" applyAlignment="1">
      <alignment horizontal="right" vertical="center"/>
    </xf>
    <xf numFmtId="0" fontId="11" fillId="6" borderId="5" xfId="0" applyFont="1" applyFill="1" applyBorder="1" applyAlignment="1">
      <alignment horizontal="left" vertical="center" wrapText="1"/>
    </xf>
    <xf numFmtId="0" fontId="19" fillId="11" borderId="4" xfId="0" applyFont="1" applyFill="1" applyBorder="1" applyAlignment="1">
      <alignment horizontal="center" vertical="center" wrapText="1"/>
    </xf>
    <xf numFmtId="0" fontId="19" fillId="11" borderId="4" xfId="0" applyFont="1" applyFill="1" applyBorder="1" applyAlignment="1">
      <alignment horizontal="left" vertical="center" wrapText="1"/>
    </xf>
    <xf numFmtId="0" fontId="20" fillId="10" borderId="4" xfId="0" applyFont="1" applyFill="1" applyBorder="1" applyAlignment="1">
      <alignment horizontal="left" vertical="center"/>
    </xf>
    <xf numFmtId="0" fontId="8" fillId="5" borderId="1" xfId="0" applyFont="1" applyFill="1" applyBorder="1" applyAlignment="1">
      <alignment horizontal="center" vertical="center" wrapText="1"/>
    </xf>
    <xf numFmtId="0" fontId="8" fillId="0" borderId="6" xfId="0" applyFont="1" applyBorder="1" applyAlignment="1">
      <alignment horizontal="center" vertical="center" wrapText="1"/>
    </xf>
    <xf numFmtId="0" fontId="8" fillId="0" borderId="6" xfId="0" applyFont="1" applyBorder="1" applyAlignment="1">
      <alignment horizontal="left" vertical="center" wrapText="1"/>
    </xf>
    <xf numFmtId="1" fontId="11" fillId="0" borderId="6" xfId="0" applyNumberFormat="1" applyFont="1" applyBorder="1" applyAlignment="1">
      <alignment horizontal="center" vertical="center" wrapText="1"/>
    </xf>
    <xf numFmtId="1" fontId="12" fillId="0" borderId="6" xfId="0" applyNumberFormat="1" applyFont="1" applyBorder="1" applyAlignment="1">
      <alignment horizontal="center" vertical="center" wrapText="1"/>
    </xf>
    <xf numFmtId="0" fontId="22" fillId="13" borderId="6" xfId="0" applyFont="1" applyFill="1" applyBorder="1" applyAlignment="1">
      <alignment horizontal="center" vertical="center" wrapText="1"/>
    </xf>
    <xf numFmtId="0" fontId="22" fillId="14" borderId="6" xfId="0" applyFont="1" applyFill="1" applyBorder="1" applyAlignment="1">
      <alignment horizontal="center" vertical="center" wrapText="1"/>
    </xf>
    <xf numFmtId="0" fontId="23" fillId="15" borderId="6" xfId="0" applyFont="1" applyFill="1" applyBorder="1" applyAlignment="1">
      <alignment horizontal="center" vertical="center" wrapText="1"/>
    </xf>
    <xf numFmtId="0" fontId="24" fillId="16" borderId="6" xfId="0" applyFont="1" applyFill="1" applyBorder="1"/>
    <xf numFmtId="0" fontId="11" fillId="0" borderId="2" xfId="0" applyFont="1" applyBorder="1" applyAlignment="1">
      <alignment horizontal="left" vertical="center" wrapText="1"/>
    </xf>
    <xf numFmtId="0" fontId="11" fillId="0" borderId="2" xfId="0" applyFont="1" applyBorder="1" applyAlignment="1">
      <alignment horizontal="center" vertical="center" wrapText="1"/>
    </xf>
    <xf numFmtId="0" fontId="11" fillId="0" borderId="6" xfId="0" applyFont="1" applyBorder="1" applyAlignment="1">
      <alignment horizontal="left" vertical="center" wrapText="1"/>
    </xf>
    <xf numFmtId="0" fontId="11" fillId="0" borderId="6" xfId="0" applyFont="1" applyBorder="1" applyAlignment="1">
      <alignment horizontal="center" vertical="center" wrapText="1"/>
    </xf>
    <xf numFmtId="0" fontId="25" fillId="16" borderId="6" xfId="0" applyFont="1" applyFill="1" applyBorder="1" applyAlignment="1">
      <alignment horizontal="center" vertical="center" wrapText="1"/>
    </xf>
    <xf numFmtId="0" fontId="13" fillId="17" borderId="6" xfId="0" applyFont="1" applyFill="1" applyBorder="1" applyAlignment="1">
      <alignment horizontal="left" vertical="center" wrapText="1"/>
    </xf>
    <xf numFmtId="0" fontId="10" fillId="18" borderId="3" xfId="0" applyFont="1" applyFill="1" applyBorder="1" applyAlignment="1">
      <alignment horizontal="center" vertical="center" wrapText="1"/>
    </xf>
    <xf numFmtId="0" fontId="4" fillId="19" borderId="0" xfId="0" applyFont="1" applyFill="1" applyAlignment="1">
      <alignment horizontal="center" vertical="center"/>
    </xf>
    <xf numFmtId="0" fontId="24" fillId="0" borderId="0" xfId="0" applyFont="1" applyAlignment="1">
      <alignment horizontal="center" vertical="center"/>
    </xf>
    <xf numFmtId="167" fontId="24" fillId="0" borderId="0" xfId="0" applyNumberFormat="1" applyFont="1" applyAlignment="1">
      <alignment horizontal="center" vertical="center"/>
    </xf>
    <xf numFmtId="1" fontId="21" fillId="0" borderId="2" xfId="0" applyNumberFormat="1" applyFont="1" applyBorder="1" applyAlignment="1">
      <alignment horizontal="center" vertical="center" wrapText="1"/>
    </xf>
    <xf numFmtId="166" fontId="11" fillId="0" borderId="3" xfId="0" applyNumberFormat="1" applyFont="1" applyBorder="1" applyAlignment="1">
      <alignment horizontal="center" vertical="center"/>
    </xf>
    <xf numFmtId="0" fontId="13" fillId="0" borderId="2" xfId="0" applyFont="1" applyBorder="1" applyAlignment="1">
      <alignment horizontal="center" vertical="center" wrapText="1"/>
    </xf>
    <xf numFmtId="0" fontId="10" fillId="16" borderId="2" xfId="0" applyFont="1" applyFill="1" applyBorder="1" applyAlignment="1">
      <alignment horizontal="center" vertical="center" wrapText="1"/>
    </xf>
    <xf numFmtId="0" fontId="10" fillId="16" borderId="4" xfId="0" applyFont="1" applyFill="1" applyBorder="1" applyAlignment="1">
      <alignment horizontal="center" vertical="center" wrapText="1"/>
    </xf>
    <xf numFmtId="0" fontId="17" fillId="17" borderId="0" xfId="0" applyFont="1" applyFill="1" applyAlignment="1">
      <alignment horizontal="left" vertical="center" wrapText="1"/>
    </xf>
    <xf numFmtId="0" fontId="25" fillId="16" borderId="2"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17" fillId="20" borderId="1" xfId="0" applyFont="1" applyFill="1" applyBorder="1" applyAlignment="1">
      <alignment horizontal="left" vertical="center" wrapText="1"/>
    </xf>
    <xf numFmtId="0" fontId="26" fillId="21" borderId="1" xfId="0" applyFont="1" applyFill="1" applyBorder="1" applyAlignment="1">
      <alignment horizontal="left" vertical="center" wrapText="1"/>
    </xf>
    <xf numFmtId="0" fontId="27" fillId="0" borderId="6" xfId="0" applyFont="1" applyBorder="1" applyAlignment="1">
      <alignment horizontal="center" vertical="center" wrapText="1"/>
    </xf>
    <xf numFmtId="0" fontId="24" fillId="0" borderId="6" xfId="0" applyFont="1" applyBorder="1"/>
    <xf numFmtId="0" fontId="1" fillId="0" borderId="0" xfId="0" applyFont="1" applyAlignment="1">
      <alignment vertical="center"/>
    </xf>
    <xf numFmtId="0" fontId="28" fillId="0" borderId="0" xfId="0" applyFont="1" applyAlignment="1">
      <alignment vertical="center"/>
    </xf>
    <xf numFmtId="0" fontId="13" fillId="0" borderId="0" xfId="0" applyFont="1" applyAlignment="1">
      <alignment horizontal="center" vertical="center" wrapText="1"/>
    </xf>
    <xf numFmtId="0" fontId="5" fillId="0" borderId="6" xfId="0" applyFont="1" applyBorder="1" applyAlignment="1">
      <alignment horizontal="left" vertical="center" indent="1"/>
    </xf>
    <xf numFmtId="0" fontId="4" fillId="12" borderId="6" xfId="0" applyFont="1" applyFill="1" applyBorder="1" applyAlignment="1">
      <alignment horizontal="center" vertical="center"/>
    </xf>
    <xf numFmtId="0" fontId="22" fillId="16" borderId="6" xfId="0" applyFont="1" applyFill="1" applyBorder="1" applyAlignment="1">
      <alignment horizontal="right" vertical="center"/>
    </xf>
    <xf numFmtId="0" fontId="3" fillId="3" borderId="6" xfId="0" applyFont="1" applyFill="1" applyBorder="1" applyAlignment="1">
      <alignment horizontal="center" vertical="center"/>
    </xf>
    <xf numFmtId="0" fontId="28" fillId="18" borderId="0" xfId="0" applyFont="1" applyFill="1" applyAlignment="1">
      <alignment horizontal="center" vertical="center"/>
    </xf>
    <xf numFmtId="0" fontId="0" fillId="0" borderId="0" xfId="0"/>
    <xf numFmtId="0" fontId="29" fillId="19" borderId="7" xfId="0" applyFont="1" applyFill="1" applyBorder="1" applyAlignment="1">
      <alignment horizontal="center" vertical="center"/>
    </xf>
    <xf numFmtId="0" fontId="0" fillId="0" borderId="7" xfId="0" applyBorder="1"/>
    <xf numFmtId="0" fontId="6" fillId="2" borderId="0" xfId="0" applyFont="1" applyFill="1" applyAlignment="1">
      <alignment horizontal="center" vertical="center" wrapText="1"/>
    </xf>
    <xf numFmtId="0" fontId="7" fillId="4" borderId="0" xfId="0" applyFont="1" applyFill="1" applyAlignment="1">
      <alignment horizontal="center" vertical="center" wrapText="1"/>
    </xf>
  </cellXfs>
  <cellStyles count="1">
    <cellStyle name="Normal" xfId="0" builtinId="0"/>
  </cellStyles>
  <dxfs count="33">
    <dxf>
      <font>
        <b/>
        <sz val="10"/>
        <color rgb="FF7D5C00"/>
        <name val="Arial"/>
        <charset val="1"/>
      </font>
      <fill>
        <patternFill>
          <bgColor rgb="FFFFEB9C"/>
        </patternFill>
      </fill>
    </dxf>
    <dxf>
      <font>
        <b/>
        <sz val="10"/>
        <color rgb="FF595959"/>
        <name val="Arial"/>
        <charset val="1"/>
      </font>
      <fill>
        <patternFill>
          <bgColor rgb="FFD9D9D9"/>
        </patternFill>
      </fill>
    </dxf>
    <dxf>
      <font>
        <b/>
        <sz val="10"/>
        <color rgb="FF9C0006"/>
        <name val="Arial"/>
        <charset val="1"/>
      </font>
      <fill>
        <patternFill>
          <bgColor rgb="FFFFC7CE"/>
        </patternFill>
      </fill>
    </dxf>
    <dxf>
      <font>
        <b/>
        <sz val="10"/>
        <color rgb="FF843C0C"/>
        <name val="Arial"/>
        <charset val="1"/>
      </font>
      <fill>
        <patternFill>
          <bgColor rgb="FFFCE4D6"/>
        </patternFill>
      </fill>
    </dxf>
    <dxf>
      <font>
        <b/>
        <sz val="10"/>
        <color rgb="FF9C0006"/>
        <name val="Arial"/>
        <charset val="1"/>
      </font>
      <fill>
        <patternFill>
          <bgColor rgb="FFFFC7CE"/>
        </patternFill>
      </fill>
    </dxf>
    <dxf>
      <font>
        <b/>
        <sz val="10"/>
        <color rgb="FF7D5C00"/>
        <name val="Arial"/>
        <charset val="1"/>
      </font>
      <fill>
        <patternFill>
          <bgColor rgb="FFFFEB9C"/>
        </patternFill>
      </fill>
    </dxf>
    <dxf>
      <font>
        <b/>
        <sz val="10"/>
        <color rgb="FF375623"/>
        <name val="Arial"/>
        <charset val="1"/>
      </font>
      <fill>
        <patternFill>
          <bgColor rgb="FFC6EFCE"/>
        </patternFill>
      </fill>
    </dxf>
    <dxf>
      <font>
        <b/>
        <sz val="10"/>
        <color rgb="FF7D5C00"/>
        <name val="Arial"/>
        <charset val="1"/>
      </font>
      <fill>
        <patternFill>
          <bgColor rgb="FFFFEB9C"/>
        </patternFill>
      </fill>
    </dxf>
    <dxf>
      <font>
        <b/>
        <sz val="10"/>
        <color rgb="FF595959"/>
        <name val="Arial"/>
        <charset val="1"/>
      </font>
      <fill>
        <patternFill>
          <bgColor rgb="FFD9D9D9"/>
        </patternFill>
      </fill>
    </dxf>
    <dxf>
      <font>
        <b/>
        <sz val="10"/>
        <color rgb="FF9C0006"/>
        <name val="Arial"/>
        <charset val="1"/>
      </font>
      <fill>
        <patternFill>
          <bgColor rgb="FFFFC7CE"/>
        </patternFill>
      </fill>
    </dxf>
    <dxf>
      <font>
        <b/>
        <sz val="10"/>
        <color rgb="FF843C0C"/>
        <name val="Arial"/>
        <charset val="1"/>
      </font>
      <fill>
        <patternFill>
          <bgColor rgb="FFFCE4D6"/>
        </patternFill>
      </fill>
    </dxf>
    <dxf>
      <font>
        <b/>
        <sz val="10"/>
        <color rgb="FF9C0006"/>
        <name val="Arial"/>
        <charset val="1"/>
      </font>
      <fill>
        <patternFill>
          <bgColor rgb="FFFFC7CE"/>
        </patternFill>
      </fill>
    </dxf>
    <dxf>
      <font>
        <b/>
        <sz val="10"/>
        <color rgb="FF7D5C00"/>
        <name val="Arial"/>
        <charset val="1"/>
      </font>
      <fill>
        <patternFill>
          <bgColor rgb="FFFFEB9C"/>
        </patternFill>
      </fill>
    </dxf>
    <dxf>
      <font>
        <b/>
        <sz val="10"/>
        <color rgb="FF375623"/>
        <name val="Arial"/>
        <charset val="1"/>
      </font>
      <fill>
        <patternFill>
          <bgColor rgb="FFC6EFCE"/>
        </patternFill>
      </fill>
    </dxf>
    <dxf>
      <font>
        <b/>
        <sz val="10"/>
        <color rgb="FF7D5C00"/>
        <name val="Arial"/>
        <charset val="1"/>
      </font>
      <fill>
        <patternFill>
          <bgColor rgb="FFFFEB9C"/>
        </patternFill>
      </fill>
    </dxf>
    <dxf>
      <font>
        <b/>
        <sz val="10"/>
        <color rgb="FF595959"/>
        <name val="Arial"/>
        <charset val="1"/>
      </font>
      <fill>
        <patternFill>
          <bgColor rgb="FFD9D9D9"/>
        </patternFill>
      </fill>
    </dxf>
    <dxf>
      <font>
        <b/>
        <sz val="10"/>
        <color rgb="FF9C0006"/>
        <name val="Arial"/>
        <charset val="1"/>
      </font>
      <fill>
        <patternFill>
          <bgColor rgb="FFFFC7CE"/>
        </patternFill>
      </fill>
    </dxf>
    <dxf>
      <font>
        <b/>
        <sz val="10"/>
        <color rgb="FF843C0C"/>
        <name val="Arial"/>
        <charset val="1"/>
      </font>
      <fill>
        <patternFill>
          <bgColor rgb="FFFCE4D6"/>
        </patternFill>
      </fill>
    </dxf>
    <dxf>
      <font>
        <b/>
        <sz val="10"/>
        <color rgb="FF9C0006"/>
        <name val="Arial"/>
        <charset val="1"/>
      </font>
      <fill>
        <patternFill>
          <bgColor rgb="FFFFC7CE"/>
        </patternFill>
      </fill>
    </dxf>
    <dxf>
      <font>
        <b/>
        <sz val="10"/>
        <color rgb="FF7D5C00"/>
        <name val="Arial"/>
        <charset val="1"/>
      </font>
      <fill>
        <patternFill>
          <bgColor rgb="FFFFEB9C"/>
        </patternFill>
      </fill>
    </dxf>
    <dxf>
      <font>
        <b/>
        <sz val="10"/>
        <color rgb="FF375623"/>
        <name val="Arial"/>
        <charset val="1"/>
      </font>
      <fill>
        <patternFill>
          <bgColor rgb="FFC6EFCE"/>
        </patternFill>
      </fill>
    </dxf>
    <dxf>
      <font>
        <b/>
        <sz val="10"/>
        <color rgb="FF595959"/>
        <name val="Arial"/>
        <charset val="1"/>
      </font>
      <fill>
        <patternFill>
          <bgColor rgb="FFD9D9D9"/>
        </patternFill>
      </fill>
    </dxf>
    <dxf>
      <font>
        <b/>
        <sz val="10"/>
        <color rgb="FF375623"/>
        <name val="Arial"/>
        <charset val="1"/>
      </font>
      <fill>
        <patternFill>
          <bgColor rgb="FFC6EFCE"/>
        </patternFill>
      </fill>
    </dxf>
    <dxf>
      <font>
        <b/>
        <sz val="10"/>
        <color rgb="FF9C0006"/>
        <name val="Arial"/>
        <charset val="1"/>
      </font>
      <fill>
        <patternFill>
          <bgColor rgb="FFFFC7CE"/>
        </patternFill>
      </fill>
    </dxf>
    <dxf>
      <font>
        <sz val="9"/>
        <color rgb="FFE67E22"/>
        <name val="Arial"/>
        <charset val="1"/>
      </font>
      <fill>
        <patternFill>
          <bgColor rgb="FFFDEBD0"/>
        </patternFill>
      </fill>
    </dxf>
    <dxf>
      <font>
        <b/>
        <sz val="9"/>
        <color rgb="FFC0392B"/>
        <name val="Arial"/>
        <charset val="1"/>
      </font>
      <fill>
        <patternFill>
          <bgColor rgb="FFFADBD8"/>
        </patternFill>
      </fill>
    </dxf>
    <dxf>
      <font>
        <b/>
        <sz val="10"/>
        <color rgb="FF375623"/>
        <name val="Arial"/>
        <charset val="1"/>
      </font>
      <fill>
        <patternFill>
          <bgColor rgb="FFC6EFCE"/>
        </patternFill>
      </fill>
    </dxf>
    <dxf>
      <font>
        <b/>
        <sz val="9"/>
        <color rgb="FF1E8449"/>
        <name val="Arial"/>
        <charset val="1"/>
      </font>
      <fill>
        <patternFill>
          <bgColor rgb="FFD5F5E3"/>
        </patternFill>
      </fill>
    </dxf>
    <dxf>
      <font>
        <b/>
        <sz val="9"/>
        <color rgb="FFC0392B"/>
        <name val="Arial"/>
        <charset val="1"/>
      </font>
      <fill>
        <patternFill>
          <bgColor rgb="FFFADBD8"/>
        </patternFill>
      </fill>
    </dxf>
    <dxf>
      <font>
        <b/>
        <sz val="9"/>
        <color rgb="FF1E8449"/>
        <name val="Arial"/>
        <charset val="1"/>
      </font>
      <fill>
        <patternFill>
          <bgColor rgb="FFD5F5E3"/>
        </patternFill>
      </fill>
    </dxf>
    <dxf>
      <font>
        <sz val="9"/>
        <color rgb="FF1B2A4A"/>
        <name val="Arial"/>
        <charset val="1"/>
      </font>
      <fill>
        <patternFill>
          <bgColor rgb="FFD6E4F0"/>
        </patternFill>
      </fill>
    </dxf>
    <dxf>
      <font>
        <b/>
        <sz val="9"/>
        <color rgb="FF1E8449"/>
        <name val="Arial"/>
        <charset val="1"/>
      </font>
      <fill>
        <patternFill>
          <bgColor rgb="FFD5F5E3"/>
        </patternFill>
      </fill>
    </dxf>
    <dxf>
      <font>
        <b/>
        <sz val="9"/>
        <color rgb="FFC0392B"/>
        <name val="Arial"/>
        <charset val="1"/>
      </font>
      <fill>
        <patternFill>
          <bgColor rgb="FFFADBD8"/>
        </patternFill>
      </fill>
    </dxf>
  </dxfs>
  <tableStyles count="1" defaultTableStyle="TableStyleMedium2" defaultPivotStyle="PivotStyleLight16">
    <tableStyle name="Invisible" pivot="0" table="0" count="0" xr9:uid="{00000000-0011-0000-FFFF-FFFF00000000}"/>
  </tableStyles>
  <colors>
    <indexedColors>
      <rgbColor rgb="FF000000"/>
      <rgbColor rgb="FFFFFFFF"/>
      <rgbColor rgb="FFFFFBE6"/>
      <rgbColor rgb="FFD9E9F7"/>
      <rgbColor rgb="FF0000FF"/>
      <rgbColor rgb="FFFFF2CC"/>
      <rgbColor rgb="FFFDEBD0"/>
      <rgbColor rgb="FFD6EAE1"/>
      <rgbColor rgb="FF9C0006"/>
      <rgbColor rgb="FFFCE4D6"/>
      <rgbColor rgb="FF000080"/>
      <rgbColor rgb="FF7D5C00"/>
      <rgbColor rgb="FFEBF3FB"/>
      <rgbColor rgb="FF117A65"/>
      <rgbColor rgb="FFBFBFBF"/>
      <rgbColor rgb="FF888888"/>
      <rgbColor rgb="FF8FA9C5"/>
      <rgbColor rgb="FFC0392B"/>
      <rgbColor rgb="FFFFF9C4"/>
      <rgbColor rgb="FFD1F2EB"/>
      <rgbColor rgb="FFFFFDE7"/>
      <rgbColor rgb="FFFADBD8"/>
      <rgbColor rgb="FF2E5FA3"/>
      <rgbColor rgb="FFD0D0D0"/>
      <rgbColor rgb="FF000080"/>
      <rgbColor rgb="FFF2F2F2"/>
      <rgbColor rgb="FFFFF3CD"/>
      <rgbColor rgb="FFD6E4F0"/>
      <rgbColor rgb="FFF2F3F4"/>
      <rgbColor rgb="FF800000"/>
      <rgbColor rgb="FF2E6B50"/>
      <rgbColor rgb="FF0000FF"/>
      <rgbColor rgb="FF3498DB"/>
      <rgbColor rgb="FFE8F4FD"/>
      <rgbColor rgb="FFD5F5E3"/>
      <rgbColor rgb="FFFFEB9C"/>
      <rgbColor rgb="FFB0C4D8"/>
      <rgbColor rgb="FFCCCCCC"/>
      <rgbColor rgb="FFBDC3C7"/>
      <rgbColor rgb="FFFFC7CE"/>
      <rgbColor rgb="FF4472C4"/>
      <rgbColor rgb="FF44BB66"/>
      <rgbColor rgb="FFC6EFCE"/>
      <rgbColor rgb="FFFFB800"/>
      <rgbColor rgb="FFC9A84C"/>
      <rgbColor rgb="FFE67E22"/>
      <rgbColor rgb="FF595959"/>
      <rgbColor rgb="FFAAAAAA"/>
      <rgbColor rgb="FF1F3864"/>
      <rgbColor rgb="FF1E8449"/>
      <rgbColor rgb="FF375623"/>
      <rgbColor rgb="FF1B2A4A"/>
      <rgbColor rgb="FF843C0C"/>
      <rgbColor rgb="FFD9D9D9"/>
      <rgbColor rgb="FF555555"/>
      <rgbColor rgb="FF1A3C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3"/>
  <sheetViews>
    <sheetView zoomScaleNormal="100" workbookViewId="0">
      <selection activeCell="J10" sqref="G10:J10"/>
    </sheetView>
  </sheetViews>
  <sheetFormatPr defaultColWidth="8.6640625" defaultRowHeight="14.4" x14ac:dyDescent="0.3"/>
  <cols>
    <col min="1" max="1" width="25.21875" customWidth="1"/>
    <col min="2" max="2" width="14" customWidth="1"/>
    <col min="3" max="3" width="15.6640625" customWidth="1"/>
    <col min="4" max="4" width="25.88671875" customWidth="1"/>
    <col min="5" max="5" width="19.109375" customWidth="1"/>
    <col min="6" max="6" width="11" customWidth="1"/>
    <col min="7" max="7" width="24.6640625" customWidth="1"/>
    <col min="8" max="8" width="15.88671875" customWidth="1"/>
    <col min="9" max="9" width="13.77734375" customWidth="1"/>
    <col min="10" max="10" width="10.88671875" customWidth="1"/>
    <col min="11" max="11" width="18" customWidth="1"/>
    <col min="12" max="12" width="36" customWidth="1"/>
  </cols>
  <sheetData>
    <row r="1" spans="1:12" ht="36" customHeight="1" x14ac:dyDescent="0.3">
      <c r="A1" s="81" t="s">
        <v>131</v>
      </c>
      <c r="B1" s="82"/>
      <c r="C1" s="82"/>
      <c r="D1" s="82"/>
      <c r="E1" s="82"/>
      <c r="F1" s="82"/>
      <c r="G1" s="82"/>
      <c r="H1" s="82"/>
      <c r="I1" s="82"/>
      <c r="J1" s="82"/>
      <c r="K1" s="75"/>
      <c r="L1" s="75"/>
    </row>
    <row r="2" spans="1:12" ht="9.75" customHeight="1" x14ac:dyDescent="0.3"/>
    <row r="3" spans="1:12" ht="21.75" customHeight="1" x14ac:dyDescent="0.3">
      <c r="A3" s="83" t="s">
        <v>132</v>
      </c>
      <c r="B3" s="84"/>
      <c r="C3" s="74"/>
      <c r="D3" s="83" t="s">
        <v>133</v>
      </c>
      <c r="E3" s="84"/>
      <c r="G3" s="83" t="s">
        <v>134</v>
      </c>
      <c r="H3" s="84"/>
      <c r="I3" s="84"/>
      <c r="J3" s="84"/>
    </row>
    <row r="4" spans="1:12" ht="21.75" customHeight="1" x14ac:dyDescent="0.3">
      <c r="A4" s="26" t="s">
        <v>135</v>
      </c>
      <c r="B4" s="27">
        <f>COUNTA('Session Logs'!A3:A4997)</f>
        <v>1</v>
      </c>
      <c r="D4" s="26" t="s">
        <v>136</v>
      </c>
      <c r="E4" s="28" t="str">
        <f>IFERROR(AVERAGE('Monthly Pulse Logs'!F3:F4997),"–")</f>
        <v>–</v>
      </c>
      <c r="G4" s="33" t="s">
        <v>137</v>
      </c>
      <c r="H4" s="33" t="s">
        <v>138</v>
      </c>
      <c r="I4" s="33" t="s">
        <v>139</v>
      </c>
      <c r="J4" s="33" t="s">
        <v>140</v>
      </c>
    </row>
    <row r="5" spans="1:12" ht="21.75" customHeight="1" x14ac:dyDescent="0.3">
      <c r="A5" s="29" t="s">
        <v>141</v>
      </c>
      <c r="B5" s="30">
        <f ca="1">COUNTIFS('Session Logs'!$E$3:$E$4997,"&gt;="&amp;DATE(YEAR(TODAY()),MONTH(TODAY()),1),'Session Logs'!$E$3:$E$4997,"&lt;="&amp;TODAY())</f>
        <v>0</v>
      </c>
      <c r="D5" s="29" t="s">
        <v>142</v>
      </c>
      <c r="E5" s="31" t="str">
        <f>IFERROR(AVERAGE('Monthly Pulse Logs'!G3:G4997),"–")</f>
        <v>–</v>
      </c>
      <c r="G5" s="34" t="s">
        <v>143</v>
      </c>
      <c r="H5" s="34" t="s">
        <v>144</v>
      </c>
      <c r="I5" s="35" t="str">
        <f>IFERROR(AVERAGE('Monthly Pulse Logs'!F3:F4997),"No data")</f>
        <v>No data</v>
      </c>
      <c r="J5" s="34" t="str">
        <f>IF(ISNUMBER(I5),IF(I5&lt;3,"🔴 ACTION NEEDED","✅ OK"),"–")</f>
        <v>–</v>
      </c>
    </row>
    <row r="6" spans="1:12" ht="21.75" customHeight="1" x14ac:dyDescent="0.3">
      <c r="A6" s="26" t="s">
        <v>145</v>
      </c>
      <c r="B6" s="27" t="str">
        <f>IFERROR(SUMPRODUCT(1/COUNTIF('Session Logs'!D3:D4997,'Session Logs'!D3:D4997)*('Session Logs'!D3:D4997&lt;&gt;"")),"–")</f>
        <v>–</v>
      </c>
      <c r="D6" s="26" t="s">
        <v>146</v>
      </c>
      <c r="E6" s="28" t="str">
        <f>IFERROR(AVERAGE('Monthly Pulse Logs'!H3:H4997),"–")</f>
        <v>–</v>
      </c>
      <c r="G6" s="36" t="s">
        <v>147</v>
      </c>
      <c r="H6" s="36" t="s">
        <v>144</v>
      </c>
      <c r="I6" s="37" t="str">
        <f>IFERROR(AVERAGE('Monthly Pulse Logs'!G3:G4997),"No data")</f>
        <v>No data</v>
      </c>
      <c r="J6" s="36" t="str">
        <f>IF(ISNUMBER(I6),IF(I6&lt;3,"🔴 ACTION NEEDED","✅ OK"),"–")</f>
        <v>–</v>
      </c>
    </row>
    <row r="7" spans="1:12" ht="21.75" customHeight="1" x14ac:dyDescent="0.3">
      <c r="A7" s="29" t="s">
        <v>148</v>
      </c>
      <c r="B7" s="30">
        <f>COUNTIF('Session Logs'!K3:K4997,"Yes")</f>
        <v>0</v>
      </c>
      <c r="D7" s="29" t="s">
        <v>149</v>
      </c>
      <c r="E7" s="31" t="str">
        <f>IFERROR(AVERAGE('Monthly Pulse Logs'!I3:I4997),"–")</f>
        <v>–</v>
      </c>
      <c r="G7" s="34" t="s">
        <v>150</v>
      </c>
      <c r="H7" s="34" t="s">
        <v>144</v>
      </c>
      <c r="I7" s="35" t="str">
        <f>IFERROR(AVERAGE('Monthly Pulse Logs'!H3:H4997),"No data")</f>
        <v>No data</v>
      </c>
      <c r="J7" s="34" t="str">
        <f>IF(ISNUMBER(I7),IF(I7&lt;3,"🔴 ACTION NEEDED","✅ OK"),"–")</f>
        <v>–</v>
      </c>
    </row>
    <row r="8" spans="1:12" ht="21.75" customHeight="1" x14ac:dyDescent="0.3">
      <c r="A8" s="26" t="s">
        <v>151</v>
      </c>
      <c r="B8" s="27" t="s">
        <v>152</v>
      </c>
      <c r="D8" s="26" t="s">
        <v>153</v>
      </c>
      <c r="E8" s="32" t="str">
        <f>IFERROR((COUNTIF('Monthly Pulse Logs'!J3:J4997,"2")+COUNTIF('Monthly Pulse Logs'!J3:J4997,"3+"))/COUNTA('Monthly Pulse Logs'!J3:J4997),"–")</f>
        <v>–</v>
      </c>
      <c r="G8" s="36" t="s">
        <v>154</v>
      </c>
      <c r="H8" s="36" t="s">
        <v>155</v>
      </c>
      <c r="I8" s="37">
        <f ca="1">COUNTIF('Intern Monitoring'!G4:G203,"Overdue – Book Now")</f>
        <v>0</v>
      </c>
      <c r="J8" s="36" t="str">
        <f ca="1">IF(I8&gt;0,"🟡 FOLLOW UP","✅ OK")</f>
        <v>✅ OK</v>
      </c>
    </row>
    <row r="9" spans="1:12" ht="31.8" customHeight="1" x14ac:dyDescent="0.3">
      <c r="G9" s="34" t="s">
        <v>156</v>
      </c>
      <c r="H9" s="34" t="s">
        <v>155</v>
      </c>
      <c r="I9" s="35">
        <f ca="1">COUNTIF('Intern Monitoring'!G4:G203,"Missed Session")</f>
        <v>0</v>
      </c>
      <c r="J9" s="34" t="str">
        <f ca="1">IF(I9&gt;0,"🔴 ACTION NEEDED","✅ OK")</f>
        <v>✅ OK</v>
      </c>
    </row>
    <row r="10" spans="1:12" ht="29.4" customHeight="1" x14ac:dyDescent="0.3">
      <c r="G10" s="36" t="s">
        <v>157</v>
      </c>
      <c r="H10" s="36" t="s">
        <v>158</v>
      </c>
      <c r="I10" s="37">
        <f>COUNTIF('Monthly Pulse Logs'!M3:M4997,"Yes")</f>
        <v>0</v>
      </c>
      <c r="J10" s="36" t="str">
        <f>IF(I10&gt;0,"🔴 FOLLOW UP","✅ OK")</f>
        <v>✅ OK</v>
      </c>
    </row>
    <row r="11" spans="1:12" ht="24" customHeight="1" x14ac:dyDescent="0.3">
      <c r="G11" s="34" t="s">
        <v>159</v>
      </c>
      <c r="H11" s="34" t="s">
        <v>160</v>
      </c>
      <c r="I11" s="35" t="str">
        <f>IFERROR((COUNTIF('Monthly Pulse Logs'!J3:J4997,"2")+COUNTIF('Monthly Pulse Logs'!J3:J4997,"3+"))/COUNTA('Monthly Pulse Logs'!J3:J4997),"No data")</f>
        <v>No data</v>
      </c>
      <c r="J11" s="34" t="str">
        <f>IF(ISNUMBER(I11),IF(I11&lt;0.6,"🟡 FOLLOW UP","✅ OK"),"–")</f>
        <v>–</v>
      </c>
    </row>
    <row r="12" spans="1:12" ht="25.5" customHeight="1" x14ac:dyDescent="0.3">
      <c r="E12" s="74"/>
      <c r="F12" s="74"/>
      <c r="G12" s="74"/>
      <c r="H12" s="74"/>
      <c r="I12" s="74"/>
      <c r="J12" s="74"/>
      <c r="K12" s="74"/>
      <c r="L12" s="74"/>
    </row>
    <row r="13" spans="1:12" ht="9.75" customHeight="1" x14ac:dyDescent="0.3"/>
    <row r="14" spans="1:12" ht="24" customHeight="1" x14ac:dyDescent="0.3"/>
    <row r="15" spans="1:12" ht="19.5" customHeight="1" x14ac:dyDescent="0.3"/>
    <row r="16" spans="1:12" ht="19.5" customHeight="1" x14ac:dyDescent="0.3"/>
    <row r="17" ht="19.5" customHeight="1" x14ac:dyDescent="0.3"/>
    <row r="18" ht="19.5" customHeight="1" x14ac:dyDescent="0.3"/>
    <row r="19" ht="30.6" customHeight="1" x14ac:dyDescent="0.3"/>
    <row r="20" ht="19.5" customHeight="1" x14ac:dyDescent="0.3"/>
    <row r="21" ht="19.5" customHeight="1" x14ac:dyDescent="0.3"/>
    <row r="22" ht="19.5" customHeight="1" x14ac:dyDescent="0.3"/>
    <row r="24" ht="9.75" customHeight="1" x14ac:dyDescent="0.3"/>
    <row r="25" ht="24" customHeight="1" x14ac:dyDescent="0.3"/>
    <row r="26" ht="37.5" customHeight="1" x14ac:dyDescent="0.3"/>
    <row r="27" ht="37.5" customHeight="1" x14ac:dyDescent="0.3"/>
    <row r="28" ht="37.5" customHeight="1" x14ac:dyDescent="0.3"/>
    <row r="29" ht="37.5" customHeight="1" x14ac:dyDescent="0.3"/>
    <row r="30" ht="37.5" customHeight="1" x14ac:dyDescent="0.3"/>
    <row r="31" ht="37.5" customHeight="1" x14ac:dyDescent="0.3"/>
    <row r="32" ht="37.5" customHeight="1" x14ac:dyDescent="0.3"/>
    <row r="33" ht="37.5" customHeight="1" x14ac:dyDescent="0.3"/>
  </sheetData>
  <mergeCells count="4">
    <mergeCell ref="A1:J1"/>
    <mergeCell ref="A3:B3"/>
    <mergeCell ref="D3:E3"/>
    <mergeCell ref="G3:J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zoomScaleNormal="100" workbookViewId="0">
      <selection activeCell="C7" sqref="C7"/>
    </sheetView>
  </sheetViews>
  <sheetFormatPr defaultColWidth="8.6640625" defaultRowHeight="14.4" x14ac:dyDescent="0.3"/>
  <cols>
    <col min="1" max="1" width="22" customWidth="1"/>
    <col min="2" max="2" width="19" customWidth="1"/>
    <col min="3" max="5" width="14" customWidth="1"/>
    <col min="6" max="6" width="24" customWidth="1"/>
    <col min="8" max="8" width="20" customWidth="1"/>
    <col min="9" max="9" width="22" customWidth="1"/>
  </cols>
  <sheetData>
    <row r="1" spans="1:9" ht="21.75" customHeight="1" x14ac:dyDescent="0.3">
      <c r="A1" s="78" t="s">
        <v>161</v>
      </c>
      <c r="B1" s="78" t="s">
        <v>162</v>
      </c>
      <c r="C1" s="78" t="s">
        <v>163</v>
      </c>
      <c r="D1" s="78" t="s">
        <v>140</v>
      </c>
      <c r="E1" s="78" t="s">
        <v>164</v>
      </c>
      <c r="F1" s="78" t="s">
        <v>165</v>
      </c>
      <c r="G1" s="1"/>
    </row>
    <row r="2" spans="1:9" ht="15.75" customHeight="1" x14ac:dyDescent="0.3">
      <c r="A2" s="77" t="s">
        <v>6</v>
      </c>
      <c r="B2" s="77" t="s">
        <v>166</v>
      </c>
      <c r="C2" s="77" t="s">
        <v>167</v>
      </c>
      <c r="D2" s="77" t="s">
        <v>168</v>
      </c>
      <c r="E2" s="77">
        <f>COUNTIF('Intern Profiles'!C4:C303,A2)</f>
        <v>63</v>
      </c>
      <c r="F2" s="77" t="s">
        <v>169</v>
      </c>
      <c r="G2" s="1"/>
      <c r="H2" s="1"/>
      <c r="I2" s="1"/>
    </row>
    <row r="3" spans="1:9" ht="15" customHeight="1" x14ac:dyDescent="0.3">
      <c r="A3" s="77" t="s">
        <v>170</v>
      </c>
      <c r="B3" s="77" t="s">
        <v>171</v>
      </c>
      <c r="C3" s="77" t="s">
        <v>172</v>
      </c>
      <c r="D3" s="77" t="s">
        <v>173</v>
      </c>
      <c r="E3" s="77">
        <f>COUNTIF('Intern Profiles'!C4:C303,A3)</f>
        <v>0</v>
      </c>
      <c r="F3" s="77" t="s">
        <v>174</v>
      </c>
      <c r="G3" s="1"/>
      <c r="H3" s="1"/>
      <c r="I3" s="1"/>
    </row>
    <row r="4" spans="1:9" ht="15" customHeight="1" x14ac:dyDescent="0.3">
      <c r="A4" s="77" t="s">
        <v>175</v>
      </c>
      <c r="B4" s="77" t="s">
        <v>176</v>
      </c>
      <c r="C4" s="77" t="s">
        <v>177</v>
      </c>
      <c r="D4" s="77" t="s">
        <v>173</v>
      </c>
      <c r="E4" s="77">
        <f>COUNTIF('Intern Profiles'!C4:C303,A4)</f>
        <v>0</v>
      </c>
      <c r="F4" s="77" t="s">
        <v>178</v>
      </c>
      <c r="G4" s="1"/>
      <c r="H4" s="1"/>
      <c r="I4" s="1"/>
    </row>
    <row r="5" spans="1:9" ht="15" customHeight="1" x14ac:dyDescent="0.3">
      <c r="A5" s="1"/>
      <c r="B5" s="1"/>
      <c r="C5" s="1"/>
      <c r="G5" s="1"/>
      <c r="H5" s="1"/>
      <c r="I5" s="1"/>
    </row>
    <row r="6" spans="1:9" ht="15" customHeight="1" x14ac:dyDescent="0.3"/>
    <row r="7" spans="1:9" x14ac:dyDescent="0.3">
      <c r="B7" s="79" t="s">
        <v>179</v>
      </c>
      <c r="C7" s="80" t="str">
        <f>IFERROR(INDEX(A2:A4,MATCH("Active",D2:D4,0)),"No Active Cohort")</f>
        <v>Cohort 1 - 2026</v>
      </c>
    </row>
  </sheetData>
  <dataValidations count="1">
    <dataValidation type="list" allowBlank="1" sqref="D2:D4" xr:uid="{00000000-0002-0000-0100-000000000000}">
      <formula1>"Active,Planned,Closed"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T931"/>
  <sheetViews>
    <sheetView zoomScaleNormal="100" workbookViewId="0">
      <pane ySplit="3" topLeftCell="A4" activePane="bottomLeft" state="frozen"/>
      <selection pane="bottomLeft"/>
    </sheetView>
  </sheetViews>
  <sheetFormatPr defaultColWidth="8.6640625" defaultRowHeight="14.4" x14ac:dyDescent="0.3"/>
  <cols>
    <col min="1" max="1" width="12" customWidth="1"/>
    <col min="2" max="2" width="28" customWidth="1"/>
    <col min="3" max="3" width="12" customWidth="1"/>
    <col min="4" max="4" width="35" customWidth="1"/>
    <col min="5" max="5" width="14" customWidth="1"/>
    <col min="6" max="6" width="10" customWidth="1"/>
    <col min="7" max="7" width="45" customWidth="1"/>
    <col min="8" max="8" width="32" customWidth="1"/>
    <col min="9" max="9" width="20" customWidth="1"/>
    <col min="10" max="10" width="35" customWidth="1"/>
    <col min="11" max="11" width="32" customWidth="1"/>
    <col min="12" max="12" width="22" customWidth="1"/>
    <col min="13" max="13" width="12" customWidth="1"/>
    <col min="14" max="14" width="14" customWidth="1"/>
    <col min="15" max="15" width="45" customWidth="1"/>
  </cols>
  <sheetData>
    <row r="1" spans="1:20" ht="31.5" customHeight="1" x14ac:dyDescent="0.3">
      <c r="A1" s="85" t="s">
        <v>180</v>
      </c>
      <c r="B1" s="82"/>
      <c r="C1" s="82"/>
      <c r="D1" s="82"/>
      <c r="E1" s="82"/>
      <c r="F1" s="82"/>
      <c r="G1" s="82"/>
      <c r="H1" s="82"/>
      <c r="I1" s="82"/>
      <c r="J1" s="82"/>
      <c r="K1" s="82"/>
      <c r="L1" s="82"/>
      <c r="M1" s="82"/>
      <c r="N1" s="82"/>
      <c r="O1" s="82"/>
      <c r="P1" s="82"/>
      <c r="Q1" s="82"/>
      <c r="R1" s="82"/>
      <c r="S1" s="82"/>
      <c r="T1" s="82"/>
    </row>
    <row r="2" spans="1:20" ht="18" customHeight="1" x14ac:dyDescent="0.3">
      <c r="A2" s="86" t="s">
        <v>181</v>
      </c>
      <c r="B2" s="82"/>
      <c r="C2" s="82"/>
      <c r="D2" s="82"/>
      <c r="E2" s="82"/>
      <c r="F2" s="82"/>
      <c r="G2" s="82"/>
      <c r="H2" s="82"/>
      <c r="I2" s="82"/>
      <c r="J2" s="82"/>
      <c r="K2" s="82"/>
      <c r="L2" s="82"/>
      <c r="M2" s="82"/>
      <c r="N2" s="82"/>
      <c r="O2" s="82"/>
      <c r="P2" s="82"/>
      <c r="Q2" s="82"/>
      <c r="R2" s="82"/>
      <c r="S2" s="82"/>
      <c r="T2" s="82"/>
    </row>
    <row r="3" spans="1:20" ht="36" customHeight="1" x14ac:dyDescent="0.3">
      <c r="A3" s="2" t="s">
        <v>1</v>
      </c>
      <c r="B3" s="2" t="s">
        <v>182</v>
      </c>
      <c r="C3" s="2" t="s">
        <v>183</v>
      </c>
      <c r="D3" s="2" t="s">
        <v>184</v>
      </c>
      <c r="E3" s="2" t="s">
        <v>185</v>
      </c>
      <c r="F3" s="2" t="s">
        <v>186</v>
      </c>
      <c r="G3" s="2" t="s">
        <v>187</v>
      </c>
      <c r="H3" s="2" t="s">
        <v>188</v>
      </c>
      <c r="I3" s="2" t="s">
        <v>189</v>
      </c>
      <c r="J3" s="2" t="s">
        <v>190</v>
      </c>
      <c r="K3" s="2" t="s">
        <v>191</v>
      </c>
      <c r="L3" s="2" t="s">
        <v>192</v>
      </c>
      <c r="M3" s="2" t="s">
        <v>193</v>
      </c>
      <c r="N3" s="2" t="s">
        <v>194</v>
      </c>
      <c r="O3" s="2" t="s">
        <v>195</v>
      </c>
    </row>
    <row r="4" spans="1:20" ht="22.5" customHeight="1" x14ac:dyDescent="0.3">
      <c r="A4" s="3">
        <v>5183472</v>
      </c>
      <c r="B4" s="3" t="s">
        <v>196</v>
      </c>
      <c r="C4" s="3" t="s">
        <v>197</v>
      </c>
      <c r="D4" s="3" t="s">
        <v>198</v>
      </c>
      <c r="E4" s="3" t="s">
        <v>199</v>
      </c>
      <c r="F4" s="3" t="s">
        <v>200</v>
      </c>
      <c r="G4" s="3" t="s">
        <v>201</v>
      </c>
      <c r="H4" s="3" t="s">
        <v>202</v>
      </c>
      <c r="I4" s="3" t="s">
        <v>203</v>
      </c>
      <c r="J4" s="3" t="s">
        <v>204</v>
      </c>
      <c r="K4" s="3" t="s">
        <v>205</v>
      </c>
      <c r="L4" s="3" t="s">
        <v>206</v>
      </c>
      <c r="M4" s="3" t="s">
        <v>207</v>
      </c>
      <c r="N4" s="3" t="s">
        <v>208</v>
      </c>
      <c r="O4" s="3" t="s">
        <v>209</v>
      </c>
    </row>
    <row r="5" spans="1:20" ht="22.5" customHeight="1" x14ac:dyDescent="0.3">
      <c r="A5" s="4">
        <v>5495989</v>
      </c>
      <c r="B5" s="4" t="s">
        <v>210</v>
      </c>
      <c r="C5" s="4" t="s">
        <v>197</v>
      </c>
      <c r="D5" s="4" t="s">
        <v>198</v>
      </c>
      <c r="E5" s="4" t="s">
        <v>211</v>
      </c>
      <c r="F5" s="4" t="s">
        <v>200</v>
      </c>
      <c r="G5" s="4" t="s">
        <v>212</v>
      </c>
      <c r="H5" s="4" t="s">
        <v>213</v>
      </c>
      <c r="I5" s="4" t="s">
        <v>203</v>
      </c>
      <c r="J5" s="4" t="s">
        <v>214</v>
      </c>
      <c r="K5" s="4" t="s">
        <v>215</v>
      </c>
      <c r="L5" s="4" t="s">
        <v>216</v>
      </c>
      <c r="M5" s="4" t="s">
        <v>207</v>
      </c>
      <c r="N5" s="4" t="s">
        <v>217</v>
      </c>
      <c r="O5" s="4" t="s">
        <v>218</v>
      </c>
    </row>
    <row r="6" spans="1:20" ht="33.75" customHeight="1" x14ac:dyDescent="0.3">
      <c r="A6" s="3">
        <v>5009642</v>
      </c>
      <c r="B6" s="3" t="s">
        <v>219</v>
      </c>
      <c r="C6" s="3" t="s">
        <v>197</v>
      </c>
      <c r="D6" s="3" t="s">
        <v>220</v>
      </c>
      <c r="E6" s="3" t="s">
        <v>211</v>
      </c>
      <c r="F6" s="3" t="s">
        <v>200</v>
      </c>
      <c r="G6" s="3" t="s">
        <v>221</v>
      </c>
      <c r="H6" s="3" t="s">
        <v>222</v>
      </c>
      <c r="I6" s="3" t="s">
        <v>203</v>
      </c>
      <c r="J6" s="3" t="s">
        <v>223</v>
      </c>
      <c r="K6" s="3" t="s">
        <v>224</v>
      </c>
      <c r="L6" s="3" t="s">
        <v>225</v>
      </c>
      <c r="M6" s="3" t="s">
        <v>207</v>
      </c>
      <c r="N6" s="3" t="s">
        <v>217</v>
      </c>
      <c r="O6" s="3" t="s">
        <v>218</v>
      </c>
    </row>
    <row r="7" spans="1:20" ht="22.5" customHeight="1" x14ac:dyDescent="0.3">
      <c r="A7" s="4">
        <v>5109140</v>
      </c>
      <c r="B7" s="4" t="s">
        <v>226</v>
      </c>
      <c r="C7" s="4" t="s">
        <v>197</v>
      </c>
      <c r="D7" s="4" t="s">
        <v>198</v>
      </c>
      <c r="E7" s="4" t="s">
        <v>227</v>
      </c>
      <c r="F7" s="4" t="s">
        <v>200</v>
      </c>
      <c r="G7" s="4" t="s">
        <v>228</v>
      </c>
      <c r="H7" s="4" t="s">
        <v>229</v>
      </c>
      <c r="I7" s="4" t="s">
        <v>230</v>
      </c>
      <c r="J7" s="4" t="s">
        <v>204</v>
      </c>
      <c r="K7" s="4" t="s">
        <v>231</v>
      </c>
      <c r="L7" s="4" t="s">
        <v>232</v>
      </c>
      <c r="M7" s="4" t="s">
        <v>233</v>
      </c>
      <c r="N7" s="4" t="s">
        <v>208</v>
      </c>
      <c r="O7" s="4" t="s">
        <v>234</v>
      </c>
    </row>
    <row r="8" spans="1:20" ht="22.5" customHeight="1" x14ac:dyDescent="0.3">
      <c r="A8" s="3">
        <v>4946073</v>
      </c>
      <c r="B8" s="3" t="s">
        <v>235</v>
      </c>
      <c r="C8" s="3" t="s">
        <v>197</v>
      </c>
      <c r="D8" s="3" t="s">
        <v>198</v>
      </c>
      <c r="E8" s="3" t="s">
        <v>211</v>
      </c>
      <c r="F8" s="3" t="s">
        <v>200</v>
      </c>
      <c r="G8" s="3" t="s">
        <v>236</v>
      </c>
      <c r="H8" s="3" t="s">
        <v>237</v>
      </c>
      <c r="I8" s="3" t="s">
        <v>203</v>
      </c>
      <c r="J8" s="3" t="s">
        <v>214</v>
      </c>
      <c r="K8" s="3" t="s">
        <v>238</v>
      </c>
      <c r="L8" s="3" t="s">
        <v>239</v>
      </c>
      <c r="M8" s="3" t="s">
        <v>207</v>
      </c>
      <c r="N8" s="3" t="s">
        <v>208</v>
      </c>
      <c r="O8" s="3" t="s">
        <v>218</v>
      </c>
    </row>
    <row r="9" spans="1:20" ht="22.5" customHeight="1" x14ac:dyDescent="0.3">
      <c r="A9" s="4">
        <v>4997751</v>
      </c>
      <c r="B9" s="4" t="s">
        <v>240</v>
      </c>
      <c r="C9" s="4" t="s">
        <v>197</v>
      </c>
      <c r="D9" s="4" t="s">
        <v>198</v>
      </c>
      <c r="E9" s="4" t="s">
        <v>211</v>
      </c>
      <c r="F9" s="4" t="s">
        <v>200</v>
      </c>
      <c r="G9" s="4" t="s">
        <v>241</v>
      </c>
      <c r="H9" s="4" t="s">
        <v>242</v>
      </c>
      <c r="I9" s="4" t="s">
        <v>203</v>
      </c>
      <c r="J9" s="4" t="s">
        <v>214</v>
      </c>
      <c r="K9" s="4" t="s">
        <v>243</v>
      </c>
      <c r="L9" s="4" t="s">
        <v>244</v>
      </c>
      <c r="M9" s="4" t="s">
        <v>245</v>
      </c>
      <c r="N9" s="4" t="s">
        <v>217</v>
      </c>
      <c r="O9" s="4"/>
    </row>
    <row r="10" spans="1:20" ht="22.5" customHeight="1" x14ac:dyDescent="0.3">
      <c r="A10" s="3">
        <v>4714849</v>
      </c>
      <c r="B10" s="3" t="s">
        <v>246</v>
      </c>
      <c r="C10" s="3" t="s">
        <v>197</v>
      </c>
      <c r="D10" s="3" t="s">
        <v>198</v>
      </c>
      <c r="E10" s="3" t="s">
        <v>199</v>
      </c>
      <c r="F10" s="3" t="s">
        <v>200</v>
      </c>
      <c r="G10" s="3" t="s">
        <v>247</v>
      </c>
      <c r="H10" s="3" t="s">
        <v>248</v>
      </c>
      <c r="I10" s="3" t="s">
        <v>203</v>
      </c>
      <c r="J10" s="3" t="s">
        <v>214</v>
      </c>
      <c r="K10" s="3" t="s">
        <v>238</v>
      </c>
      <c r="L10" s="3" t="s">
        <v>249</v>
      </c>
      <c r="M10" s="3" t="s">
        <v>245</v>
      </c>
      <c r="N10" s="3" t="s">
        <v>208</v>
      </c>
      <c r="O10" s="3" t="s">
        <v>209</v>
      </c>
    </row>
    <row r="11" spans="1:20" ht="22.5" customHeight="1" x14ac:dyDescent="0.3">
      <c r="A11" s="4">
        <v>3872521</v>
      </c>
      <c r="B11" s="4" t="s">
        <v>250</v>
      </c>
      <c r="C11" s="4" t="s">
        <v>197</v>
      </c>
      <c r="D11" s="4" t="s">
        <v>198</v>
      </c>
      <c r="E11" s="4" t="s">
        <v>199</v>
      </c>
      <c r="F11" s="4" t="s">
        <v>200</v>
      </c>
      <c r="G11" s="4" t="s">
        <v>251</v>
      </c>
      <c r="H11" s="4" t="s">
        <v>252</v>
      </c>
      <c r="I11" s="4" t="s">
        <v>203</v>
      </c>
      <c r="J11" s="4" t="s">
        <v>253</v>
      </c>
      <c r="K11" s="4" t="s">
        <v>254</v>
      </c>
      <c r="L11" s="4" t="s">
        <v>255</v>
      </c>
      <c r="M11" s="4" t="s">
        <v>207</v>
      </c>
      <c r="N11" s="4" t="s">
        <v>217</v>
      </c>
      <c r="O11" s="4"/>
    </row>
    <row r="12" spans="1:20" ht="22.5" customHeight="1" x14ac:dyDescent="0.3">
      <c r="A12" s="3">
        <v>4930088</v>
      </c>
      <c r="B12" s="3" t="s">
        <v>256</v>
      </c>
      <c r="C12" s="3" t="s">
        <v>197</v>
      </c>
      <c r="D12" s="3" t="s">
        <v>198</v>
      </c>
      <c r="E12" s="3" t="s">
        <v>257</v>
      </c>
      <c r="F12" s="3" t="s">
        <v>200</v>
      </c>
      <c r="G12" s="3" t="s">
        <v>258</v>
      </c>
      <c r="H12" s="3" t="s">
        <v>259</v>
      </c>
      <c r="I12" s="3" t="s">
        <v>203</v>
      </c>
      <c r="J12" s="3" t="s">
        <v>214</v>
      </c>
      <c r="K12" s="3" t="s">
        <v>260</v>
      </c>
      <c r="L12" s="3" t="s">
        <v>261</v>
      </c>
      <c r="M12" s="3" t="s">
        <v>207</v>
      </c>
      <c r="N12" s="3" t="s">
        <v>217</v>
      </c>
      <c r="O12" s="3" t="s">
        <v>262</v>
      </c>
    </row>
    <row r="13" spans="1:20" ht="22.5" customHeight="1" x14ac:dyDescent="0.3">
      <c r="A13" s="4">
        <v>4989171</v>
      </c>
      <c r="B13" s="4" t="s">
        <v>263</v>
      </c>
      <c r="C13" s="4" t="s">
        <v>197</v>
      </c>
      <c r="D13" s="4" t="s">
        <v>198</v>
      </c>
      <c r="E13" s="4" t="s">
        <v>211</v>
      </c>
      <c r="F13" s="4" t="s">
        <v>200</v>
      </c>
      <c r="G13" s="4" t="s">
        <v>264</v>
      </c>
      <c r="H13" s="4" t="s">
        <v>265</v>
      </c>
      <c r="I13" s="4" t="s">
        <v>203</v>
      </c>
      <c r="J13" s="4" t="s">
        <v>266</v>
      </c>
      <c r="K13" s="4" t="s">
        <v>267</v>
      </c>
      <c r="L13" s="4" t="s">
        <v>268</v>
      </c>
      <c r="M13" s="4" t="s">
        <v>207</v>
      </c>
      <c r="N13" s="4" t="s">
        <v>217</v>
      </c>
      <c r="O13" s="4" t="s">
        <v>218</v>
      </c>
    </row>
    <row r="14" spans="1:20" ht="33.75" customHeight="1" x14ac:dyDescent="0.3">
      <c r="A14" s="3">
        <v>4804473</v>
      </c>
      <c r="B14" s="3" t="s">
        <v>269</v>
      </c>
      <c r="C14" s="3" t="s">
        <v>197</v>
      </c>
      <c r="D14" s="3" t="s">
        <v>220</v>
      </c>
      <c r="E14" s="3" t="s">
        <v>211</v>
      </c>
      <c r="F14" s="3" t="s">
        <v>200</v>
      </c>
      <c r="G14" s="3" t="s">
        <v>270</v>
      </c>
      <c r="H14" s="3" t="s">
        <v>271</v>
      </c>
      <c r="I14" s="3" t="s">
        <v>203</v>
      </c>
      <c r="J14" s="3" t="s">
        <v>214</v>
      </c>
      <c r="K14" s="3" t="s">
        <v>272</v>
      </c>
      <c r="L14" s="3" t="s">
        <v>273</v>
      </c>
      <c r="M14" s="3" t="s">
        <v>245</v>
      </c>
      <c r="N14" s="3" t="s">
        <v>217</v>
      </c>
      <c r="O14" s="3" t="s">
        <v>218</v>
      </c>
    </row>
    <row r="15" spans="1:20" ht="22.5" customHeight="1" x14ac:dyDescent="0.3">
      <c r="A15" s="4">
        <v>4868455</v>
      </c>
      <c r="B15" s="4" t="s">
        <v>274</v>
      </c>
      <c r="C15" s="4" t="s">
        <v>197</v>
      </c>
      <c r="D15" s="4" t="s">
        <v>198</v>
      </c>
      <c r="E15" s="4" t="s">
        <v>211</v>
      </c>
      <c r="F15" s="4" t="s">
        <v>200</v>
      </c>
      <c r="G15" s="4" t="s">
        <v>275</v>
      </c>
      <c r="H15" s="4" t="s">
        <v>276</v>
      </c>
      <c r="I15" s="4" t="s">
        <v>203</v>
      </c>
      <c r="J15" s="4" t="s">
        <v>214</v>
      </c>
      <c r="K15" s="4" t="s">
        <v>277</v>
      </c>
      <c r="L15" s="4" t="s">
        <v>278</v>
      </c>
      <c r="M15" s="4" t="s">
        <v>207</v>
      </c>
      <c r="N15" s="4" t="s">
        <v>208</v>
      </c>
      <c r="O15" s="4"/>
    </row>
    <row r="16" spans="1:20" ht="102" customHeight="1" x14ac:dyDescent="0.3">
      <c r="A16" s="3">
        <v>4873033</v>
      </c>
      <c r="B16" s="3" t="s">
        <v>279</v>
      </c>
      <c r="C16" s="3" t="s">
        <v>197</v>
      </c>
      <c r="D16" s="3" t="s">
        <v>280</v>
      </c>
      <c r="E16" s="3" t="s">
        <v>211</v>
      </c>
      <c r="F16" s="3" t="s">
        <v>200</v>
      </c>
      <c r="G16" s="3" t="s">
        <v>281</v>
      </c>
      <c r="H16" s="3" t="s">
        <v>282</v>
      </c>
      <c r="I16" s="3" t="s">
        <v>203</v>
      </c>
      <c r="J16" s="3" t="s">
        <v>214</v>
      </c>
      <c r="K16" s="3" t="s">
        <v>283</v>
      </c>
      <c r="L16" s="3" t="s">
        <v>284</v>
      </c>
      <c r="M16" s="3" t="s">
        <v>207</v>
      </c>
      <c r="N16" s="3" t="s">
        <v>208</v>
      </c>
      <c r="O16" s="3"/>
    </row>
    <row r="17" spans="1:15" ht="22.5" customHeight="1" x14ac:dyDescent="0.3">
      <c r="A17" s="4">
        <v>2893622</v>
      </c>
      <c r="B17" s="4" t="s">
        <v>285</v>
      </c>
      <c r="C17" s="4" t="s">
        <v>197</v>
      </c>
      <c r="D17" s="4" t="s">
        <v>198</v>
      </c>
      <c r="E17" s="4" t="s">
        <v>211</v>
      </c>
      <c r="F17" s="4" t="s">
        <v>200</v>
      </c>
      <c r="G17" s="4" t="s">
        <v>286</v>
      </c>
      <c r="H17" s="4" t="s">
        <v>287</v>
      </c>
      <c r="I17" s="4" t="s">
        <v>203</v>
      </c>
      <c r="J17" s="4" t="s">
        <v>204</v>
      </c>
      <c r="K17" s="4" t="s">
        <v>288</v>
      </c>
      <c r="L17" s="4" t="s">
        <v>289</v>
      </c>
      <c r="M17" s="4" t="s">
        <v>245</v>
      </c>
      <c r="N17" s="4" t="s">
        <v>208</v>
      </c>
      <c r="O17" s="4"/>
    </row>
    <row r="18" spans="1:15" ht="22.5" customHeight="1" x14ac:dyDescent="0.3">
      <c r="A18" s="3">
        <v>4633369</v>
      </c>
      <c r="B18" s="3" t="s">
        <v>290</v>
      </c>
      <c r="C18" s="3" t="s">
        <v>197</v>
      </c>
      <c r="D18" s="3" t="s">
        <v>198</v>
      </c>
      <c r="E18" s="3" t="s">
        <v>199</v>
      </c>
      <c r="F18" s="3" t="s">
        <v>200</v>
      </c>
      <c r="G18" s="3" t="s">
        <v>291</v>
      </c>
      <c r="H18" s="3" t="s">
        <v>292</v>
      </c>
      <c r="I18" s="3" t="s">
        <v>203</v>
      </c>
      <c r="J18" s="3" t="s">
        <v>214</v>
      </c>
      <c r="K18" s="3" t="s">
        <v>293</v>
      </c>
      <c r="L18" s="3" t="s">
        <v>294</v>
      </c>
      <c r="M18" s="3" t="s">
        <v>207</v>
      </c>
      <c r="N18" s="3" t="s">
        <v>217</v>
      </c>
      <c r="O18" s="3"/>
    </row>
    <row r="19" spans="1:15" ht="33.75" customHeight="1" x14ac:dyDescent="0.3">
      <c r="A19" s="4">
        <v>3246388</v>
      </c>
      <c r="B19" s="4" t="s">
        <v>295</v>
      </c>
      <c r="C19" s="4" t="s">
        <v>197</v>
      </c>
      <c r="D19" s="4" t="s">
        <v>220</v>
      </c>
      <c r="E19" s="4" t="s">
        <v>211</v>
      </c>
      <c r="F19" s="4" t="s">
        <v>200</v>
      </c>
      <c r="G19" s="4" t="s">
        <v>296</v>
      </c>
      <c r="H19" s="4" t="s">
        <v>297</v>
      </c>
      <c r="I19" s="4" t="s">
        <v>203</v>
      </c>
      <c r="J19" s="4" t="s">
        <v>298</v>
      </c>
      <c r="K19" s="4" t="s">
        <v>299</v>
      </c>
      <c r="L19" s="4" t="s">
        <v>300</v>
      </c>
      <c r="M19" s="4" t="s">
        <v>245</v>
      </c>
      <c r="N19" s="4" t="s">
        <v>217</v>
      </c>
      <c r="O19" s="4"/>
    </row>
    <row r="20" spans="1:15" ht="22.5" customHeight="1" x14ac:dyDescent="0.3">
      <c r="A20" s="3">
        <v>3330370</v>
      </c>
      <c r="B20" s="3" t="s">
        <v>301</v>
      </c>
      <c r="C20" s="3" t="s">
        <v>197</v>
      </c>
      <c r="D20" s="3" t="s">
        <v>198</v>
      </c>
      <c r="E20" s="3" t="s">
        <v>257</v>
      </c>
      <c r="F20" s="3" t="s">
        <v>200</v>
      </c>
      <c r="G20" s="3" t="s">
        <v>302</v>
      </c>
      <c r="H20" s="3" t="s">
        <v>303</v>
      </c>
      <c r="I20" s="3" t="s">
        <v>203</v>
      </c>
      <c r="J20" s="3" t="s">
        <v>214</v>
      </c>
      <c r="K20" s="3" t="s">
        <v>293</v>
      </c>
      <c r="L20" s="3" t="s">
        <v>304</v>
      </c>
      <c r="M20" s="3" t="s">
        <v>207</v>
      </c>
      <c r="N20" s="3" t="s">
        <v>217</v>
      </c>
      <c r="O20" s="3" t="s">
        <v>262</v>
      </c>
    </row>
    <row r="21" spans="1:15" ht="22.5" customHeight="1" x14ac:dyDescent="0.3">
      <c r="A21" s="4">
        <v>4739736</v>
      </c>
      <c r="B21" s="4" t="s">
        <v>305</v>
      </c>
      <c r="C21" s="4" t="s">
        <v>197</v>
      </c>
      <c r="D21" s="4" t="s">
        <v>198</v>
      </c>
      <c r="E21" s="4" t="s">
        <v>211</v>
      </c>
      <c r="F21" s="4" t="s">
        <v>200</v>
      </c>
      <c r="G21" s="4" t="s">
        <v>306</v>
      </c>
      <c r="H21" s="4" t="s">
        <v>307</v>
      </c>
      <c r="I21" s="4" t="s">
        <v>203</v>
      </c>
      <c r="J21" s="4" t="s">
        <v>298</v>
      </c>
      <c r="K21" s="4" t="s">
        <v>308</v>
      </c>
      <c r="L21" s="4" t="s">
        <v>309</v>
      </c>
      <c r="M21" s="4" t="s">
        <v>245</v>
      </c>
      <c r="N21" s="4" t="s">
        <v>217</v>
      </c>
      <c r="O21" s="4"/>
    </row>
    <row r="22" spans="1:15" ht="22.5" customHeight="1" x14ac:dyDescent="0.3">
      <c r="A22" s="3">
        <v>4827430</v>
      </c>
      <c r="B22" s="3" t="s">
        <v>310</v>
      </c>
      <c r="C22" s="3" t="s">
        <v>197</v>
      </c>
      <c r="D22" s="3" t="s">
        <v>198</v>
      </c>
      <c r="E22" s="3" t="s">
        <v>211</v>
      </c>
      <c r="F22" s="3" t="s">
        <v>200</v>
      </c>
      <c r="G22" s="3" t="s">
        <v>311</v>
      </c>
      <c r="H22" s="3" t="s">
        <v>312</v>
      </c>
      <c r="I22" s="3" t="s">
        <v>203</v>
      </c>
      <c r="J22" s="3" t="s">
        <v>214</v>
      </c>
      <c r="K22" s="3" t="s">
        <v>293</v>
      </c>
      <c r="L22" s="3" t="s">
        <v>313</v>
      </c>
      <c r="M22" s="3" t="s">
        <v>233</v>
      </c>
      <c r="N22" s="3" t="s">
        <v>217</v>
      </c>
      <c r="O22" s="3"/>
    </row>
    <row r="23" spans="1:15" ht="22.5" customHeight="1" x14ac:dyDescent="0.3">
      <c r="A23" s="4">
        <v>3243605</v>
      </c>
      <c r="B23" s="4" t="s">
        <v>314</v>
      </c>
      <c r="C23" s="4" t="s">
        <v>197</v>
      </c>
      <c r="D23" s="4" t="s">
        <v>198</v>
      </c>
      <c r="E23" s="4" t="s">
        <v>211</v>
      </c>
      <c r="F23" s="4" t="s">
        <v>200</v>
      </c>
      <c r="G23" s="4" t="s">
        <v>241</v>
      </c>
      <c r="H23" s="4" t="s">
        <v>315</v>
      </c>
      <c r="I23" s="4" t="s">
        <v>203</v>
      </c>
      <c r="J23" s="4" t="s">
        <v>316</v>
      </c>
      <c r="K23" s="4" t="s">
        <v>317</v>
      </c>
      <c r="L23" s="4" t="s">
        <v>318</v>
      </c>
      <c r="M23" s="4" t="s">
        <v>245</v>
      </c>
      <c r="N23" s="4" t="s">
        <v>217</v>
      </c>
      <c r="O23" s="4"/>
    </row>
    <row r="24" spans="1:15" ht="79.5" customHeight="1" x14ac:dyDescent="0.3">
      <c r="A24" s="3">
        <v>5436346</v>
      </c>
      <c r="B24" s="3" t="s">
        <v>319</v>
      </c>
      <c r="C24" s="3" t="s">
        <v>197</v>
      </c>
      <c r="D24" s="3" t="s">
        <v>320</v>
      </c>
      <c r="E24" s="3" t="s">
        <v>199</v>
      </c>
      <c r="F24" s="3" t="s">
        <v>200</v>
      </c>
      <c r="G24" s="3" t="s">
        <v>321</v>
      </c>
      <c r="H24" s="3" t="s">
        <v>322</v>
      </c>
      <c r="I24" s="3" t="s">
        <v>203</v>
      </c>
      <c r="J24" s="3" t="s">
        <v>323</v>
      </c>
      <c r="K24" s="3" t="s">
        <v>324</v>
      </c>
      <c r="L24" s="3" t="s">
        <v>325</v>
      </c>
      <c r="M24" s="3" t="s">
        <v>245</v>
      </c>
      <c r="N24" s="3" t="s">
        <v>208</v>
      </c>
      <c r="O24" s="3" t="s">
        <v>209</v>
      </c>
    </row>
    <row r="25" spans="1:15" ht="22.5" customHeight="1" x14ac:dyDescent="0.3">
      <c r="A25" s="4">
        <v>5066220</v>
      </c>
      <c r="B25" s="4" t="s">
        <v>326</v>
      </c>
      <c r="C25" s="4" t="s">
        <v>197</v>
      </c>
      <c r="D25" s="4" t="s">
        <v>198</v>
      </c>
      <c r="E25" s="4" t="s">
        <v>211</v>
      </c>
      <c r="F25" s="4" t="s">
        <v>200</v>
      </c>
      <c r="G25" s="4" t="s">
        <v>327</v>
      </c>
      <c r="H25" s="4" t="s">
        <v>328</v>
      </c>
      <c r="I25" s="4" t="s">
        <v>203</v>
      </c>
      <c r="J25" s="4" t="s">
        <v>329</v>
      </c>
      <c r="K25" s="4" t="s">
        <v>330</v>
      </c>
      <c r="L25" s="4" t="s">
        <v>331</v>
      </c>
      <c r="M25" s="4" t="s">
        <v>245</v>
      </c>
      <c r="N25" s="4" t="s">
        <v>208</v>
      </c>
      <c r="O25" s="4" t="s">
        <v>218</v>
      </c>
    </row>
    <row r="26" spans="1:15" ht="22.5" customHeight="1" x14ac:dyDescent="0.3">
      <c r="A26" s="3">
        <v>5385571</v>
      </c>
      <c r="B26" s="3" t="s">
        <v>332</v>
      </c>
      <c r="C26" s="3" t="s">
        <v>197</v>
      </c>
      <c r="D26" s="3" t="s">
        <v>198</v>
      </c>
      <c r="E26" s="3" t="s">
        <v>199</v>
      </c>
      <c r="F26" s="3" t="s">
        <v>200</v>
      </c>
      <c r="G26" s="3" t="s">
        <v>321</v>
      </c>
      <c r="H26" s="3" t="s">
        <v>333</v>
      </c>
      <c r="I26" s="3" t="s">
        <v>203</v>
      </c>
      <c r="J26" s="3" t="s">
        <v>214</v>
      </c>
      <c r="K26" s="3" t="s">
        <v>334</v>
      </c>
      <c r="L26" s="3" t="s">
        <v>335</v>
      </c>
      <c r="M26" s="3" t="s">
        <v>245</v>
      </c>
      <c r="N26" s="3" t="s">
        <v>217</v>
      </c>
      <c r="O26" s="3"/>
    </row>
    <row r="27" spans="1:15" ht="22.5" customHeight="1" x14ac:dyDescent="0.3">
      <c r="A27" s="4">
        <v>5101646</v>
      </c>
      <c r="B27" s="4" t="s">
        <v>336</v>
      </c>
      <c r="C27" s="4" t="s">
        <v>197</v>
      </c>
      <c r="D27" s="4"/>
      <c r="E27" s="4" t="s">
        <v>199</v>
      </c>
      <c r="F27" s="4" t="s">
        <v>200</v>
      </c>
      <c r="G27" s="4" t="s">
        <v>337</v>
      </c>
      <c r="H27" s="4" t="s">
        <v>338</v>
      </c>
      <c r="I27" s="4" t="s">
        <v>203</v>
      </c>
      <c r="J27" s="4" t="s">
        <v>214</v>
      </c>
      <c r="K27" s="4" t="s">
        <v>339</v>
      </c>
      <c r="L27" s="4" t="s">
        <v>340</v>
      </c>
      <c r="M27" s="4" t="s">
        <v>207</v>
      </c>
      <c r="N27" s="4" t="s">
        <v>217</v>
      </c>
      <c r="O27" s="4"/>
    </row>
    <row r="28" spans="1:15" ht="57" customHeight="1" x14ac:dyDescent="0.3">
      <c r="A28" s="3">
        <v>4974220</v>
      </c>
      <c r="B28" s="3" t="s">
        <v>341</v>
      </c>
      <c r="C28" s="3" t="s">
        <v>197</v>
      </c>
      <c r="D28" s="3" t="s">
        <v>342</v>
      </c>
      <c r="E28" s="3" t="s">
        <v>211</v>
      </c>
      <c r="F28" s="3" t="s">
        <v>200</v>
      </c>
      <c r="G28" s="3" t="s">
        <v>343</v>
      </c>
      <c r="H28" s="3" t="s">
        <v>344</v>
      </c>
      <c r="I28" s="3" t="s">
        <v>203</v>
      </c>
      <c r="J28" s="3" t="s">
        <v>345</v>
      </c>
      <c r="K28" s="3" t="s">
        <v>346</v>
      </c>
      <c r="L28" s="3" t="s">
        <v>347</v>
      </c>
      <c r="M28" s="3" t="s">
        <v>207</v>
      </c>
      <c r="N28" s="3" t="s">
        <v>208</v>
      </c>
      <c r="O28" s="3" t="s">
        <v>218</v>
      </c>
    </row>
    <row r="29" spans="1:15" ht="22.5" customHeight="1" x14ac:dyDescent="0.3">
      <c r="A29" s="4">
        <v>4904699</v>
      </c>
      <c r="B29" s="4" t="s">
        <v>348</v>
      </c>
      <c r="C29" s="4" t="s">
        <v>197</v>
      </c>
      <c r="D29" s="4" t="s">
        <v>198</v>
      </c>
      <c r="E29" s="4" t="s">
        <v>211</v>
      </c>
      <c r="F29" s="4" t="s">
        <v>200</v>
      </c>
      <c r="G29" s="4" t="s">
        <v>349</v>
      </c>
      <c r="H29" s="4" t="s">
        <v>350</v>
      </c>
      <c r="I29" s="4" t="s">
        <v>203</v>
      </c>
      <c r="J29" s="4" t="s">
        <v>214</v>
      </c>
      <c r="K29" s="4" t="s">
        <v>351</v>
      </c>
      <c r="L29" s="4" t="s">
        <v>352</v>
      </c>
      <c r="M29" s="4" t="s">
        <v>207</v>
      </c>
      <c r="N29" s="4" t="s">
        <v>208</v>
      </c>
      <c r="O29" s="4" t="s">
        <v>218</v>
      </c>
    </row>
    <row r="30" spans="1:15" ht="22.5" customHeight="1" x14ac:dyDescent="0.3">
      <c r="A30" s="3">
        <v>5004608</v>
      </c>
      <c r="B30" s="3" t="s">
        <v>353</v>
      </c>
      <c r="C30" s="3" t="s">
        <v>197</v>
      </c>
      <c r="D30" s="3" t="s">
        <v>354</v>
      </c>
      <c r="E30" s="3" t="s">
        <v>257</v>
      </c>
      <c r="F30" s="3" t="s">
        <v>200</v>
      </c>
      <c r="G30" s="3" t="s">
        <v>355</v>
      </c>
      <c r="H30" s="3" t="s">
        <v>356</v>
      </c>
      <c r="I30" s="3" t="s">
        <v>203</v>
      </c>
      <c r="J30" s="3" t="s">
        <v>204</v>
      </c>
      <c r="K30" s="3" t="s">
        <v>357</v>
      </c>
      <c r="L30" s="3" t="s">
        <v>358</v>
      </c>
      <c r="M30" s="3" t="s">
        <v>207</v>
      </c>
      <c r="N30" s="3" t="s">
        <v>217</v>
      </c>
      <c r="O30" s="3" t="s">
        <v>262</v>
      </c>
    </row>
    <row r="31" spans="1:15" ht="22.5" customHeight="1" x14ac:dyDescent="0.3">
      <c r="A31" s="4">
        <v>4846443</v>
      </c>
      <c r="B31" s="4" t="s">
        <v>359</v>
      </c>
      <c r="C31" s="4" t="s">
        <v>197</v>
      </c>
      <c r="D31" s="4" t="s">
        <v>198</v>
      </c>
      <c r="E31" s="4" t="s">
        <v>199</v>
      </c>
      <c r="F31" s="4" t="s">
        <v>200</v>
      </c>
      <c r="G31" s="4" t="s">
        <v>360</v>
      </c>
      <c r="H31" s="4" t="s">
        <v>361</v>
      </c>
      <c r="I31" s="4" t="s">
        <v>203</v>
      </c>
      <c r="J31" s="4" t="s">
        <v>204</v>
      </c>
      <c r="K31" s="4" t="s">
        <v>362</v>
      </c>
      <c r="L31" s="4" t="s">
        <v>363</v>
      </c>
      <c r="M31" s="4" t="s">
        <v>233</v>
      </c>
      <c r="N31" s="4" t="s">
        <v>217</v>
      </c>
      <c r="O31" s="4"/>
    </row>
    <row r="32" spans="1:15" ht="22.5" customHeight="1" x14ac:dyDescent="0.3">
      <c r="A32" s="3">
        <v>4778561</v>
      </c>
      <c r="B32" s="3" t="s">
        <v>364</v>
      </c>
      <c r="C32" s="3" t="s">
        <v>197</v>
      </c>
      <c r="D32" s="3" t="s">
        <v>198</v>
      </c>
      <c r="E32" s="3" t="s">
        <v>199</v>
      </c>
      <c r="F32" s="3" t="s">
        <v>200</v>
      </c>
      <c r="G32" s="3" t="s">
        <v>365</v>
      </c>
      <c r="H32" s="3" t="s">
        <v>338</v>
      </c>
      <c r="I32" s="3" t="s">
        <v>203</v>
      </c>
      <c r="J32" s="3" t="s">
        <v>214</v>
      </c>
      <c r="K32" s="3" t="s">
        <v>293</v>
      </c>
      <c r="L32" s="3" t="s">
        <v>366</v>
      </c>
      <c r="M32" s="3" t="s">
        <v>207</v>
      </c>
      <c r="N32" s="3" t="s">
        <v>208</v>
      </c>
      <c r="O32" s="3"/>
    </row>
    <row r="33" spans="1:15" ht="22.5" customHeight="1" x14ac:dyDescent="0.3">
      <c r="A33" s="4">
        <v>4846583</v>
      </c>
      <c r="B33" s="4" t="s">
        <v>367</v>
      </c>
      <c r="C33" s="4" t="s">
        <v>197</v>
      </c>
      <c r="D33" s="4" t="s">
        <v>198</v>
      </c>
      <c r="E33" s="4" t="s">
        <v>199</v>
      </c>
      <c r="F33" s="4" t="s">
        <v>200</v>
      </c>
      <c r="G33" s="4" t="s">
        <v>368</v>
      </c>
      <c r="H33" s="4" t="s">
        <v>369</v>
      </c>
      <c r="I33" s="4" t="s">
        <v>203</v>
      </c>
      <c r="J33" s="4" t="s">
        <v>298</v>
      </c>
      <c r="K33" s="4" t="s">
        <v>370</v>
      </c>
      <c r="L33" s="4" t="s">
        <v>371</v>
      </c>
      <c r="M33" s="4" t="s">
        <v>207</v>
      </c>
      <c r="N33" s="4" t="s">
        <v>208</v>
      </c>
      <c r="O33" s="4"/>
    </row>
    <row r="34" spans="1:15" ht="22.5" customHeight="1" x14ac:dyDescent="0.3">
      <c r="A34" s="3">
        <v>4847393</v>
      </c>
      <c r="B34" s="3" t="s">
        <v>372</v>
      </c>
      <c r="C34" s="3" t="s">
        <v>197</v>
      </c>
      <c r="D34" s="3" t="s">
        <v>198</v>
      </c>
      <c r="E34" s="3" t="s">
        <v>199</v>
      </c>
      <c r="F34" s="3" t="s">
        <v>200</v>
      </c>
      <c r="G34" s="3" t="s">
        <v>373</v>
      </c>
      <c r="H34" s="3" t="s">
        <v>374</v>
      </c>
      <c r="I34" s="3" t="s">
        <v>203</v>
      </c>
      <c r="J34" s="3" t="s">
        <v>204</v>
      </c>
      <c r="K34" s="3" t="s">
        <v>375</v>
      </c>
      <c r="L34" s="3" t="s">
        <v>363</v>
      </c>
      <c r="M34" s="3" t="s">
        <v>207</v>
      </c>
      <c r="N34" s="3" t="s">
        <v>208</v>
      </c>
      <c r="O34" s="3"/>
    </row>
    <row r="35" spans="1:15" ht="79.5" customHeight="1" x14ac:dyDescent="0.3">
      <c r="A35" s="4">
        <v>3511235</v>
      </c>
      <c r="B35" s="4" t="s">
        <v>376</v>
      </c>
      <c r="C35" s="4" t="s">
        <v>197</v>
      </c>
      <c r="D35" s="4" t="s">
        <v>377</v>
      </c>
      <c r="E35" s="4" t="s">
        <v>211</v>
      </c>
      <c r="F35" s="4" t="s">
        <v>200</v>
      </c>
      <c r="G35" s="4" t="s">
        <v>378</v>
      </c>
      <c r="H35" s="4" t="s">
        <v>379</v>
      </c>
      <c r="I35" s="4" t="s">
        <v>203</v>
      </c>
      <c r="J35" s="4" t="s">
        <v>345</v>
      </c>
      <c r="K35" s="4" t="s">
        <v>346</v>
      </c>
      <c r="L35" s="4" t="s">
        <v>380</v>
      </c>
      <c r="M35" s="4" t="s">
        <v>207</v>
      </c>
      <c r="N35" s="4" t="s">
        <v>217</v>
      </c>
      <c r="O35" s="4" t="s">
        <v>218</v>
      </c>
    </row>
    <row r="36" spans="1:15" ht="22.5" customHeight="1" x14ac:dyDescent="0.3">
      <c r="A36" s="3">
        <v>4784545</v>
      </c>
      <c r="B36" s="3" t="s">
        <v>381</v>
      </c>
      <c r="C36" s="3" t="s">
        <v>197</v>
      </c>
      <c r="D36" s="3" t="s">
        <v>198</v>
      </c>
      <c r="E36" s="3" t="s">
        <v>211</v>
      </c>
      <c r="F36" s="3" t="s">
        <v>200</v>
      </c>
      <c r="G36" s="3" t="s">
        <v>382</v>
      </c>
      <c r="H36" s="3" t="s">
        <v>297</v>
      </c>
      <c r="I36" s="3" t="s">
        <v>203</v>
      </c>
      <c r="J36" s="3" t="s">
        <v>214</v>
      </c>
      <c r="K36" s="3" t="s">
        <v>272</v>
      </c>
      <c r="L36" s="3" t="s">
        <v>383</v>
      </c>
      <c r="M36" s="3" t="s">
        <v>207</v>
      </c>
      <c r="N36" s="3" t="s">
        <v>217</v>
      </c>
      <c r="O36" s="3"/>
    </row>
    <row r="37" spans="1:15" ht="22.5" customHeight="1" x14ac:dyDescent="0.3">
      <c r="A37" s="4">
        <v>3244318</v>
      </c>
      <c r="B37" s="4" t="s">
        <v>384</v>
      </c>
      <c r="C37" s="4" t="s">
        <v>197</v>
      </c>
      <c r="D37" s="4" t="s">
        <v>198</v>
      </c>
      <c r="E37" s="4" t="s">
        <v>211</v>
      </c>
      <c r="F37" s="4" t="s">
        <v>200</v>
      </c>
      <c r="G37" s="4" t="s">
        <v>385</v>
      </c>
      <c r="H37" s="4" t="s">
        <v>386</v>
      </c>
      <c r="I37" s="4" t="s">
        <v>203</v>
      </c>
      <c r="J37" s="4" t="s">
        <v>214</v>
      </c>
      <c r="K37" s="4" t="s">
        <v>387</v>
      </c>
      <c r="L37" s="4" t="s">
        <v>388</v>
      </c>
      <c r="M37" s="4" t="s">
        <v>245</v>
      </c>
      <c r="N37" s="4" t="s">
        <v>217</v>
      </c>
      <c r="O37" s="4" t="s">
        <v>218</v>
      </c>
    </row>
    <row r="38" spans="1:15" ht="22.5" customHeight="1" x14ac:dyDescent="0.3">
      <c r="A38" s="3">
        <v>2815966</v>
      </c>
      <c r="B38" s="3" t="s">
        <v>389</v>
      </c>
      <c r="C38" s="3" t="s">
        <v>197</v>
      </c>
      <c r="D38" s="3" t="s">
        <v>198</v>
      </c>
      <c r="E38" s="3" t="s">
        <v>211</v>
      </c>
      <c r="F38" s="3" t="s">
        <v>200</v>
      </c>
      <c r="G38" s="3" t="s">
        <v>390</v>
      </c>
      <c r="H38" s="3" t="s">
        <v>391</v>
      </c>
      <c r="I38" s="3" t="s">
        <v>203</v>
      </c>
      <c r="J38" s="3" t="s">
        <v>214</v>
      </c>
      <c r="K38" s="3" t="s">
        <v>238</v>
      </c>
      <c r="L38" s="3" t="s">
        <v>392</v>
      </c>
      <c r="M38" s="3" t="s">
        <v>245</v>
      </c>
      <c r="N38" s="3" t="s">
        <v>217</v>
      </c>
      <c r="O38" s="3"/>
    </row>
    <row r="39" spans="1:15" ht="22.5" customHeight="1" x14ac:dyDescent="0.3">
      <c r="A39" s="4">
        <v>3511847</v>
      </c>
      <c r="B39" s="4" t="s">
        <v>393</v>
      </c>
      <c r="C39" s="4" t="s">
        <v>197</v>
      </c>
      <c r="D39" s="4" t="s">
        <v>198</v>
      </c>
      <c r="E39" s="4" t="s">
        <v>211</v>
      </c>
      <c r="F39" s="4" t="s">
        <v>200</v>
      </c>
      <c r="G39" s="4" t="s">
        <v>394</v>
      </c>
      <c r="H39" s="4" t="s">
        <v>395</v>
      </c>
      <c r="I39" s="4" t="s">
        <v>203</v>
      </c>
      <c r="J39" s="4" t="s">
        <v>214</v>
      </c>
      <c r="K39" s="4" t="s">
        <v>272</v>
      </c>
      <c r="L39" s="4" t="s">
        <v>396</v>
      </c>
      <c r="M39" s="4" t="s">
        <v>207</v>
      </c>
      <c r="N39" s="4" t="s">
        <v>208</v>
      </c>
      <c r="O39" s="4"/>
    </row>
    <row r="40" spans="1:15" ht="33.75" customHeight="1" x14ac:dyDescent="0.3">
      <c r="A40" s="3">
        <v>3506622</v>
      </c>
      <c r="B40" s="3" t="s">
        <v>397</v>
      </c>
      <c r="C40" s="3" t="s">
        <v>197</v>
      </c>
      <c r="D40" s="3" t="s">
        <v>220</v>
      </c>
      <c r="E40" s="3" t="s">
        <v>211</v>
      </c>
      <c r="F40" s="3" t="s">
        <v>200</v>
      </c>
      <c r="G40" s="3" t="s">
        <v>398</v>
      </c>
      <c r="H40" s="3" t="s">
        <v>399</v>
      </c>
      <c r="I40" s="3" t="s">
        <v>203</v>
      </c>
      <c r="J40" s="3" t="s">
        <v>253</v>
      </c>
      <c r="K40" s="3" t="s">
        <v>400</v>
      </c>
      <c r="L40" s="3" t="s">
        <v>401</v>
      </c>
      <c r="M40" s="3" t="s">
        <v>207</v>
      </c>
      <c r="N40" s="3" t="s">
        <v>217</v>
      </c>
      <c r="O40" s="3"/>
    </row>
    <row r="41" spans="1:15" ht="22.5" customHeight="1" x14ac:dyDescent="0.3">
      <c r="A41" s="4">
        <v>5655552</v>
      </c>
      <c r="B41" s="4" t="s">
        <v>402</v>
      </c>
      <c r="C41" s="4" t="s">
        <v>197</v>
      </c>
      <c r="D41" s="4" t="s">
        <v>198</v>
      </c>
      <c r="E41" s="4" t="s">
        <v>403</v>
      </c>
      <c r="F41" s="4" t="s">
        <v>200</v>
      </c>
      <c r="G41" s="4" t="s">
        <v>404</v>
      </c>
      <c r="H41" s="4" t="s">
        <v>405</v>
      </c>
      <c r="I41" s="4" t="s">
        <v>203</v>
      </c>
      <c r="J41" s="4" t="s">
        <v>214</v>
      </c>
      <c r="K41" s="4" t="s">
        <v>272</v>
      </c>
      <c r="L41" s="4" t="s">
        <v>406</v>
      </c>
      <c r="M41" s="4" t="s">
        <v>207</v>
      </c>
      <c r="N41" s="4" t="s">
        <v>217</v>
      </c>
      <c r="O41" s="4"/>
    </row>
    <row r="42" spans="1:15" ht="22.5" customHeight="1" x14ac:dyDescent="0.3">
      <c r="A42" s="3">
        <v>3247449</v>
      </c>
      <c r="B42" s="3" t="s">
        <v>407</v>
      </c>
      <c r="C42" s="3" t="s">
        <v>197</v>
      </c>
      <c r="D42" s="3" t="s">
        <v>198</v>
      </c>
      <c r="E42" s="3" t="s">
        <v>227</v>
      </c>
      <c r="F42" s="3" t="s">
        <v>200</v>
      </c>
      <c r="G42" s="3" t="s">
        <v>408</v>
      </c>
      <c r="H42" s="3" t="s">
        <v>409</v>
      </c>
      <c r="I42" s="3" t="s">
        <v>203</v>
      </c>
      <c r="J42" s="3" t="s">
        <v>214</v>
      </c>
      <c r="K42" s="3" t="s">
        <v>410</v>
      </c>
      <c r="L42" s="3" t="s">
        <v>411</v>
      </c>
      <c r="M42" s="3" t="s">
        <v>245</v>
      </c>
      <c r="N42" s="3" t="s">
        <v>217</v>
      </c>
      <c r="O42" s="3" t="s">
        <v>234</v>
      </c>
    </row>
    <row r="43" spans="1:15" ht="57" customHeight="1" x14ac:dyDescent="0.3">
      <c r="A43" s="4">
        <v>3278212</v>
      </c>
      <c r="B43" s="4" t="s">
        <v>412</v>
      </c>
      <c r="C43" s="4" t="s">
        <v>197</v>
      </c>
      <c r="D43" s="4" t="s">
        <v>342</v>
      </c>
      <c r="E43" s="4" t="s">
        <v>227</v>
      </c>
      <c r="F43" s="4" t="s">
        <v>413</v>
      </c>
      <c r="G43" s="4" t="s">
        <v>414</v>
      </c>
      <c r="H43" s="4" t="s">
        <v>415</v>
      </c>
      <c r="I43" s="4" t="s">
        <v>203</v>
      </c>
      <c r="J43" s="4" t="s">
        <v>204</v>
      </c>
      <c r="K43" s="4" t="s">
        <v>416</v>
      </c>
      <c r="L43" s="4" t="s">
        <v>417</v>
      </c>
      <c r="M43" s="4" t="s">
        <v>245</v>
      </c>
      <c r="N43" s="4" t="s">
        <v>208</v>
      </c>
      <c r="O43" s="4" t="s">
        <v>418</v>
      </c>
    </row>
    <row r="44" spans="1:15" ht="22.5" customHeight="1" x14ac:dyDescent="0.3">
      <c r="A44" s="3">
        <v>3282961</v>
      </c>
      <c r="B44" s="3" t="s">
        <v>419</v>
      </c>
      <c r="C44" s="3" t="s">
        <v>197</v>
      </c>
      <c r="D44" s="3" t="s">
        <v>198</v>
      </c>
      <c r="E44" s="3" t="s">
        <v>227</v>
      </c>
      <c r="F44" s="3" t="s">
        <v>200</v>
      </c>
      <c r="G44" s="3" t="s">
        <v>420</v>
      </c>
      <c r="H44" s="3" t="s">
        <v>421</v>
      </c>
      <c r="I44" s="3" t="s">
        <v>203</v>
      </c>
      <c r="J44" s="3" t="s">
        <v>253</v>
      </c>
      <c r="K44" s="3" t="s">
        <v>422</v>
      </c>
      <c r="L44" s="3" t="s">
        <v>423</v>
      </c>
      <c r="M44" s="3" t="s">
        <v>245</v>
      </c>
      <c r="N44" s="3" t="s">
        <v>217</v>
      </c>
      <c r="O44" s="3" t="s">
        <v>234</v>
      </c>
    </row>
    <row r="45" spans="1:15" ht="22.5" customHeight="1" x14ac:dyDescent="0.3">
      <c r="A45" s="4">
        <v>3290328</v>
      </c>
      <c r="B45" s="4" t="s">
        <v>424</v>
      </c>
      <c r="C45" s="4" t="s">
        <v>197</v>
      </c>
      <c r="D45" s="4" t="s">
        <v>198</v>
      </c>
      <c r="E45" s="4" t="s">
        <v>227</v>
      </c>
      <c r="F45" s="4" t="s">
        <v>200</v>
      </c>
      <c r="G45" s="4" t="s">
        <v>425</v>
      </c>
      <c r="H45" s="4" t="s">
        <v>426</v>
      </c>
      <c r="I45" s="4" t="s">
        <v>203</v>
      </c>
      <c r="J45" s="4" t="s">
        <v>214</v>
      </c>
      <c r="K45" s="4" t="s">
        <v>427</v>
      </c>
      <c r="L45" s="4" t="s">
        <v>428</v>
      </c>
      <c r="M45" s="4" t="s">
        <v>245</v>
      </c>
      <c r="N45" s="4" t="s">
        <v>217</v>
      </c>
      <c r="O45" s="4" t="s">
        <v>234</v>
      </c>
    </row>
    <row r="46" spans="1:15" ht="22.5" customHeight="1" x14ac:dyDescent="0.3">
      <c r="A46" s="3">
        <v>3292800</v>
      </c>
      <c r="B46" s="3" t="s">
        <v>429</v>
      </c>
      <c r="C46" s="3" t="s">
        <v>197</v>
      </c>
      <c r="D46" s="3" t="s">
        <v>198</v>
      </c>
      <c r="E46" s="3" t="s">
        <v>227</v>
      </c>
      <c r="F46" s="3" t="s">
        <v>200</v>
      </c>
      <c r="G46" s="3" t="s">
        <v>430</v>
      </c>
      <c r="H46" s="3" t="s">
        <v>431</v>
      </c>
      <c r="I46" s="3" t="s">
        <v>203</v>
      </c>
      <c r="J46" s="3" t="s">
        <v>214</v>
      </c>
      <c r="K46" s="3" t="s">
        <v>272</v>
      </c>
      <c r="L46" s="3" t="s">
        <v>432</v>
      </c>
      <c r="M46" s="3" t="s">
        <v>207</v>
      </c>
      <c r="N46" s="3" t="s">
        <v>217</v>
      </c>
      <c r="O46" s="3" t="s">
        <v>433</v>
      </c>
    </row>
    <row r="47" spans="1:15" ht="22.5" customHeight="1" x14ac:dyDescent="0.3">
      <c r="A47" s="4">
        <v>3209105</v>
      </c>
      <c r="B47" s="4" t="s">
        <v>434</v>
      </c>
      <c r="C47" s="4" t="s">
        <v>197</v>
      </c>
      <c r="D47" s="4" t="s">
        <v>198</v>
      </c>
      <c r="E47" s="4" t="s">
        <v>227</v>
      </c>
      <c r="F47" s="4" t="s">
        <v>200</v>
      </c>
      <c r="G47" s="4" t="s">
        <v>435</v>
      </c>
      <c r="H47" s="4" t="s">
        <v>436</v>
      </c>
      <c r="I47" s="4" t="s">
        <v>203</v>
      </c>
      <c r="J47" s="4" t="s">
        <v>204</v>
      </c>
      <c r="K47" s="4" t="s">
        <v>437</v>
      </c>
      <c r="L47" s="4" t="s">
        <v>438</v>
      </c>
      <c r="M47" s="4" t="s">
        <v>245</v>
      </c>
      <c r="N47" s="4" t="s">
        <v>217</v>
      </c>
      <c r="O47" s="4" t="s">
        <v>418</v>
      </c>
    </row>
    <row r="48" spans="1:15" ht="22.5" customHeight="1" x14ac:dyDescent="0.3">
      <c r="A48" s="3">
        <v>3251268</v>
      </c>
      <c r="B48" s="3" t="s">
        <v>439</v>
      </c>
      <c r="C48" s="3" t="s">
        <v>197</v>
      </c>
      <c r="D48" s="3" t="s">
        <v>198</v>
      </c>
      <c r="E48" s="3" t="s">
        <v>227</v>
      </c>
      <c r="F48" s="3" t="s">
        <v>200</v>
      </c>
      <c r="G48" s="3" t="s">
        <v>440</v>
      </c>
      <c r="H48" s="3" t="s">
        <v>441</v>
      </c>
      <c r="I48" s="3" t="s">
        <v>203</v>
      </c>
      <c r="J48" s="3" t="s">
        <v>266</v>
      </c>
      <c r="K48" s="3" t="s">
        <v>442</v>
      </c>
      <c r="L48" s="3" t="s">
        <v>443</v>
      </c>
      <c r="M48" s="3" t="s">
        <v>245</v>
      </c>
      <c r="N48" s="3" t="s">
        <v>208</v>
      </c>
      <c r="O48" s="3" t="s">
        <v>444</v>
      </c>
    </row>
    <row r="49" spans="1:15" ht="22.5" customHeight="1" x14ac:dyDescent="0.3">
      <c r="A49" s="4">
        <v>3252965</v>
      </c>
      <c r="B49" s="4" t="s">
        <v>445</v>
      </c>
      <c r="C49" s="4" t="s">
        <v>197</v>
      </c>
      <c r="D49" s="4" t="s">
        <v>198</v>
      </c>
      <c r="E49" s="4" t="s">
        <v>227</v>
      </c>
      <c r="F49" s="4" t="s">
        <v>413</v>
      </c>
      <c r="G49" s="4" t="s">
        <v>446</v>
      </c>
      <c r="H49" s="4" t="s">
        <v>447</v>
      </c>
      <c r="I49" s="4" t="s">
        <v>203</v>
      </c>
      <c r="J49" s="4" t="s">
        <v>323</v>
      </c>
      <c r="K49" s="4" t="s">
        <v>448</v>
      </c>
      <c r="L49" s="4" t="s">
        <v>428</v>
      </c>
      <c r="M49" s="4" t="s">
        <v>245</v>
      </c>
      <c r="N49" s="4" t="s">
        <v>208</v>
      </c>
      <c r="O49" s="4" t="s">
        <v>418</v>
      </c>
    </row>
    <row r="50" spans="1:15" ht="22.5" customHeight="1" x14ac:dyDescent="0.3">
      <c r="A50" s="3">
        <v>3262766</v>
      </c>
      <c r="B50" s="3" t="s">
        <v>449</v>
      </c>
      <c r="C50" s="3" t="s">
        <v>197</v>
      </c>
      <c r="D50" s="3" t="s">
        <v>198</v>
      </c>
      <c r="E50" s="3" t="s">
        <v>227</v>
      </c>
      <c r="F50" s="3" t="s">
        <v>200</v>
      </c>
      <c r="G50" s="3" t="s">
        <v>450</v>
      </c>
      <c r="H50" s="3" t="s">
        <v>451</v>
      </c>
      <c r="I50" s="3" t="s">
        <v>203</v>
      </c>
      <c r="J50" s="3" t="s">
        <v>204</v>
      </c>
      <c r="K50" s="3" t="s">
        <v>452</v>
      </c>
      <c r="L50" s="3" t="s">
        <v>453</v>
      </c>
      <c r="M50" s="3" t="s">
        <v>245</v>
      </c>
      <c r="N50" s="3" t="s">
        <v>217</v>
      </c>
      <c r="O50" s="3" t="s">
        <v>234</v>
      </c>
    </row>
    <row r="51" spans="1:15" ht="22.5" customHeight="1" x14ac:dyDescent="0.3">
      <c r="A51" s="4">
        <v>3199703</v>
      </c>
      <c r="B51" s="4" t="s">
        <v>454</v>
      </c>
      <c r="C51" s="4" t="s">
        <v>197</v>
      </c>
      <c r="D51" s="4" t="s">
        <v>198</v>
      </c>
      <c r="E51" s="4" t="s">
        <v>227</v>
      </c>
      <c r="F51" s="4" t="s">
        <v>200</v>
      </c>
      <c r="G51" s="4" t="s">
        <v>455</v>
      </c>
      <c r="H51" s="4" t="s">
        <v>456</v>
      </c>
      <c r="I51" s="4" t="s">
        <v>203</v>
      </c>
      <c r="J51" s="4" t="s">
        <v>266</v>
      </c>
      <c r="K51" s="4" t="s">
        <v>457</v>
      </c>
      <c r="L51" s="4" t="s">
        <v>458</v>
      </c>
      <c r="M51" s="4" t="s">
        <v>245</v>
      </c>
      <c r="N51" s="4" t="s">
        <v>217</v>
      </c>
      <c r="O51" s="4" t="s">
        <v>418</v>
      </c>
    </row>
    <row r="52" spans="1:15" ht="33.75" customHeight="1" x14ac:dyDescent="0.3">
      <c r="A52" s="3">
        <v>3210103</v>
      </c>
      <c r="B52" s="3" t="s">
        <v>459</v>
      </c>
      <c r="C52" s="3" t="s">
        <v>197</v>
      </c>
      <c r="D52" s="3" t="s">
        <v>198</v>
      </c>
      <c r="E52" s="3" t="s">
        <v>227</v>
      </c>
      <c r="F52" s="3" t="s">
        <v>200</v>
      </c>
      <c r="G52" s="3" t="s">
        <v>460</v>
      </c>
      <c r="H52" s="3" t="s">
        <v>461</v>
      </c>
      <c r="I52" s="3" t="s">
        <v>203</v>
      </c>
      <c r="J52" s="3" t="s">
        <v>298</v>
      </c>
      <c r="K52" s="3" t="s">
        <v>462</v>
      </c>
      <c r="L52" s="3" t="s">
        <v>463</v>
      </c>
      <c r="M52" s="3" t="s">
        <v>233</v>
      </c>
      <c r="N52" s="3" t="s">
        <v>208</v>
      </c>
      <c r="O52" s="3" t="s">
        <v>433</v>
      </c>
    </row>
    <row r="53" spans="1:15" ht="22.5" customHeight="1" x14ac:dyDescent="0.3">
      <c r="A53" s="4">
        <v>3252396</v>
      </c>
      <c r="B53" s="4" t="s">
        <v>464</v>
      </c>
      <c r="C53" s="4" t="s">
        <v>197</v>
      </c>
      <c r="D53" s="4" t="s">
        <v>198</v>
      </c>
      <c r="E53" s="4" t="s">
        <v>227</v>
      </c>
      <c r="F53" s="4" t="s">
        <v>200</v>
      </c>
      <c r="G53" s="4" t="s">
        <v>465</v>
      </c>
      <c r="H53" s="4" t="s">
        <v>466</v>
      </c>
      <c r="I53" s="4" t="s">
        <v>203</v>
      </c>
      <c r="J53" s="4" t="s">
        <v>204</v>
      </c>
      <c r="K53" s="4" t="s">
        <v>467</v>
      </c>
      <c r="L53" s="4" t="s">
        <v>468</v>
      </c>
      <c r="M53" s="4" t="s">
        <v>245</v>
      </c>
      <c r="N53" s="4" t="s">
        <v>208</v>
      </c>
      <c r="O53" s="4" t="s">
        <v>418</v>
      </c>
    </row>
    <row r="54" spans="1:15" ht="22.5" customHeight="1" x14ac:dyDescent="0.3">
      <c r="A54" s="3">
        <v>3115011</v>
      </c>
      <c r="B54" s="3" t="s">
        <v>469</v>
      </c>
      <c r="C54" s="3" t="s">
        <v>197</v>
      </c>
      <c r="D54" s="3" t="s">
        <v>198</v>
      </c>
      <c r="E54" s="3" t="s">
        <v>227</v>
      </c>
      <c r="F54" s="3" t="s">
        <v>200</v>
      </c>
      <c r="G54" s="3" t="s">
        <v>470</v>
      </c>
      <c r="H54" s="3" t="s">
        <v>471</v>
      </c>
      <c r="I54" s="3" t="s">
        <v>203</v>
      </c>
      <c r="J54" s="3" t="s">
        <v>204</v>
      </c>
      <c r="K54" s="3" t="s">
        <v>472</v>
      </c>
      <c r="L54" s="3" t="s">
        <v>473</v>
      </c>
      <c r="M54" s="3" t="s">
        <v>233</v>
      </c>
      <c r="N54" s="3" t="s">
        <v>217</v>
      </c>
      <c r="O54" s="3" t="s">
        <v>234</v>
      </c>
    </row>
    <row r="55" spans="1:15" ht="22.5" customHeight="1" x14ac:dyDescent="0.3">
      <c r="A55" s="4">
        <v>3158373</v>
      </c>
      <c r="B55" s="4" t="s">
        <v>474</v>
      </c>
      <c r="C55" s="4" t="s">
        <v>197</v>
      </c>
      <c r="D55" s="4" t="s">
        <v>198</v>
      </c>
      <c r="E55" s="4" t="s">
        <v>227</v>
      </c>
      <c r="F55" s="4" t="s">
        <v>200</v>
      </c>
      <c r="G55" s="4" t="s">
        <v>475</v>
      </c>
      <c r="H55" s="4" t="s">
        <v>476</v>
      </c>
      <c r="I55" s="4" t="s">
        <v>203</v>
      </c>
      <c r="J55" s="4" t="s">
        <v>204</v>
      </c>
      <c r="K55" s="4" t="s">
        <v>477</v>
      </c>
      <c r="L55" s="4" t="s">
        <v>478</v>
      </c>
      <c r="M55" s="4" t="s">
        <v>245</v>
      </c>
      <c r="N55" s="4" t="s">
        <v>208</v>
      </c>
      <c r="O55" s="4" t="s">
        <v>234</v>
      </c>
    </row>
    <row r="56" spans="1:15" ht="22.5" customHeight="1" x14ac:dyDescent="0.3">
      <c r="A56" s="3">
        <v>3173496</v>
      </c>
      <c r="B56" s="3" t="s">
        <v>479</v>
      </c>
      <c r="C56" s="3" t="s">
        <v>197</v>
      </c>
      <c r="D56" s="3" t="s">
        <v>198</v>
      </c>
      <c r="E56" s="3" t="s">
        <v>227</v>
      </c>
      <c r="F56" s="3" t="s">
        <v>200</v>
      </c>
      <c r="G56" s="3" t="s">
        <v>480</v>
      </c>
      <c r="H56" s="3" t="s">
        <v>481</v>
      </c>
      <c r="I56" s="3" t="s">
        <v>203</v>
      </c>
      <c r="J56" s="3" t="s">
        <v>214</v>
      </c>
      <c r="K56" s="3" t="s">
        <v>482</v>
      </c>
      <c r="L56" s="3" t="s">
        <v>483</v>
      </c>
      <c r="M56" s="3" t="s">
        <v>245</v>
      </c>
      <c r="N56" s="3" t="s">
        <v>208</v>
      </c>
      <c r="O56" s="3" t="s">
        <v>234</v>
      </c>
    </row>
    <row r="57" spans="1:15" ht="22.5" customHeight="1" x14ac:dyDescent="0.3">
      <c r="A57" s="4">
        <v>3189058</v>
      </c>
      <c r="B57" s="4" t="s">
        <v>484</v>
      </c>
      <c r="C57" s="4" t="s">
        <v>197</v>
      </c>
      <c r="D57" s="4" t="s">
        <v>198</v>
      </c>
      <c r="E57" s="4" t="s">
        <v>227</v>
      </c>
      <c r="F57" s="4" t="s">
        <v>200</v>
      </c>
      <c r="G57" s="4" t="s">
        <v>485</v>
      </c>
      <c r="H57" s="4" t="s">
        <v>486</v>
      </c>
      <c r="I57" s="4" t="s">
        <v>203</v>
      </c>
      <c r="J57" s="4" t="s">
        <v>323</v>
      </c>
      <c r="K57" s="4" t="s">
        <v>487</v>
      </c>
      <c r="L57" s="4" t="s">
        <v>488</v>
      </c>
      <c r="M57" s="4" t="s">
        <v>245</v>
      </c>
      <c r="N57" s="4" t="s">
        <v>217</v>
      </c>
      <c r="O57" s="4" t="s">
        <v>444</v>
      </c>
    </row>
    <row r="58" spans="1:15" ht="22.5" customHeight="1" x14ac:dyDescent="0.3">
      <c r="A58" s="3">
        <v>3174042</v>
      </c>
      <c r="B58" s="3" t="s">
        <v>489</v>
      </c>
      <c r="C58" s="3" t="s">
        <v>197</v>
      </c>
      <c r="D58" s="3" t="s">
        <v>198</v>
      </c>
      <c r="E58" s="3" t="s">
        <v>227</v>
      </c>
      <c r="F58" s="3" t="s">
        <v>200</v>
      </c>
      <c r="G58" s="3" t="s">
        <v>490</v>
      </c>
      <c r="H58" s="3" t="s">
        <v>491</v>
      </c>
      <c r="I58" s="3" t="s">
        <v>203</v>
      </c>
      <c r="J58" s="3" t="s">
        <v>214</v>
      </c>
      <c r="K58" s="3" t="s">
        <v>427</v>
      </c>
      <c r="L58" s="3" t="s">
        <v>492</v>
      </c>
      <c r="M58" s="3" t="s">
        <v>245</v>
      </c>
      <c r="N58" s="3" t="s">
        <v>217</v>
      </c>
      <c r="O58" s="3" t="s">
        <v>234</v>
      </c>
    </row>
    <row r="59" spans="1:15" ht="33.75" customHeight="1" x14ac:dyDescent="0.3">
      <c r="A59" s="4">
        <v>3097935</v>
      </c>
      <c r="B59" s="4" t="s">
        <v>493</v>
      </c>
      <c r="C59" s="4" t="s">
        <v>197</v>
      </c>
      <c r="D59" s="4" t="s">
        <v>494</v>
      </c>
      <c r="E59" s="4" t="s">
        <v>227</v>
      </c>
      <c r="F59" s="4" t="s">
        <v>200</v>
      </c>
      <c r="G59" s="4" t="s">
        <v>495</v>
      </c>
      <c r="H59" s="4" t="s">
        <v>496</v>
      </c>
      <c r="I59" s="4" t="s">
        <v>203</v>
      </c>
      <c r="J59" s="4" t="s">
        <v>329</v>
      </c>
      <c r="K59" s="4" t="s">
        <v>497</v>
      </c>
      <c r="L59" s="4" t="s">
        <v>498</v>
      </c>
      <c r="M59" s="4" t="s">
        <v>245</v>
      </c>
      <c r="N59" s="4" t="s">
        <v>217</v>
      </c>
      <c r="O59" s="4" t="s">
        <v>433</v>
      </c>
    </row>
    <row r="60" spans="1:15" ht="22.5" customHeight="1" x14ac:dyDescent="0.3">
      <c r="A60" s="3">
        <v>3117189</v>
      </c>
      <c r="B60" s="3" t="s">
        <v>499</v>
      </c>
      <c r="C60" s="3" t="s">
        <v>197</v>
      </c>
      <c r="D60" s="3" t="s">
        <v>198</v>
      </c>
      <c r="E60" s="3" t="s">
        <v>227</v>
      </c>
      <c r="F60" s="3" t="s">
        <v>200</v>
      </c>
      <c r="G60" s="3" t="s">
        <v>500</v>
      </c>
      <c r="H60" s="3" t="s">
        <v>501</v>
      </c>
      <c r="I60" s="3" t="s">
        <v>203</v>
      </c>
      <c r="J60" s="3" t="s">
        <v>204</v>
      </c>
      <c r="K60" s="3" t="s">
        <v>437</v>
      </c>
      <c r="L60" s="3" t="s">
        <v>502</v>
      </c>
      <c r="M60" s="3" t="s">
        <v>245</v>
      </c>
      <c r="N60" s="3" t="s">
        <v>217</v>
      </c>
      <c r="O60" s="3" t="s">
        <v>418</v>
      </c>
    </row>
    <row r="61" spans="1:15" ht="22.5" customHeight="1" x14ac:dyDescent="0.3">
      <c r="A61" s="4">
        <v>3212998</v>
      </c>
      <c r="B61" s="4" t="s">
        <v>503</v>
      </c>
      <c r="C61" s="4" t="s">
        <v>197</v>
      </c>
      <c r="D61" s="4" t="s">
        <v>198</v>
      </c>
      <c r="E61" s="4" t="s">
        <v>227</v>
      </c>
      <c r="F61" s="4" t="s">
        <v>200</v>
      </c>
      <c r="G61" s="4" t="s">
        <v>504</v>
      </c>
      <c r="H61" s="4" t="s">
        <v>505</v>
      </c>
      <c r="I61" s="4" t="s">
        <v>203</v>
      </c>
      <c r="J61" s="4" t="s">
        <v>506</v>
      </c>
      <c r="K61" s="4" t="s">
        <v>507</v>
      </c>
      <c r="L61" s="4" t="s">
        <v>411</v>
      </c>
      <c r="M61" s="4" t="s">
        <v>245</v>
      </c>
      <c r="N61" s="4" t="s">
        <v>217</v>
      </c>
      <c r="O61" s="4" t="s">
        <v>444</v>
      </c>
    </row>
    <row r="62" spans="1:15" ht="33.75" customHeight="1" x14ac:dyDescent="0.3">
      <c r="A62" s="3">
        <v>3019055</v>
      </c>
      <c r="B62" s="3" t="s">
        <v>508</v>
      </c>
      <c r="C62" s="3" t="s">
        <v>197</v>
      </c>
      <c r="D62" s="3" t="s">
        <v>220</v>
      </c>
      <c r="E62" s="3" t="s">
        <v>227</v>
      </c>
      <c r="F62" s="3" t="s">
        <v>413</v>
      </c>
      <c r="G62" s="3" t="s">
        <v>509</v>
      </c>
      <c r="H62" s="3" t="s">
        <v>510</v>
      </c>
      <c r="I62" s="3" t="s">
        <v>203</v>
      </c>
      <c r="J62" s="3" t="s">
        <v>345</v>
      </c>
      <c r="K62" s="3" t="s">
        <v>511</v>
      </c>
      <c r="L62" s="3" t="s">
        <v>512</v>
      </c>
      <c r="M62" s="3" t="s">
        <v>233</v>
      </c>
      <c r="N62" s="3" t="s">
        <v>208</v>
      </c>
      <c r="O62" s="3" t="s">
        <v>433</v>
      </c>
    </row>
    <row r="63" spans="1:15" ht="22.5" customHeight="1" x14ac:dyDescent="0.3">
      <c r="A63" s="4">
        <v>3020312</v>
      </c>
      <c r="B63" s="4" t="s">
        <v>513</v>
      </c>
      <c r="C63" s="4" t="s">
        <v>197</v>
      </c>
      <c r="D63" s="4" t="s">
        <v>198</v>
      </c>
      <c r="E63" s="4" t="s">
        <v>227</v>
      </c>
      <c r="F63" s="4" t="s">
        <v>200</v>
      </c>
      <c r="G63" s="4" t="s">
        <v>514</v>
      </c>
      <c r="H63" s="4" t="s">
        <v>515</v>
      </c>
      <c r="I63" s="4" t="s">
        <v>203</v>
      </c>
      <c r="J63" s="4" t="s">
        <v>323</v>
      </c>
      <c r="K63" s="4" t="s">
        <v>516</v>
      </c>
      <c r="L63" s="4" t="s">
        <v>517</v>
      </c>
      <c r="M63" s="4" t="s">
        <v>245</v>
      </c>
      <c r="N63" s="4" t="s">
        <v>217</v>
      </c>
      <c r="O63" s="4" t="s">
        <v>234</v>
      </c>
    </row>
    <row r="64" spans="1:15" ht="22.5" customHeight="1" x14ac:dyDescent="0.3">
      <c r="A64" s="3">
        <v>3063119</v>
      </c>
      <c r="B64" s="3" t="s">
        <v>518</v>
      </c>
      <c r="C64" s="3" t="s">
        <v>197</v>
      </c>
      <c r="D64" s="3" t="s">
        <v>198</v>
      </c>
      <c r="E64" s="3" t="s">
        <v>227</v>
      </c>
      <c r="F64" s="3" t="s">
        <v>200</v>
      </c>
      <c r="G64" s="3" t="s">
        <v>519</v>
      </c>
      <c r="H64" s="3" t="s">
        <v>520</v>
      </c>
      <c r="I64" s="3" t="s">
        <v>203</v>
      </c>
      <c r="J64" s="3" t="s">
        <v>214</v>
      </c>
      <c r="K64" s="3" t="s">
        <v>521</v>
      </c>
      <c r="L64" s="3" t="s">
        <v>522</v>
      </c>
      <c r="M64" s="3" t="s">
        <v>245</v>
      </c>
      <c r="N64" s="3" t="s">
        <v>217</v>
      </c>
      <c r="O64" s="3" t="s">
        <v>234</v>
      </c>
    </row>
    <row r="65" spans="1:15" ht="22.5" customHeight="1" x14ac:dyDescent="0.3">
      <c r="A65" s="4">
        <v>3082644</v>
      </c>
      <c r="B65" s="4" t="s">
        <v>523</v>
      </c>
      <c r="C65" s="4" t="s">
        <v>197</v>
      </c>
      <c r="D65" s="4" t="s">
        <v>198</v>
      </c>
      <c r="E65" s="4" t="s">
        <v>227</v>
      </c>
      <c r="F65" s="4" t="s">
        <v>200</v>
      </c>
      <c r="G65" s="4" t="s">
        <v>524</v>
      </c>
      <c r="H65" s="4" t="s">
        <v>525</v>
      </c>
      <c r="I65" s="4" t="s">
        <v>203</v>
      </c>
      <c r="J65" s="4" t="s">
        <v>214</v>
      </c>
      <c r="K65" s="4" t="s">
        <v>526</v>
      </c>
      <c r="L65" s="4" t="s">
        <v>380</v>
      </c>
      <c r="M65" s="4" t="s">
        <v>245</v>
      </c>
      <c r="N65" s="4" t="s">
        <v>217</v>
      </c>
      <c r="O65" s="4" t="s">
        <v>234</v>
      </c>
    </row>
    <row r="66" spans="1:15" ht="22.5" customHeight="1" x14ac:dyDescent="0.3">
      <c r="A66" s="3">
        <v>3101320</v>
      </c>
      <c r="B66" s="3" t="s">
        <v>527</v>
      </c>
      <c r="C66" s="3" t="s">
        <v>197</v>
      </c>
      <c r="D66" s="3" t="s">
        <v>198</v>
      </c>
      <c r="E66" s="3" t="s">
        <v>227</v>
      </c>
      <c r="F66" s="3" t="s">
        <v>200</v>
      </c>
      <c r="G66" s="3" t="s">
        <v>528</v>
      </c>
      <c r="H66" s="3" t="s">
        <v>529</v>
      </c>
      <c r="I66" s="3" t="s">
        <v>203</v>
      </c>
      <c r="J66" s="3" t="s">
        <v>204</v>
      </c>
      <c r="K66" s="3" t="s">
        <v>530</v>
      </c>
      <c r="L66" s="3" t="s">
        <v>531</v>
      </c>
      <c r="M66" s="3" t="s">
        <v>245</v>
      </c>
      <c r="N66" s="3" t="s">
        <v>217</v>
      </c>
      <c r="O66" s="3" t="s">
        <v>234</v>
      </c>
    </row>
    <row r="67" spans="1:15" ht="22.5" customHeight="1" x14ac:dyDescent="0.3">
      <c r="A67" s="4">
        <v>3083713</v>
      </c>
      <c r="B67" s="4" t="s">
        <v>532</v>
      </c>
      <c r="C67" s="4" t="s">
        <v>197</v>
      </c>
      <c r="D67" s="4" t="s">
        <v>198</v>
      </c>
      <c r="E67" s="4" t="s">
        <v>227</v>
      </c>
      <c r="F67" s="4" t="s">
        <v>200</v>
      </c>
      <c r="G67" s="4" t="s">
        <v>533</v>
      </c>
      <c r="H67" s="4" t="s">
        <v>534</v>
      </c>
      <c r="I67" s="4" t="s">
        <v>203</v>
      </c>
      <c r="J67" s="4" t="s">
        <v>214</v>
      </c>
      <c r="K67" s="4" t="s">
        <v>535</v>
      </c>
      <c r="L67" s="4" t="s">
        <v>536</v>
      </c>
      <c r="M67" s="4" t="s">
        <v>245</v>
      </c>
      <c r="N67" s="4" t="s">
        <v>208</v>
      </c>
      <c r="O67" s="4" t="s">
        <v>234</v>
      </c>
    </row>
    <row r="68" spans="1:15" ht="22.5" customHeight="1" x14ac:dyDescent="0.3">
      <c r="A68" s="3">
        <v>3084590</v>
      </c>
      <c r="B68" s="3" t="s">
        <v>537</v>
      </c>
      <c r="C68" s="3" t="s">
        <v>197</v>
      </c>
      <c r="D68" s="3"/>
      <c r="E68" s="3" t="s">
        <v>227</v>
      </c>
      <c r="F68" s="3" t="s">
        <v>200</v>
      </c>
      <c r="G68" s="3" t="s">
        <v>538</v>
      </c>
      <c r="H68" s="3" t="s">
        <v>539</v>
      </c>
      <c r="I68" s="3" t="s">
        <v>203</v>
      </c>
      <c r="J68" s="3" t="s">
        <v>506</v>
      </c>
      <c r="K68" s="3" t="s">
        <v>540</v>
      </c>
      <c r="L68" s="3" t="s">
        <v>541</v>
      </c>
      <c r="M68" s="3" t="s">
        <v>245</v>
      </c>
      <c r="N68" s="3" t="s">
        <v>208</v>
      </c>
      <c r="O68" s="3" t="s">
        <v>433</v>
      </c>
    </row>
    <row r="69" spans="1:15" ht="22.5" customHeight="1" x14ac:dyDescent="0.3">
      <c r="A69" s="4">
        <v>2879573</v>
      </c>
      <c r="B69" s="4" t="s">
        <v>542</v>
      </c>
      <c r="C69" s="4" t="s">
        <v>197</v>
      </c>
      <c r="D69" s="4" t="s">
        <v>198</v>
      </c>
      <c r="E69" s="4" t="s">
        <v>227</v>
      </c>
      <c r="F69" s="4" t="s">
        <v>200</v>
      </c>
      <c r="G69" s="4" t="s">
        <v>543</v>
      </c>
      <c r="H69" s="4" t="s">
        <v>544</v>
      </c>
      <c r="I69" s="4" t="s">
        <v>203</v>
      </c>
      <c r="J69" s="4" t="s">
        <v>204</v>
      </c>
      <c r="K69" s="4" t="s">
        <v>545</v>
      </c>
      <c r="L69" s="4" t="s">
        <v>546</v>
      </c>
      <c r="M69" s="4" t="s">
        <v>245</v>
      </c>
      <c r="N69" s="4" t="s">
        <v>217</v>
      </c>
      <c r="O69" s="4" t="s">
        <v>234</v>
      </c>
    </row>
    <row r="70" spans="1:15" ht="79.5" customHeight="1" x14ac:dyDescent="0.3">
      <c r="A70" s="3">
        <v>2978210</v>
      </c>
      <c r="B70" s="3" t="s">
        <v>547</v>
      </c>
      <c r="C70" s="3" t="s">
        <v>197</v>
      </c>
      <c r="D70" s="3" t="s">
        <v>548</v>
      </c>
      <c r="E70" s="3" t="s">
        <v>227</v>
      </c>
      <c r="F70" s="3" t="s">
        <v>413</v>
      </c>
      <c r="G70" s="3" t="s">
        <v>549</v>
      </c>
      <c r="H70" s="3" t="s">
        <v>550</v>
      </c>
      <c r="I70" s="3" t="s">
        <v>203</v>
      </c>
      <c r="J70" s="3" t="s">
        <v>506</v>
      </c>
      <c r="K70" s="3" t="s">
        <v>540</v>
      </c>
      <c r="L70" s="3" t="s">
        <v>551</v>
      </c>
      <c r="M70" s="3" t="s">
        <v>245</v>
      </c>
      <c r="N70" s="3" t="s">
        <v>217</v>
      </c>
      <c r="O70" s="3" t="s">
        <v>418</v>
      </c>
    </row>
    <row r="71" spans="1:15" ht="22.5" customHeight="1" x14ac:dyDescent="0.3">
      <c r="A71" s="4">
        <v>3021173</v>
      </c>
      <c r="B71" s="4" t="s">
        <v>552</v>
      </c>
      <c r="C71" s="4" t="s">
        <v>197</v>
      </c>
      <c r="D71" s="4" t="s">
        <v>198</v>
      </c>
      <c r="E71" s="4" t="s">
        <v>227</v>
      </c>
      <c r="F71" s="4" t="s">
        <v>200</v>
      </c>
      <c r="G71" s="4" t="s">
        <v>553</v>
      </c>
      <c r="H71" s="4" t="s">
        <v>554</v>
      </c>
      <c r="I71" s="4" t="s">
        <v>203</v>
      </c>
      <c r="J71" s="4" t="s">
        <v>266</v>
      </c>
      <c r="K71" s="4" t="s">
        <v>555</v>
      </c>
      <c r="L71" s="4" t="s">
        <v>556</v>
      </c>
      <c r="M71" s="4" t="s">
        <v>245</v>
      </c>
      <c r="N71" s="4" t="s">
        <v>217</v>
      </c>
      <c r="O71" s="4" t="s">
        <v>418</v>
      </c>
    </row>
    <row r="72" spans="1:15" ht="22.5" customHeight="1" x14ac:dyDescent="0.3">
      <c r="A72" s="3">
        <v>3021238</v>
      </c>
      <c r="B72" s="3" t="s">
        <v>557</v>
      </c>
      <c r="C72" s="3" t="s">
        <v>197</v>
      </c>
      <c r="D72" s="3" t="s">
        <v>198</v>
      </c>
      <c r="E72" s="3" t="s">
        <v>227</v>
      </c>
      <c r="F72" s="3" t="s">
        <v>200</v>
      </c>
      <c r="G72" s="3" t="s">
        <v>558</v>
      </c>
      <c r="H72" s="3" t="s">
        <v>559</v>
      </c>
      <c r="I72" s="3" t="s">
        <v>203</v>
      </c>
      <c r="J72" s="3" t="s">
        <v>204</v>
      </c>
      <c r="K72" s="3" t="s">
        <v>437</v>
      </c>
      <c r="L72" s="3" t="s">
        <v>560</v>
      </c>
      <c r="M72" s="3" t="s">
        <v>245</v>
      </c>
      <c r="N72" s="3" t="s">
        <v>208</v>
      </c>
      <c r="O72" s="3" t="s">
        <v>418</v>
      </c>
    </row>
    <row r="73" spans="1:15" ht="22.5" customHeight="1" x14ac:dyDescent="0.3">
      <c r="A73" s="4">
        <v>3021467</v>
      </c>
      <c r="B73" s="4" t="s">
        <v>561</v>
      </c>
      <c r="C73" s="4" t="s">
        <v>197</v>
      </c>
      <c r="D73" s="4" t="s">
        <v>198</v>
      </c>
      <c r="E73" s="4" t="s">
        <v>227</v>
      </c>
      <c r="F73" s="4" t="s">
        <v>200</v>
      </c>
      <c r="G73" s="4" t="s">
        <v>562</v>
      </c>
      <c r="H73" s="4" t="s">
        <v>563</v>
      </c>
      <c r="I73" s="4" t="s">
        <v>203</v>
      </c>
      <c r="J73" s="4" t="s">
        <v>214</v>
      </c>
      <c r="K73" s="4" t="s">
        <v>564</v>
      </c>
      <c r="L73" s="4" t="s">
        <v>565</v>
      </c>
      <c r="M73" s="4" t="s">
        <v>245</v>
      </c>
      <c r="N73" s="4" t="s">
        <v>208</v>
      </c>
      <c r="O73" s="4" t="s">
        <v>234</v>
      </c>
    </row>
    <row r="74" spans="1:15" ht="33.75" customHeight="1" x14ac:dyDescent="0.3">
      <c r="A74" s="3">
        <v>2694972</v>
      </c>
      <c r="B74" s="3" t="s">
        <v>566</v>
      </c>
      <c r="C74" s="3" t="s">
        <v>197</v>
      </c>
      <c r="D74" s="3" t="s">
        <v>220</v>
      </c>
      <c r="E74" s="3" t="s">
        <v>227</v>
      </c>
      <c r="F74" s="3" t="s">
        <v>200</v>
      </c>
      <c r="G74" s="3" t="s">
        <v>567</v>
      </c>
      <c r="H74" s="3" t="s">
        <v>568</v>
      </c>
      <c r="I74" s="3" t="s">
        <v>203</v>
      </c>
      <c r="J74" s="3" t="s">
        <v>214</v>
      </c>
      <c r="K74" s="3" t="s">
        <v>569</v>
      </c>
      <c r="L74" s="3" t="s">
        <v>570</v>
      </c>
      <c r="M74" s="3" t="s">
        <v>245</v>
      </c>
      <c r="N74" s="3" t="s">
        <v>208</v>
      </c>
      <c r="O74" s="3" t="s">
        <v>433</v>
      </c>
    </row>
    <row r="75" spans="1:15" ht="57" customHeight="1" x14ac:dyDescent="0.3">
      <c r="A75" s="4">
        <v>2862212</v>
      </c>
      <c r="B75" s="4" t="s">
        <v>571</v>
      </c>
      <c r="C75" s="4" t="s">
        <v>197</v>
      </c>
      <c r="D75" s="4" t="s">
        <v>572</v>
      </c>
      <c r="E75" s="4" t="s">
        <v>227</v>
      </c>
      <c r="F75" s="4" t="s">
        <v>200</v>
      </c>
      <c r="G75" s="4" t="s">
        <v>573</v>
      </c>
      <c r="H75" s="4" t="s">
        <v>574</v>
      </c>
      <c r="I75" s="4" t="s">
        <v>203</v>
      </c>
      <c r="J75" s="4" t="s">
        <v>214</v>
      </c>
      <c r="K75" s="4" t="s">
        <v>575</v>
      </c>
      <c r="L75" s="4" t="s">
        <v>576</v>
      </c>
      <c r="M75" s="4" t="s">
        <v>245</v>
      </c>
      <c r="N75" s="4" t="s">
        <v>208</v>
      </c>
      <c r="O75" s="4" t="s">
        <v>234</v>
      </c>
    </row>
    <row r="76" spans="1:15" ht="22.5" customHeight="1" x14ac:dyDescent="0.3">
      <c r="A76" s="3">
        <v>2862638</v>
      </c>
      <c r="B76" s="3" t="s">
        <v>577</v>
      </c>
      <c r="C76" s="3" t="s">
        <v>197</v>
      </c>
      <c r="D76" s="3" t="s">
        <v>198</v>
      </c>
      <c r="E76" s="3" t="s">
        <v>227</v>
      </c>
      <c r="F76" s="3" t="s">
        <v>578</v>
      </c>
      <c r="G76" s="3" t="s">
        <v>579</v>
      </c>
      <c r="H76" s="3" t="s">
        <v>580</v>
      </c>
      <c r="I76" s="3" t="s">
        <v>203</v>
      </c>
      <c r="J76" s="3" t="s">
        <v>204</v>
      </c>
      <c r="K76" s="3" t="s">
        <v>581</v>
      </c>
      <c r="L76" s="3" t="s">
        <v>582</v>
      </c>
      <c r="M76" s="3" t="s">
        <v>233</v>
      </c>
      <c r="N76" s="3" t="s">
        <v>217</v>
      </c>
      <c r="O76" s="3" t="s">
        <v>433</v>
      </c>
    </row>
    <row r="77" spans="1:15" ht="22.5" customHeight="1" x14ac:dyDescent="0.3">
      <c r="A77" s="4">
        <v>2882590</v>
      </c>
      <c r="B77" s="4" t="s">
        <v>583</v>
      </c>
      <c r="C77" s="4" t="s">
        <v>197</v>
      </c>
      <c r="D77" s="4" t="s">
        <v>198</v>
      </c>
      <c r="E77" s="4" t="s">
        <v>227</v>
      </c>
      <c r="F77" s="4" t="s">
        <v>200</v>
      </c>
      <c r="G77" s="4" t="s">
        <v>584</v>
      </c>
      <c r="H77" s="4" t="s">
        <v>585</v>
      </c>
      <c r="I77" s="4" t="s">
        <v>203</v>
      </c>
      <c r="J77" s="4" t="s">
        <v>214</v>
      </c>
      <c r="K77" s="4" t="s">
        <v>482</v>
      </c>
      <c r="L77" s="4" t="s">
        <v>586</v>
      </c>
      <c r="M77" s="4" t="s">
        <v>245</v>
      </c>
      <c r="N77" s="4" t="s">
        <v>217</v>
      </c>
      <c r="O77" s="4" t="s">
        <v>234</v>
      </c>
    </row>
    <row r="78" spans="1:15" ht="22.5" customHeight="1" x14ac:dyDescent="0.3">
      <c r="A78" s="3">
        <v>2938618</v>
      </c>
      <c r="B78" s="3" t="s">
        <v>587</v>
      </c>
      <c r="C78" s="3" t="s">
        <v>197</v>
      </c>
      <c r="D78" s="3" t="s">
        <v>198</v>
      </c>
      <c r="E78" s="3" t="s">
        <v>227</v>
      </c>
      <c r="F78" s="3" t="s">
        <v>200</v>
      </c>
      <c r="G78" s="3" t="s">
        <v>588</v>
      </c>
      <c r="H78" s="3" t="s">
        <v>589</v>
      </c>
      <c r="I78" s="3" t="s">
        <v>203</v>
      </c>
      <c r="J78" s="3" t="s">
        <v>253</v>
      </c>
      <c r="K78" s="3" t="s">
        <v>400</v>
      </c>
      <c r="L78" s="3" t="s">
        <v>590</v>
      </c>
      <c r="M78" s="3" t="s">
        <v>233</v>
      </c>
      <c r="N78" s="3" t="s">
        <v>217</v>
      </c>
      <c r="O78" s="3" t="s">
        <v>444</v>
      </c>
    </row>
    <row r="79" spans="1:15" ht="22.5" customHeight="1" x14ac:dyDescent="0.3">
      <c r="A79" s="4">
        <v>2667509</v>
      </c>
      <c r="B79" s="4" t="s">
        <v>591</v>
      </c>
      <c r="C79" s="4" t="s">
        <v>197</v>
      </c>
      <c r="D79" s="4" t="s">
        <v>198</v>
      </c>
      <c r="E79" s="4" t="s">
        <v>227</v>
      </c>
      <c r="F79" s="4" t="s">
        <v>200</v>
      </c>
      <c r="G79" s="4" t="s">
        <v>592</v>
      </c>
      <c r="H79" s="4" t="s">
        <v>593</v>
      </c>
      <c r="I79" s="4" t="s">
        <v>203</v>
      </c>
      <c r="J79" s="4" t="s">
        <v>345</v>
      </c>
      <c r="K79" s="4" t="s">
        <v>594</v>
      </c>
      <c r="L79" s="4" t="s">
        <v>595</v>
      </c>
      <c r="M79" s="4" t="s">
        <v>245</v>
      </c>
      <c r="N79" s="4" t="s">
        <v>217</v>
      </c>
      <c r="O79" s="4" t="s">
        <v>433</v>
      </c>
    </row>
    <row r="80" spans="1:15" ht="22.5" customHeight="1" x14ac:dyDescent="0.3">
      <c r="A80" s="3">
        <v>2703173</v>
      </c>
      <c r="B80" s="3" t="s">
        <v>596</v>
      </c>
      <c r="C80" s="3" t="s">
        <v>197</v>
      </c>
      <c r="D80" s="3" t="s">
        <v>198</v>
      </c>
      <c r="E80" s="3" t="s">
        <v>227</v>
      </c>
      <c r="F80" s="3" t="s">
        <v>200</v>
      </c>
      <c r="G80" s="3" t="s">
        <v>597</v>
      </c>
      <c r="H80" s="3" t="s">
        <v>598</v>
      </c>
      <c r="I80" s="3" t="s">
        <v>203</v>
      </c>
      <c r="J80" s="3" t="s">
        <v>599</v>
      </c>
      <c r="K80" s="3" t="s">
        <v>600</v>
      </c>
      <c r="L80" s="3" t="s">
        <v>601</v>
      </c>
      <c r="M80" s="3" t="s">
        <v>233</v>
      </c>
      <c r="N80" s="3" t="s">
        <v>208</v>
      </c>
      <c r="O80" s="3" t="s">
        <v>234</v>
      </c>
    </row>
    <row r="81" spans="1:15" ht="22.5" customHeight="1" x14ac:dyDescent="0.3">
      <c r="A81" s="4">
        <v>2836998</v>
      </c>
      <c r="B81" s="4" t="s">
        <v>602</v>
      </c>
      <c r="C81" s="4" t="s">
        <v>197</v>
      </c>
      <c r="D81" s="4" t="s">
        <v>198</v>
      </c>
      <c r="E81" s="4" t="s">
        <v>227</v>
      </c>
      <c r="F81" s="4" t="s">
        <v>200</v>
      </c>
      <c r="G81" s="4" t="s">
        <v>603</v>
      </c>
      <c r="H81" s="4" t="s">
        <v>604</v>
      </c>
      <c r="I81" s="4" t="s">
        <v>203</v>
      </c>
      <c r="J81" s="4" t="s">
        <v>214</v>
      </c>
      <c r="K81" s="4" t="s">
        <v>605</v>
      </c>
      <c r="L81" s="4" t="s">
        <v>606</v>
      </c>
      <c r="M81" s="4" t="s">
        <v>233</v>
      </c>
      <c r="N81" s="4" t="s">
        <v>217</v>
      </c>
      <c r="O81" s="4" t="s">
        <v>433</v>
      </c>
    </row>
    <row r="82" spans="1:15" ht="22.5" customHeight="1" x14ac:dyDescent="0.3">
      <c r="A82" s="3">
        <v>2793423</v>
      </c>
      <c r="B82" s="3" t="s">
        <v>607</v>
      </c>
      <c r="C82" s="3" t="s">
        <v>197</v>
      </c>
      <c r="D82" s="3" t="s">
        <v>198</v>
      </c>
      <c r="E82" s="3" t="s">
        <v>608</v>
      </c>
      <c r="F82" s="3" t="s">
        <v>200</v>
      </c>
      <c r="G82" s="3" t="s">
        <v>609</v>
      </c>
      <c r="H82" s="3" t="s">
        <v>610</v>
      </c>
      <c r="I82" s="3" t="s">
        <v>203</v>
      </c>
      <c r="J82" s="3" t="s">
        <v>329</v>
      </c>
      <c r="K82" s="3" t="s">
        <v>611</v>
      </c>
      <c r="L82" s="3" t="s">
        <v>612</v>
      </c>
      <c r="M82" s="3" t="s">
        <v>245</v>
      </c>
      <c r="N82" s="3" t="s">
        <v>217</v>
      </c>
      <c r="O82" s="3" t="s">
        <v>613</v>
      </c>
    </row>
    <row r="83" spans="1:15" ht="57" customHeight="1" x14ac:dyDescent="0.3">
      <c r="A83" s="4">
        <v>2765101</v>
      </c>
      <c r="B83" s="4" t="s">
        <v>614</v>
      </c>
      <c r="C83" s="4" t="s">
        <v>197</v>
      </c>
      <c r="D83" s="4" t="s">
        <v>342</v>
      </c>
      <c r="E83" s="4" t="s">
        <v>227</v>
      </c>
      <c r="F83" s="4" t="s">
        <v>200</v>
      </c>
      <c r="G83" s="4" t="s">
        <v>615</v>
      </c>
      <c r="H83" s="4" t="s">
        <v>616</v>
      </c>
      <c r="I83" s="4" t="s">
        <v>203</v>
      </c>
      <c r="J83" s="4" t="s">
        <v>214</v>
      </c>
      <c r="K83" s="4" t="s">
        <v>617</v>
      </c>
      <c r="L83" s="4" t="s">
        <v>249</v>
      </c>
      <c r="M83" s="4" t="s">
        <v>233</v>
      </c>
      <c r="N83" s="4" t="s">
        <v>208</v>
      </c>
      <c r="O83" s="4" t="s">
        <v>234</v>
      </c>
    </row>
    <row r="84" spans="1:15" ht="22.5" customHeight="1" x14ac:dyDescent="0.3">
      <c r="A84" s="3">
        <v>2698498</v>
      </c>
      <c r="B84" s="3" t="s">
        <v>618</v>
      </c>
      <c r="C84" s="3" t="s">
        <v>197</v>
      </c>
      <c r="D84" s="3" t="s">
        <v>198</v>
      </c>
      <c r="E84" s="3" t="s">
        <v>227</v>
      </c>
      <c r="F84" s="3" t="s">
        <v>200</v>
      </c>
      <c r="G84" s="3" t="s">
        <v>619</v>
      </c>
      <c r="H84" s="3" t="s">
        <v>620</v>
      </c>
      <c r="I84" s="3" t="s">
        <v>203</v>
      </c>
      <c r="J84" s="3" t="s">
        <v>204</v>
      </c>
      <c r="K84" s="3" t="s">
        <v>621</v>
      </c>
      <c r="L84" s="3" t="s">
        <v>622</v>
      </c>
      <c r="M84" s="3" t="s">
        <v>245</v>
      </c>
      <c r="N84" s="3" t="s">
        <v>217</v>
      </c>
      <c r="O84" s="3" t="s">
        <v>234</v>
      </c>
    </row>
    <row r="85" spans="1:15" ht="22.5" customHeight="1" x14ac:dyDescent="0.3">
      <c r="A85" s="4">
        <v>2363895</v>
      </c>
      <c r="B85" s="4" t="s">
        <v>623</v>
      </c>
      <c r="C85" s="4" t="s">
        <v>197</v>
      </c>
      <c r="D85" s="4" t="s">
        <v>198</v>
      </c>
      <c r="E85" s="4" t="s">
        <v>227</v>
      </c>
      <c r="F85" s="4" t="s">
        <v>200</v>
      </c>
      <c r="G85" s="4" t="s">
        <v>624</v>
      </c>
      <c r="H85" s="4" t="s">
        <v>625</v>
      </c>
      <c r="I85" s="4" t="s">
        <v>203</v>
      </c>
      <c r="J85" s="4" t="s">
        <v>214</v>
      </c>
      <c r="K85" s="4" t="s">
        <v>626</v>
      </c>
      <c r="L85" s="4" t="s">
        <v>627</v>
      </c>
      <c r="M85" s="4" t="s">
        <v>233</v>
      </c>
      <c r="N85" s="4" t="s">
        <v>217</v>
      </c>
      <c r="O85" s="4" t="s">
        <v>234</v>
      </c>
    </row>
    <row r="86" spans="1:15" ht="22.5" customHeight="1" x14ac:dyDescent="0.3">
      <c r="A86" s="3">
        <v>2152649</v>
      </c>
      <c r="B86" s="3" t="s">
        <v>628</v>
      </c>
      <c r="C86" s="3" t="s">
        <v>197</v>
      </c>
      <c r="D86" s="3" t="s">
        <v>198</v>
      </c>
      <c r="E86" s="3" t="s">
        <v>227</v>
      </c>
      <c r="F86" s="3" t="s">
        <v>200</v>
      </c>
      <c r="G86" s="3" t="s">
        <v>629</v>
      </c>
      <c r="H86" s="3" t="s">
        <v>630</v>
      </c>
      <c r="I86" s="3" t="s">
        <v>203</v>
      </c>
      <c r="J86" s="3" t="s">
        <v>204</v>
      </c>
      <c r="K86" s="3" t="s">
        <v>437</v>
      </c>
      <c r="L86" s="3" t="s">
        <v>631</v>
      </c>
      <c r="M86" s="3" t="s">
        <v>233</v>
      </c>
      <c r="N86" s="3" t="s">
        <v>208</v>
      </c>
      <c r="O86" s="3" t="s">
        <v>433</v>
      </c>
    </row>
    <row r="87" spans="1:15" ht="22.5" customHeight="1" x14ac:dyDescent="0.3">
      <c r="A87" s="4">
        <v>2408678</v>
      </c>
      <c r="B87" s="4" t="s">
        <v>632</v>
      </c>
      <c r="C87" s="4" t="s">
        <v>197</v>
      </c>
      <c r="D87" s="4" t="s">
        <v>198</v>
      </c>
      <c r="E87" s="4" t="s">
        <v>227</v>
      </c>
      <c r="F87" s="4" t="s">
        <v>200</v>
      </c>
      <c r="G87" s="4" t="s">
        <v>633</v>
      </c>
      <c r="H87" s="4" t="s">
        <v>634</v>
      </c>
      <c r="I87" s="4" t="s">
        <v>203</v>
      </c>
      <c r="J87" s="4" t="s">
        <v>214</v>
      </c>
      <c r="K87" s="4" t="s">
        <v>635</v>
      </c>
      <c r="L87" s="4" t="s">
        <v>636</v>
      </c>
      <c r="M87" s="4" t="s">
        <v>233</v>
      </c>
      <c r="N87" s="4" t="s">
        <v>217</v>
      </c>
      <c r="O87" s="4" t="s">
        <v>433</v>
      </c>
    </row>
    <row r="88" spans="1:15" ht="22.5" customHeight="1" x14ac:dyDescent="0.3">
      <c r="A88" s="3">
        <v>2364484</v>
      </c>
      <c r="B88" s="3" t="s">
        <v>637</v>
      </c>
      <c r="C88" s="3" t="s">
        <v>197</v>
      </c>
      <c r="D88" s="3" t="s">
        <v>198</v>
      </c>
      <c r="E88" s="3" t="s">
        <v>227</v>
      </c>
      <c r="F88" s="3" t="s">
        <v>200</v>
      </c>
      <c r="G88" s="3" t="s">
        <v>638</v>
      </c>
      <c r="H88" s="3" t="s">
        <v>639</v>
      </c>
      <c r="I88" s="3" t="s">
        <v>203</v>
      </c>
      <c r="J88" s="3" t="s">
        <v>214</v>
      </c>
      <c r="K88" s="3" t="s">
        <v>605</v>
      </c>
      <c r="L88" s="3" t="s">
        <v>640</v>
      </c>
      <c r="M88" s="3" t="s">
        <v>245</v>
      </c>
      <c r="N88" s="3" t="s">
        <v>217</v>
      </c>
      <c r="O88" s="3" t="s">
        <v>418</v>
      </c>
    </row>
    <row r="89" spans="1:15" ht="22.5" customHeight="1" x14ac:dyDescent="0.3">
      <c r="A89" s="4">
        <v>2369443</v>
      </c>
      <c r="B89" s="4" t="s">
        <v>641</v>
      </c>
      <c r="C89" s="4" t="s">
        <v>197</v>
      </c>
      <c r="D89" s="4" t="s">
        <v>198</v>
      </c>
      <c r="E89" s="4" t="s">
        <v>227</v>
      </c>
      <c r="F89" s="4" t="s">
        <v>200</v>
      </c>
      <c r="G89" s="4" t="s">
        <v>642</v>
      </c>
      <c r="H89" s="4" t="s">
        <v>643</v>
      </c>
      <c r="I89" s="4" t="s">
        <v>203</v>
      </c>
      <c r="J89" s="4" t="s">
        <v>214</v>
      </c>
      <c r="K89" s="4" t="s">
        <v>410</v>
      </c>
      <c r="L89" s="4" t="s">
        <v>627</v>
      </c>
      <c r="M89" s="4" t="s">
        <v>233</v>
      </c>
      <c r="N89" s="4" t="s">
        <v>217</v>
      </c>
      <c r="O89" s="4" t="s">
        <v>433</v>
      </c>
    </row>
    <row r="90" spans="1:15" ht="22.5" customHeight="1" x14ac:dyDescent="0.3">
      <c r="A90" s="3">
        <v>2599929</v>
      </c>
      <c r="B90" s="3" t="s">
        <v>644</v>
      </c>
      <c r="C90" s="3" t="s">
        <v>197</v>
      </c>
      <c r="D90" s="3" t="s">
        <v>198</v>
      </c>
      <c r="E90" s="3" t="s">
        <v>227</v>
      </c>
      <c r="F90" s="3" t="s">
        <v>200</v>
      </c>
      <c r="G90" s="3" t="s">
        <v>645</v>
      </c>
      <c r="H90" s="3" t="s">
        <v>646</v>
      </c>
      <c r="I90" s="3" t="s">
        <v>203</v>
      </c>
      <c r="J90" s="3" t="s">
        <v>214</v>
      </c>
      <c r="K90" s="3" t="s">
        <v>647</v>
      </c>
      <c r="L90" s="3" t="s">
        <v>388</v>
      </c>
      <c r="M90" s="3" t="s">
        <v>245</v>
      </c>
      <c r="N90" s="3" t="s">
        <v>208</v>
      </c>
      <c r="O90" s="3" t="s">
        <v>418</v>
      </c>
    </row>
    <row r="91" spans="1:15" ht="22.5" customHeight="1" x14ac:dyDescent="0.3">
      <c r="A91" s="4">
        <v>2047136</v>
      </c>
      <c r="B91" s="4" t="s">
        <v>648</v>
      </c>
      <c r="C91" s="4" t="s">
        <v>197</v>
      </c>
      <c r="D91" s="4" t="s">
        <v>198</v>
      </c>
      <c r="E91" s="4" t="s">
        <v>227</v>
      </c>
      <c r="F91" s="4" t="s">
        <v>200</v>
      </c>
      <c r="G91" s="4" t="s">
        <v>649</v>
      </c>
      <c r="H91" s="4" t="s">
        <v>650</v>
      </c>
      <c r="I91" s="4" t="s">
        <v>651</v>
      </c>
      <c r="J91" s="4" t="s">
        <v>323</v>
      </c>
      <c r="K91" s="4" t="s">
        <v>652</v>
      </c>
      <c r="L91" s="4" t="s">
        <v>653</v>
      </c>
      <c r="M91" s="4" t="s">
        <v>654</v>
      </c>
      <c r="N91" s="4" t="s">
        <v>217</v>
      </c>
      <c r="O91" s="4" t="s">
        <v>433</v>
      </c>
    </row>
    <row r="92" spans="1:15" ht="22.5" customHeight="1" x14ac:dyDescent="0.3">
      <c r="A92" s="3">
        <v>176656</v>
      </c>
      <c r="B92" s="3" t="s">
        <v>655</v>
      </c>
      <c r="C92" s="3" t="s">
        <v>197</v>
      </c>
      <c r="D92" s="3" t="s">
        <v>198</v>
      </c>
      <c r="E92" s="3" t="s">
        <v>227</v>
      </c>
      <c r="F92" s="3" t="s">
        <v>200</v>
      </c>
      <c r="G92" s="3" t="s">
        <v>656</v>
      </c>
      <c r="H92" s="3" t="s">
        <v>657</v>
      </c>
      <c r="I92" s="3" t="s">
        <v>203</v>
      </c>
      <c r="J92" s="3" t="s">
        <v>253</v>
      </c>
      <c r="K92" s="3" t="s">
        <v>422</v>
      </c>
      <c r="L92" s="3" t="s">
        <v>658</v>
      </c>
      <c r="M92" s="3" t="s">
        <v>233</v>
      </c>
      <c r="N92" s="3" t="s">
        <v>208</v>
      </c>
      <c r="O92" s="3" t="s">
        <v>433</v>
      </c>
    </row>
    <row r="93" spans="1:15" ht="22.5" customHeight="1" x14ac:dyDescent="0.3">
      <c r="A93" s="4">
        <v>2053527</v>
      </c>
      <c r="B93" s="4" t="s">
        <v>659</v>
      </c>
      <c r="C93" s="4" t="s">
        <v>197</v>
      </c>
      <c r="D93" s="4" t="s">
        <v>198</v>
      </c>
      <c r="E93" s="4" t="s">
        <v>227</v>
      </c>
      <c r="F93" s="4" t="s">
        <v>200</v>
      </c>
      <c r="G93" s="4" t="s">
        <v>660</v>
      </c>
      <c r="H93" s="4" t="s">
        <v>661</v>
      </c>
      <c r="I93" s="4" t="s">
        <v>203</v>
      </c>
      <c r="J93" s="4" t="s">
        <v>214</v>
      </c>
      <c r="K93" s="4" t="s">
        <v>662</v>
      </c>
      <c r="L93" s="4" t="s">
        <v>663</v>
      </c>
      <c r="M93" s="4" t="s">
        <v>233</v>
      </c>
      <c r="N93" s="4" t="s">
        <v>208</v>
      </c>
      <c r="O93" s="4" t="s">
        <v>444</v>
      </c>
    </row>
    <row r="94" spans="1:15" ht="22.5" customHeight="1" x14ac:dyDescent="0.3">
      <c r="A94" s="3">
        <v>181455</v>
      </c>
      <c r="B94" s="3" t="s">
        <v>664</v>
      </c>
      <c r="C94" s="3" t="s">
        <v>197</v>
      </c>
      <c r="D94" s="3" t="s">
        <v>198</v>
      </c>
      <c r="E94" s="3" t="s">
        <v>227</v>
      </c>
      <c r="F94" s="3" t="s">
        <v>578</v>
      </c>
      <c r="G94" s="3" t="s">
        <v>665</v>
      </c>
      <c r="H94" s="3" t="s">
        <v>666</v>
      </c>
      <c r="I94" s="3" t="s">
        <v>203</v>
      </c>
      <c r="J94" s="3" t="s">
        <v>204</v>
      </c>
      <c r="K94" s="3" t="s">
        <v>667</v>
      </c>
      <c r="L94" s="3" t="s">
        <v>668</v>
      </c>
      <c r="M94" s="3" t="s">
        <v>245</v>
      </c>
      <c r="N94" s="3" t="s">
        <v>217</v>
      </c>
      <c r="O94" s="3" t="s">
        <v>444</v>
      </c>
    </row>
    <row r="95" spans="1:15" ht="22.5" customHeight="1" x14ac:dyDescent="0.3">
      <c r="A95" s="4">
        <v>2057379</v>
      </c>
      <c r="B95" s="4" t="s">
        <v>669</v>
      </c>
      <c r="C95" s="4" t="s">
        <v>197</v>
      </c>
      <c r="D95" s="4" t="s">
        <v>198</v>
      </c>
      <c r="E95" s="4" t="s">
        <v>227</v>
      </c>
      <c r="F95" s="4" t="s">
        <v>200</v>
      </c>
      <c r="G95" s="4" t="s">
        <v>670</v>
      </c>
      <c r="H95" s="4" t="s">
        <v>671</v>
      </c>
      <c r="I95" s="4" t="s">
        <v>203</v>
      </c>
      <c r="J95" s="4" t="s">
        <v>223</v>
      </c>
      <c r="K95" s="4" t="s">
        <v>672</v>
      </c>
      <c r="L95" s="4" t="s">
        <v>673</v>
      </c>
      <c r="M95" s="4" t="s">
        <v>233</v>
      </c>
      <c r="N95" s="4" t="s">
        <v>217</v>
      </c>
      <c r="O95" s="4" t="s">
        <v>433</v>
      </c>
    </row>
    <row r="96" spans="1:15" ht="22.5" customHeight="1" x14ac:dyDescent="0.3">
      <c r="A96" s="3">
        <v>2060507</v>
      </c>
      <c r="B96" s="3" t="s">
        <v>674</v>
      </c>
      <c r="C96" s="3" t="s">
        <v>197</v>
      </c>
      <c r="D96" s="3" t="s">
        <v>198</v>
      </c>
      <c r="E96" s="3" t="s">
        <v>227</v>
      </c>
      <c r="F96" s="3" t="s">
        <v>200</v>
      </c>
      <c r="G96" s="3" t="s">
        <v>675</v>
      </c>
      <c r="H96" s="3" t="s">
        <v>676</v>
      </c>
      <c r="I96" s="3" t="s">
        <v>203</v>
      </c>
      <c r="J96" s="3" t="s">
        <v>329</v>
      </c>
      <c r="K96" s="3" t="s">
        <v>677</v>
      </c>
      <c r="L96" s="3" t="s">
        <v>640</v>
      </c>
      <c r="M96" s="3" t="s">
        <v>233</v>
      </c>
      <c r="N96" s="3" t="s">
        <v>217</v>
      </c>
      <c r="O96" s="3" t="s">
        <v>418</v>
      </c>
    </row>
    <row r="97" spans="1:15" ht="22.5" customHeight="1" x14ac:dyDescent="0.3">
      <c r="A97" s="4">
        <v>3118045</v>
      </c>
      <c r="B97" s="4" t="s">
        <v>678</v>
      </c>
      <c r="C97" s="4" t="s">
        <v>197</v>
      </c>
      <c r="D97" s="4" t="s">
        <v>198</v>
      </c>
      <c r="E97" s="4" t="s">
        <v>227</v>
      </c>
      <c r="F97" s="4" t="s">
        <v>200</v>
      </c>
      <c r="G97" s="4" t="s">
        <v>679</v>
      </c>
      <c r="H97" s="4" t="s">
        <v>680</v>
      </c>
      <c r="I97" s="4" t="s">
        <v>203</v>
      </c>
      <c r="J97" s="4" t="s">
        <v>323</v>
      </c>
      <c r="K97" s="4" t="s">
        <v>324</v>
      </c>
      <c r="L97" s="4" t="s">
        <v>681</v>
      </c>
      <c r="M97" s="4" t="s">
        <v>233</v>
      </c>
      <c r="N97" s="4" t="s">
        <v>208</v>
      </c>
      <c r="O97" s="4" t="s">
        <v>433</v>
      </c>
    </row>
    <row r="98" spans="1:15" ht="33.75" customHeight="1" x14ac:dyDescent="0.3">
      <c r="A98" s="3">
        <v>3301834</v>
      </c>
      <c r="B98" s="3" t="s">
        <v>682</v>
      </c>
      <c r="C98" s="3" t="s">
        <v>197</v>
      </c>
      <c r="D98" s="3" t="s">
        <v>220</v>
      </c>
      <c r="E98" s="3" t="s">
        <v>227</v>
      </c>
      <c r="F98" s="3" t="s">
        <v>200</v>
      </c>
      <c r="G98" s="3" t="s">
        <v>683</v>
      </c>
      <c r="H98" s="3" t="s">
        <v>684</v>
      </c>
      <c r="I98" s="3" t="s">
        <v>203</v>
      </c>
      <c r="J98" s="3" t="s">
        <v>506</v>
      </c>
      <c r="K98" s="3" t="s">
        <v>685</v>
      </c>
      <c r="L98" s="3" t="s">
        <v>686</v>
      </c>
      <c r="M98" s="3" t="s">
        <v>245</v>
      </c>
      <c r="N98" s="3" t="s">
        <v>208</v>
      </c>
      <c r="O98" s="3" t="s">
        <v>234</v>
      </c>
    </row>
    <row r="99" spans="1:15" ht="22.5" customHeight="1" x14ac:dyDescent="0.3">
      <c r="A99" s="4">
        <v>3300943</v>
      </c>
      <c r="B99" s="4" t="s">
        <v>687</v>
      </c>
      <c r="C99" s="4" t="s">
        <v>197</v>
      </c>
      <c r="D99" s="4" t="s">
        <v>198</v>
      </c>
      <c r="E99" s="4" t="s">
        <v>227</v>
      </c>
      <c r="F99" s="4" t="s">
        <v>200</v>
      </c>
      <c r="G99" s="4" t="s">
        <v>688</v>
      </c>
      <c r="H99" s="4" t="s">
        <v>689</v>
      </c>
      <c r="I99" s="4" t="s">
        <v>203</v>
      </c>
      <c r="J99" s="4" t="s">
        <v>506</v>
      </c>
      <c r="K99" s="4" t="s">
        <v>690</v>
      </c>
      <c r="L99" s="4" t="s">
        <v>691</v>
      </c>
      <c r="M99" s="4" t="s">
        <v>245</v>
      </c>
      <c r="N99" s="4" t="s">
        <v>208</v>
      </c>
      <c r="O99" s="4" t="s">
        <v>418</v>
      </c>
    </row>
    <row r="100" spans="1:15" ht="22.5" customHeight="1" x14ac:dyDescent="0.3">
      <c r="A100" s="3">
        <v>3259803</v>
      </c>
      <c r="B100" s="3" t="s">
        <v>692</v>
      </c>
      <c r="C100" s="3" t="s">
        <v>197</v>
      </c>
      <c r="D100" s="3" t="s">
        <v>693</v>
      </c>
      <c r="E100" s="3" t="s">
        <v>227</v>
      </c>
      <c r="F100" s="3" t="s">
        <v>413</v>
      </c>
      <c r="G100" s="3" t="s">
        <v>694</v>
      </c>
      <c r="H100" s="3" t="s">
        <v>695</v>
      </c>
      <c r="I100" s="3" t="s">
        <v>203</v>
      </c>
      <c r="J100" s="3" t="s">
        <v>253</v>
      </c>
      <c r="K100" s="3" t="s">
        <v>422</v>
      </c>
      <c r="L100" s="3" t="s">
        <v>696</v>
      </c>
      <c r="M100" s="3" t="s">
        <v>245</v>
      </c>
      <c r="N100" s="3" t="s">
        <v>208</v>
      </c>
      <c r="O100" s="3" t="s">
        <v>433</v>
      </c>
    </row>
    <row r="101" spans="1:15" ht="22.5" customHeight="1" x14ac:dyDescent="0.3">
      <c r="A101" s="4">
        <v>3266362</v>
      </c>
      <c r="B101" s="4" t="s">
        <v>697</v>
      </c>
      <c r="C101" s="4" t="s">
        <v>197</v>
      </c>
      <c r="D101" s="4" t="s">
        <v>198</v>
      </c>
      <c r="E101" s="4" t="s">
        <v>227</v>
      </c>
      <c r="F101" s="4" t="s">
        <v>200</v>
      </c>
      <c r="G101" s="4" t="s">
        <v>698</v>
      </c>
      <c r="H101" s="4" t="s">
        <v>699</v>
      </c>
      <c r="I101" s="4" t="s">
        <v>203</v>
      </c>
      <c r="J101" s="4" t="s">
        <v>204</v>
      </c>
      <c r="K101" s="4" t="s">
        <v>700</v>
      </c>
      <c r="L101" s="4" t="s">
        <v>701</v>
      </c>
      <c r="M101" s="4" t="s">
        <v>245</v>
      </c>
      <c r="N101" s="4" t="s">
        <v>217</v>
      </c>
      <c r="O101" s="4" t="s">
        <v>234</v>
      </c>
    </row>
    <row r="102" spans="1:15" ht="22.5" customHeight="1" x14ac:dyDescent="0.3">
      <c r="A102" s="3">
        <v>3264831</v>
      </c>
      <c r="B102" s="3" t="s">
        <v>702</v>
      </c>
      <c r="C102" s="3" t="s">
        <v>197</v>
      </c>
      <c r="D102" s="3" t="s">
        <v>198</v>
      </c>
      <c r="E102" s="3" t="s">
        <v>227</v>
      </c>
      <c r="F102" s="3" t="s">
        <v>200</v>
      </c>
      <c r="G102" s="3" t="s">
        <v>703</v>
      </c>
      <c r="H102" s="3" t="s">
        <v>704</v>
      </c>
      <c r="I102" s="3" t="s">
        <v>203</v>
      </c>
      <c r="J102" s="3" t="s">
        <v>323</v>
      </c>
      <c r="K102" s="3" t="s">
        <v>705</v>
      </c>
      <c r="L102" s="3" t="s">
        <v>443</v>
      </c>
      <c r="M102" s="3" t="s">
        <v>245</v>
      </c>
      <c r="N102" s="3" t="s">
        <v>217</v>
      </c>
      <c r="O102" s="3" t="s">
        <v>234</v>
      </c>
    </row>
    <row r="103" spans="1:15" ht="22.5" customHeight="1" x14ac:dyDescent="0.3">
      <c r="A103" s="4">
        <v>3279359</v>
      </c>
      <c r="B103" s="4" t="s">
        <v>706</v>
      </c>
      <c r="C103" s="4" t="s">
        <v>197</v>
      </c>
      <c r="D103" s="4" t="s">
        <v>198</v>
      </c>
      <c r="E103" s="4" t="s">
        <v>227</v>
      </c>
      <c r="F103" s="4" t="s">
        <v>200</v>
      </c>
      <c r="G103" s="4" t="s">
        <v>707</v>
      </c>
      <c r="H103" s="4" t="s">
        <v>708</v>
      </c>
      <c r="I103" s="4" t="s">
        <v>203</v>
      </c>
      <c r="J103" s="4" t="s">
        <v>323</v>
      </c>
      <c r="K103" s="4" t="s">
        <v>709</v>
      </c>
      <c r="L103" s="4" t="s">
        <v>686</v>
      </c>
      <c r="M103" s="4" t="s">
        <v>245</v>
      </c>
      <c r="N103" s="4" t="s">
        <v>208</v>
      </c>
      <c r="O103" s="4" t="s">
        <v>234</v>
      </c>
    </row>
    <row r="104" spans="1:15" ht="22.5" customHeight="1" x14ac:dyDescent="0.3">
      <c r="A104" s="3">
        <v>3281469</v>
      </c>
      <c r="B104" s="3" t="s">
        <v>710</v>
      </c>
      <c r="C104" s="3" t="s">
        <v>197</v>
      </c>
      <c r="D104" s="3" t="s">
        <v>198</v>
      </c>
      <c r="E104" s="3" t="s">
        <v>227</v>
      </c>
      <c r="F104" s="3" t="s">
        <v>200</v>
      </c>
      <c r="G104" s="3" t="s">
        <v>711</v>
      </c>
      <c r="H104" s="3" t="s">
        <v>712</v>
      </c>
      <c r="I104" s="3" t="s">
        <v>203</v>
      </c>
      <c r="J104" s="3" t="s">
        <v>214</v>
      </c>
      <c r="K104" s="3" t="s">
        <v>713</v>
      </c>
      <c r="L104" s="3" t="s">
        <v>714</v>
      </c>
      <c r="M104" s="3" t="s">
        <v>207</v>
      </c>
      <c r="N104" s="3" t="s">
        <v>217</v>
      </c>
      <c r="O104" s="3" t="s">
        <v>444</v>
      </c>
    </row>
    <row r="105" spans="1:15" ht="33.75" customHeight="1" x14ac:dyDescent="0.3">
      <c r="A105" s="4">
        <v>3265064</v>
      </c>
      <c r="B105" s="4" t="s">
        <v>715</v>
      </c>
      <c r="C105" s="4" t="s">
        <v>197</v>
      </c>
      <c r="D105" s="4" t="s">
        <v>716</v>
      </c>
      <c r="E105" s="4" t="s">
        <v>227</v>
      </c>
      <c r="F105" s="4" t="s">
        <v>200</v>
      </c>
      <c r="G105" s="4" t="s">
        <v>717</v>
      </c>
      <c r="H105" s="4" t="s">
        <v>718</v>
      </c>
      <c r="I105" s="4" t="s">
        <v>203</v>
      </c>
      <c r="J105" s="4" t="s">
        <v>214</v>
      </c>
      <c r="K105" s="4" t="s">
        <v>713</v>
      </c>
      <c r="L105" s="4" t="s">
        <v>719</v>
      </c>
      <c r="M105" s="4" t="s">
        <v>245</v>
      </c>
      <c r="N105" s="4" t="s">
        <v>208</v>
      </c>
      <c r="O105" s="4" t="s">
        <v>234</v>
      </c>
    </row>
    <row r="106" spans="1:15" ht="22.5" customHeight="1" x14ac:dyDescent="0.3">
      <c r="A106" s="3">
        <v>3133303</v>
      </c>
      <c r="B106" s="3" t="s">
        <v>720</v>
      </c>
      <c r="C106" s="3" t="s">
        <v>197</v>
      </c>
      <c r="D106" s="3" t="s">
        <v>198</v>
      </c>
      <c r="E106" s="3" t="s">
        <v>227</v>
      </c>
      <c r="F106" s="3" t="s">
        <v>200</v>
      </c>
      <c r="G106" s="3" t="s">
        <v>721</v>
      </c>
      <c r="H106" s="3" t="s">
        <v>722</v>
      </c>
      <c r="I106" s="3" t="s">
        <v>203</v>
      </c>
      <c r="J106" s="3" t="s">
        <v>323</v>
      </c>
      <c r="K106" s="3" t="s">
        <v>723</v>
      </c>
      <c r="L106" s="3" t="s">
        <v>724</v>
      </c>
      <c r="M106" s="3" t="s">
        <v>245</v>
      </c>
      <c r="N106" s="3" t="s">
        <v>208</v>
      </c>
      <c r="O106" s="3" t="s">
        <v>433</v>
      </c>
    </row>
    <row r="107" spans="1:15" ht="22.5" customHeight="1" x14ac:dyDescent="0.3">
      <c r="A107" s="4">
        <v>3148785</v>
      </c>
      <c r="B107" s="4" t="s">
        <v>725</v>
      </c>
      <c r="C107" s="4" t="s">
        <v>197</v>
      </c>
      <c r="D107" s="4" t="s">
        <v>198</v>
      </c>
      <c r="E107" s="4" t="s">
        <v>227</v>
      </c>
      <c r="F107" s="4" t="s">
        <v>200</v>
      </c>
      <c r="G107" s="4" t="s">
        <v>726</v>
      </c>
      <c r="H107" s="4" t="s">
        <v>727</v>
      </c>
      <c r="I107" s="4" t="s">
        <v>203</v>
      </c>
      <c r="J107" s="4" t="s">
        <v>204</v>
      </c>
      <c r="K107" s="4" t="s">
        <v>375</v>
      </c>
      <c r="L107" s="4" t="s">
        <v>728</v>
      </c>
      <c r="M107" s="4" t="s">
        <v>245</v>
      </c>
      <c r="N107" s="4" t="s">
        <v>217</v>
      </c>
      <c r="O107" s="4" t="s">
        <v>234</v>
      </c>
    </row>
    <row r="108" spans="1:15" ht="22.5" customHeight="1" x14ac:dyDescent="0.3">
      <c r="A108" s="3">
        <v>3194582</v>
      </c>
      <c r="B108" s="3" t="s">
        <v>729</v>
      </c>
      <c r="C108" s="3" t="s">
        <v>197</v>
      </c>
      <c r="D108" s="3" t="s">
        <v>198</v>
      </c>
      <c r="E108" s="3" t="s">
        <v>227</v>
      </c>
      <c r="F108" s="3" t="s">
        <v>200</v>
      </c>
      <c r="G108" s="3" t="s">
        <v>730</v>
      </c>
      <c r="H108" s="3" t="s">
        <v>731</v>
      </c>
      <c r="I108" s="3" t="s">
        <v>203</v>
      </c>
      <c r="J108" s="3" t="s">
        <v>223</v>
      </c>
      <c r="K108" s="3" t="s">
        <v>732</v>
      </c>
      <c r="L108" s="3" t="s">
        <v>733</v>
      </c>
      <c r="M108" s="3" t="s">
        <v>245</v>
      </c>
      <c r="N108" s="3" t="s">
        <v>208</v>
      </c>
      <c r="O108" s="3" t="s">
        <v>234</v>
      </c>
    </row>
    <row r="109" spans="1:15" ht="22.5" customHeight="1" x14ac:dyDescent="0.3">
      <c r="A109" s="4">
        <v>3220737</v>
      </c>
      <c r="B109" s="4" t="s">
        <v>734</v>
      </c>
      <c r="C109" s="4" t="s">
        <v>197</v>
      </c>
      <c r="D109" s="4" t="s">
        <v>198</v>
      </c>
      <c r="E109" s="4" t="s">
        <v>227</v>
      </c>
      <c r="F109" s="4" t="s">
        <v>200</v>
      </c>
      <c r="G109" s="4" t="s">
        <v>735</v>
      </c>
      <c r="H109" s="4" t="s">
        <v>736</v>
      </c>
      <c r="I109" s="4" t="s">
        <v>737</v>
      </c>
      <c r="J109" s="4" t="s">
        <v>214</v>
      </c>
      <c r="K109" s="4" t="s">
        <v>738</v>
      </c>
      <c r="L109" s="4" t="s">
        <v>739</v>
      </c>
      <c r="M109" s="4" t="s">
        <v>245</v>
      </c>
      <c r="N109" s="4" t="s">
        <v>217</v>
      </c>
      <c r="O109" s="4" t="s">
        <v>234</v>
      </c>
    </row>
    <row r="110" spans="1:15" ht="22.5" customHeight="1" x14ac:dyDescent="0.3">
      <c r="A110" s="3">
        <v>3086178</v>
      </c>
      <c r="B110" s="3" t="s">
        <v>740</v>
      </c>
      <c r="C110" s="3" t="s">
        <v>197</v>
      </c>
      <c r="D110" s="3" t="s">
        <v>198</v>
      </c>
      <c r="E110" s="3" t="s">
        <v>227</v>
      </c>
      <c r="F110" s="3" t="s">
        <v>200</v>
      </c>
      <c r="G110" s="3" t="s">
        <v>741</v>
      </c>
      <c r="H110" s="3" t="s">
        <v>742</v>
      </c>
      <c r="I110" s="3" t="s">
        <v>203</v>
      </c>
      <c r="J110" s="3" t="s">
        <v>204</v>
      </c>
      <c r="K110" s="3" t="s">
        <v>416</v>
      </c>
      <c r="L110" s="3" t="s">
        <v>743</v>
      </c>
      <c r="M110" s="3" t="s">
        <v>245</v>
      </c>
      <c r="N110" s="3" t="s">
        <v>208</v>
      </c>
      <c r="O110" s="3" t="s">
        <v>234</v>
      </c>
    </row>
    <row r="111" spans="1:15" ht="22.5" customHeight="1" x14ac:dyDescent="0.3">
      <c r="A111" s="4">
        <v>3149048</v>
      </c>
      <c r="B111" s="4" t="s">
        <v>744</v>
      </c>
      <c r="C111" s="4" t="s">
        <v>197</v>
      </c>
      <c r="D111" s="4" t="s">
        <v>198</v>
      </c>
      <c r="E111" s="4" t="s">
        <v>227</v>
      </c>
      <c r="F111" s="4" t="s">
        <v>200</v>
      </c>
      <c r="G111" s="4" t="s">
        <v>745</v>
      </c>
      <c r="H111" s="4" t="s">
        <v>746</v>
      </c>
      <c r="I111" s="4" t="s">
        <v>203</v>
      </c>
      <c r="J111" s="4" t="s">
        <v>214</v>
      </c>
      <c r="K111" s="4" t="s">
        <v>747</v>
      </c>
      <c r="L111" s="4" t="s">
        <v>473</v>
      </c>
      <c r="M111" s="4" t="s">
        <v>245</v>
      </c>
      <c r="N111" s="4" t="s">
        <v>217</v>
      </c>
      <c r="O111" s="4" t="s">
        <v>234</v>
      </c>
    </row>
    <row r="112" spans="1:15" ht="22.5" customHeight="1" x14ac:dyDescent="0.3">
      <c r="A112" s="3">
        <v>3054829</v>
      </c>
      <c r="B112" s="3" t="s">
        <v>748</v>
      </c>
      <c r="C112" s="3" t="s">
        <v>197</v>
      </c>
      <c r="D112" s="3" t="s">
        <v>198</v>
      </c>
      <c r="E112" s="3" t="s">
        <v>227</v>
      </c>
      <c r="F112" s="3" t="s">
        <v>200</v>
      </c>
      <c r="G112" s="3" t="s">
        <v>749</v>
      </c>
      <c r="H112" s="3" t="s">
        <v>750</v>
      </c>
      <c r="I112" s="3" t="s">
        <v>751</v>
      </c>
      <c r="J112" s="3" t="s">
        <v>214</v>
      </c>
      <c r="K112" s="3" t="s">
        <v>752</v>
      </c>
      <c r="L112" s="3" t="s">
        <v>753</v>
      </c>
      <c r="M112" s="3" t="s">
        <v>245</v>
      </c>
      <c r="N112" s="3" t="s">
        <v>217</v>
      </c>
      <c r="O112" s="3" t="s">
        <v>444</v>
      </c>
    </row>
    <row r="113" spans="1:15" ht="57" customHeight="1" x14ac:dyDescent="0.3">
      <c r="A113" s="4">
        <v>3023109</v>
      </c>
      <c r="B113" s="4" t="s">
        <v>754</v>
      </c>
      <c r="C113" s="4" t="s">
        <v>197</v>
      </c>
      <c r="D113" s="4" t="s">
        <v>755</v>
      </c>
      <c r="E113" s="4" t="s">
        <v>227</v>
      </c>
      <c r="F113" s="4" t="s">
        <v>413</v>
      </c>
      <c r="G113" s="4" t="s">
        <v>756</v>
      </c>
      <c r="H113" s="4" t="s">
        <v>757</v>
      </c>
      <c r="I113" s="4" t="s">
        <v>203</v>
      </c>
      <c r="J113" s="4" t="s">
        <v>323</v>
      </c>
      <c r="K113" s="4" t="s">
        <v>324</v>
      </c>
      <c r="L113" s="4" t="s">
        <v>758</v>
      </c>
      <c r="M113" s="4" t="s">
        <v>245</v>
      </c>
      <c r="N113" s="4" t="s">
        <v>217</v>
      </c>
      <c r="O113" s="4" t="s">
        <v>234</v>
      </c>
    </row>
    <row r="114" spans="1:15" ht="22.5" customHeight="1" x14ac:dyDescent="0.3">
      <c r="A114" s="3">
        <v>3089509</v>
      </c>
      <c r="B114" s="3" t="s">
        <v>759</v>
      </c>
      <c r="C114" s="3" t="s">
        <v>197</v>
      </c>
      <c r="D114" s="3" t="s">
        <v>198</v>
      </c>
      <c r="E114" s="3" t="s">
        <v>227</v>
      </c>
      <c r="F114" s="3" t="s">
        <v>200</v>
      </c>
      <c r="G114" s="3" t="s">
        <v>760</v>
      </c>
      <c r="H114" s="3" t="s">
        <v>589</v>
      </c>
      <c r="I114" s="3" t="s">
        <v>203</v>
      </c>
      <c r="J114" s="3" t="s">
        <v>253</v>
      </c>
      <c r="K114" s="3" t="s">
        <v>422</v>
      </c>
      <c r="L114" s="3" t="s">
        <v>761</v>
      </c>
      <c r="M114" s="3" t="s">
        <v>245</v>
      </c>
      <c r="N114" s="3" t="s">
        <v>217</v>
      </c>
      <c r="O114" s="3" t="s">
        <v>234</v>
      </c>
    </row>
    <row r="115" spans="1:15" ht="22.5" customHeight="1" x14ac:dyDescent="0.3">
      <c r="A115" s="4">
        <v>3004473</v>
      </c>
      <c r="B115" s="4" t="s">
        <v>762</v>
      </c>
      <c r="C115" s="4" t="s">
        <v>197</v>
      </c>
      <c r="D115" s="4"/>
      <c r="E115" s="4" t="s">
        <v>227</v>
      </c>
      <c r="F115" s="4" t="s">
        <v>200</v>
      </c>
      <c r="G115" s="4" t="s">
        <v>763</v>
      </c>
      <c r="H115" s="4" t="s">
        <v>764</v>
      </c>
      <c r="I115" s="4" t="s">
        <v>203</v>
      </c>
      <c r="J115" s="4" t="s">
        <v>298</v>
      </c>
      <c r="K115" s="4" t="s">
        <v>299</v>
      </c>
      <c r="L115" s="4" t="s">
        <v>765</v>
      </c>
      <c r="M115" s="4" t="s">
        <v>245</v>
      </c>
      <c r="N115" s="4" t="s">
        <v>208</v>
      </c>
      <c r="O115" s="4" t="s">
        <v>444</v>
      </c>
    </row>
    <row r="116" spans="1:15" ht="102" customHeight="1" x14ac:dyDescent="0.3">
      <c r="A116" s="3">
        <v>2991004</v>
      </c>
      <c r="B116" s="3" t="s">
        <v>766</v>
      </c>
      <c r="C116" s="3" t="s">
        <v>197</v>
      </c>
      <c r="D116" s="3" t="s">
        <v>280</v>
      </c>
      <c r="E116" s="3" t="s">
        <v>227</v>
      </c>
      <c r="F116" s="3" t="s">
        <v>200</v>
      </c>
      <c r="G116" s="3" t="s">
        <v>767</v>
      </c>
      <c r="H116" s="3" t="s">
        <v>768</v>
      </c>
      <c r="I116" s="3" t="s">
        <v>203</v>
      </c>
      <c r="J116" s="3" t="s">
        <v>204</v>
      </c>
      <c r="K116" s="3" t="s">
        <v>769</v>
      </c>
      <c r="L116" s="3" t="s">
        <v>770</v>
      </c>
      <c r="M116" s="3" t="s">
        <v>245</v>
      </c>
      <c r="N116" s="3" t="s">
        <v>208</v>
      </c>
      <c r="O116" s="3" t="s">
        <v>234</v>
      </c>
    </row>
    <row r="117" spans="1:15" ht="22.5" customHeight="1" x14ac:dyDescent="0.3">
      <c r="A117" s="4">
        <v>3105857</v>
      </c>
      <c r="B117" s="4" t="s">
        <v>771</v>
      </c>
      <c r="C117" s="4" t="s">
        <v>197</v>
      </c>
      <c r="D117" s="4" t="s">
        <v>198</v>
      </c>
      <c r="E117" s="4" t="s">
        <v>227</v>
      </c>
      <c r="F117" s="4" t="s">
        <v>200</v>
      </c>
      <c r="G117" s="4" t="s">
        <v>772</v>
      </c>
      <c r="H117" s="4" t="s">
        <v>773</v>
      </c>
      <c r="I117" s="4" t="s">
        <v>203</v>
      </c>
      <c r="J117" s="4" t="s">
        <v>204</v>
      </c>
      <c r="K117" s="4" t="s">
        <v>375</v>
      </c>
      <c r="L117" s="4" t="s">
        <v>774</v>
      </c>
      <c r="M117" s="4" t="s">
        <v>245</v>
      </c>
      <c r="N117" s="4" t="s">
        <v>217</v>
      </c>
      <c r="O117" s="4" t="s">
        <v>234</v>
      </c>
    </row>
    <row r="118" spans="1:15" ht="22.5" customHeight="1" x14ac:dyDescent="0.3">
      <c r="A118" s="3">
        <v>3068463</v>
      </c>
      <c r="B118" s="3" t="s">
        <v>775</v>
      </c>
      <c r="C118" s="3" t="s">
        <v>197</v>
      </c>
      <c r="D118" s="3" t="s">
        <v>198</v>
      </c>
      <c r="E118" s="3" t="s">
        <v>227</v>
      </c>
      <c r="F118" s="3" t="s">
        <v>200</v>
      </c>
      <c r="G118" s="3" t="s">
        <v>776</v>
      </c>
      <c r="H118" s="3" t="s">
        <v>777</v>
      </c>
      <c r="I118" s="3" t="s">
        <v>203</v>
      </c>
      <c r="J118" s="3" t="s">
        <v>214</v>
      </c>
      <c r="K118" s="3" t="s">
        <v>535</v>
      </c>
      <c r="L118" s="3" t="s">
        <v>512</v>
      </c>
      <c r="M118" s="3" t="s">
        <v>245</v>
      </c>
      <c r="N118" s="3" t="s">
        <v>217</v>
      </c>
      <c r="O118" s="3" t="s">
        <v>418</v>
      </c>
    </row>
    <row r="119" spans="1:15" ht="22.5" customHeight="1" x14ac:dyDescent="0.3">
      <c r="A119" s="4">
        <v>2765152</v>
      </c>
      <c r="B119" s="4" t="s">
        <v>778</v>
      </c>
      <c r="C119" s="4" t="s">
        <v>197</v>
      </c>
      <c r="D119" s="4" t="s">
        <v>198</v>
      </c>
      <c r="E119" s="4" t="s">
        <v>227</v>
      </c>
      <c r="F119" s="4" t="s">
        <v>200</v>
      </c>
      <c r="G119" s="4" t="s">
        <v>779</v>
      </c>
      <c r="H119" s="4" t="s">
        <v>780</v>
      </c>
      <c r="I119" s="4" t="s">
        <v>203</v>
      </c>
      <c r="J119" s="4" t="s">
        <v>214</v>
      </c>
      <c r="K119" s="4" t="s">
        <v>564</v>
      </c>
      <c r="L119" s="4" t="s">
        <v>781</v>
      </c>
      <c r="M119" s="4" t="s">
        <v>233</v>
      </c>
      <c r="N119" s="4" t="s">
        <v>217</v>
      </c>
      <c r="O119" s="4" t="s">
        <v>418</v>
      </c>
    </row>
    <row r="120" spans="1:15" ht="22.5" customHeight="1" x14ac:dyDescent="0.3">
      <c r="A120" s="3">
        <v>2887673</v>
      </c>
      <c r="B120" s="3" t="s">
        <v>782</v>
      </c>
      <c r="C120" s="3" t="s">
        <v>197</v>
      </c>
      <c r="D120" s="3" t="s">
        <v>198</v>
      </c>
      <c r="E120" s="3" t="s">
        <v>227</v>
      </c>
      <c r="F120" s="3" t="s">
        <v>200</v>
      </c>
      <c r="G120" s="3" t="s">
        <v>783</v>
      </c>
      <c r="H120" s="3" t="s">
        <v>784</v>
      </c>
      <c r="I120" s="3" t="s">
        <v>203</v>
      </c>
      <c r="J120" s="3" t="s">
        <v>204</v>
      </c>
      <c r="K120" s="3" t="s">
        <v>785</v>
      </c>
      <c r="L120" s="3" t="s">
        <v>546</v>
      </c>
      <c r="M120" s="3" t="s">
        <v>233</v>
      </c>
      <c r="N120" s="3" t="s">
        <v>208</v>
      </c>
      <c r="O120" s="3" t="s">
        <v>418</v>
      </c>
    </row>
    <row r="121" spans="1:15" ht="33.75" customHeight="1" x14ac:dyDescent="0.3">
      <c r="A121" s="4">
        <v>2962233</v>
      </c>
      <c r="B121" s="4" t="s">
        <v>786</v>
      </c>
      <c r="C121" s="4" t="s">
        <v>197</v>
      </c>
      <c r="D121" s="4" t="s">
        <v>494</v>
      </c>
      <c r="E121" s="4" t="s">
        <v>227</v>
      </c>
      <c r="F121" s="4" t="s">
        <v>200</v>
      </c>
      <c r="G121" s="4" t="s">
        <v>787</v>
      </c>
      <c r="H121" s="4" t="s">
        <v>788</v>
      </c>
      <c r="I121" s="4" t="s">
        <v>203</v>
      </c>
      <c r="J121" s="4" t="s">
        <v>329</v>
      </c>
      <c r="K121" s="4" t="s">
        <v>789</v>
      </c>
      <c r="L121" s="4" t="s">
        <v>701</v>
      </c>
      <c r="M121" s="4" t="s">
        <v>233</v>
      </c>
      <c r="N121" s="4" t="s">
        <v>208</v>
      </c>
      <c r="O121" s="4" t="s">
        <v>433</v>
      </c>
    </row>
    <row r="122" spans="1:15" ht="22.5" customHeight="1" x14ac:dyDescent="0.3">
      <c r="A122" s="3">
        <v>2964457</v>
      </c>
      <c r="B122" s="3" t="s">
        <v>790</v>
      </c>
      <c r="C122" s="3" t="s">
        <v>197</v>
      </c>
      <c r="D122" s="3" t="s">
        <v>198</v>
      </c>
      <c r="E122" s="3" t="s">
        <v>227</v>
      </c>
      <c r="F122" s="3" t="s">
        <v>200</v>
      </c>
      <c r="G122" s="3" t="s">
        <v>791</v>
      </c>
      <c r="H122" s="3" t="s">
        <v>792</v>
      </c>
      <c r="I122" s="3" t="s">
        <v>203</v>
      </c>
      <c r="J122" s="3" t="s">
        <v>204</v>
      </c>
      <c r="K122" s="3" t="s">
        <v>793</v>
      </c>
      <c r="L122" s="3" t="s">
        <v>794</v>
      </c>
      <c r="M122" s="3" t="s">
        <v>245</v>
      </c>
      <c r="N122" s="3" t="s">
        <v>208</v>
      </c>
      <c r="O122" s="3" t="s">
        <v>418</v>
      </c>
    </row>
    <row r="123" spans="1:15" ht="33.75" customHeight="1" x14ac:dyDescent="0.3">
      <c r="A123" s="4">
        <v>2745232</v>
      </c>
      <c r="B123" s="4" t="s">
        <v>795</v>
      </c>
      <c r="C123" s="4" t="s">
        <v>197</v>
      </c>
      <c r="D123" s="4" t="s">
        <v>796</v>
      </c>
      <c r="E123" s="4" t="s">
        <v>227</v>
      </c>
      <c r="F123" s="4" t="s">
        <v>200</v>
      </c>
      <c r="G123" s="4" t="s">
        <v>797</v>
      </c>
      <c r="H123" s="4" t="s">
        <v>798</v>
      </c>
      <c r="I123" s="4" t="s">
        <v>203</v>
      </c>
      <c r="J123" s="4" t="s">
        <v>214</v>
      </c>
      <c r="K123" s="4" t="s">
        <v>521</v>
      </c>
      <c r="L123" s="4" t="s">
        <v>799</v>
      </c>
      <c r="M123" s="4" t="s">
        <v>245</v>
      </c>
      <c r="N123" s="4" t="s">
        <v>208</v>
      </c>
      <c r="O123" s="4" t="s">
        <v>433</v>
      </c>
    </row>
    <row r="124" spans="1:15" ht="22.5" customHeight="1" x14ac:dyDescent="0.3">
      <c r="A124" s="3">
        <v>2867001</v>
      </c>
      <c r="B124" s="3" t="s">
        <v>800</v>
      </c>
      <c r="C124" s="3" t="s">
        <v>197</v>
      </c>
      <c r="D124" s="3" t="s">
        <v>198</v>
      </c>
      <c r="E124" s="3" t="s">
        <v>227</v>
      </c>
      <c r="F124" s="3" t="s">
        <v>200</v>
      </c>
      <c r="G124" s="3" t="s">
        <v>801</v>
      </c>
      <c r="H124" s="3" t="s">
        <v>802</v>
      </c>
      <c r="I124" s="3" t="s">
        <v>203</v>
      </c>
      <c r="J124" s="3" t="s">
        <v>214</v>
      </c>
      <c r="K124" s="3" t="s">
        <v>662</v>
      </c>
      <c r="L124" s="3" t="s">
        <v>803</v>
      </c>
      <c r="M124" s="3" t="s">
        <v>245</v>
      </c>
      <c r="N124" s="3" t="s">
        <v>208</v>
      </c>
      <c r="O124" s="3" t="s">
        <v>234</v>
      </c>
    </row>
    <row r="125" spans="1:15" ht="22.5" customHeight="1" x14ac:dyDescent="0.3">
      <c r="A125" s="4">
        <v>2868970</v>
      </c>
      <c r="B125" s="4" t="s">
        <v>804</v>
      </c>
      <c r="C125" s="4" t="s">
        <v>197</v>
      </c>
      <c r="D125" s="4" t="s">
        <v>198</v>
      </c>
      <c r="E125" s="4" t="s">
        <v>227</v>
      </c>
      <c r="F125" s="4" t="s">
        <v>200</v>
      </c>
      <c r="G125" s="4" t="s">
        <v>805</v>
      </c>
      <c r="H125" s="4" t="s">
        <v>806</v>
      </c>
      <c r="I125" s="4" t="s">
        <v>203</v>
      </c>
      <c r="J125" s="4" t="s">
        <v>323</v>
      </c>
      <c r="K125" s="4" t="s">
        <v>807</v>
      </c>
      <c r="L125" s="4" t="s">
        <v>808</v>
      </c>
      <c r="M125" s="4" t="s">
        <v>245</v>
      </c>
      <c r="N125" s="4" t="s">
        <v>208</v>
      </c>
      <c r="O125" s="4" t="s">
        <v>234</v>
      </c>
    </row>
    <row r="126" spans="1:15" ht="22.5" customHeight="1" x14ac:dyDescent="0.3">
      <c r="A126" s="3">
        <v>2741903</v>
      </c>
      <c r="B126" s="3" t="s">
        <v>809</v>
      </c>
      <c r="C126" s="3" t="s">
        <v>197</v>
      </c>
      <c r="D126" s="3" t="s">
        <v>198</v>
      </c>
      <c r="E126" s="3" t="s">
        <v>227</v>
      </c>
      <c r="F126" s="3" t="s">
        <v>200</v>
      </c>
      <c r="G126" s="3" t="s">
        <v>810</v>
      </c>
      <c r="H126" s="3" t="s">
        <v>811</v>
      </c>
      <c r="I126" s="3" t="s">
        <v>203</v>
      </c>
      <c r="J126" s="3" t="s">
        <v>214</v>
      </c>
      <c r="K126" s="3" t="s">
        <v>564</v>
      </c>
      <c r="L126" s="3" t="s">
        <v>799</v>
      </c>
      <c r="M126" s="3" t="s">
        <v>245</v>
      </c>
      <c r="N126" s="3" t="s">
        <v>208</v>
      </c>
      <c r="O126" s="3" t="s">
        <v>418</v>
      </c>
    </row>
    <row r="127" spans="1:15" ht="22.5" customHeight="1" x14ac:dyDescent="0.3">
      <c r="A127" s="4">
        <v>2770369</v>
      </c>
      <c r="B127" s="4" t="s">
        <v>812</v>
      </c>
      <c r="C127" s="4" t="s">
        <v>197</v>
      </c>
      <c r="D127" s="4" t="s">
        <v>198</v>
      </c>
      <c r="E127" s="4" t="s">
        <v>227</v>
      </c>
      <c r="F127" s="4" t="s">
        <v>200</v>
      </c>
      <c r="G127" s="4" t="s">
        <v>813</v>
      </c>
      <c r="H127" s="4" t="s">
        <v>814</v>
      </c>
      <c r="I127" s="4" t="s">
        <v>203</v>
      </c>
      <c r="J127" s="4" t="s">
        <v>214</v>
      </c>
      <c r="K127" s="4" t="s">
        <v>815</v>
      </c>
      <c r="L127" s="4" t="s">
        <v>816</v>
      </c>
      <c r="M127" s="4" t="s">
        <v>233</v>
      </c>
      <c r="N127" s="4" t="s">
        <v>208</v>
      </c>
      <c r="O127" s="4" t="s">
        <v>433</v>
      </c>
    </row>
    <row r="128" spans="1:15" ht="22.5" customHeight="1" x14ac:dyDescent="0.3">
      <c r="A128" s="3">
        <v>2315335</v>
      </c>
      <c r="B128" s="3" t="s">
        <v>817</v>
      </c>
      <c r="C128" s="3" t="s">
        <v>197</v>
      </c>
      <c r="D128" s="3" t="s">
        <v>198</v>
      </c>
      <c r="E128" s="3" t="s">
        <v>227</v>
      </c>
      <c r="F128" s="3" t="s">
        <v>200</v>
      </c>
      <c r="G128" s="3" t="s">
        <v>818</v>
      </c>
      <c r="H128" s="3" t="s">
        <v>819</v>
      </c>
      <c r="I128" s="3" t="s">
        <v>203</v>
      </c>
      <c r="J128" s="3" t="s">
        <v>329</v>
      </c>
      <c r="K128" s="3" t="s">
        <v>820</v>
      </c>
      <c r="L128" s="3" t="s">
        <v>821</v>
      </c>
      <c r="M128" s="3" t="s">
        <v>233</v>
      </c>
      <c r="N128" s="3" t="s">
        <v>217</v>
      </c>
      <c r="O128" s="3" t="s">
        <v>433</v>
      </c>
    </row>
    <row r="129" spans="1:15" ht="22.5" customHeight="1" x14ac:dyDescent="0.3">
      <c r="A129" s="4">
        <v>2073889</v>
      </c>
      <c r="B129" s="4" t="s">
        <v>822</v>
      </c>
      <c r="C129" s="4" t="s">
        <v>197</v>
      </c>
      <c r="D129" s="4" t="s">
        <v>198</v>
      </c>
      <c r="E129" s="4" t="s">
        <v>227</v>
      </c>
      <c r="F129" s="4" t="s">
        <v>200</v>
      </c>
      <c r="G129" s="4" t="s">
        <v>823</v>
      </c>
      <c r="H129" s="4" t="s">
        <v>824</v>
      </c>
      <c r="I129" s="4" t="s">
        <v>203</v>
      </c>
      <c r="J129" s="4" t="s">
        <v>214</v>
      </c>
      <c r="K129" s="4" t="s">
        <v>482</v>
      </c>
      <c r="L129" s="4" t="s">
        <v>825</v>
      </c>
      <c r="M129" s="4" t="s">
        <v>233</v>
      </c>
      <c r="N129" s="4" t="s">
        <v>217</v>
      </c>
      <c r="O129" s="4" t="s">
        <v>433</v>
      </c>
    </row>
    <row r="130" spans="1:15" ht="33.75" customHeight="1" x14ac:dyDescent="0.3">
      <c r="A130" s="3">
        <v>2165449</v>
      </c>
      <c r="B130" s="3" t="s">
        <v>826</v>
      </c>
      <c r="C130" s="3" t="s">
        <v>197</v>
      </c>
      <c r="D130" s="3" t="s">
        <v>827</v>
      </c>
      <c r="E130" s="3" t="s">
        <v>227</v>
      </c>
      <c r="F130" s="3" t="s">
        <v>200</v>
      </c>
      <c r="G130" s="3" t="s">
        <v>828</v>
      </c>
      <c r="H130" s="3" t="s">
        <v>829</v>
      </c>
      <c r="I130" s="3" t="s">
        <v>203</v>
      </c>
      <c r="J130" s="3" t="s">
        <v>204</v>
      </c>
      <c r="K130" s="3" t="s">
        <v>830</v>
      </c>
      <c r="L130" s="3" t="s">
        <v>724</v>
      </c>
      <c r="M130" s="3" t="s">
        <v>233</v>
      </c>
      <c r="N130" s="3" t="s">
        <v>217</v>
      </c>
      <c r="O130" s="3" t="s">
        <v>433</v>
      </c>
    </row>
    <row r="131" spans="1:15" ht="22.5" customHeight="1" x14ac:dyDescent="0.3">
      <c r="A131" s="4">
        <v>2380129</v>
      </c>
      <c r="B131" s="4" t="s">
        <v>831</v>
      </c>
      <c r="C131" s="4" t="s">
        <v>197</v>
      </c>
      <c r="D131" s="4" t="s">
        <v>198</v>
      </c>
      <c r="E131" s="4" t="s">
        <v>227</v>
      </c>
      <c r="F131" s="4" t="s">
        <v>200</v>
      </c>
      <c r="G131" s="4" t="s">
        <v>832</v>
      </c>
      <c r="H131" s="4" t="s">
        <v>833</v>
      </c>
      <c r="I131" s="4" t="s">
        <v>203</v>
      </c>
      <c r="J131" s="4" t="s">
        <v>329</v>
      </c>
      <c r="K131" s="4" t="s">
        <v>330</v>
      </c>
      <c r="L131" s="4" t="s">
        <v>834</v>
      </c>
      <c r="M131" s="4" t="s">
        <v>245</v>
      </c>
      <c r="N131" s="4" t="s">
        <v>217</v>
      </c>
      <c r="O131" s="4" t="s">
        <v>418</v>
      </c>
    </row>
    <row r="132" spans="1:15" ht="22.5" customHeight="1" x14ac:dyDescent="0.3">
      <c r="A132" s="3">
        <v>2415089</v>
      </c>
      <c r="B132" s="3" t="s">
        <v>835</v>
      </c>
      <c r="C132" s="3" t="s">
        <v>197</v>
      </c>
      <c r="D132" s="3" t="s">
        <v>198</v>
      </c>
      <c r="E132" s="3" t="s">
        <v>227</v>
      </c>
      <c r="F132" s="3" t="s">
        <v>200</v>
      </c>
      <c r="G132" s="3" t="s">
        <v>836</v>
      </c>
      <c r="H132" s="3" t="s">
        <v>837</v>
      </c>
      <c r="I132" s="3" t="s">
        <v>203</v>
      </c>
      <c r="J132" s="3" t="s">
        <v>204</v>
      </c>
      <c r="K132" s="3" t="s">
        <v>838</v>
      </c>
      <c r="L132" s="3" t="s">
        <v>839</v>
      </c>
      <c r="M132" s="3" t="s">
        <v>233</v>
      </c>
      <c r="N132" s="3" t="s">
        <v>217</v>
      </c>
      <c r="O132" s="3" t="s">
        <v>418</v>
      </c>
    </row>
    <row r="133" spans="1:15" ht="22.5" customHeight="1" x14ac:dyDescent="0.3">
      <c r="A133" s="4">
        <v>2608707</v>
      </c>
      <c r="B133" s="4" t="s">
        <v>840</v>
      </c>
      <c r="C133" s="4" t="s">
        <v>197</v>
      </c>
      <c r="D133" s="4" t="s">
        <v>198</v>
      </c>
      <c r="E133" s="4" t="s">
        <v>227</v>
      </c>
      <c r="F133" s="4" t="s">
        <v>200</v>
      </c>
      <c r="G133" s="4" t="s">
        <v>841</v>
      </c>
      <c r="H133" s="4" t="s">
        <v>842</v>
      </c>
      <c r="I133" s="4" t="s">
        <v>203</v>
      </c>
      <c r="J133" s="4" t="s">
        <v>204</v>
      </c>
      <c r="K133" s="4" t="s">
        <v>452</v>
      </c>
      <c r="L133" s="4" t="s">
        <v>843</v>
      </c>
      <c r="M133" s="4" t="s">
        <v>245</v>
      </c>
      <c r="N133" s="4" t="s">
        <v>217</v>
      </c>
      <c r="O133" s="4" t="s">
        <v>444</v>
      </c>
    </row>
    <row r="134" spans="1:15" ht="57" customHeight="1" x14ac:dyDescent="0.3">
      <c r="A134" s="3">
        <v>2609932</v>
      </c>
      <c r="B134" s="3" t="s">
        <v>844</v>
      </c>
      <c r="C134" s="3" t="s">
        <v>197</v>
      </c>
      <c r="D134" s="3" t="s">
        <v>845</v>
      </c>
      <c r="E134" s="3" t="s">
        <v>227</v>
      </c>
      <c r="F134" s="3" t="s">
        <v>200</v>
      </c>
      <c r="G134" s="3" t="s">
        <v>846</v>
      </c>
      <c r="H134" s="3" t="s">
        <v>847</v>
      </c>
      <c r="I134" s="3" t="s">
        <v>203</v>
      </c>
      <c r="J134" s="3" t="s">
        <v>323</v>
      </c>
      <c r="K134" s="3" t="s">
        <v>848</v>
      </c>
      <c r="L134" s="3" t="s">
        <v>849</v>
      </c>
      <c r="M134" s="3" t="s">
        <v>233</v>
      </c>
      <c r="N134" s="3" t="s">
        <v>208</v>
      </c>
      <c r="O134" s="3" t="s">
        <v>418</v>
      </c>
    </row>
    <row r="135" spans="1:15" ht="22.5" customHeight="1" x14ac:dyDescent="0.3">
      <c r="A135" s="4">
        <v>2416824</v>
      </c>
      <c r="B135" s="4" t="s">
        <v>850</v>
      </c>
      <c r="C135" s="4" t="s">
        <v>197</v>
      </c>
      <c r="D135" s="4" t="s">
        <v>198</v>
      </c>
      <c r="E135" s="4" t="s">
        <v>227</v>
      </c>
      <c r="F135" s="4" t="s">
        <v>200</v>
      </c>
      <c r="G135" s="4" t="s">
        <v>810</v>
      </c>
      <c r="H135" s="4" t="s">
        <v>811</v>
      </c>
      <c r="I135" s="4" t="s">
        <v>203</v>
      </c>
      <c r="J135" s="4" t="s">
        <v>214</v>
      </c>
      <c r="K135" s="4" t="s">
        <v>564</v>
      </c>
      <c r="L135" s="4" t="s">
        <v>851</v>
      </c>
      <c r="M135" s="4" t="s">
        <v>245</v>
      </c>
      <c r="N135" s="4" t="s">
        <v>208</v>
      </c>
      <c r="O135" s="4" t="s">
        <v>234</v>
      </c>
    </row>
    <row r="136" spans="1:15" ht="22.5" customHeight="1" x14ac:dyDescent="0.3">
      <c r="A136" s="3">
        <v>186767</v>
      </c>
      <c r="B136" s="3" t="s">
        <v>852</v>
      </c>
      <c r="C136" s="3" t="s">
        <v>197</v>
      </c>
      <c r="D136" s="3" t="s">
        <v>198</v>
      </c>
      <c r="E136" s="3" t="s">
        <v>227</v>
      </c>
      <c r="F136" s="3" t="s">
        <v>200</v>
      </c>
      <c r="G136" s="3" t="s">
        <v>853</v>
      </c>
      <c r="H136" s="3" t="s">
        <v>854</v>
      </c>
      <c r="I136" s="3" t="s">
        <v>203</v>
      </c>
      <c r="J136" s="3" t="s">
        <v>298</v>
      </c>
      <c r="K136" s="3" t="s">
        <v>855</v>
      </c>
      <c r="L136" s="3" t="s">
        <v>856</v>
      </c>
      <c r="M136" s="3" t="s">
        <v>233</v>
      </c>
      <c r="N136" s="3" t="s">
        <v>208</v>
      </c>
      <c r="O136" s="3" t="s">
        <v>433</v>
      </c>
    </row>
    <row r="137" spans="1:15" ht="22.5" customHeight="1" x14ac:dyDescent="0.3">
      <c r="A137" s="4">
        <v>2076225</v>
      </c>
      <c r="B137" s="4" t="s">
        <v>857</v>
      </c>
      <c r="C137" s="4" t="s">
        <v>197</v>
      </c>
      <c r="D137" s="4" t="s">
        <v>198</v>
      </c>
      <c r="E137" s="4" t="s">
        <v>227</v>
      </c>
      <c r="F137" s="4" t="s">
        <v>200</v>
      </c>
      <c r="G137" s="4" t="s">
        <v>858</v>
      </c>
      <c r="H137" s="4" t="s">
        <v>859</v>
      </c>
      <c r="I137" s="4" t="s">
        <v>203</v>
      </c>
      <c r="J137" s="4" t="s">
        <v>214</v>
      </c>
      <c r="K137" s="4" t="s">
        <v>526</v>
      </c>
      <c r="L137" s="4" t="s">
        <v>860</v>
      </c>
      <c r="M137" s="4" t="s">
        <v>233</v>
      </c>
      <c r="N137" s="4" t="s">
        <v>208</v>
      </c>
      <c r="O137" s="4" t="s">
        <v>234</v>
      </c>
    </row>
    <row r="138" spans="1:15" ht="22.5" customHeight="1" x14ac:dyDescent="0.3">
      <c r="A138" s="3">
        <v>2168324</v>
      </c>
      <c r="B138" s="3" t="s">
        <v>861</v>
      </c>
      <c r="C138" s="3" t="s">
        <v>197</v>
      </c>
      <c r="D138" s="3" t="s">
        <v>862</v>
      </c>
      <c r="E138" s="3" t="s">
        <v>227</v>
      </c>
      <c r="F138" s="3" t="s">
        <v>200</v>
      </c>
      <c r="G138" s="3" t="s">
        <v>863</v>
      </c>
      <c r="H138" s="3" t="s">
        <v>864</v>
      </c>
      <c r="I138" s="3" t="s">
        <v>203</v>
      </c>
      <c r="J138" s="3" t="s">
        <v>204</v>
      </c>
      <c r="K138" s="3" t="s">
        <v>865</v>
      </c>
      <c r="L138" s="3" t="s">
        <v>866</v>
      </c>
      <c r="M138" s="3" t="s">
        <v>233</v>
      </c>
      <c r="N138" s="3" t="s">
        <v>217</v>
      </c>
      <c r="O138" s="3" t="s">
        <v>418</v>
      </c>
    </row>
    <row r="139" spans="1:15" ht="22.5" customHeight="1" x14ac:dyDescent="0.3">
      <c r="A139" s="4">
        <v>2569051</v>
      </c>
      <c r="B139" s="4" t="s">
        <v>867</v>
      </c>
      <c r="C139" s="4" t="s">
        <v>197</v>
      </c>
      <c r="D139" s="4" t="s">
        <v>198</v>
      </c>
      <c r="E139" s="4" t="s">
        <v>227</v>
      </c>
      <c r="F139" s="4" t="s">
        <v>200</v>
      </c>
      <c r="G139" s="4" t="s">
        <v>868</v>
      </c>
      <c r="H139" s="4" t="s">
        <v>869</v>
      </c>
      <c r="I139" s="4" t="s">
        <v>203</v>
      </c>
      <c r="J139" s="4" t="s">
        <v>204</v>
      </c>
      <c r="K139" s="4" t="s">
        <v>870</v>
      </c>
      <c r="L139" s="4" t="s">
        <v>871</v>
      </c>
      <c r="M139" s="4" t="s">
        <v>233</v>
      </c>
      <c r="N139" s="4" t="s">
        <v>208</v>
      </c>
      <c r="O139" s="4" t="s">
        <v>418</v>
      </c>
    </row>
    <row r="140" spans="1:15" ht="33.75" customHeight="1" x14ac:dyDescent="0.3">
      <c r="A140" s="3">
        <v>79332</v>
      </c>
      <c r="B140" s="3" t="s">
        <v>872</v>
      </c>
      <c r="C140" s="3" t="s">
        <v>197</v>
      </c>
      <c r="D140" s="3" t="s">
        <v>220</v>
      </c>
      <c r="E140" s="3" t="s">
        <v>227</v>
      </c>
      <c r="F140" s="3" t="s">
        <v>578</v>
      </c>
      <c r="G140" s="3" t="s">
        <v>873</v>
      </c>
      <c r="H140" s="3" t="s">
        <v>874</v>
      </c>
      <c r="I140" s="3" t="s">
        <v>203</v>
      </c>
      <c r="J140" s="3" t="s">
        <v>204</v>
      </c>
      <c r="K140" s="3" t="s">
        <v>875</v>
      </c>
      <c r="L140" s="3" t="s">
        <v>876</v>
      </c>
      <c r="M140" s="3" t="s">
        <v>233</v>
      </c>
      <c r="N140" s="3" t="s">
        <v>217</v>
      </c>
      <c r="O140" s="3" t="s">
        <v>433</v>
      </c>
    </row>
    <row r="141" spans="1:15" ht="22.5" customHeight="1" x14ac:dyDescent="0.3">
      <c r="A141" s="4">
        <v>147834</v>
      </c>
      <c r="B141" s="4" t="s">
        <v>877</v>
      </c>
      <c r="C141" s="4" t="s">
        <v>197</v>
      </c>
      <c r="D141" s="4" t="s">
        <v>198</v>
      </c>
      <c r="E141" s="4" t="s">
        <v>227</v>
      </c>
      <c r="F141" s="4" t="s">
        <v>200</v>
      </c>
      <c r="G141" s="4" t="s">
        <v>878</v>
      </c>
      <c r="H141" s="4" t="s">
        <v>879</v>
      </c>
      <c r="I141" s="4" t="s">
        <v>203</v>
      </c>
      <c r="J141" s="4" t="s">
        <v>506</v>
      </c>
      <c r="K141" s="4" t="s">
        <v>880</v>
      </c>
      <c r="L141" s="4" t="s">
        <v>881</v>
      </c>
      <c r="M141" s="4" t="s">
        <v>245</v>
      </c>
      <c r="N141" s="4" t="s">
        <v>217</v>
      </c>
      <c r="O141" s="4" t="s">
        <v>433</v>
      </c>
    </row>
    <row r="142" spans="1:15" ht="22.5" customHeight="1" x14ac:dyDescent="0.3">
      <c r="A142" s="3">
        <v>2571242</v>
      </c>
      <c r="B142" s="3" t="s">
        <v>882</v>
      </c>
      <c r="C142" s="3" t="s">
        <v>197</v>
      </c>
      <c r="D142" s="3" t="s">
        <v>198</v>
      </c>
      <c r="E142" s="3" t="s">
        <v>227</v>
      </c>
      <c r="F142" s="3" t="s">
        <v>200</v>
      </c>
      <c r="G142" s="3" t="s">
        <v>883</v>
      </c>
      <c r="H142" s="3" t="s">
        <v>884</v>
      </c>
      <c r="I142" s="3" t="s">
        <v>203</v>
      </c>
      <c r="J142" s="3" t="s">
        <v>323</v>
      </c>
      <c r="K142" s="3" t="s">
        <v>885</v>
      </c>
      <c r="L142" s="3" t="s">
        <v>886</v>
      </c>
      <c r="M142" s="3" t="s">
        <v>233</v>
      </c>
      <c r="N142" s="3" t="s">
        <v>208</v>
      </c>
      <c r="O142" s="3" t="s">
        <v>418</v>
      </c>
    </row>
    <row r="143" spans="1:15" ht="33.75" customHeight="1" x14ac:dyDescent="0.3">
      <c r="A143" s="4">
        <v>2327902</v>
      </c>
      <c r="B143" s="4" t="s">
        <v>887</v>
      </c>
      <c r="C143" s="4" t="s">
        <v>197</v>
      </c>
      <c r="D143" s="4" t="s">
        <v>198</v>
      </c>
      <c r="E143" s="4" t="s">
        <v>227</v>
      </c>
      <c r="F143" s="4" t="s">
        <v>888</v>
      </c>
      <c r="G143" s="4" t="s">
        <v>889</v>
      </c>
      <c r="H143" s="4" t="s">
        <v>890</v>
      </c>
      <c r="I143" s="4" t="s">
        <v>203</v>
      </c>
      <c r="J143" s="4" t="s">
        <v>298</v>
      </c>
      <c r="K143" s="4" t="s">
        <v>891</v>
      </c>
      <c r="L143" s="4" t="s">
        <v>892</v>
      </c>
      <c r="M143" s="4" t="s">
        <v>233</v>
      </c>
      <c r="N143" s="4" t="s">
        <v>217</v>
      </c>
      <c r="O143" s="4" t="s">
        <v>418</v>
      </c>
    </row>
    <row r="144" spans="1:15" ht="22.5" customHeight="1" x14ac:dyDescent="0.3">
      <c r="A144" s="3">
        <v>2420422</v>
      </c>
      <c r="B144" s="3" t="s">
        <v>893</v>
      </c>
      <c r="C144" s="3" t="s">
        <v>197</v>
      </c>
      <c r="D144" s="3" t="s">
        <v>198</v>
      </c>
      <c r="E144" s="3" t="s">
        <v>227</v>
      </c>
      <c r="F144" s="3" t="s">
        <v>200</v>
      </c>
      <c r="G144" s="3" t="s">
        <v>894</v>
      </c>
      <c r="H144" s="3" t="s">
        <v>895</v>
      </c>
      <c r="I144" s="3" t="s">
        <v>203</v>
      </c>
      <c r="J144" s="3" t="s">
        <v>214</v>
      </c>
      <c r="K144" s="3" t="s">
        <v>526</v>
      </c>
      <c r="L144" s="3" t="s">
        <v>896</v>
      </c>
      <c r="M144" s="3" t="s">
        <v>245</v>
      </c>
      <c r="N144" s="3" t="s">
        <v>217</v>
      </c>
      <c r="O144" s="3" t="s">
        <v>433</v>
      </c>
    </row>
    <row r="145" spans="1:15" ht="22.5" customHeight="1" x14ac:dyDescent="0.3">
      <c r="A145" s="4">
        <v>152536</v>
      </c>
      <c r="B145" s="4" t="s">
        <v>897</v>
      </c>
      <c r="C145" s="4" t="s">
        <v>197</v>
      </c>
      <c r="D145" s="4" t="s">
        <v>198</v>
      </c>
      <c r="E145" s="4" t="s">
        <v>227</v>
      </c>
      <c r="F145" s="4" t="s">
        <v>578</v>
      </c>
      <c r="G145" s="4" t="s">
        <v>873</v>
      </c>
      <c r="H145" s="4" t="s">
        <v>874</v>
      </c>
      <c r="I145" s="4" t="s">
        <v>203</v>
      </c>
      <c r="J145" s="4" t="s">
        <v>204</v>
      </c>
      <c r="K145" s="4" t="s">
        <v>898</v>
      </c>
      <c r="L145" s="4" t="s">
        <v>899</v>
      </c>
      <c r="M145" s="4" t="s">
        <v>245</v>
      </c>
      <c r="N145" s="4" t="s">
        <v>217</v>
      </c>
      <c r="O145" s="4" t="s">
        <v>433</v>
      </c>
    </row>
    <row r="146" spans="1:15" ht="22.5" customHeight="1" x14ac:dyDescent="0.3">
      <c r="A146" s="3">
        <v>193097</v>
      </c>
      <c r="B146" s="3" t="s">
        <v>900</v>
      </c>
      <c r="C146" s="3" t="s">
        <v>197</v>
      </c>
      <c r="D146" s="3" t="s">
        <v>198</v>
      </c>
      <c r="E146" s="3" t="s">
        <v>227</v>
      </c>
      <c r="F146" s="3" t="s">
        <v>578</v>
      </c>
      <c r="G146" s="3" t="s">
        <v>901</v>
      </c>
      <c r="H146" s="3" t="s">
        <v>902</v>
      </c>
      <c r="I146" s="3" t="s">
        <v>203</v>
      </c>
      <c r="J146" s="3" t="s">
        <v>214</v>
      </c>
      <c r="K146" s="3" t="s">
        <v>662</v>
      </c>
      <c r="L146" s="3" t="s">
        <v>903</v>
      </c>
      <c r="M146" s="3" t="s">
        <v>245</v>
      </c>
      <c r="N146" s="3" t="s">
        <v>208</v>
      </c>
      <c r="O146" s="3" t="s">
        <v>444</v>
      </c>
    </row>
    <row r="147" spans="1:15" ht="22.5" customHeight="1" x14ac:dyDescent="0.3">
      <c r="A147" s="4">
        <v>2186012</v>
      </c>
      <c r="B147" s="4" t="s">
        <v>904</v>
      </c>
      <c r="C147" s="4" t="s">
        <v>197</v>
      </c>
      <c r="D147" s="4" t="s">
        <v>198</v>
      </c>
      <c r="E147" s="4" t="s">
        <v>227</v>
      </c>
      <c r="F147" s="4" t="s">
        <v>200</v>
      </c>
      <c r="G147" s="4" t="s">
        <v>905</v>
      </c>
      <c r="H147" s="4" t="s">
        <v>906</v>
      </c>
      <c r="I147" s="4" t="s">
        <v>203</v>
      </c>
      <c r="J147" s="4" t="s">
        <v>204</v>
      </c>
      <c r="K147" s="4" t="s">
        <v>477</v>
      </c>
      <c r="L147" s="4" t="s">
        <v>907</v>
      </c>
      <c r="M147" s="4" t="s">
        <v>233</v>
      </c>
      <c r="N147" s="4" t="s">
        <v>217</v>
      </c>
      <c r="O147" s="4" t="s">
        <v>418</v>
      </c>
    </row>
    <row r="148" spans="1:15" ht="79.5" customHeight="1" x14ac:dyDescent="0.3">
      <c r="A148" s="3">
        <v>2098423</v>
      </c>
      <c r="B148" s="3" t="s">
        <v>908</v>
      </c>
      <c r="C148" s="3" t="s">
        <v>197</v>
      </c>
      <c r="D148" s="3" t="s">
        <v>320</v>
      </c>
      <c r="E148" s="3" t="s">
        <v>227</v>
      </c>
      <c r="F148" s="3" t="s">
        <v>413</v>
      </c>
      <c r="G148" s="3" t="s">
        <v>909</v>
      </c>
      <c r="H148" s="3" t="s">
        <v>910</v>
      </c>
      <c r="I148" s="3" t="s">
        <v>203</v>
      </c>
      <c r="J148" s="3" t="s">
        <v>204</v>
      </c>
      <c r="K148" s="3" t="s">
        <v>911</v>
      </c>
      <c r="L148" s="3" t="s">
        <v>912</v>
      </c>
      <c r="M148" s="3" t="s">
        <v>233</v>
      </c>
      <c r="N148" s="3" t="s">
        <v>217</v>
      </c>
      <c r="O148" s="3" t="s">
        <v>444</v>
      </c>
    </row>
    <row r="149" spans="1:15" ht="22.5" customHeight="1" x14ac:dyDescent="0.3">
      <c r="A149" s="4">
        <v>2277042</v>
      </c>
      <c r="B149" s="4" t="s">
        <v>913</v>
      </c>
      <c r="C149" s="4" t="s">
        <v>197</v>
      </c>
      <c r="D149" s="4" t="s">
        <v>198</v>
      </c>
      <c r="E149" s="4" t="s">
        <v>227</v>
      </c>
      <c r="F149" s="4" t="s">
        <v>200</v>
      </c>
      <c r="G149" s="4" t="s">
        <v>914</v>
      </c>
      <c r="H149" s="4" t="s">
        <v>915</v>
      </c>
      <c r="I149" s="4" t="s">
        <v>203</v>
      </c>
      <c r="J149" s="4" t="s">
        <v>266</v>
      </c>
      <c r="K149" s="4" t="s">
        <v>555</v>
      </c>
      <c r="L149" s="4" t="s">
        <v>916</v>
      </c>
      <c r="M149" s="4" t="s">
        <v>233</v>
      </c>
      <c r="N149" s="4" t="s">
        <v>208</v>
      </c>
      <c r="O149" s="4" t="s">
        <v>433</v>
      </c>
    </row>
    <row r="150" spans="1:15" ht="22.5" customHeight="1" x14ac:dyDescent="0.3">
      <c r="A150" s="3">
        <v>2386712</v>
      </c>
      <c r="B150" s="3" t="s">
        <v>917</v>
      </c>
      <c r="C150" s="3" t="s">
        <v>197</v>
      </c>
      <c r="D150" s="3" t="s">
        <v>198</v>
      </c>
      <c r="E150" s="3" t="s">
        <v>227</v>
      </c>
      <c r="F150" s="3" t="s">
        <v>200</v>
      </c>
      <c r="G150" s="3" t="s">
        <v>679</v>
      </c>
      <c r="H150" s="3" t="s">
        <v>680</v>
      </c>
      <c r="I150" s="3" t="s">
        <v>203</v>
      </c>
      <c r="J150" s="3" t="s">
        <v>323</v>
      </c>
      <c r="K150" s="3" t="s">
        <v>324</v>
      </c>
      <c r="L150" s="3" t="s">
        <v>918</v>
      </c>
      <c r="M150" s="3" t="s">
        <v>233</v>
      </c>
      <c r="N150" s="3" t="s">
        <v>208</v>
      </c>
      <c r="O150" s="3" t="s">
        <v>418</v>
      </c>
    </row>
    <row r="151" spans="1:15" ht="22.5" customHeight="1" x14ac:dyDescent="0.3">
      <c r="A151" s="4">
        <v>2576627</v>
      </c>
      <c r="B151" s="4" t="s">
        <v>919</v>
      </c>
      <c r="C151" s="4" t="s">
        <v>197</v>
      </c>
      <c r="D151" s="4" t="s">
        <v>198</v>
      </c>
      <c r="E151" s="4" t="s">
        <v>227</v>
      </c>
      <c r="F151" s="4" t="s">
        <v>200</v>
      </c>
      <c r="G151" s="4" t="s">
        <v>920</v>
      </c>
      <c r="H151" s="4" t="s">
        <v>921</v>
      </c>
      <c r="I151" s="4" t="s">
        <v>203</v>
      </c>
      <c r="J151" s="4" t="s">
        <v>214</v>
      </c>
      <c r="K151" s="4" t="s">
        <v>922</v>
      </c>
      <c r="L151" s="4" t="s">
        <v>923</v>
      </c>
      <c r="M151" s="4" t="s">
        <v>233</v>
      </c>
      <c r="N151" s="4" t="s">
        <v>217</v>
      </c>
      <c r="O151" s="4" t="s">
        <v>433</v>
      </c>
    </row>
    <row r="152" spans="1:15" ht="57" customHeight="1" x14ac:dyDescent="0.3">
      <c r="A152" s="3">
        <v>2746573</v>
      </c>
      <c r="B152" s="3" t="s">
        <v>924</v>
      </c>
      <c r="C152" s="3" t="s">
        <v>197</v>
      </c>
      <c r="D152" s="3" t="s">
        <v>925</v>
      </c>
      <c r="E152" s="3" t="s">
        <v>227</v>
      </c>
      <c r="F152" s="3" t="s">
        <v>200</v>
      </c>
      <c r="G152" s="3" t="s">
        <v>883</v>
      </c>
      <c r="H152" s="3" t="s">
        <v>884</v>
      </c>
      <c r="I152" s="3" t="s">
        <v>203</v>
      </c>
      <c r="J152" s="3" t="s">
        <v>204</v>
      </c>
      <c r="K152" s="3" t="s">
        <v>926</v>
      </c>
      <c r="L152" s="3" t="s">
        <v>733</v>
      </c>
      <c r="M152" s="3" t="s">
        <v>245</v>
      </c>
      <c r="N152" s="3" t="s">
        <v>208</v>
      </c>
      <c r="O152" s="3" t="s">
        <v>418</v>
      </c>
    </row>
    <row r="153" spans="1:15" ht="22.5" customHeight="1" x14ac:dyDescent="0.3">
      <c r="A153" s="4">
        <v>2423243</v>
      </c>
      <c r="B153" s="4" t="s">
        <v>927</v>
      </c>
      <c r="C153" s="4" t="s">
        <v>197</v>
      </c>
      <c r="D153" s="4" t="s">
        <v>198</v>
      </c>
      <c r="E153" s="4" t="s">
        <v>227</v>
      </c>
      <c r="F153" s="4" t="s">
        <v>200</v>
      </c>
      <c r="G153" s="4" t="s">
        <v>928</v>
      </c>
      <c r="H153" s="4" t="s">
        <v>929</v>
      </c>
      <c r="I153" s="4" t="s">
        <v>203</v>
      </c>
      <c r="J153" s="4" t="s">
        <v>204</v>
      </c>
      <c r="K153" s="4" t="s">
        <v>930</v>
      </c>
      <c r="L153" s="4" t="s">
        <v>931</v>
      </c>
      <c r="M153" s="4" t="s">
        <v>233</v>
      </c>
      <c r="N153" s="4" t="s">
        <v>217</v>
      </c>
      <c r="O153" s="4" t="s">
        <v>234</v>
      </c>
    </row>
    <row r="154" spans="1:15" ht="22.5" customHeight="1" x14ac:dyDescent="0.3">
      <c r="A154" s="3">
        <v>2583917</v>
      </c>
      <c r="B154" s="3" t="s">
        <v>932</v>
      </c>
      <c r="C154" s="3" t="s">
        <v>197</v>
      </c>
      <c r="D154" s="3" t="s">
        <v>198</v>
      </c>
      <c r="E154" s="3" t="s">
        <v>227</v>
      </c>
      <c r="F154" s="3" t="s">
        <v>200</v>
      </c>
      <c r="G154" s="3" t="s">
        <v>933</v>
      </c>
      <c r="H154" s="3" t="s">
        <v>934</v>
      </c>
      <c r="I154" s="3" t="s">
        <v>203</v>
      </c>
      <c r="J154" s="3" t="s">
        <v>204</v>
      </c>
      <c r="K154" s="3" t="s">
        <v>935</v>
      </c>
      <c r="L154" s="3" t="s">
        <v>936</v>
      </c>
      <c r="M154" s="3" t="s">
        <v>245</v>
      </c>
      <c r="N154" s="3" t="s">
        <v>217</v>
      </c>
      <c r="O154" s="3" t="s">
        <v>433</v>
      </c>
    </row>
    <row r="155" spans="1:15" ht="33.75" customHeight="1" x14ac:dyDescent="0.3">
      <c r="A155" s="4">
        <v>2966794</v>
      </c>
      <c r="B155" s="4" t="s">
        <v>937</v>
      </c>
      <c r="C155" s="4" t="s">
        <v>197</v>
      </c>
      <c r="D155" s="4" t="s">
        <v>938</v>
      </c>
      <c r="E155" s="4" t="s">
        <v>227</v>
      </c>
      <c r="F155" s="4" t="s">
        <v>200</v>
      </c>
      <c r="G155" s="4" t="s">
        <v>939</v>
      </c>
      <c r="H155" s="4" t="s">
        <v>940</v>
      </c>
      <c r="I155" s="4" t="s">
        <v>203</v>
      </c>
      <c r="J155" s="4" t="s">
        <v>214</v>
      </c>
      <c r="K155" s="4" t="s">
        <v>941</v>
      </c>
      <c r="L155" s="4" t="s">
        <v>942</v>
      </c>
      <c r="M155" s="4" t="s">
        <v>233</v>
      </c>
      <c r="N155" s="4" t="s">
        <v>217</v>
      </c>
      <c r="O155" s="4" t="s">
        <v>418</v>
      </c>
    </row>
    <row r="156" spans="1:15" ht="22.5" customHeight="1" x14ac:dyDescent="0.3">
      <c r="A156" s="3">
        <v>2855682</v>
      </c>
      <c r="B156" s="3" t="s">
        <v>943</v>
      </c>
      <c r="C156" s="3" t="s">
        <v>197</v>
      </c>
      <c r="D156" s="3" t="s">
        <v>198</v>
      </c>
      <c r="E156" s="3" t="s">
        <v>227</v>
      </c>
      <c r="F156" s="3" t="s">
        <v>200</v>
      </c>
      <c r="G156" s="3" t="s">
        <v>944</v>
      </c>
      <c r="H156" s="3" t="s">
        <v>945</v>
      </c>
      <c r="I156" s="3" t="s">
        <v>203</v>
      </c>
      <c r="J156" s="3" t="s">
        <v>204</v>
      </c>
      <c r="K156" s="3" t="s">
        <v>437</v>
      </c>
      <c r="L156" s="3" t="s">
        <v>946</v>
      </c>
      <c r="M156" s="3" t="s">
        <v>233</v>
      </c>
      <c r="N156" s="3" t="s">
        <v>217</v>
      </c>
      <c r="O156" s="3" t="s">
        <v>433</v>
      </c>
    </row>
    <row r="157" spans="1:15" ht="22.5" customHeight="1" x14ac:dyDescent="0.3">
      <c r="A157" s="4">
        <v>2869829</v>
      </c>
      <c r="B157" s="4" t="s">
        <v>947</v>
      </c>
      <c r="C157" s="4" t="s">
        <v>197</v>
      </c>
      <c r="D157" s="4" t="s">
        <v>198</v>
      </c>
      <c r="E157" s="4" t="s">
        <v>227</v>
      </c>
      <c r="F157" s="4" t="s">
        <v>200</v>
      </c>
      <c r="G157" s="4" t="s">
        <v>948</v>
      </c>
      <c r="H157" s="4" t="s">
        <v>833</v>
      </c>
      <c r="I157" s="4" t="s">
        <v>203</v>
      </c>
      <c r="J157" s="4" t="s">
        <v>329</v>
      </c>
      <c r="K157" s="4" t="s">
        <v>497</v>
      </c>
      <c r="L157" s="4" t="s">
        <v>949</v>
      </c>
      <c r="M157" s="4" t="s">
        <v>245</v>
      </c>
      <c r="N157" s="4" t="s">
        <v>217</v>
      </c>
      <c r="O157" s="4" t="s">
        <v>418</v>
      </c>
    </row>
    <row r="158" spans="1:15" ht="22.5" customHeight="1" x14ac:dyDescent="0.3">
      <c r="A158" s="3">
        <v>2285681</v>
      </c>
      <c r="B158" s="3" t="s">
        <v>950</v>
      </c>
      <c r="C158" s="3" t="s">
        <v>197</v>
      </c>
      <c r="D158" s="3" t="s">
        <v>198</v>
      </c>
      <c r="E158" s="3" t="s">
        <v>227</v>
      </c>
      <c r="F158" s="3" t="s">
        <v>200</v>
      </c>
      <c r="G158" s="3" t="s">
        <v>951</v>
      </c>
      <c r="H158" s="3" t="s">
        <v>952</v>
      </c>
      <c r="I158" s="3" t="s">
        <v>203</v>
      </c>
      <c r="J158" s="3" t="s">
        <v>329</v>
      </c>
      <c r="K158" s="3" t="s">
        <v>953</v>
      </c>
      <c r="L158" s="3" t="s">
        <v>954</v>
      </c>
      <c r="M158" s="3" t="s">
        <v>233</v>
      </c>
      <c r="N158" s="3" t="s">
        <v>208</v>
      </c>
      <c r="O158" s="3" t="s">
        <v>433</v>
      </c>
    </row>
    <row r="159" spans="1:15" ht="57" customHeight="1" x14ac:dyDescent="0.3">
      <c r="A159" s="4">
        <v>2778041</v>
      </c>
      <c r="B159" s="4" t="s">
        <v>955</v>
      </c>
      <c r="C159" s="4" t="s">
        <v>197</v>
      </c>
      <c r="D159" s="4" t="s">
        <v>342</v>
      </c>
      <c r="E159" s="4" t="s">
        <v>227</v>
      </c>
      <c r="F159" s="4" t="s">
        <v>200</v>
      </c>
      <c r="G159" s="4" t="s">
        <v>956</v>
      </c>
      <c r="H159" s="4" t="s">
        <v>957</v>
      </c>
      <c r="I159" s="4" t="s">
        <v>203</v>
      </c>
      <c r="J159" s="4" t="s">
        <v>204</v>
      </c>
      <c r="K159" s="4" t="s">
        <v>958</v>
      </c>
      <c r="L159" s="4" t="s">
        <v>959</v>
      </c>
      <c r="M159" s="4" t="s">
        <v>233</v>
      </c>
      <c r="N159" s="4" t="s">
        <v>208</v>
      </c>
      <c r="O159" s="4" t="s">
        <v>418</v>
      </c>
    </row>
    <row r="160" spans="1:15" ht="22.5" customHeight="1" x14ac:dyDescent="0.3">
      <c r="A160" s="3">
        <v>121266</v>
      </c>
      <c r="B160" s="3" t="s">
        <v>960</v>
      </c>
      <c r="C160" s="3" t="s">
        <v>197</v>
      </c>
      <c r="D160" s="3" t="s">
        <v>198</v>
      </c>
      <c r="E160" s="3" t="s">
        <v>227</v>
      </c>
      <c r="F160" s="3" t="s">
        <v>578</v>
      </c>
      <c r="G160" s="3" t="s">
        <v>579</v>
      </c>
      <c r="H160" s="3" t="s">
        <v>961</v>
      </c>
      <c r="I160" s="3" t="s">
        <v>203</v>
      </c>
      <c r="J160" s="3" t="s">
        <v>214</v>
      </c>
      <c r="K160" s="3" t="s">
        <v>962</v>
      </c>
      <c r="L160" s="3" t="s">
        <v>963</v>
      </c>
      <c r="M160" s="3" t="s">
        <v>233</v>
      </c>
      <c r="N160" s="3" t="s">
        <v>208</v>
      </c>
      <c r="O160" s="3" t="s">
        <v>433</v>
      </c>
    </row>
    <row r="161" spans="1:15" ht="22.5" customHeight="1" x14ac:dyDescent="0.3">
      <c r="A161" s="4">
        <v>2993112</v>
      </c>
      <c r="B161" s="4" t="s">
        <v>964</v>
      </c>
      <c r="C161" s="4" t="s">
        <v>197</v>
      </c>
      <c r="D161" s="4" t="s">
        <v>198</v>
      </c>
      <c r="E161" s="4" t="s">
        <v>227</v>
      </c>
      <c r="F161" s="4" t="s">
        <v>200</v>
      </c>
      <c r="G161" s="4" t="s">
        <v>965</v>
      </c>
      <c r="H161" s="4" t="s">
        <v>966</v>
      </c>
      <c r="I161" s="4" t="s">
        <v>203</v>
      </c>
      <c r="J161" s="4" t="s">
        <v>323</v>
      </c>
      <c r="K161" s="4" t="s">
        <v>967</v>
      </c>
      <c r="L161" s="4" t="s">
        <v>968</v>
      </c>
      <c r="M161" s="4" t="s">
        <v>245</v>
      </c>
      <c r="N161" s="4" t="s">
        <v>208</v>
      </c>
      <c r="O161" s="4" t="s">
        <v>418</v>
      </c>
    </row>
    <row r="162" spans="1:15" ht="22.5" customHeight="1" x14ac:dyDescent="0.3">
      <c r="A162" s="3">
        <v>3055671</v>
      </c>
      <c r="B162" s="3" t="s">
        <v>969</v>
      </c>
      <c r="C162" s="3" t="s">
        <v>197</v>
      </c>
      <c r="D162" s="3" t="s">
        <v>198</v>
      </c>
      <c r="E162" s="3" t="s">
        <v>227</v>
      </c>
      <c r="F162" s="3" t="s">
        <v>200</v>
      </c>
      <c r="G162" s="3" t="s">
        <v>584</v>
      </c>
      <c r="H162" s="3" t="s">
        <v>970</v>
      </c>
      <c r="I162" s="3" t="s">
        <v>203</v>
      </c>
      <c r="J162" s="3" t="s">
        <v>214</v>
      </c>
      <c r="K162" s="3" t="s">
        <v>941</v>
      </c>
      <c r="L162" s="3" t="s">
        <v>753</v>
      </c>
      <c r="M162" s="3" t="s">
        <v>245</v>
      </c>
      <c r="N162" s="3" t="s">
        <v>217</v>
      </c>
      <c r="O162" s="3" t="s">
        <v>234</v>
      </c>
    </row>
    <row r="163" spans="1:15" ht="22.5" customHeight="1" x14ac:dyDescent="0.3">
      <c r="A163" s="4">
        <v>3150984</v>
      </c>
      <c r="B163" s="4" t="s">
        <v>971</v>
      </c>
      <c r="C163" s="4" t="s">
        <v>197</v>
      </c>
      <c r="D163" s="4" t="s">
        <v>198</v>
      </c>
      <c r="E163" s="4" t="s">
        <v>227</v>
      </c>
      <c r="F163" s="4" t="s">
        <v>200</v>
      </c>
      <c r="G163" s="4" t="s">
        <v>972</v>
      </c>
      <c r="H163" s="4" t="s">
        <v>973</v>
      </c>
      <c r="I163" s="4" t="s">
        <v>203</v>
      </c>
      <c r="J163" s="4" t="s">
        <v>214</v>
      </c>
      <c r="K163" s="4" t="s">
        <v>974</v>
      </c>
      <c r="L163" s="4" t="s">
        <v>975</v>
      </c>
      <c r="M163" s="4" t="s">
        <v>233</v>
      </c>
      <c r="N163" s="4" t="s">
        <v>217</v>
      </c>
      <c r="O163" s="4" t="s">
        <v>418</v>
      </c>
    </row>
    <row r="164" spans="1:15" ht="22.5" customHeight="1" x14ac:dyDescent="0.3">
      <c r="A164" s="3">
        <v>3167712</v>
      </c>
      <c r="B164" s="3" t="s">
        <v>976</v>
      </c>
      <c r="C164" s="3" t="s">
        <v>197</v>
      </c>
      <c r="D164" s="3" t="s">
        <v>198</v>
      </c>
      <c r="E164" s="3" t="s">
        <v>227</v>
      </c>
      <c r="F164" s="3" t="s">
        <v>200</v>
      </c>
      <c r="G164" s="3" t="s">
        <v>977</v>
      </c>
      <c r="H164" s="3" t="s">
        <v>978</v>
      </c>
      <c r="I164" s="3" t="s">
        <v>203</v>
      </c>
      <c r="J164" s="3" t="s">
        <v>323</v>
      </c>
      <c r="K164" s="3" t="s">
        <v>848</v>
      </c>
      <c r="L164" s="3" t="s">
        <v>701</v>
      </c>
      <c r="M164" s="3" t="s">
        <v>233</v>
      </c>
      <c r="N164" s="3" t="s">
        <v>208</v>
      </c>
      <c r="O164" s="3" t="s">
        <v>418</v>
      </c>
    </row>
    <row r="165" spans="1:15" ht="22.5" customHeight="1" x14ac:dyDescent="0.3">
      <c r="A165" s="4">
        <v>3167747</v>
      </c>
      <c r="B165" s="4" t="s">
        <v>979</v>
      </c>
      <c r="C165" s="4" t="s">
        <v>197</v>
      </c>
      <c r="D165" s="4" t="s">
        <v>198</v>
      </c>
      <c r="E165" s="4" t="s">
        <v>227</v>
      </c>
      <c r="F165" s="4" t="s">
        <v>200</v>
      </c>
      <c r="G165" s="4" t="s">
        <v>980</v>
      </c>
      <c r="H165" s="4" t="s">
        <v>981</v>
      </c>
      <c r="I165" s="4" t="s">
        <v>203</v>
      </c>
      <c r="J165" s="4" t="s">
        <v>323</v>
      </c>
      <c r="K165" s="4" t="s">
        <v>982</v>
      </c>
      <c r="L165" s="4" t="s">
        <v>701</v>
      </c>
      <c r="M165" s="4" t="s">
        <v>233</v>
      </c>
      <c r="N165" s="4" t="s">
        <v>217</v>
      </c>
      <c r="O165" s="4" t="s">
        <v>433</v>
      </c>
    </row>
    <row r="166" spans="1:15" ht="22.5" customHeight="1" x14ac:dyDescent="0.3">
      <c r="A166" s="3">
        <v>3167828</v>
      </c>
      <c r="B166" s="3" t="s">
        <v>983</v>
      </c>
      <c r="C166" s="3" t="s">
        <v>197</v>
      </c>
      <c r="D166" s="3" t="s">
        <v>198</v>
      </c>
      <c r="E166" s="3" t="s">
        <v>227</v>
      </c>
      <c r="F166" s="3" t="s">
        <v>200</v>
      </c>
      <c r="G166" s="3" t="s">
        <v>948</v>
      </c>
      <c r="H166" s="3" t="s">
        <v>833</v>
      </c>
      <c r="I166" s="3" t="s">
        <v>203</v>
      </c>
      <c r="J166" s="3" t="s">
        <v>329</v>
      </c>
      <c r="K166" s="3" t="s">
        <v>497</v>
      </c>
      <c r="L166" s="3" t="s">
        <v>984</v>
      </c>
      <c r="M166" s="3" t="s">
        <v>233</v>
      </c>
      <c r="N166" s="3" t="s">
        <v>217</v>
      </c>
      <c r="O166" s="3" t="s">
        <v>234</v>
      </c>
    </row>
    <row r="167" spans="1:15" ht="22.5" customHeight="1" x14ac:dyDescent="0.3">
      <c r="A167" s="4">
        <v>2433109</v>
      </c>
      <c r="B167" s="4" t="s">
        <v>985</v>
      </c>
      <c r="C167" s="4" t="s">
        <v>197</v>
      </c>
      <c r="D167" s="4" t="s">
        <v>198</v>
      </c>
      <c r="E167" s="4" t="s">
        <v>227</v>
      </c>
      <c r="F167" s="4" t="s">
        <v>200</v>
      </c>
      <c r="G167" s="4" t="s">
        <v>986</v>
      </c>
      <c r="H167" s="4" t="s">
        <v>987</v>
      </c>
      <c r="I167" s="4" t="s">
        <v>203</v>
      </c>
      <c r="J167" s="4" t="s">
        <v>214</v>
      </c>
      <c r="K167" s="4" t="s">
        <v>988</v>
      </c>
      <c r="L167" s="4" t="s">
        <v>989</v>
      </c>
      <c r="M167" s="4" t="s">
        <v>245</v>
      </c>
      <c r="N167" s="4" t="s">
        <v>217</v>
      </c>
      <c r="O167" s="4" t="s">
        <v>433</v>
      </c>
    </row>
    <row r="168" spans="1:15" ht="22.5" customHeight="1" x14ac:dyDescent="0.3">
      <c r="A168" s="3">
        <v>3195155</v>
      </c>
      <c r="B168" s="3" t="s">
        <v>990</v>
      </c>
      <c r="C168" s="3" t="s">
        <v>197</v>
      </c>
      <c r="D168" s="3" t="s">
        <v>198</v>
      </c>
      <c r="E168" s="3" t="s">
        <v>227</v>
      </c>
      <c r="F168" s="3" t="s">
        <v>200</v>
      </c>
      <c r="G168" s="3" t="s">
        <v>991</v>
      </c>
      <c r="H168" s="3" t="s">
        <v>992</v>
      </c>
      <c r="I168" s="3" t="s">
        <v>203</v>
      </c>
      <c r="J168" s="3" t="s">
        <v>329</v>
      </c>
      <c r="K168" s="3" t="s">
        <v>953</v>
      </c>
      <c r="L168" s="3" t="s">
        <v>714</v>
      </c>
      <c r="M168" s="3" t="s">
        <v>245</v>
      </c>
      <c r="N168" s="3" t="s">
        <v>217</v>
      </c>
      <c r="O168" s="3" t="s">
        <v>444</v>
      </c>
    </row>
    <row r="169" spans="1:15" ht="22.5" customHeight="1" x14ac:dyDescent="0.3">
      <c r="A169" s="4">
        <v>2823284</v>
      </c>
      <c r="B169" s="4" t="s">
        <v>993</v>
      </c>
      <c r="C169" s="4" t="s">
        <v>197</v>
      </c>
      <c r="D169" s="4" t="s">
        <v>198</v>
      </c>
      <c r="E169" s="4" t="s">
        <v>227</v>
      </c>
      <c r="F169" s="4" t="s">
        <v>200</v>
      </c>
      <c r="G169" s="4" t="s">
        <v>994</v>
      </c>
      <c r="H169" s="4" t="s">
        <v>995</v>
      </c>
      <c r="I169" s="4" t="s">
        <v>203</v>
      </c>
      <c r="J169" s="4" t="s">
        <v>329</v>
      </c>
      <c r="K169" s="4" t="s">
        <v>611</v>
      </c>
      <c r="L169" s="4" t="s">
        <v>996</v>
      </c>
      <c r="M169" s="4" t="s">
        <v>233</v>
      </c>
      <c r="N169" s="4" t="s">
        <v>217</v>
      </c>
      <c r="O169" s="4" t="s">
        <v>433</v>
      </c>
    </row>
    <row r="170" spans="1:15" ht="22.5" customHeight="1" x14ac:dyDescent="0.3">
      <c r="A170" s="3">
        <v>2913259</v>
      </c>
      <c r="B170" s="3" t="s">
        <v>997</v>
      </c>
      <c r="C170" s="3" t="s">
        <v>197</v>
      </c>
      <c r="D170" s="3" t="s">
        <v>198</v>
      </c>
      <c r="E170" s="3" t="s">
        <v>227</v>
      </c>
      <c r="F170" s="3" t="s">
        <v>200</v>
      </c>
      <c r="G170" s="3" t="s">
        <v>721</v>
      </c>
      <c r="H170" s="3" t="s">
        <v>436</v>
      </c>
      <c r="I170" s="3" t="s">
        <v>203</v>
      </c>
      <c r="J170" s="3" t="s">
        <v>323</v>
      </c>
      <c r="K170" s="3" t="s">
        <v>516</v>
      </c>
      <c r="L170" s="3" t="s">
        <v>998</v>
      </c>
      <c r="M170" s="3" t="s">
        <v>245</v>
      </c>
      <c r="N170" s="3" t="s">
        <v>208</v>
      </c>
      <c r="O170" s="3" t="s">
        <v>433</v>
      </c>
    </row>
    <row r="171" spans="1:15" ht="22.5" customHeight="1" x14ac:dyDescent="0.3">
      <c r="A171" s="4">
        <v>2913844</v>
      </c>
      <c r="B171" s="4" t="s">
        <v>999</v>
      </c>
      <c r="C171" s="4" t="s">
        <v>197</v>
      </c>
      <c r="D171" s="4" t="s">
        <v>198</v>
      </c>
      <c r="E171" s="4" t="s">
        <v>227</v>
      </c>
      <c r="F171" s="4" t="s">
        <v>200</v>
      </c>
      <c r="G171" s="4" t="s">
        <v>1000</v>
      </c>
      <c r="H171" s="4" t="s">
        <v>1001</v>
      </c>
      <c r="I171" s="4" t="s">
        <v>203</v>
      </c>
      <c r="J171" s="4" t="s">
        <v>223</v>
      </c>
      <c r="K171" s="4" t="s">
        <v>1002</v>
      </c>
      <c r="L171" s="4" t="s">
        <v>1003</v>
      </c>
      <c r="M171" s="4" t="s">
        <v>233</v>
      </c>
      <c r="N171" s="4" t="s">
        <v>217</v>
      </c>
      <c r="O171" s="4" t="s">
        <v>234</v>
      </c>
    </row>
    <row r="172" spans="1:15" ht="33.75" customHeight="1" x14ac:dyDescent="0.3">
      <c r="A172" s="3">
        <v>3168158</v>
      </c>
      <c r="B172" s="3" t="s">
        <v>1004</v>
      </c>
      <c r="C172" s="3" t="s">
        <v>197</v>
      </c>
      <c r="D172" s="3" t="s">
        <v>220</v>
      </c>
      <c r="E172" s="3" t="s">
        <v>227</v>
      </c>
      <c r="F172" s="3" t="s">
        <v>200</v>
      </c>
      <c r="G172" s="3" t="s">
        <v>1005</v>
      </c>
      <c r="H172" s="3" t="s">
        <v>1006</v>
      </c>
      <c r="I172" s="3" t="s">
        <v>203</v>
      </c>
      <c r="J172" s="3" t="s">
        <v>323</v>
      </c>
      <c r="K172" s="3" t="s">
        <v>1007</v>
      </c>
      <c r="L172" s="3" t="s">
        <v>1008</v>
      </c>
      <c r="M172" s="3" t="s">
        <v>207</v>
      </c>
      <c r="N172" s="3" t="s">
        <v>208</v>
      </c>
      <c r="O172" s="3" t="s">
        <v>418</v>
      </c>
    </row>
    <row r="173" spans="1:15" ht="22.5" customHeight="1" x14ac:dyDescent="0.3">
      <c r="A173" s="4">
        <v>3093042</v>
      </c>
      <c r="B173" s="4" t="s">
        <v>1009</v>
      </c>
      <c r="C173" s="4" t="s">
        <v>197</v>
      </c>
      <c r="D173" s="4" t="s">
        <v>198</v>
      </c>
      <c r="E173" s="4" t="s">
        <v>227</v>
      </c>
      <c r="F173" s="4" t="s">
        <v>200</v>
      </c>
      <c r="G173" s="4" t="s">
        <v>1010</v>
      </c>
      <c r="H173" s="4" t="s">
        <v>1011</v>
      </c>
      <c r="I173" s="4" t="s">
        <v>203</v>
      </c>
      <c r="J173" s="4" t="s">
        <v>204</v>
      </c>
      <c r="K173" s="4" t="s">
        <v>452</v>
      </c>
      <c r="L173" s="4" t="s">
        <v>1012</v>
      </c>
      <c r="M173" s="4" t="s">
        <v>233</v>
      </c>
      <c r="N173" s="4" t="s">
        <v>217</v>
      </c>
      <c r="O173" s="4" t="s">
        <v>234</v>
      </c>
    </row>
    <row r="174" spans="1:15" ht="22.5" customHeight="1" x14ac:dyDescent="0.3">
      <c r="A174" s="3">
        <v>3093247</v>
      </c>
      <c r="B174" s="3" t="s">
        <v>1013</v>
      </c>
      <c r="C174" s="3" t="s">
        <v>197</v>
      </c>
      <c r="D174" s="3" t="s">
        <v>198</v>
      </c>
      <c r="E174" s="3" t="s">
        <v>227</v>
      </c>
      <c r="F174" s="3" t="s">
        <v>200</v>
      </c>
      <c r="G174" s="3" t="s">
        <v>1014</v>
      </c>
      <c r="H174" s="3" t="s">
        <v>833</v>
      </c>
      <c r="I174" s="3" t="s">
        <v>203</v>
      </c>
      <c r="J174" s="3" t="s">
        <v>329</v>
      </c>
      <c r="K174" s="3" t="s">
        <v>1015</v>
      </c>
      <c r="L174" s="3" t="s">
        <v>686</v>
      </c>
      <c r="M174" s="3" t="s">
        <v>245</v>
      </c>
      <c r="N174" s="3" t="s">
        <v>217</v>
      </c>
      <c r="O174" s="3" t="s">
        <v>433</v>
      </c>
    </row>
    <row r="175" spans="1:15" ht="22.5" customHeight="1" x14ac:dyDescent="0.3">
      <c r="A175" s="4">
        <v>3111482</v>
      </c>
      <c r="B175" s="4" t="s">
        <v>1016</v>
      </c>
      <c r="C175" s="4" t="s">
        <v>197</v>
      </c>
      <c r="D175" s="4" t="s">
        <v>198</v>
      </c>
      <c r="E175" s="4" t="s">
        <v>227</v>
      </c>
      <c r="F175" s="4" t="s">
        <v>200</v>
      </c>
      <c r="G175" s="4" t="s">
        <v>1017</v>
      </c>
      <c r="H175" s="4" t="s">
        <v>1018</v>
      </c>
      <c r="I175" s="4" t="s">
        <v>203</v>
      </c>
      <c r="J175" s="4" t="s">
        <v>214</v>
      </c>
      <c r="K175" s="4" t="s">
        <v>941</v>
      </c>
      <c r="L175" s="4" t="s">
        <v>531</v>
      </c>
      <c r="M175" s="4" t="s">
        <v>245</v>
      </c>
      <c r="N175" s="4" t="s">
        <v>217</v>
      </c>
      <c r="O175" s="4" t="s">
        <v>444</v>
      </c>
    </row>
    <row r="176" spans="1:15" ht="22.5" customHeight="1" x14ac:dyDescent="0.3">
      <c r="A176" s="3">
        <v>3221776</v>
      </c>
      <c r="B176" s="3" t="s">
        <v>1019</v>
      </c>
      <c r="C176" s="3" t="s">
        <v>197</v>
      </c>
      <c r="D176" s="3" t="s">
        <v>198</v>
      </c>
      <c r="E176" s="3" t="s">
        <v>227</v>
      </c>
      <c r="F176" s="3" t="s">
        <v>200</v>
      </c>
      <c r="G176" s="3" t="s">
        <v>1020</v>
      </c>
      <c r="H176" s="3" t="s">
        <v>1021</v>
      </c>
      <c r="I176" s="3" t="s">
        <v>203</v>
      </c>
      <c r="J176" s="3" t="s">
        <v>214</v>
      </c>
      <c r="K176" s="3" t="s">
        <v>482</v>
      </c>
      <c r="L176" s="3" t="s">
        <v>1022</v>
      </c>
      <c r="M176" s="3" t="s">
        <v>245</v>
      </c>
      <c r="N176" s="3" t="s">
        <v>217</v>
      </c>
      <c r="O176" s="3" t="s">
        <v>234</v>
      </c>
    </row>
    <row r="177" spans="1:15" ht="33.75" customHeight="1" x14ac:dyDescent="0.3">
      <c r="A177" s="4">
        <v>3112756</v>
      </c>
      <c r="B177" s="4" t="s">
        <v>1023</v>
      </c>
      <c r="C177" s="4" t="s">
        <v>197</v>
      </c>
      <c r="D177" s="4" t="s">
        <v>796</v>
      </c>
      <c r="E177" s="4" t="s">
        <v>227</v>
      </c>
      <c r="F177" s="4" t="s">
        <v>200</v>
      </c>
      <c r="G177" s="4" t="s">
        <v>1024</v>
      </c>
      <c r="H177" s="4" t="s">
        <v>1025</v>
      </c>
      <c r="I177" s="4" t="s">
        <v>203</v>
      </c>
      <c r="J177" s="4" t="s">
        <v>323</v>
      </c>
      <c r="K177" s="4" t="s">
        <v>1026</v>
      </c>
      <c r="L177" s="4" t="s">
        <v>1027</v>
      </c>
      <c r="M177" s="4" t="s">
        <v>245</v>
      </c>
      <c r="N177" s="4" t="s">
        <v>208</v>
      </c>
      <c r="O177" s="4" t="s">
        <v>433</v>
      </c>
    </row>
    <row r="178" spans="1:15" ht="57" customHeight="1" x14ac:dyDescent="0.3">
      <c r="A178" s="3">
        <v>3143244</v>
      </c>
      <c r="B178" s="3" t="s">
        <v>1028</v>
      </c>
      <c r="C178" s="3" t="s">
        <v>197</v>
      </c>
      <c r="D178" s="3" t="s">
        <v>572</v>
      </c>
      <c r="E178" s="3" t="s">
        <v>227</v>
      </c>
      <c r="F178" s="3" t="s">
        <v>200</v>
      </c>
      <c r="G178" s="3" t="s">
        <v>1029</v>
      </c>
      <c r="H178" s="3" t="s">
        <v>1030</v>
      </c>
      <c r="I178" s="3" t="s">
        <v>203</v>
      </c>
      <c r="J178" s="3" t="s">
        <v>266</v>
      </c>
      <c r="K178" s="3" t="s">
        <v>1031</v>
      </c>
      <c r="L178" s="3" t="s">
        <v>1032</v>
      </c>
      <c r="M178" s="3" t="s">
        <v>245</v>
      </c>
      <c r="N178" s="3" t="s">
        <v>217</v>
      </c>
      <c r="O178" s="3" t="s">
        <v>418</v>
      </c>
    </row>
    <row r="179" spans="1:15" ht="22.5" customHeight="1" x14ac:dyDescent="0.3">
      <c r="A179" s="4">
        <v>2968576</v>
      </c>
      <c r="B179" s="4" t="s">
        <v>1033</v>
      </c>
      <c r="C179" s="4" t="s">
        <v>197</v>
      </c>
      <c r="D179" s="4" t="s">
        <v>198</v>
      </c>
      <c r="E179" s="4" t="s">
        <v>227</v>
      </c>
      <c r="F179" s="4" t="s">
        <v>200</v>
      </c>
      <c r="G179" s="4" t="s">
        <v>1034</v>
      </c>
      <c r="H179" s="4" t="s">
        <v>1035</v>
      </c>
      <c r="I179" s="4" t="s">
        <v>203</v>
      </c>
      <c r="J179" s="4" t="s">
        <v>214</v>
      </c>
      <c r="K179" s="4" t="s">
        <v>662</v>
      </c>
      <c r="L179" s="4" t="s">
        <v>1036</v>
      </c>
      <c r="M179" s="4" t="s">
        <v>245</v>
      </c>
      <c r="N179" s="4" t="s">
        <v>217</v>
      </c>
      <c r="O179" s="4" t="s">
        <v>234</v>
      </c>
    </row>
    <row r="180" spans="1:15" ht="33.75" customHeight="1" x14ac:dyDescent="0.3">
      <c r="A180" s="3">
        <v>3058115</v>
      </c>
      <c r="B180" s="3" t="s">
        <v>1037</v>
      </c>
      <c r="C180" s="3" t="s">
        <v>197</v>
      </c>
      <c r="D180" s="3" t="s">
        <v>198</v>
      </c>
      <c r="E180" s="3" t="s">
        <v>227</v>
      </c>
      <c r="F180" s="3" t="s">
        <v>200</v>
      </c>
      <c r="G180" s="3" t="s">
        <v>1038</v>
      </c>
      <c r="H180" s="3" t="s">
        <v>1039</v>
      </c>
      <c r="I180" s="3" t="s">
        <v>203</v>
      </c>
      <c r="J180" s="3" t="s">
        <v>323</v>
      </c>
      <c r="K180" s="3" t="s">
        <v>1040</v>
      </c>
      <c r="L180" s="3" t="s">
        <v>1041</v>
      </c>
      <c r="M180" s="3" t="s">
        <v>245</v>
      </c>
      <c r="N180" s="3" t="s">
        <v>217</v>
      </c>
      <c r="O180" s="3" t="s">
        <v>234</v>
      </c>
    </row>
    <row r="181" spans="1:15" ht="22.5" customHeight="1" x14ac:dyDescent="0.3">
      <c r="A181" s="4">
        <v>3079902</v>
      </c>
      <c r="B181" s="4" t="s">
        <v>1042</v>
      </c>
      <c r="C181" s="4" t="s">
        <v>197</v>
      </c>
      <c r="D181" s="4" t="s">
        <v>198</v>
      </c>
      <c r="E181" s="4" t="s">
        <v>227</v>
      </c>
      <c r="F181" s="4" t="s">
        <v>200</v>
      </c>
      <c r="G181" s="4" t="s">
        <v>1043</v>
      </c>
      <c r="H181" s="4" t="s">
        <v>1044</v>
      </c>
      <c r="I181" s="4" t="s">
        <v>203</v>
      </c>
      <c r="J181" s="4" t="s">
        <v>204</v>
      </c>
      <c r="K181" s="4" t="s">
        <v>1045</v>
      </c>
      <c r="L181" s="4" t="s">
        <v>1046</v>
      </c>
      <c r="M181" s="4" t="s">
        <v>233</v>
      </c>
      <c r="N181" s="4" t="s">
        <v>217</v>
      </c>
      <c r="O181" s="4" t="s">
        <v>234</v>
      </c>
    </row>
    <row r="182" spans="1:15" ht="22.5" customHeight="1" x14ac:dyDescent="0.3">
      <c r="A182" s="3">
        <v>3015025</v>
      </c>
      <c r="B182" s="3" t="s">
        <v>1047</v>
      </c>
      <c r="C182" s="3" t="s">
        <v>197</v>
      </c>
      <c r="D182" s="3" t="s">
        <v>198</v>
      </c>
      <c r="E182" s="3" t="s">
        <v>227</v>
      </c>
      <c r="F182" s="3" t="s">
        <v>200</v>
      </c>
      <c r="G182" s="3" t="s">
        <v>543</v>
      </c>
      <c r="H182" s="3" t="s">
        <v>544</v>
      </c>
      <c r="I182" s="3" t="s">
        <v>203</v>
      </c>
      <c r="J182" s="3" t="s">
        <v>204</v>
      </c>
      <c r="K182" s="3" t="s">
        <v>545</v>
      </c>
      <c r="L182" s="3" t="s">
        <v>1048</v>
      </c>
      <c r="M182" s="3" t="s">
        <v>245</v>
      </c>
      <c r="N182" s="3" t="s">
        <v>217</v>
      </c>
      <c r="O182" s="3" t="s">
        <v>418</v>
      </c>
    </row>
    <row r="183" spans="1:15" ht="22.5" customHeight="1" x14ac:dyDescent="0.3">
      <c r="A183" s="4">
        <v>2874792</v>
      </c>
      <c r="B183" s="4" t="s">
        <v>1049</v>
      </c>
      <c r="C183" s="4" t="s">
        <v>197</v>
      </c>
      <c r="D183" s="4" t="s">
        <v>198</v>
      </c>
      <c r="E183" s="4" t="s">
        <v>227</v>
      </c>
      <c r="F183" s="4" t="s">
        <v>200</v>
      </c>
      <c r="G183" s="4" t="s">
        <v>1050</v>
      </c>
      <c r="H183" s="4" t="s">
        <v>1051</v>
      </c>
      <c r="I183" s="4" t="s">
        <v>203</v>
      </c>
      <c r="J183" s="4" t="s">
        <v>323</v>
      </c>
      <c r="K183" s="4" t="s">
        <v>967</v>
      </c>
      <c r="L183" s="4" t="s">
        <v>1052</v>
      </c>
      <c r="M183" s="4" t="s">
        <v>233</v>
      </c>
      <c r="N183" s="4" t="s">
        <v>208</v>
      </c>
      <c r="O183" s="4" t="s">
        <v>234</v>
      </c>
    </row>
    <row r="184" spans="1:15" ht="22.5" customHeight="1" x14ac:dyDescent="0.3">
      <c r="A184" s="3">
        <v>2954869</v>
      </c>
      <c r="B184" s="3" t="s">
        <v>1053</v>
      </c>
      <c r="C184" s="3" t="s">
        <v>197</v>
      </c>
      <c r="D184" s="3" t="s">
        <v>198</v>
      </c>
      <c r="E184" s="3" t="s">
        <v>227</v>
      </c>
      <c r="F184" s="3" t="s">
        <v>200</v>
      </c>
      <c r="G184" s="3" t="s">
        <v>543</v>
      </c>
      <c r="H184" s="3" t="s">
        <v>544</v>
      </c>
      <c r="I184" s="3" t="s">
        <v>203</v>
      </c>
      <c r="J184" s="3" t="s">
        <v>204</v>
      </c>
      <c r="K184" s="3" t="s">
        <v>545</v>
      </c>
      <c r="L184" s="3" t="s">
        <v>1054</v>
      </c>
      <c r="M184" s="3" t="s">
        <v>245</v>
      </c>
      <c r="N184" s="3" t="s">
        <v>217</v>
      </c>
      <c r="O184" s="3" t="s">
        <v>234</v>
      </c>
    </row>
    <row r="185" spans="1:15" ht="22.5" customHeight="1" x14ac:dyDescent="0.3">
      <c r="A185" s="4">
        <v>3001008</v>
      </c>
      <c r="B185" s="4" t="s">
        <v>1055</v>
      </c>
      <c r="C185" s="4" t="s">
        <v>197</v>
      </c>
      <c r="D185" s="4"/>
      <c r="E185" s="4" t="s">
        <v>227</v>
      </c>
      <c r="F185" s="4" t="s">
        <v>200</v>
      </c>
      <c r="G185" s="4" t="s">
        <v>1056</v>
      </c>
      <c r="H185" s="4" t="s">
        <v>1057</v>
      </c>
      <c r="I185" s="4" t="s">
        <v>203</v>
      </c>
      <c r="J185" s="4" t="s">
        <v>323</v>
      </c>
      <c r="K185" s="4" t="s">
        <v>709</v>
      </c>
      <c r="L185" s="4" t="s">
        <v>1058</v>
      </c>
      <c r="M185" s="4" t="s">
        <v>245</v>
      </c>
      <c r="N185" s="4" t="s">
        <v>208</v>
      </c>
      <c r="O185" s="4" t="s">
        <v>444</v>
      </c>
    </row>
    <row r="186" spans="1:15" ht="22.5" customHeight="1" x14ac:dyDescent="0.3">
      <c r="A186" s="3">
        <v>2752298</v>
      </c>
      <c r="B186" s="3" t="s">
        <v>1059</v>
      </c>
      <c r="C186" s="3" t="s">
        <v>197</v>
      </c>
      <c r="D186" s="3" t="s">
        <v>198</v>
      </c>
      <c r="E186" s="3" t="s">
        <v>227</v>
      </c>
      <c r="F186" s="3" t="s">
        <v>200</v>
      </c>
      <c r="G186" s="3" t="s">
        <v>500</v>
      </c>
      <c r="H186" s="3" t="s">
        <v>501</v>
      </c>
      <c r="I186" s="3" t="s">
        <v>203</v>
      </c>
      <c r="J186" s="3" t="s">
        <v>214</v>
      </c>
      <c r="K186" s="3" t="s">
        <v>569</v>
      </c>
      <c r="L186" s="3" t="s">
        <v>1060</v>
      </c>
      <c r="M186" s="3" t="s">
        <v>245</v>
      </c>
      <c r="N186" s="3" t="s">
        <v>208</v>
      </c>
      <c r="O186" s="3" t="s">
        <v>433</v>
      </c>
    </row>
    <row r="187" spans="1:15" ht="22.5" customHeight="1" x14ac:dyDescent="0.3">
      <c r="A187" s="4">
        <v>2785811</v>
      </c>
      <c r="B187" s="4" t="s">
        <v>1061</v>
      </c>
      <c r="C187" s="4" t="s">
        <v>197</v>
      </c>
      <c r="D187" s="4" t="s">
        <v>198</v>
      </c>
      <c r="E187" s="4" t="s">
        <v>227</v>
      </c>
      <c r="F187" s="4" t="s">
        <v>200</v>
      </c>
      <c r="G187" s="4" t="s">
        <v>1020</v>
      </c>
      <c r="H187" s="4" t="s">
        <v>1062</v>
      </c>
      <c r="I187" s="4" t="s">
        <v>203</v>
      </c>
      <c r="J187" s="4" t="s">
        <v>214</v>
      </c>
      <c r="K187" s="4" t="s">
        <v>482</v>
      </c>
      <c r="L187" s="4" t="s">
        <v>1063</v>
      </c>
      <c r="M187" s="4" t="s">
        <v>233</v>
      </c>
      <c r="N187" s="4" t="s">
        <v>217</v>
      </c>
      <c r="O187" s="4" t="s">
        <v>234</v>
      </c>
    </row>
    <row r="188" spans="1:15" ht="22.5" customHeight="1" x14ac:dyDescent="0.3">
      <c r="A188" s="3">
        <v>2786451</v>
      </c>
      <c r="B188" s="3" t="s">
        <v>1064</v>
      </c>
      <c r="C188" s="3" t="s">
        <v>197</v>
      </c>
      <c r="D188" s="3" t="s">
        <v>198</v>
      </c>
      <c r="E188" s="3" t="s">
        <v>227</v>
      </c>
      <c r="F188" s="3" t="s">
        <v>200</v>
      </c>
      <c r="G188" s="3" t="s">
        <v>1065</v>
      </c>
      <c r="H188" s="3" t="s">
        <v>1066</v>
      </c>
      <c r="I188" s="3" t="s">
        <v>203</v>
      </c>
      <c r="J188" s="3" t="s">
        <v>204</v>
      </c>
      <c r="K188" s="3" t="s">
        <v>1067</v>
      </c>
      <c r="L188" s="3" t="s">
        <v>1068</v>
      </c>
      <c r="M188" s="3" t="s">
        <v>245</v>
      </c>
      <c r="N188" s="3" t="s">
        <v>217</v>
      </c>
      <c r="O188" s="3" t="s">
        <v>444</v>
      </c>
    </row>
    <row r="189" spans="1:15" ht="22.5" customHeight="1" x14ac:dyDescent="0.3">
      <c r="A189" s="4">
        <v>2787717</v>
      </c>
      <c r="B189" s="4" t="s">
        <v>1069</v>
      </c>
      <c r="C189" s="4" t="s">
        <v>197</v>
      </c>
      <c r="D189" s="4" t="s">
        <v>198</v>
      </c>
      <c r="E189" s="4" t="s">
        <v>227</v>
      </c>
      <c r="F189" s="4" t="s">
        <v>200</v>
      </c>
      <c r="G189" s="4" t="s">
        <v>1070</v>
      </c>
      <c r="H189" s="4" t="s">
        <v>1071</v>
      </c>
      <c r="I189" s="4" t="s">
        <v>203</v>
      </c>
      <c r="J189" s="4" t="s">
        <v>204</v>
      </c>
      <c r="K189" s="4" t="s">
        <v>1072</v>
      </c>
      <c r="L189" s="4" t="s">
        <v>1073</v>
      </c>
      <c r="M189" s="4" t="s">
        <v>233</v>
      </c>
      <c r="N189" s="4" t="s">
        <v>217</v>
      </c>
      <c r="O189" s="4" t="s">
        <v>444</v>
      </c>
    </row>
    <row r="190" spans="1:15" ht="22.5" customHeight="1" x14ac:dyDescent="0.3">
      <c r="A190" s="3">
        <v>2860538</v>
      </c>
      <c r="B190" s="3" t="s">
        <v>1074</v>
      </c>
      <c r="C190" s="3" t="s">
        <v>197</v>
      </c>
      <c r="D190" s="3" t="s">
        <v>198</v>
      </c>
      <c r="E190" s="3" t="s">
        <v>227</v>
      </c>
      <c r="F190" s="3" t="s">
        <v>200</v>
      </c>
      <c r="G190" s="3" t="s">
        <v>1075</v>
      </c>
      <c r="H190" s="3" t="s">
        <v>1076</v>
      </c>
      <c r="I190" s="3" t="s">
        <v>203</v>
      </c>
      <c r="J190" s="3" t="s">
        <v>204</v>
      </c>
      <c r="K190" s="3" t="s">
        <v>375</v>
      </c>
      <c r="L190" s="3" t="s">
        <v>1077</v>
      </c>
      <c r="M190" s="3" t="s">
        <v>245</v>
      </c>
      <c r="N190" s="3" t="s">
        <v>217</v>
      </c>
      <c r="O190" s="3" t="s">
        <v>433</v>
      </c>
    </row>
    <row r="191" spans="1:15" ht="22.5" customHeight="1" x14ac:dyDescent="0.3">
      <c r="A191" s="4">
        <v>2590573</v>
      </c>
      <c r="B191" s="4" t="s">
        <v>1078</v>
      </c>
      <c r="C191" s="4" t="s">
        <v>197</v>
      </c>
      <c r="D191" s="4" t="s">
        <v>198</v>
      </c>
      <c r="E191" s="4" t="s">
        <v>608</v>
      </c>
      <c r="F191" s="4" t="s">
        <v>200</v>
      </c>
      <c r="G191" s="4" t="s">
        <v>1079</v>
      </c>
      <c r="H191" s="4" t="s">
        <v>1080</v>
      </c>
      <c r="I191" s="4" t="s">
        <v>203</v>
      </c>
      <c r="J191" s="4" t="s">
        <v>204</v>
      </c>
      <c r="K191" s="4" t="s">
        <v>437</v>
      </c>
      <c r="L191" s="4" t="s">
        <v>1081</v>
      </c>
      <c r="M191" s="4" t="s">
        <v>245</v>
      </c>
      <c r="N191" s="4" t="s">
        <v>208</v>
      </c>
      <c r="O191" s="4" t="s">
        <v>613</v>
      </c>
    </row>
    <row r="192" spans="1:15" ht="22.5" customHeight="1" x14ac:dyDescent="0.3">
      <c r="A192" s="3">
        <v>2623293</v>
      </c>
      <c r="B192" s="3" t="s">
        <v>1082</v>
      </c>
      <c r="C192" s="3" t="s">
        <v>197</v>
      </c>
      <c r="D192" s="3" t="s">
        <v>198</v>
      </c>
      <c r="E192" s="3" t="s">
        <v>227</v>
      </c>
      <c r="F192" s="3" t="s">
        <v>200</v>
      </c>
      <c r="G192" s="3" t="s">
        <v>567</v>
      </c>
      <c r="H192" s="3" t="s">
        <v>568</v>
      </c>
      <c r="I192" s="3" t="s">
        <v>203</v>
      </c>
      <c r="J192" s="3" t="s">
        <v>214</v>
      </c>
      <c r="K192" s="3" t="s">
        <v>569</v>
      </c>
      <c r="L192" s="3" t="s">
        <v>1083</v>
      </c>
      <c r="M192" s="3" t="s">
        <v>233</v>
      </c>
      <c r="N192" s="3" t="s">
        <v>217</v>
      </c>
      <c r="O192" s="3" t="s">
        <v>433</v>
      </c>
    </row>
    <row r="193" spans="1:15" ht="22.5" customHeight="1" x14ac:dyDescent="0.3">
      <c r="A193" s="4">
        <v>2879050</v>
      </c>
      <c r="B193" s="4" t="s">
        <v>1084</v>
      </c>
      <c r="C193" s="4" t="s">
        <v>197</v>
      </c>
      <c r="D193" s="4" t="s">
        <v>198</v>
      </c>
      <c r="E193" s="4" t="s">
        <v>227</v>
      </c>
      <c r="F193" s="4" t="s">
        <v>200</v>
      </c>
      <c r="G193" s="4" t="s">
        <v>567</v>
      </c>
      <c r="H193" s="4" t="s">
        <v>1085</v>
      </c>
      <c r="I193" s="4" t="s">
        <v>203</v>
      </c>
      <c r="J193" s="4" t="s">
        <v>214</v>
      </c>
      <c r="K193" s="4" t="s">
        <v>1086</v>
      </c>
      <c r="L193" s="4" t="s">
        <v>1087</v>
      </c>
      <c r="M193" s="4" t="s">
        <v>245</v>
      </c>
      <c r="N193" s="4" t="s">
        <v>208</v>
      </c>
      <c r="O193" s="4" t="s">
        <v>418</v>
      </c>
    </row>
    <row r="194" spans="1:15" ht="22.5" customHeight="1" x14ac:dyDescent="0.3">
      <c r="A194" s="3">
        <v>2725207</v>
      </c>
      <c r="B194" s="3" t="s">
        <v>1088</v>
      </c>
      <c r="C194" s="3" t="s">
        <v>197</v>
      </c>
      <c r="D194" s="3" t="s">
        <v>198</v>
      </c>
      <c r="E194" s="3" t="s">
        <v>227</v>
      </c>
      <c r="F194" s="3" t="s">
        <v>200</v>
      </c>
      <c r="G194" s="3" t="s">
        <v>1089</v>
      </c>
      <c r="H194" s="3" t="s">
        <v>1090</v>
      </c>
      <c r="I194" s="3" t="s">
        <v>203</v>
      </c>
      <c r="J194" s="3" t="s">
        <v>323</v>
      </c>
      <c r="K194" s="3" t="s">
        <v>982</v>
      </c>
      <c r="L194" s="3" t="s">
        <v>1091</v>
      </c>
      <c r="M194" s="3" t="s">
        <v>233</v>
      </c>
      <c r="N194" s="3" t="s">
        <v>217</v>
      </c>
      <c r="O194" s="3" t="s">
        <v>444</v>
      </c>
    </row>
    <row r="195" spans="1:15" ht="22.5" customHeight="1" x14ac:dyDescent="0.3">
      <c r="A195" s="4">
        <v>2627388</v>
      </c>
      <c r="B195" s="4" t="s">
        <v>1092</v>
      </c>
      <c r="C195" s="4" t="s">
        <v>197</v>
      </c>
      <c r="D195" s="4" t="s">
        <v>198</v>
      </c>
      <c r="E195" s="4" t="s">
        <v>227</v>
      </c>
      <c r="F195" s="4" t="s">
        <v>200</v>
      </c>
      <c r="G195" s="4" t="s">
        <v>1093</v>
      </c>
      <c r="H195" s="4" t="s">
        <v>1094</v>
      </c>
      <c r="I195" s="4" t="s">
        <v>203</v>
      </c>
      <c r="J195" s="4" t="s">
        <v>214</v>
      </c>
      <c r="K195" s="4" t="s">
        <v>815</v>
      </c>
      <c r="L195" s="4" t="s">
        <v>1095</v>
      </c>
      <c r="M195" s="4" t="s">
        <v>245</v>
      </c>
      <c r="N195" s="4" t="s">
        <v>208</v>
      </c>
      <c r="O195" s="4" t="s">
        <v>433</v>
      </c>
    </row>
    <row r="196" spans="1:15" ht="22.5" customHeight="1" x14ac:dyDescent="0.3">
      <c r="A196" s="3">
        <v>2631806</v>
      </c>
      <c r="B196" s="3" t="s">
        <v>1096</v>
      </c>
      <c r="C196" s="3" t="s">
        <v>197</v>
      </c>
      <c r="D196" s="3" t="s">
        <v>198</v>
      </c>
      <c r="E196" s="3" t="s">
        <v>227</v>
      </c>
      <c r="F196" s="3" t="s">
        <v>200</v>
      </c>
      <c r="G196" s="3" t="s">
        <v>1097</v>
      </c>
      <c r="H196" s="3" t="s">
        <v>1098</v>
      </c>
      <c r="I196" s="3" t="s">
        <v>203</v>
      </c>
      <c r="J196" s="3" t="s">
        <v>345</v>
      </c>
      <c r="K196" s="3" t="s">
        <v>594</v>
      </c>
      <c r="L196" s="3" t="s">
        <v>1099</v>
      </c>
      <c r="M196" s="3" t="s">
        <v>245</v>
      </c>
      <c r="N196" s="3" t="s">
        <v>208</v>
      </c>
      <c r="O196" s="3" t="s">
        <v>418</v>
      </c>
    </row>
    <row r="197" spans="1:15" ht="22.5" customHeight="1" x14ac:dyDescent="0.3">
      <c r="A197" s="4">
        <v>2633647</v>
      </c>
      <c r="B197" s="4" t="s">
        <v>1100</v>
      </c>
      <c r="C197" s="4" t="s">
        <v>197</v>
      </c>
      <c r="D197" s="4" t="s">
        <v>198</v>
      </c>
      <c r="E197" s="4" t="s">
        <v>227</v>
      </c>
      <c r="F197" s="4" t="s">
        <v>200</v>
      </c>
      <c r="G197" s="4" t="s">
        <v>1101</v>
      </c>
      <c r="H197" s="4" t="s">
        <v>1102</v>
      </c>
      <c r="I197" s="4" t="s">
        <v>203</v>
      </c>
      <c r="J197" s="4" t="s">
        <v>214</v>
      </c>
      <c r="K197" s="4" t="s">
        <v>922</v>
      </c>
      <c r="L197" s="4" t="s">
        <v>601</v>
      </c>
      <c r="M197" s="4" t="s">
        <v>245</v>
      </c>
      <c r="N197" s="4" t="s">
        <v>217</v>
      </c>
      <c r="O197" s="4" t="s">
        <v>234</v>
      </c>
    </row>
    <row r="198" spans="1:15" ht="22.5" customHeight="1" x14ac:dyDescent="0.3">
      <c r="A198" s="3">
        <v>2692805</v>
      </c>
      <c r="B198" s="3" t="s">
        <v>1103</v>
      </c>
      <c r="C198" s="3" t="s">
        <v>197</v>
      </c>
      <c r="D198" s="3" t="s">
        <v>198</v>
      </c>
      <c r="E198" s="3" t="s">
        <v>227</v>
      </c>
      <c r="F198" s="3" t="s">
        <v>200</v>
      </c>
      <c r="G198" s="3" t="s">
        <v>1104</v>
      </c>
      <c r="H198" s="3" t="s">
        <v>1105</v>
      </c>
      <c r="I198" s="3" t="s">
        <v>203</v>
      </c>
      <c r="J198" s="3" t="s">
        <v>214</v>
      </c>
      <c r="K198" s="3" t="s">
        <v>482</v>
      </c>
      <c r="L198" s="3" t="s">
        <v>1106</v>
      </c>
      <c r="M198" s="3" t="s">
        <v>245</v>
      </c>
      <c r="N198" s="3" t="s">
        <v>217</v>
      </c>
      <c r="O198" s="3" t="s">
        <v>418</v>
      </c>
    </row>
    <row r="199" spans="1:15" ht="22.5" customHeight="1" x14ac:dyDescent="0.3">
      <c r="A199" s="4">
        <v>2397498</v>
      </c>
      <c r="B199" s="4" t="s">
        <v>1107</v>
      </c>
      <c r="C199" s="4" t="s">
        <v>197</v>
      </c>
      <c r="D199" s="4" t="s">
        <v>198</v>
      </c>
      <c r="E199" s="4" t="s">
        <v>227</v>
      </c>
      <c r="F199" s="4" t="s">
        <v>200</v>
      </c>
      <c r="G199" s="4" t="s">
        <v>1108</v>
      </c>
      <c r="H199" s="4" t="s">
        <v>1109</v>
      </c>
      <c r="I199" s="4" t="s">
        <v>203</v>
      </c>
      <c r="J199" s="4" t="s">
        <v>204</v>
      </c>
      <c r="K199" s="4" t="s">
        <v>1110</v>
      </c>
      <c r="L199" s="4" t="s">
        <v>1111</v>
      </c>
      <c r="M199" s="4" t="s">
        <v>233</v>
      </c>
      <c r="N199" s="4" t="s">
        <v>217</v>
      </c>
      <c r="O199" s="4" t="s">
        <v>433</v>
      </c>
    </row>
    <row r="200" spans="1:15" ht="22.5" customHeight="1" x14ac:dyDescent="0.3">
      <c r="A200" s="3">
        <v>2354535</v>
      </c>
      <c r="B200" s="3" t="s">
        <v>1112</v>
      </c>
      <c r="C200" s="3" t="s">
        <v>197</v>
      </c>
      <c r="D200" s="3" t="s">
        <v>198</v>
      </c>
      <c r="E200" s="3" t="s">
        <v>227</v>
      </c>
      <c r="F200" s="3" t="s">
        <v>200</v>
      </c>
      <c r="G200" s="3" t="s">
        <v>1113</v>
      </c>
      <c r="H200" s="3" t="s">
        <v>1114</v>
      </c>
      <c r="I200" s="3" t="s">
        <v>203</v>
      </c>
      <c r="J200" s="3" t="s">
        <v>214</v>
      </c>
      <c r="K200" s="3" t="s">
        <v>564</v>
      </c>
      <c r="L200" s="3" t="s">
        <v>1115</v>
      </c>
      <c r="M200" s="3" t="s">
        <v>245</v>
      </c>
      <c r="N200" s="3" t="s">
        <v>208</v>
      </c>
      <c r="O200" s="3" t="s">
        <v>444</v>
      </c>
    </row>
    <row r="201" spans="1:15" ht="22.5" customHeight="1" x14ac:dyDescent="0.3">
      <c r="A201" s="4">
        <v>2400782</v>
      </c>
      <c r="B201" s="4" t="s">
        <v>1116</v>
      </c>
      <c r="C201" s="4" t="s">
        <v>197</v>
      </c>
      <c r="D201" s="4" t="s">
        <v>198</v>
      </c>
      <c r="E201" s="4" t="s">
        <v>227</v>
      </c>
      <c r="F201" s="4" t="s">
        <v>200</v>
      </c>
      <c r="G201" s="4" t="s">
        <v>1117</v>
      </c>
      <c r="H201" s="4" t="s">
        <v>1118</v>
      </c>
      <c r="I201" s="4" t="s">
        <v>203</v>
      </c>
      <c r="J201" s="4" t="s">
        <v>266</v>
      </c>
      <c r="K201" s="4" t="s">
        <v>1119</v>
      </c>
      <c r="L201" s="4" t="s">
        <v>1120</v>
      </c>
      <c r="M201" s="4" t="s">
        <v>245</v>
      </c>
      <c r="N201" s="4" t="s">
        <v>217</v>
      </c>
      <c r="O201" s="4" t="s">
        <v>433</v>
      </c>
    </row>
    <row r="202" spans="1:15" ht="22.5" customHeight="1" x14ac:dyDescent="0.3">
      <c r="A202" s="3">
        <v>2404028</v>
      </c>
      <c r="B202" s="3" t="s">
        <v>1121</v>
      </c>
      <c r="C202" s="3" t="s">
        <v>197</v>
      </c>
      <c r="D202" s="3" t="s">
        <v>198</v>
      </c>
      <c r="E202" s="3" t="s">
        <v>227</v>
      </c>
      <c r="F202" s="3" t="s">
        <v>200</v>
      </c>
      <c r="G202" s="3" t="s">
        <v>1122</v>
      </c>
      <c r="H202" s="3" t="s">
        <v>1123</v>
      </c>
      <c r="I202" s="3" t="s">
        <v>203</v>
      </c>
      <c r="J202" s="3" t="s">
        <v>214</v>
      </c>
      <c r="K202" s="3" t="s">
        <v>482</v>
      </c>
      <c r="L202" s="3" t="s">
        <v>1115</v>
      </c>
      <c r="M202" s="3" t="s">
        <v>233</v>
      </c>
      <c r="N202" s="3" t="s">
        <v>217</v>
      </c>
      <c r="O202" s="3" t="s">
        <v>433</v>
      </c>
    </row>
    <row r="203" spans="1:15" ht="22.5" customHeight="1" x14ac:dyDescent="0.3">
      <c r="A203" s="4">
        <v>1428084</v>
      </c>
      <c r="B203" s="4" t="s">
        <v>1124</v>
      </c>
      <c r="C203" s="4" t="s">
        <v>197</v>
      </c>
      <c r="D203" s="4" t="s">
        <v>198</v>
      </c>
      <c r="E203" s="4" t="s">
        <v>227</v>
      </c>
      <c r="F203" s="4" t="s">
        <v>578</v>
      </c>
      <c r="G203" s="4" t="s">
        <v>1125</v>
      </c>
      <c r="H203" s="4" t="s">
        <v>1126</v>
      </c>
      <c r="I203" s="4" t="s">
        <v>203</v>
      </c>
      <c r="J203" s="4" t="s">
        <v>253</v>
      </c>
      <c r="K203" s="4" t="s">
        <v>1127</v>
      </c>
      <c r="L203" s="4" t="s">
        <v>1128</v>
      </c>
      <c r="M203" s="4" t="s">
        <v>245</v>
      </c>
      <c r="N203" s="4" t="s">
        <v>208</v>
      </c>
      <c r="O203" s="4" t="s">
        <v>418</v>
      </c>
    </row>
    <row r="204" spans="1:15" ht="33.75" customHeight="1" x14ac:dyDescent="0.3">
      <c r="A204" s="3">
        <v>2024721</v>
      </c>
      <c r="B204" s="3" t="s">
        <v>1129</v>
      </c>
      <c r="C204" s="3" t="s">
        <v>197</v>
      </c>
      <c r="D204" s="3" t="s">
        <v>220</v>
      </c>
      <c r="E204" s="3" t="s">
        <v>227</v>
      </c>
      <c r="F204" s="3" t="s">
        <v>200</v>
      </c>
      <c r="G204" s="3" t="s">
        <v>514</v>
      </c>
      <c r="H204" s="3" t="s">
        <v>515</v>
      </c>
      <c r="I204" s="3" t="s">
        <v>203</v>
      </c>
      <c r="J204" s="3" t="s">
        <v>323</v>
      </c>
      <c r="K204" s="3" t="s">
        <v>516</v>
      </c>
      <c r="L204" s="3" t="s">
        <v>1130</v>
      </c>
      <c r="M204" s="3" t="s">
        <v>233</v>
      </c>
      <c r="N204" s="3" t="s">
        <v>208</v>
      </c>
      <c r="O204" s="3" t="s">
        <v>433</v>
      </c>
    </row>
    <row r="205" spans="1:15" ht="33.75" customHeight="1" x14ac:dyDescent="0.3">
      <c r="A205" s="4">
        <v>2216191</v>
      </c>
      <c r="B205" s="4" t="s">
        <v>1131</v>
      </c>
      <c r="C205" s="4" t="s">
        <v>197</v>
      </c>
      <c r="D205" s="4" t="s">
        <v>1132</v>
      </c>
      <c r="E205" s="4" t="s">
        <v>227</v>
      </c>
      <c r="F205" s="4" t="s">
        <v>200</v>
      </c>
      <c r="G205" s="4" t="s">
        <v>1133</v>
      </c>
      <c r="H205" s="4" t="s">
        <v>1134</v>
      </c>
      <c r="I205" s="4" t="s">
        <v>203</v>
      </c>
      <c r="J205" s="4" t="s">
        <v>204</v>
      </c>
      <c r="K205" s="4" t="s">
        <v>1135</v>
      </c>
      <c r="L205" s="4" t="s">
        <v>1136</v>
      </c>
      <c r="M205" s="4" t="s">
        <v>233</v>
      </c>
      <c r="N205" s="4" t="s">
        <v>217</v>
      </c>
      <c r="O205" s="4" t="s">
        <v>433</v>
      </c>
    </row>
    <row r="206" spans="1:15" ht="22.5" customHeight="1" x14ac:dyDescent="0.3">
      <c r="A206" s="3">
        <v>2305208</v>
      </c>
      <c r="B206" s="3" t="s">
        <v>1137</v>
      </c>
      <c r="C206" s="3" t="s">
        <v>197</v>
      </c>
      <c r="D206" s="3" t="s">
        <v>198</v>
      </c>
      <c r="E206" s="3" t="s">
        <v>227</v>
      </c>
      <c r="F206" s="3" t="s">
        <v>200</v>
      </c>
      <c r="G206" s="3" t="s">
        <v>994</v>
      </c>
      <c r="H206" s="3" t="s">
        <v>731</v>
      </c>
      <c r="I206" s="3" t="s">
        <v>203</v>
      </c>
      <c r="J206" s="3" t="s">
        <v>329</v>
      </c>
      <c r="K206" s="3" t="s">
        <v>611</v>
      </c>
      <c r="L206" s="3" t="s">
        <v>1138</v>
      </c>
      <c r="M206" s="3" t="s">
        <v>233</v>
      </c>
      <c r="N206" s="3" t="s">
        <v>217</v>
      </c>
      <c r="O206" s="3" t="s">
        <v>433</v>
      </c>
    </row>
    <row r="207" spans="1:15" ht="22.5" customHeight="1" x14ac:dyDescent="0.3">
      <c r="A207" s="4">
        <v>930</v>
      </c>
      <c r="B207" s="4" t="s">
        <v>1139</v>
      </c>
      <c r="C207" s="4" t="s">
        <v>197</v>
      </c>
      <c r="D207" s="4" t="s">
        <v>198</v>
      </c>
      <c r="E207" s="4" t="s">
        <v>227</v>
      </c>
      <c r="F207" s="4" t="s">
        <v>200</v>
      </c>
      <c r="G207" s="4" t="s">
        <v>1140</v>
      </c>
      <c r="H207" s="4" t="s">
        <v>1141</v>
      </c>
      <c r="I207" s="4" t="s">
        <v>203</v>
      </c>
      <c r="J207" s="4" t="s">
        <v>323</v>
      </c>
      <c r="K207" s="4" t="s">
        <v>1142</v>
      </c>
      <c r="L207" s="4" t="s">
        <v>1143</v>
      </c>
      <c r="M207" s="4" t="s">
        <v>207</v>
      </c>
      <c r="N207" s="4" t="s">
        <v>217</v>
      </c>
      <c r="O207" s="4" t="s">
        <v>433</v>
      </c>
    </row>
    <row r="208" spans="1:15" ht="22.5" customHeight="1" x14ac:dyDescent="0.3">
      <c r="A208" s="3">
        <v>2028166</v>
      </c>
      <c r="B208" s="3" t="s">
        <v>1144</v>
      </c>
      <c r="C208" s="3" t="s">
        <v>197</v>
      </c>
      <c r="D208" s="3" t="s">
        <v>198</v>
      </c>
      <c r="E208" s="3" t="s">
        <v>227</v>
      </c>
      <c r="F208" s="3" t="s">
        <v>200</v>
      </c>
      <c r="G208" s="3" t="s">
        <v>1145</v>
      </c>
      <c r="H208" s="3" t="s">
        <v>1146</v>
      </c>
      <c r="I208" s="3" t="s">
        <v>651</v>
      </c>
      <c r="J208" s="3" t="s">
        <v>323</v>
      </c>
      <c r="K208" s="3" t="s">
        <v>1147</v>
      </c>
      <c r="L208" s="3" t="s">
        <v>1148</v>
      </c>
      <c r="M208" s="3" t="s">
        <v>654</v>
      </c>
      <c r="N208" s="3" t="s">
        <v>208</v>
      </c>
      <c r="O208" s="3" t="s">
        <v>418</v>
      </c>
    </row>
    <row r="209" spans="1:15" ht="22.5" customHeight="1" x14ac:dyDescent="0.3">
      <c r="A209" s="4">
        <v>3318842</v>
      </c>
      <c r="B209" s="4" t="s">
        <v>1149</v>
      </c>
      <c r="C209" s="4" t="s">
        <v>197</v>
      </c>
      <c r="D209" s="4" t="s">
        <v>198</v>
      </c>
      <c r="E209" s="4" t="s">
        <v>227</v>
      </c>
      <c r="F209" s="4" t="s">
        <v>578</v>
      </c>
      <c r="G209" s="4" t="s">
        <v>1150</v>
      </c>
      <c r="H209" s="4" t="s">
        <v>1151</v>
      </c>
      <c r="I209" s="4" t="s">
        <v>203</v>
      </c>
      <c r="J209" s="4" t="s">
        <v>204</v>
      </c>
      <c r="K209" s="4" t="s">
        <v>1152</v>
      </c>
      <c r="L209" s="4" t="s">
        <v>1153</v>
      </c>
      <c r="M209" s="4" t="s">
        <v>233</v>
      </c>
      <c r="N209" s="4" t="s">
        <v>208</v>
      </c>
      <c r="O209" s="4" t="s">
        <v>433</v>
      </c>
    </row>
    <row r="210" spans="1:15" ht="22.5" customHeight="1" x14ac:dyDescent="0.3">
      <c r="A210" s="3">
        <v>3319563</v>
      </c>
      <c r="B210" s="3" t="s">
        <v>1154</v>
      </c>
      <c r="C210" s="3" t="s">
        <v>197</v>
      </c>
      <c r="D210" s="3" t="s">
        <v>198</v>
      </c>
      <c r="E210" s="3" t="s">
        <v>227</v>
      </c>
      <c r="F210" s="3" t="s">
        <v>200</v>
      </c>
      <c r="G210" s="3" t="s">
        <v>500</v>
      </c>
      <c r="H210" s="3" t="s">
        <v>1155</v>
      </c>
      <c r="I210" s="3" t="s">
        <v>203</v>
      </c>
      <c r="J210" s="3" t="s">
        <v>204</v>
      </c>
      <c r="K210" s="3" t="s">
        <v>416</v>
      </c>
      <c r="L210" s="3" t="s">
        <v>1156</v>
      </c>
      <c r="M210" s="3" t="s">
        <v>245</v>
      </c>
      <c r="N210" s="3" t="s">
        <v>217</v>
      </c>
      <c r="O210" s="3" t="s">
        <v>234</v>
      </c>
    </row>
    <row r="211" spans="1:15" ht="33.75" customHeight="1" x14ac:dyDescent="0.3">
      <c r="A211" s="4">
        <v>3321320</v>
      </c>
      <c r="B211" s="4" t="s">
        <v>1157</v>
      </c>
      <c r="C211" s="4" t="s">
        <v>197</v>
      </c>
      <c r="D211" s="4" t="s">
        <v>198</v>
      </c>
      <c r="E211" s="4" t="s">
        <v>227</v>
      </c>
      <c r="F211" s="4" t="s">
        <v>888</v>
      </c>
      <c r="G211" s="4" t="s">
        <v>1158</v>
      </c>
      <c r="H211" s="4" t="s">
        <v>1159</v>
      </c>
      <c r="I211" s="4" t="s">
        <v>203</v>
      </c>
      <c r="J211" s="4" t="s">
        <v>298</v>
      </c>
      <c r="K211" s="4" t="s">
        <v>1160</v>
      </c>
      <c r="L211" s="4" t="s">
        <v>1161</v>
      </c>
      <c r="M211" s="4" t="s">
        <v>245</v>
      </c>
      <c r="N211" s="4" t="s">
        <v>208</v>
      </c>
      <c r="O211" s="4" t="s">
        <v>433</v>
      </c>
    </row>
    <row r="212" spans="1:15" ht="22.5" customHeight="1" x14ac:dyDescent="0.3">
      <c r="A212" s="3">
        <v>3324737</v>
      </c>
      <c r="B212" s="3" t="s">
        <v>1162</v>
      </c>
      <c r="C212" s="3" t="s">
        <v>197</v>
      </c>
      <c r="D212" s="3" t="s">
        <v>198</v>
      </c>
      <c r="E212" s="3" t="s">
        <v>227</v>
      </c>
      <c r="F212" s="3" t="s">
        <v>200</v>
      </c>
      <c r="G212" s="3" t="s">
        <v>1163</v>
      </c>
      <c r="H212" s="3" t="s">
        <v>1164</v>
      </c>
      <c r="I212" s="3" t="s">
        <v>203</v>
      </c>
      <c r="J212" s="3" t="s">
        <v>214</v>
      </c>
      <c r="K212" s="3" t="s">
        <v>1165</v>
      </c>
      <c r="L212" s="3" t="s">
        <v>411</v>
      </c>
      <c r="M212" s="3" t="s">
        <v>245</v>
      </c>
      <c r="N212" s="3" t="s">
        <v>208</v>
      </c>
      <c r="O212" s="3" t="s">
        <v>418</v>
      </c>
    </row>
    <row r="213" spans="1:15" ht="22.5" customHeight="1" x14ac:dyDescent="0.3">
      <c r="A213" s="4">
        <v>3325318</v>
      </c>
      <c r="B213" s="4" t="s">
        <v>1166</v>
      </c>
      <c r="C213" s="4" t="s">
        <v>197</v>
      </c>
      <c r="D213" s="4" t="s">
        <v>198</v>
      </c>
      <c r="E213" s="4" t="s">
        <v>227</v>
      </c>
      <c r="F213" s="4" t="s">
        <v>200</v>
      </c>
      <c r="G213" s="4" t="s">
        <v>1167</v>
      </c>
      <c r="H213" s="4" t="s">
        <v>1168</v>
      </c>
      <c r="I213" s="4" t="s">
        <v>203</v>
      </c>
      <c r="J213" s="4" t="s">
        <v>204</v>
      </c>
      <c r="K213" s="4" t="s">
        <v>477</v>
      </c>
      <c r="L213" s="4" t="s">
        <v>696</v>
      </c>
      <c r="M213" s="4" t="s">
        <v>245</v>
      </c>
      <c r="N213" s="4" t="s">
        <v>217</v>
      </c>
      <c r="O213" s="4" t="s">
        <v>234</v>
      </c>
    </row>
    <row r="214" spans="1:15" ht="22.5" customHeight="1" x14ac:dyDescent="0.3">
      <c r="A214" s="3">
        <v>3333019</v>
      </c>
      <c r="B214" s="3" t="s">
        <v>1169</v>
      </c>
      <c r="C214" s="3" t="s">
        <v>197</v>
      </c>
      <c r="D214" s="3" t="s">
        <v>198</v>
      </c>
      <c r="E214" s="3" t="s">
        <v>227</v>
      </c>
      <c r="F214" s="3" t="s">
        <v>413</v>
      </c>
      <c r="G214" s="3" t="s">
        <v>1170</v>
      </c>
      <c r="H214" s="3" t="s">
        <v>1171</v>
      </c>
      <c r="I214" s="3" t="s">
        <v>203</v>
      </c>
      <c r="J214" s="3" t="s">
        <v>266</v>
      </c>
      <c r="K214" s="3" t="s">
        <v>442</v>
      </c>
      <c r="L214" s="3" t="s">
        <v>1172</v>
      </c>
      <c r="M214" s="3" t="s">
        <v>245</v>
      </c>
      <c r="N214" s="3" t="s">
        <v>208</v>
      </c>
      <c r="O214" s="3" t="s">
        <v>234</v>
      </c>
    </row>
    <row r="215" spans="1:15" ht="22.5" customHeight="1" x14ac:dyDescent="0.3">
      <c r="A215" s="4">
        <v>3333159</v>
      </c>
      <c r="B215" s="4" t="s">
        <v>1173</v>
      </c>
      <c r="C215" s="4" t="s">
        <v>197</v>
      </c>
      <c r="D215" s="4" t="s">
        <v>198</v>
      </c>
      <c r="E215" s="4" t="s">
        <v>227</v>
      </c>
      <c r="F215" s="4" t="s">
        <v>200</v>
      </c>
      <c r="G215" s="4" t="s">
        <v>1174</v>
      </c>
      <c r="H215" s="4" t="s">
        <v>1175</v>
      </c>
      <c r="I215" s="4" t="s">
        <v>203</v>
      </c>
      <c r="J215" s="4" t="s">
        <v>599</v>
      </c>
      <c r="K215" s="4" t="s">
        <v>1176</v>
      </c>
      <c r="L215" s="4" t="s">
        <v>1177</v>
      </c>
      <c r="M215" s="4" t="s">
        <v>233</v>
      </c>
      <c r="N215" s="4" t="s">
        <v>208</v>
      </c>
      <c r="O215" s="4" t="s">
        <v>234</v>
      </c>
    </row>
    <row r="216" spans="1:15" ht="22.5" customHeight="1" x14ac:dyDescent="0.3">
      <c r="A216" s="3">
        <v>3336182</v>
      </c>
      <c r="B216" s="3" t="s">
        <v>1178</v>
      </c>
      <c r="C216" s="3" t="s">
        <v>197</v>
      </c>
      <c r="D216" s="3" t="s">
        <v>198</v>
      </c>
      <c r="E216" s="3" t="s">
        <v>1179</v>
      </c>
      <c r="F216" s="3" t="s">
        <v>200</v>
      </c>
      <c r="G216" s="3" t="s">
        <v>1180</v>
      </c>
      <c r="H216" s="3" t="s">
        <v>1181</v>
      </c>
      <c r="I216" s="3" t="s">
        <v>230</v>
      </c>
      <c r="J216" s="3" t="s">
        <v>329</v>
      </c>
      <c r="K216" s="3" t="s">
        <v>1182</v>
      </c>
      <c r="L216" s="3" t="s">
        <v>1183</v>
      </c>
      <c r="M216" s="3" t="s">
        <v>245</v>
      </c>
      <c r="N216" s="3" t="s">
        <v>217</v>
      </c>
      <c r="O216" s="3" t="s">
        <v>1184</v>
      </c>
    </row>
    <row r="217" spans="1:15" ht="79.5" customHeight="1" x14ac:dyDescent="0.3">
      <c r="A217" s="4">
        <v>3337936</v>
      </c>
      <c r="B217" s="4" t="s">
        <v>1185</v>
      </c>
      <c r="C217" s="4" t="s">
        <v>197</v>
      </c>
      <c r="D217" s="4" t="s">
        <v>377</v>
      </c>
      <c r="E217" s="4" t="s">
        <v>227</v>
      </c>
      <c r="F217" s="4" t="s">
        <v>413</v>
      </c>
      <c r="G217" s="4" t="s">
        <v>1186</v>
      </c>
      <c r="H217" s="4" t="s">
        <v>1187</v>
      </c>
      <c r="I217" s="4" t="s">
        <v>203</v>
      </c>
      <c r="J217" s="4" t="s">
        <v>204</v>
      </c>
      <c r="K217" s="4" t="s">
        <v>1188</v>
      </c>
      <c r="L217" s="4" t="s">
        <v>1189</v>
      </c>
      <c r="M217" s="4" t="s">
        <v>245</v>
      </c>
      <c r="N217" s="4" t="s">
        <v>217</v>
      </c>
      <c r="O217" s="4" t="s">
        <v>433</v>
      </c>
    </row>
    <row r="218" spans="1:15" ht="45" customHeight="1" x14ac:dyDescent="0.3">
      <c r="A218" s="3">
        <v>3339785</v>
      </c>
      <c r="B218" s="3" t="s">
        <v>1190</v>
      </c>
      <c r="C218" s="3" t="s">
        <v>197</v>
      </c>
      <c r="D218" s="3" t="s">
        <v>198</v>
      </c>
      <c r="E218" s="3" t="s">
        <v>227</v>
      </c>
      <c r="F218" s="3" t="s">
        <v>1191</v>
      </c>
      <c r="G218" s="3" t="s">
        <v>1192</v>
      </c>
      <c r="H218" s="3" t="s">
        <v>1193</v>
      </c>
      <c r="I218" s="3" t="s">
        <v>203</v>
      </c>
      <c r="J218" s="3" t="s">
        <v>298</v>
      </c>
      <c r="K218" s="3" t="s">
        <v>1194</v>
      </c>
      <c r="L218" s="3" t="s">
        <v>1195</v>
      </c>
      <c r="M218" s="3" t="s">
        <v>245</v>
      </c>
      <c r="N218" s="3" t="s">
        <v>208</v>
      </c>
      <c r="O218" s="3" t="s">
        <v>418</v>
      </c>
    </row>
    <row r="219" spans="1:15" ht="22.5" customHeight="1" x14ac:dyDescent="0.3">
      <c r="A219" s="4">
        <v>3341577</v>
      </c>
      <c r="B219" s="4" t="s">
        <v>1196</v>
      </c>
      <c r="C219" s="4" t="s">
        <v>197</v>
      </c>
      <c r="D219" s="4" t="s">
        <v>198</v>
      </c>
      <c r="E219" s="4" t="s">
        <v>227</v>
      </c>
      <c r="F219" s="4" t="s">
        <v>200</v>
      </c>
      <c r="G219" s="4" t="s">
        <v>1197</v>
      </c>
      <c r="H219" s="4" t="s">
        <v>1085</v>
      </c>
      <c r="I219" s="4" t="s">
        <v>203</v>
      </c>
      <c r="J219" s="4" t="s">
        <v>204</v>
      </c>
      <c r="K219" s="4" t="s">
        <v>1198</v>
      </c>
      <c r="L219" s="4" t="s">
        <v>1199</v>
      </c>
      <c r="M219" s="4" t="s">
        <v>245</v>
      </c>
      <c r="N219" s="4" t="s">
        <v>208</v>
      </c>
      <c r="O219" s="4" t="s">
        <v>418</v>
      </c>
    </row>
    <row r="220" spans="1:15" ht="57" customHeight="1" x14ac:dyDescent="0.3">
      <c r="A220" s="3">
        <v>3342913</v>
      </c>
      <c r="B220" s="3" t="s">
        <v>1200</v>
      </c>
      <c r="C220" s="3" t="s">
        <v>197</v>
      </c>
      <c r="D220" s="3" t="s">
        <v>572</v>
      </c>
      <c r="E220" s="3" t="s">
        <v>227</v>
      </c>
      <c r="F220" s="3" t="s">
        <v>200</v>
      </c>
      <c r="G220" s="3" t="s">
        <v>1201</v>
      </c>
      <c r="H220" s="3" t="s">
        <v>1202</v>
      </c>
      <c r="I220" s="3" t="s">
        <v>203</v>
      </c>
      <c r="J220" s="3" t="s">
        <v>323</v>
      </c>
      <c r="K220" s="3" t="s">
        <v>1203</v>
      </c>
      <c r="L220" s="3" t="s">
        <v>1204</v>
      </c>
      <c r="M220" s="3" t="s">
        <v>245</v>
      </c>
      <c r="N220" s="3" t="s">
        <v>208</v>
      </c>
      <c r="O220" s="3" t="s">
        <v>234</v>
      </c>
    </row>
    <row r="221" spans="1:15" ht="22.5" customHeight="1" x14ac:dyDescent="0.3">
      <c r="A221" s="4">
        <v>3343413</v>
      </c>
      <c r="B221" s="4" t="s">
        <v>1205</v>
      </c>
      <c r="C221" s="4" t="s">
        <v>197</v>
      </c>
      <c r="D221" s="4" t="s">
        <v>198</v>
      </c>
      <c r="E221" s="4" t="s">
        <v>227</v>
      </c>
      <c r="F221" s="4" t="s">
        <v>200</v>
      </c>
      <c r="G221" s="4" t="s">
        <v>1206</v>
      </c>
      <c r="H221" s="4" t="s">
        <v>1207</v>
      </c>
      <c r="I221" s="4" t="s">
        <v>203</v>
      </c>
      <c r="J221" s="4" t="s">
        <v>506</v>
      </c>
      <c r="K221" s="4" t="s">
        <v>1208</v>
      </c>
      <c r="L221" s="4" t="s">
        <v>1204</v>
      </c>
      <c r="M221" s="4" t="s">
        <v>245</v>
      </c>
      <c r="N221" s="4" t="s">
        <v>208</v>
      </c>
      <c r="O221" s="4" t="s">
        <v>418</v>
      </c>
    </row>
    <row r="222" spans="1:15" ht="22.5" customHeight="1" x14ac:dyDescent="0.3">
      <c r="A222" s="3">
        <v>3344363</v>
      </c>
      <c r="B222" s="3" t="s">
        <v>1209</v>
      </c>
      <c r="C222" s="3" t="s">
        <v>197</v>
      </c>
      <c r="D222" s="3" t="s">
        <v>198</v>
      </c>
      <c r="E222" s="3" t="s">
        <v>227</v>
      </c>
      <c r="F222" s="3" t="s">
        <v>200</v>
      </c>
      <c r="G222" s="3" t="s">
        <v>994</v>
      </c>
      <c r="H222" s="3" t="s">
        <v>1210</v>
      </c>
      <c r="I222" s="3" t="s">
        <v>203</v>
      </c>
      <c r="J222" s="3" t="s">
        <v>329</v>
      </c>
      <c r="K222" s="3" t="s">
        <v>611</v>
      </c>
      <c r="L222" s="3" t="s">
        <v>1211</v>
      </c>
      <c r="M222" s="3" t="s">
        <v>245</v>
      </c>
      <c r="N222" s="3" t="s">
        <v>217</v>
      </c>
      <c r="O222" s="3" t="s">
        <v>234</v>
      </c>
    </row>
    <row r="223" spans="1:15" ht="33.75" customHeight="1" x14ac:dyDescent="0.3">
      <c r="A223" s="4">
        <v>3344509</v>
      </c>
      <c r="B223" s="4" t="s">
        <v>1212</v>
      </c>
      <c r="C223" s="4" t="s">
        <v>197</v>
      </c>
      <c r="D223" s="4" t="s">
        <v>220</v>
      </c>
      <c r="E223" s="4" t="s">
        <v>227</v>
      </c>
      <c r="F223" s="4" t="s">
        <v>200</v>
      </c>
      <c r="G223" s="4" t="s">
        <v>1213</v>
      </c>
      <c r="H223" s="4" t="s">
        <v>1214</v>
      </c>
      <c r="I223" s="4" t="s">
        <v>203</v>
      </c>
      <c r="J223" s="4" t="s">
        <v>204</v>
      </c>
      <c r="K223" s="4" t="s">
        <v>1215</v>
      </c>
      <c r="L223" s="4" t="s">
        <v>255</v>
      </c>
      <c r="M223" s="4" t="s">
        <v>245</v>
      </c>
      <c r="N223" s="4" t="s">
        <v>217</v>
      </c>
      <c r="O223" s="4" t="s">
        <v>234</v>
      </c>
    </row>
    <row r="224" spans="1:15" ht="22.5" customHeight="1" x14ac:dyDescent="0.3">
      <c r="A224" s="3">
        <v>3345467</v>
      </c>
      <c r="B224" s="3" t="s">
        <v>1216</v>
      </c>
      <c r="C224" s="3" t="s">
        <v>197</v>
      </c>
      <c r="D224" s="3" t="s">
        <v>198</v>
      </c>
      <c r="E224" s="3" t="s">
        <v>227</v>
      </c>
      <c r="F224" s="3" t="s">
        <v>200</v>
      </c>
      <c r="G224" s="3" t="s">
        <v>1217</v>
      </c>
      <c r="H224" s="3" t="s">
        <v>1218</v>
      </c>
      <c r="I224" s="3" t="s">
        <v>203</v>
      </c>
      <c r="J224" s="3" t="s">
        <v>506</v>
      </c>
      <c r="K224" s="3" t="s">
        <v>540</v>
      </c>
      <c r="L224" s="3" t="s">
        <v>1219</v>
      </c>
      <c r="M224" s="3" t="s">
        <v>245</v>
      </c>
      <c r="N224" s="3" t="s">
        <v>217</v>
      </c>
      <c r="O224" s="3" t="s">
        <v>418</v>
      </c>
    </row>
    <row r="225" spans="1:15" ht="22.5" customHeight="1" x14ac:dyDescent="0.3">
      <c r="A225" s="4">
        <v>3349098</v>
      </c>
      <c r="B225" s="4" t="s">
        <v>1220</v>
      </c>
      <c r="C225" s="4" t="s">
        <v>197</v>
      </c>
      <c r="D225" s="4" t="s">
        <v>198</v>
      </c>
      <c r="E225" s="4" t="s">
        <v>227</v>
      </c>
      <c r="F225" s="4" t="s">
        <v>200</v>
      </c>
      <c r="G225" s="4" t="s">
        <v>1221</v>
      </c>
      <c r="H225" s="4" t="s">
        <v>1222</v>
      </c>
      <c r="I225" s="4" t="s">
        <v>203</v>
      </c>
      <c r="J225" s="4" t="s">
        <v>214</v>
      </c>
      <c r="K225" s="4" t="s">
        <v>535</v>
      </c>
      <c r="L225" s="4" t="s">
        <v>871</v>
      </c>
      <c r="M225" s="4" t="s">
        <v>245</v>
      </c>
      <c r="N225" s="4" t="s">
        <v>217</v>
      </c>
      <c r="O225" s="4" t="s">
        <v>234</v>
      </c>
    </row>
    <row r="226" spans="1:15" ht="22.5" customHeight="1" x14ac:dyDescent="0.3">
      <c r="A226" s="3">
        <v>3351068</v>
      </c>
      <c r="B226" s="3" t="s">
        <v>1223</v>
      </c>
      <c r="C226" s="3" t="s">
        <v>197</v>
      </c>
      <c r="D226" s="3" t="s">
        <v>198</v>
      </c>
      <c r="E226" s="3" t="s">
        <v>227</v>
      </c>
      <c r="F226" s="3" t="s">
        <v>200</v>
      </c>
      <c r="G226" s="3" t="s">
        <v>1224</v>
      </c>
      <c r="H226" s="3" t="s">
        <v>1225</v>
      </c>
      <c r="I226" s="3" t="s">
        <v>203</v>
      </c>
      <c r="J226" s="3" t="s">
        <v>204</v>
      </c>
      <c r="K226" s="3" t="s">
        <v>870</v>
      </c>
      <c r="L226" s="3" t="s">
        <v>1226</v>
      </c>
      <c r="M226" s="3" t="s">
        <v>245</v>
      </c>
      <c r="N226" s="3" t="s">
        <v>217</v>
      </c>
      <c r="O226" s="3" t="s">
        <v>418</v>
      </c>
    </row>
    <row r="227" spans="1:15" ht="22.5" customHeight="1" x14ac:dyDescent="0.3">
      <c r="A227" s="4">
        <v>3353850</v>
      </c>
      <c r="B227" s="4" t="s">
        <v>1227</v>
      </c>
      <c r="C227" s="4" t="s">
        <v>197</v>
      </c>
      <c r="D227" s="4" t="s">
        <v>198</v>
      </c>
      <c r="E227" s="4" t="s">
        <v>227</v>
      </c>
      <c r="F227" s="4" t="s">
        <v>200</v>
      </c>
      <c r="G227" s="4" t="s">
        <v>1228</v>
      </c>
      <c r="H227" s="4" t="s">
        <v>1229</v>
      </c>
      <c r="I227" s="4" t="s">
        <v>203</v>
      </c>
      <c r="J227" s="4" t="s">
        <v>214</v>
      </c>
      <c r="K227" s="4" t="s">
        <v>564</v>
      </c>
      <c r="L227" s="4" t="s">
        <v>1230</v>
      </c>
      <c r="M227" s="4" t="s">
        <v>233</v>
      </c>
      <c r="N227" s="4" t="s">
        <v>208</v>
      </c>
      <c r="O227" s="4" t="s">
        <v>418</v>
      </c>
    </row>
    <row r="228" spans="1:15" ht="22.5" customHeight="1" x14ac:dyDescent="0.3">
      <c r="A228" s="3">
        <v>3354423</v>
      </c>
      <c r="B228" s="3" t="s">
        <v>1231</v>
      </c>
      <c r="C228" s="3" t="s">
        <v>197</v>
      </c>
      <c r="D228" s="3" t="s">
        <v>198</v>
      </c>
      <c r="E228" s="3" t="s">
        <v>227</v>
      </c>
      <c r="F228" s="3" t="s">
        <v>200</v>
      </c>
      <c r="G228" s="3" t="s">
        <v>1232</v>
      </c>
      <c r="H228" s="3" t="s">
        <v>1233</v>
      </c>
      <c r="I228" s="3" t="s">
        <v>203</v>
      </c>
      <c r="J228" s="3" t="s">
        <v>214</v>
      </c>
      <c r="K228" s="3" t="s">
        <v>1234</v>
      </c>
      <c r="L228" s="3" t="s">
        <v>1183</v>
      </c>
      <c r="M228" s="3" t="s">
        <v>245</v>
      </c>
      <c r="N228" s="3" t="s">
        <v>217</v>
      </c>
      <c r="O228" s="3" t="s">
        <v>234</v>
      </c>
    </row>
    <row r="229" spans="1:15" ht="22.5" customHeight="1" x14ac:dyDescent="0.3">
      <c r="A229" s="4">
        <v>3362264</v>
      </c>
      <c r="B229" s="4" t="s">
        <v>1235</v>
      </c>
      <c r="C229" s="4" t="s">
        <v>197</v>
      </c>
      <c r="D229" s="4" t="s">
        <v>198</v>
      </c>
      <c r="E229" s="4" t="s">
        <v>227</v>
      </c>
      <c r="F229" s="4" t="s">
        <v>200</v>
      </c>
      <c r="G229" s="4" t="s">
        <v>1236</v>
      </c>
      <c r="H229" s="4" t="s">
        <v>1237</v>
      </c>
      <c r="I229" s="4" t="s">
        <v>203</v>
      </c>
      <c r="J229" s="4" t="s">
        <v>214</v>
      </c>
      <c r="K229" s="4" t="s">
        <v>482</v>
      </c>
      <c r="L229" s="4" t="s">
        <v>686</v>
      </c>
      <c r="M229" s="4" t="s">
        <v>207</v>
      </c>
      <c r="N229" s="4" t="s">
        <v>208</v>
      </c>
      <c r="O229" s="4" t="s">
        <v>433</v>
      </c>
    </row>
    <row r="230" spans="1:15" ht="22.5" customHeight="1" x14ac:dyDescent="0.3">
      <c r="A230" s="3">
        <v>3362604</v>
      </c>
      <c r="B230" s="3" t="s">
        <v>1238</v>
      </c>
      <c r="C230" s="3" t="s">
        <v>197</v>
      </c>
      <c r="D230" s="3" t="s">
        <v>198</v>
      </c>
      <c r="E230" s="3" t="s">
        <v>227</v>
      </c>
      <c r="F230" s="3" t="s">
        <v>200</v>
      </c>
      <c r="G230" s="3" t="s">
        <v>1239</v>
      </c>
      <c r="H230" s="3" t="s">
        <v>1233</v>
      </c>
      <c r="I230" s="3" t="s">
        <v>203</v>
      </c>
      <c r="J230" s="3" t="s">
        <v>214</v>
      </c>
      <c r="K230" s="3" t="s">
        <v>1234</v>
      </c>
      <c r="L230" s="3" t="s">
        <v>686</v>
      </c>
      <c r="M230" s="3" t="s">
        <v>245</v>
      </c>
      <c r="N230" s="3" t="s">
        <v>208</v>
      </c>
      <c r="O230" s="3" t="s">
        <v>234</v>
      </c>
    </row>
    <row r="231" spans="1:15" ht="22.5" customHeight="1" x14ac:dyDescent="0.3">
      <c r="A231" s="4">
        <v>3362841</v>
      </c>
      <c r="B231" s="4" t="s">
        <v>1240</v>
      </c>
      <c r="C231" s="4" t="s">
        <v>197</v>
      </c>
      <c r="D231" s="4" t="s">
        <v>198</v>
      </c>
      <c r="E231" s="4" t="s">
        <v>227</v>
      </c>
      <c r="F231" s="4" t="s">
        <v>200</v>
      </c>
      <c r="G231" s="4" t="s">
        <v>1241</v>
      </c>
      <c r="H231" s="4" t="s">
        <v>1242</v>
      </c>
      <c r="I231" s="4" t="s">
        <v>203</v>
      </c>
      <c r="J231" s="4" t="s">
        <v>214</v>
      </c>
      <c r="K231" s="4" t="s">
        <v>1243</v>
      </c>
      <c r="L231" s="4" t="s">
        <v>686</v>
      </c>
      <c r="M231" s="4" t="s">
        <v>245</v>
      </c>
      <c r="N231" s="4" t="s">
        <v>217</v>
      </c>
      <c r="O231" s="4" t="s">
        <v>418</v>
      </c>
    </row>
    <row r="232" spans="1:15" ht="22.5" customHeight="1" x14ac:dyDescent="0.3">
      <c r="A232" s="3">
        <v>3364984</v>
      </c>
      <c r="B232" s="3" t="s">
        <v>1244</v>
      </c>
      <c r="C232" s="3" t="s">
        <v>197</v>
      </c>
      <c r="D232" s="3" t="s">
        <v>198</v>
      </c>
      <c r="E232" s="3" t="s">
        <v>227</v>
      </c>
      <c r="F232" s="3" t="s">
        <v>200</v>
      </c>
      <c r="G232" s="3" t="s">
        <v>1245</v>
      </c>
      <c r="H232" s="3" t="s">
        <v>1246</v>
      </c>
      <c r="I232" s="3" t="s">
        <v>737</v>
      </c>
      <c r="J232" s="3" t="s">
        <v>214</v>
      </c>
      <c r="K232" s="3" t="s">
        <v>1247</v>
      </c>
      <c r="L232" s="3" t="s">
        <v>1156</v>
      </c>
      <c r="M232" s="3" t="s">
        <v>245</v>
      </c>
      <c r="N232" s="3" t="s">
        <v>208</v>
      </c>
      <c r="O232" s="3" t="s">
        <v>234</v>
      </c>
    </row>
    <row r="233" spans="1:15" ht="22.5" customHeight="1" x14ac:dyDescent="0.3">
      <c r="A233" s="4">
        <v>3365689</v>
      </c>
      <c r="B233" s="4" t="s">
        <v>1248</v>
      </c>
      <c r="C233" s="4" t="s">
        <v>197</v>
      </c>
      <c r="D233" s="4" t="s">
        <v>198</v>
      </c>
      <c r="E233" s="4" t="s">
        <v>227</v>
      </c>
      <c r="F233" s="4" t="s">
        <v>200</v>
      </c>
      <c r="G233" s="4" t="s">
        <v>1249</v>
      </c>
      <c r="H233" s="4" t="s">
        <v>1250</v>
      </c>
      <c r="I233" s="4" t="s">
        <v>737</v>
      </c>
      <c r="J233" s="4" t="s">
        <v>214</v>
      </c>
      <c r="K233" s="4" t="s">
        <v>1247</v>
      </c>
      <c r="L233" s="4" t="s">
        <v>1251</v>
      </c>
      <c r="M233" s="4" t="s">
        <v>245</v>
      </c>
      <c r="N233" s="4" t="s">
        <v>217</v>
      </c>
      <c r="O233" s="4" t="s">
        <v>444</v>
      </c>
    </row>
    <row r="234" spans="1:15" ht="22.5" customHeight="1" x14ac:dyDescent="0.3">
      <c r="A234" s="3">
        <v>3367037</v>
      </c>
      <c r="B234" s="3" t="s">
        <v>1252</v>
      </c>
      <c r="C234" s="3" t="s">
        <v>197</v>
      </c>
      <c r="D234" s="3" t="s">
        <v>198</v>
      </c>
      <c r="E234" s="3" t="s">
        <v>227</v>
      </c>
      <c r="F234" s="3" t="s">
        <v>200</v>
      </c>
      <c r="G234" s="3" t="s">
        <v>1253</v>
      </c>
      <c r="H234" s="3" t="s">
        <v>1254</v>
      </c>
      <c r="I234" s="3" t="s">
        <v>203</v>
      </c>
      <c r="J234" s="3" t="s">
        <v>214</v>
      </c>
      <c r="K234" s="3" t="s">
        <v>617</v>
      </c>
      <c r="L234" s="3" t="s">
        <v>1255</v>
      </c>
      <c r="M234" s="3" t="s">
        <v>245</v>
      </c>
      <c r="N234" s="3" t="s">
        <v>208</v>
      </c>
      <c r="O234" s="3" t="s">
        <v>234</v>
      </c>
    </row>
    <row r="235" spans="1:15" ht="102" customHeight="1" x14ac:dyDescent="0.3">
      <c r="A235" s="4">
        <v>3377326</v>
      </c>
      <c r="B235" s="4" t="s">
        <v>1256</v>
      </c>
      <c r="C235" s="4" t="s">
        <v>197</v>
      </c>
      <c r="D235" s="4" t="s">
        <v>280</v>
      </c>
      <c r="E235" s="4" t="s">
        <v>608</v>
      </c>
      <c r="F235" s="4" t="s">
        <v>200</v>
      </c>
      <c r="G235" s="4" t="s">
        <v>1257</v>
      </c>
      <c r="H235" s="4" t="s">
        <v>1258</v>
      </c>
      <c r="I235" s="4" t="s">
        <v>203</v>
      </c>
      <c r="J235" s="4" t="s">
        <v>298</v>
      </c>
      <c r="K235" s="4" t="s">
        <v>855</v>
      </c>
      <c r="L235" s="4" t="s">
        <v>1259</v>
      </c>
      <c r="M235" s="4" t="s">
        <v>233</v>
      </c>
      <c r="N235" s="4" t="s">
        <v>217</v>
      </c>
      <c r="O235" s="4" t="s">
        <v>613</v>
      </c>
    </row>
    <row r="236" spans="1:15" ht="22.5" customHeight="1" x14ac:dyDescent="0.3">
      <c r="A236" s="3">
        <v>3381420</v>
      </c>
      <c r="B236" s="3" t="s">
        <v>1260</v>
      </c>
      <c r="C236" s="3" t="s">
        <v>197</v>
      </c>
      <c r="D236" s="3" t="s">
        <v>198</v>
      </c>
      <c r="E236" s="3" t="s">
        <v>608</v>
      </c>
      <c r="F236" s="3" t="s">
        <v>200</v>
      </c>
      <c r="G236" s="3" t="s">
        <v>1261</v>
      </c>
      <c r="H236" s="3" t="s">
        <v>610</v>
      </c>
      <c r="I236" s="3" t="s">
        <v>203</v>
      </c>
      <c r="J236" s="3" t="s">
        <v>329</v>
      </c>
      <c r="K236" s="3" t="s">
        <v>1262</v>
      </c>
      <c r="L236" s="3" t="s">
        <v>1263</v>
      </c>
      <c r="M236" s="3" t="s">
        <v>245</v>
      </c>
      <c r="N236" s="3" t="s">
        <v>217</v>
      </c>
      <c r="O236" s="3" t="s">
        <v>613</v>
      </c>
    </row>
    <row r="237" spans="1:15" ht="22.5" customHeight="1" x14ac:dyDescent="0.3">
      <c r="A237" s="4">
        <v>3384292</v>
      </c>
      <c r="B237" s="4" t="s">
        <v>1264</v>
      </c>
      <c r="C237" s="4" t="s">
        <v>197</v>
      </c>
      <c r="D237" s="4" t="s">
        <v>198</v>
      </c>
      <c r="E237" s="4" t="s">
        <v>608</v>
      </c>
      <c r="F237" s="4" t="s">
        <v>200</v>
      </c>
      <c r="G237" s="4" t="s">
        <v>1261</v>
      </c>
      <c r="H237" s="4" t="s">
        <v>610</v>
      </c>
      <c r="I237" s="4" t="s">
        <v>203</v>
      </c>
      <c r="J237" s="4" t="s">
        <v>329</v>
      </c>
      <c r="K237" s="4" t="s">
        <v>789</v>
      </c>
      <c r="L237" s="4" t="s">
        <v>1265</v>
      </c>
      <c r="M237" s="4" t="s">
        <v>233</v>
      </c>
      <c r="N237" s="4" t="s">
        <v>217</v>
      </c>
      <c r="O237" s="4" t="s">
        <v>613</v>
      </c>
    </row>
    <row r="238" spans="1:15" ht="22.5" customHeight="1" x14ac:dyDescent="0.3">
      <c r="A238" s="3">
        <v>3415546</v>
      </c>
      <c r="B238" s="3" t="s">
        <v>1266</v>
      </c>
      <c r="C238" s="3" t="s">
        <v>197</v>
      </c>
      <c r="D238" s="3" t="s">
        <v>198</v>
      </c>
      <c r="E238" s="3" t="s">
        <v>227</v>
      </c>
      <c r="F238" s="3" t="s">
        <v>200</v>
      </c>
      <c r="G238" s="3" t="s">
        <v>1267</v>
      </c>
      <c r="H238" s="3" t="s">
        <v>1268</v>
      </c>
      <c r="I238" s="3" t="s">
        <v>203</v>
      </c>
      <c r="J238" s="3" t="s">
        <v>214</v>
      </c>
      <c r="K238" s="3" t="s">
        <v>815</v>
      </c>
      <c r="L238" s="3" t="s">
        <v>1269</v>
      </c>
      <c r="M238" s="3" t="s">
        <v>245</v>
      </c>
      <c r="N238" s="3" t="s">
        <v>217</v>
      </c>
      <c r="O238" s="3" t="s">
        <v>234</v>
      </c>
    </row>
    <row r="239" spans="1:15" ht="22.5" customHeight="1" x14ac:dyDescent="0.3">
      <c r="A239" s="4">
        <v>3418014</v>
      </c>
      <c r="B239" s="4" t="s">
        <v>1270</v>
      </c>
      <c r="C239" s="4" t="s">
        <v>197</v>
      </c>
      <c r="D239" s="4" t="s">
        <v>198</v>
      </c>
      <c r="E239" s="4" t="s">
        <v>227</v>
      </c>
      <c r="F239" s="4" t="s">
        <v>200</v>
      </c>
      <c r="G239" s="4" t="s">
        <v>1271</v>
      </c>
      <c r="H239" s="4" t="s">
        <v>1272</v>
      </c>
      <c r="I239" s="4" t="s">
        <v>203</v>
      </c>
      <c r="J239" s="4" t="s">
        <v>214</v>
      </c>
      <c r="K239" s="4" t="s">
        <v>482</v>
      </c>
      <c r="L239" s="4" t="s">
        <v>1273</v>
      </c>
      <c r="M239" s="4" t="s">
        <v>207</v>
      </c>
      <c r="N239" s="4" t="s">
        <v>217</v>
      </c>
      <c r="O239" s="4" t="s">
        <v>433</v>
      </c>
    </row>
    <row r="240" spans="1:15" ht="22.5" customHeight="1" x14ac:dyDescent="0.3">
      <c r="A240" s="3">
        <v>3418626</v>
      </c>
      <c r="B240" s="3" t="s">
        <v>1274</v>
      </c>
      <c r="C240" s="3" t="s">
        <v>197</v>
      </c>
      <c r="D240" s="3" t="s">
        <v>198</v>
      </c>
      <c r="E240" s="3" t="s">
        <v>227</v>
      </c>
      <c r="F240" s="3" t="s">
        <v>200</v>
      </c>
      <c r="G240" s="3" t="s">
        <v>1275</v>
      </c>
      <c r="H240" s="3" t="s">
        <v>1276</v>
      </c>
      <c r="I240" s="3" t="s">
        <v>203</v>
      </c>
      <c r="J240" s="3" t="s">
        <v>298</v>
      </c>
      <c r="K240" s="3" t="s">
        <v>1277</v>
      </c>
      <c r="L240" s="3" t="s">
        <v>1273</v>
      </c>
      <c r="M240" s="3" t="s">
        <v>207</v>
      </c>
      <c r="N240" s="3" t="s">
        <v>208</v>
      </c>
      <c r="O240" s="3" t="s">
        <v>433</v>
      </c>
    </row>
    <row r="241" spans="1:15" ht="22.5" customHeight="1" x14ac:dyDescent="0.3">
      <c r="A241" s="4">
        <v>3420825</v>
      </c>
      <c r="B241" s="4" t="s">
        <v>1278</v>
      </c>
      <c r="C241" s="4" t="s">
        <v>197</v>
      </c>
      <c r="D241" s="4" t="s">
        <v>198</v>
      </c>
      <c r="E241" s="4" t="s">
        <v>227</v>
      </c>
      <c r="F241" s="4" t="s">
        <v>578</v>
      </c>
      <c r="G241" s="4" t="s">
        <v>1279</v>
      </c>
      <c r="H241" s="4" t="s">
        <v>1280</v>
      </c>
      <c r="I241" s="4" t="s">
        <v>203</v>
      </c>
      <c r="J241" s="4" t="s">
        <v>266</v>
      </c>
      <c r="K241" s="4" t="s">
        <v>1281</v>
      </c>
      <c r="L241" s="4" t="s">
        <v>1282</v>
      </c>
      <c r="M241" s="4" t="s">
        <v>207</v>
      </c>
      <c r="N241" s="4" t="s">
        <v>208</v>
      </c>
      <c r="O241" s="4" t="s">
        <v>234</v>
      </c>
    </row>
    <row r="242" spans="1:15" ht="22.5" customHeight="1" x14ac:dyDescent="0.3">
      <c r="A242" s="3">
        <v>3423301</v>
      </c>
      <c r="B242" s="3" t="s">
        <v>1283</v>
      </c>
      <c r="C242" s="3" t="s">
        <v>197</v>
      </c>
      <c r="D242" s="3" t="s">
        <v>198</v>
      </c>
      <c r="E242" s="3" t="s">
        <v>227</v>
      </c>
      <c r="F242" s="3" t="s">
        <v>200</v>
      </c>
      <c r="G242" s="3" t="s">
        <v>1284</v>
      </c>
      <c r="H242" s="3" t="s">
        <v>1285</v>
      </c>
      <c r="I242" s="3" t="s">
        <v>203</v>
      </c>
      <c r="J242" s="3" t="s">
        <v>345</v>
      </c>
      <c r="K242" s="3" t="s">
        <v>1286</v>
      </c>
      <c r="L242" s="3" t="s">
        <v>1287</v>
      </c>
      <c r="M242" s="3" t="s">
        <v>245</v>
      </c>
      <c r="N242" s="3" t="s">
        <v>217</v>
      </c>
      <c r="O242" s="3" t="s">
        <v>234</v>
      </c>
    </row>
    <row r="243" spans="1:15" ht="22.5" customHeight="1" x14ac:dyDescent="0.3">
      <c r="A243" s="4">
        <v>3425010</v>
      </c>
      <c r="B243" s="4" t="s">
        <v>1288</v>
      </c>
      <c r="C243" s="4" t="s">
        <v>197</v>
      </c>
      <c r="D243" s="4" t="s">
        <v>198</v>
      </c>
      <c r="E243" s="4" t="s">
        <v>227</v>
      </c>
      <c r="F243" s="4" t="s">
        <v>200</v>
      </c>
      <c r="G243" s="4" t="s">
        <v>1289</v>
      </c>
      <c r="H243" s="4" t="s">
        <v>1290</v>
      </c>
      <c r="I243" s="4" t="s">
        <v>203</v>
      </c>
      <c r="J243" s="4" t="s">
        <v>204</v>
      </c>
      <c r="K243" s="4" t="s">
        <v>1110</v>
      </c>
      <c r="L243" s="4" t="s">
        <v>1287</v>
      </c>
      <c r="M243" s="4" t="s">
        <v>245</v>
      </c>
      <c r="N243" s="4" t="s">
        <v>217</v>
      </c>
      <c r="O243" s="4" t="s">
        <v>234</v>
      </c>
    </row>
    <row r="244" spans="1:15" ht="57" customHeight="1" x14ac:dyDescent="0.3">
      <c r="A244" s="3">
        <v>3430677</v>
      </c>
      <c r="B244" s="3" t="s">
        <v>1291</v>
      </c>
      <c r="C244" s="3" t="s">
        <v>197</v>
      </c>
      <c r="D244" s="3" t="s">
        <v>1292</v>
      </c>
      <c r="E244" s="3" t="s">
        <v>227</v>
      </c>
      <c r="F244" s="3" t="s">
        <v>200</v>
      </c>
      <c r="G244" s="3" t="s">
        <v>1293</v>
      </c>
      <c r="H244" s="3" t="s">
        <v>1294</v>
      </c>
      <c r="I244" s="3" t="s">
        <v>203</v>
      </c>
      <c r="J244" s="3" t="s">
        <v>298</v>
      </c>
      <c r="K244" s="3" t="s">
        <v>1295</v>
      </c>
      <c r="L244" s="3" t="s">
        <v>1296</v>
      </c>
      <c r="M244" s="3" t="s">
        <v>233</v>
      </c>
      <c r="N244" s="3" t="s">
        <v>217</v>
      </c>
      <c r="O244" s="3" t="s">
        <v>433</v>
      </c>
    </row>
    <row r="245" spans="1:15" ht="22.5" customHeight="1" x14ac:dyDescent="0.3">
      <c r="A245" s="4">
        <v>3430995</v>
      </c>
      <c r="B245" s="4" t="s">
        <v>1297</v>
      </c>
      <c r="C245" s="4" t="s">
        <v>197</v>
      </c>
      <c r="D245" s="4" t="s">
        <v>198</v>
      </c>
      <c r="E245" s="4" t="s">
        <v>227</v>
      </c>
      <c r="F245" s="4" t="s">
        <v>200</v>
      </c>
      <c r="G245" s="4" t="s">
        <v>1298</v>
      </c>
      <c r="H245" s="4" t="s">
        <v>1299</v>
      </c>
      <c r="I245" s="4" t="s">
        <v>203</v>
      </c>
      <c r="J245" s="4" t="s">
        <v>204</v>
      </c>
      <c r="K245" s="4" t="s">
        <v>452</v>
      </c>
      <c r="L245" s="4" t="s">
        <v>1300</v>
      </c>
      <c r="M245" s="4" t="s">
        <v>245</v>
      </c>
      <c r="N245" s="4" t="s">
        <v>208</v>
      </c>
      <c r="O245" s="4" t="s">
        <v>418</v>
      </c>
    </row>
    <row r="246" spans="1:15" ht="22.5" customHeight="1" x14ac:dyDescent="0.3">
      <c r="A246" s="3">
        <v>3433803</v>
      </c>
      <c r="B246" s="3" t="s">
        <v>1301</v>
      </c>
      <c r="C246" s="3" t="s">
        <v>197</v>
      </c>
      <c r="D246" s="3" t="s">
        <v>198</v>
      </c>
      <c r="E246" s="3" t="s">
        <v>227</v>
      </c>
      <c r="F246" s="3" t="s">
        <v>200</v>
      </c>
      <c r="G246" s="3" t="s">
        <v>914</v>
      </c>
      <c r="H246" s="3" t="s">
        <v>1302</v>
      </c>
      <c r="I246" s="3" t="s">
        <v>203</v>
      </c>
      <c r="J246" s="3" t="s">
        <v>204</v>
      </c>
      <c r="K246" s="3" t="s">
        <v>437</v>
      </c>
      <c r="L246" s="3" t="s">
        <v>401</v>
      </c>
      <c r="M246" s="3" t="s">
        <v>245</v>
      </c>
      <c r="N246" s="3" t="s">
        <v>208</v>
      </c>
      <c r="O246" s="3" t="s">
        <v>418</v>
      </c>
    </row>
    <row r="247" spans="1:15" ht="22.5" customHeight="1" x14ac:dyDescent="0.3">
      <c r="A247" s="4">
        <v>3434591</v>
      </c>
      <c r="B247" s="4" t="s">
        <v>1303</v>
      </c>
      <c r="C247" s="4" t="s">
        <v>197</v>
      </c>
      <c r="D247" s="4" t="s">
        <v>198</v>
      </c>
      <c r="E247" s="4" t="s">
        <v>227</v>
      </c>
      <c r="F247" s="4" t="s">
        <v>200</v>
      </c>
      <c r="G247" s="4" t="s">
        <v>1304</v>
      </c>
      <c r="H247" s="4" t="s">
        <v>1305</v>
      </c>
      <c r="I247" s="4" t="s">
        <v>203</v>
      </c>
      <c r="J247" s="4" t="s">
        <v>323</v>
      </c>
      <c r="K247" s="4" t="s">
        <v>1026</v>
      </c>
      <c r="L247" s="4" t="s">
        <v>1306</v>
      </c>
      <c r="M247" s="4" t="s">
        <v>245</v>
      </c>
      <c r="N247" s="4" t="s">
        <v>208</v>
      </c>
      <c r="O247" s="4" t="s">
        <v>418</v>
      </c>
    </row>
    <row r="248" spans="1:15" ht="22.5" customHeight="1" x14ac:dyDescent="0.3">
      <c r="A248" s="3">
        <v>3440826</v>
      </c>
      <c r="B248" s="3" t="s">
        <v>1307</v>
      </c>
      <c r="C248" s="3" t="s">
        <v>197</v>
      </c>
      <c r="D248" s="3" t="s">
        <v>198</v>
      </c>
      <c r="E248" s="3" t="s">
        <v>227</v>
      </c>
      <c r="F248" s="3" t="s">
        <v>578</v>
      </c>
      <c r="G248" s="3" t="s">
        <v>1308</v>
      </c>
      <c r="H248" s="3" t="s">
        <v>1309</v>
      </c>
      <c r="I248" s="3" t="s">
        <v>203</v>
      </c>
      <c r="J248" s="3" t="s">
        <v>214</v>
      </c>
      <c r="K248" s="3" t="s">
        <v>662</v>
      </c>
      <c r="L248" s="3" t="s">
        <v>1310</v>
      </c>
      <c r="M248" s="3" t="s">
        <v>245</v>
      </c>
      <c r="N248" s="3" t="s">
        <v>217</v>
      </c>
      <c r="O248" s="3" t="s">
        <v>234</v>
      </c>
    </row>
    <row r="249" spans="1:15" ht="22.5" customHeight="1" x14ac:dyDescent="0.3">
      <c r="A249" s="4">
        <v>3443515</v>
      </c>
      <c r="B249" s="4" t="s">
        <v>1311</v>
      </c>
      <c r="C249" s="4" t="s">
        <v>197</v>
      </c>
      <c r="D249" s="4" t="s">
        <v>198</v>
      </c>
      <c r="E249" s="4" t="s">
        <v>227</v>
      </c>
      <c r="F249" s="4" t="s">
        <v>578</v>
      </c>
      <c r="G249" s="4" t="s">
        <v>1312</v>
      </c>
      <c r="H249" s="4" t="s">
        <v>1313</v>
      </c>
      <c r="I249" s="4" t="s">
        <v>203</v>
      </c>
      <c r="J249" s="4" t="s">
        <v>204</v>
      </c>
      <c r="K249" s="4" t="s">
        <v>1314</v>
      </c>
      <c r="L249" s="4" t="s">
        <v>1315</v>
      </c>
      <c r="M249" s="4" t="s">
        <v>207</v>
      </c>
      <c r="N249" s="4" t="s">
        <v>217</v>
      </c>
      <c r="O249" s="4" t="s">
        <v>433</v>
      </c>
    </row>
    <row r="250" spans="1:15" ht="22.5" customHeight="1" x14ac:dyDescent="0.3">
      <c r="A250" s="3">
        <v>3444910</v>
      </c>
      <c r="B250" s="3" t="s">
        <v>1316</v>
      </c>
      <c r="C250" s="3" t="s">
        <v>197</v>
      </c>
      <c r="D250" s="3" t="s">
        <v>198</v>
      </c>
      <c r="E250" s="3" t="s">
        <v>227</v>
      </c>
      <c r="F250" s="3" t="s">
        <v>200</v>
      </c>
      <c r="G250" s="3" t="s">
        <v>1317</v>
      </c>
      <c r="H250" s="3" t="s">
        <v>1318</v>
      </c>
      <c r="I250" s="3" t="s">
        <v>203</v>
      </c>
      <c r="J250" s="3" t="s">
        <v>204</v>
      </c>
      <c r="K250" s="3" t="s">
        <v>1319</v>
      </c>
      <c r="L250" s="3" t="s">
        <v>1177</v>
      </c>
      <c r="M250" s="3" t="s">
        <v>245</v>
      </c>
      <c r="N250" s="3" t="s">
        <v>208</v>
      </c>
      <c r="O250" s="3" t="s">
        <v>234</v>
      </c>
    </row>
    <row r="251" spans="1:15" ht="33.75" customHeight="1" x14ac:dyDescent="0.3">
      <c r="A251" s="4">
        <v>3452107</v>
      </c>
      <c r="B251" s="4" t="s">
        <v>1320</v>
      </c>
      <c r="C251" s="4" t="s">
        <v>197</v>
      </c>
      <c r="D251" s="4" t="s">
        <v>198</v>
      </c>
      <c r="E251" s="4" t="s">
        <v>227</v>
      </c>
      <c r="F251" s="4" t="s">
        <v>200</v>
      </c>
      <c r="G251" s="4" t="s">
        <v>1321</v>
      </c>
      <c r="H251" s="4" t="s">
        <v>1322</v>
      </c>
      <c r="I251" s="4" t="s">
        <v>203</v>
      </c>
      <c r="J251" s="4" t="s">
        <v>323</v>
      </c>
      <c r="K251" s="4" t="s">
        <v>1323</v>
      </c>
      <c r="L251" s="4" t="s">
        <v>1324</v>
      </c>
      <c r="M251" s="4" t="s">
        <v>233</v>
      </c>
      <c r="N251" s="4" t="s">
        <v>208</v>
      </c>
      <c r="O251" s="4" t="s">
        <v>433</v>
      </c>
    </row>
    <row r="252" spans="1:15" ht="22.5" customHeight="1" x14ac:dyDescent="0.3">
      <c r="A252" s="3">
        <v>3452506</v>
      </c>
      <c r="B252" s="3" t="s">
        <v>1325</v>
      </c>
      <c r="C252" s="3" t="s">
        <v>197</v>
      </c>
      <c r="D252" s="3" t="s">
        <v>198</v>
      </c>
      <c r="E252" s="3" t="s">
        <v>227</v>
      </c>
      <c r="F252" s="3" t="s">
        <v>200</v>
      </c>
      <c r="G252" s="3" t="s">
        <v>1326</v>
      </c>
      <c r="H252" s="3" t="s">
        <v>1327</v>
      </c>
      <c r="I252" s="3" t="s">
        <v>203</v>
      </c>
      <c r="J252" s="3" t="s">
        <v>506</v>
      </c>
      <c r="K252" s="3" t="s">
        <v>1328</v>
      </c>
      <c r="L252" s="3" t="s">
        <v>1329</v>
      </c>
      <c r="M252" s="3" t="s">
        <v>245</v>
      </c>
      <c r="N252" s="3" t="s">
        <v>217</v>
      </c>
      <c r="O252" s="3" t="s">
        <v>433</v>
      </c>
    </row>
    <row r="253" spans="1:15" ht="33.75" customHeight="1" x14ac:dyDescent="0.3">
      <c r="A253" s="4">
        <v>3454460</v>
      </c>
      <c r="B253" s="4" t="s">
        <v>1330</v>
      </c>
      <c r="C253" s="4" t="s">
        <v>197</v>
      </c>
      <c r="D253" s="4" t="s">
        <v>198</v>
      </c>
      <c r="E253" s="4" t="s">
        <v>227</v>
      </c>
      <c r="F253" s="4" t="s">
        <v>888</v>
      </c>
      <c r="G253" s="4" t="s">
        <v>1331</v>
      </c>
      <c r="H253" s="4" t="s">
        <v>1332</v>
      </c>
      <c r="I253" s="4" t="s">
        <v>203</v>
      </c>
      <c r="J253" s="4" t="s">
        <v>204</v>
      </c>
      <c r="K253" s="4" t="s">
        <v>467</v>
      </c>
      <c r="L253" s="4" t="s">
        <v>1333</v>
      </c>
      <c r="M253" s="4" t="s">
        <v>245</v>
      </c>
      <c r="N253" s="4" t="s">
        <v>217</v>
      </c>
      <c r="O253" s="4" t="s">
        <v>234</v>
      </c>
    </row>
    <row r="254" spans="1:15" ht="22.5" customHeight="1" x14ac:dyDescent="0.3">
      <c r="A254" s="3">
        <v>3455920</v>
      </c>
      <c r="B254" s="3" t="s">
        <v>1334</v>
      </c>
      <c r="C254" s="3" t="s">
        <v>197</v>
      </c>
      <c r="D254" s="3" t="s">
        <v>693</v>
      </c>
      <c r="E254" s="3" t="s">
        <v>227</v>
      </c>
      <c r="F254" s="3" t="s">
        <v>413</v>
      </c>
      <c r="G254" s="3" t="s">
        <v>1335</v>
      </c>
      <c r="H254" s="3" t="s">
        <v>1336</v>
      </c>
      <c r="I254" s="3" t="s">
        <v>203</v>
      </c>
      <c r="J254" s="3" t="s">
        <v>253</v>
      </c>
      <c r="K254" s="3" t="s">
        <v>1337</v>
      </c>
      <c r="L254" s="3" t="s">
        <v>1338</v>
      </c>
      <c r="M254" s="3" t="s">
        <v>233</v>
      </c>
      <c r="N254" s="3" t="s">
        <v>217</v>
      </c>
      <c r="O254" s="3" t="s">
        <v>234</v>
      </c>
    </row>
    <row r="255" spans="1:15" ht="22.5" customHeight="1" x14ac:dyDescent="0.3">
      <c r="A255" s="4">
        <v>3458555</v>
      </c>
      <c r="B255" s="4" t="s">
        <v>1339</v>
      </c>
      <c r="C255" s="4" t="s">
        <v>197</v>
      </c>
      <c r="D255" s="4" t="s">
        <v>693</v>
      </c>
      <c r="E255" s="4" t="s">
        <v>227</v>
      </c>
      <c r="F255" s="4" t="s">
        <v>413</v>
      </c>
      <c r="G255" s="4" t="s">
        <v>1340</v>
      </c>
      <c r="H255" s="4" t="s">
        <v>1341</v>
      </c>
      <c r="I255" s="4" t="s">
        <v>203</v>
      </c>
      <c r="J255" s="4" t="s">
        <v>253</v>
      </c>
      <c r="K255" s="4" t="s">
        <v>1342</v>
      </c>
      <c r="L255" s="4" t="s">
        <v>1343</v>
      </c>
      <c r="M255" s="4" t="s">
        <v>245</v>
      </c>
      <c r="N255" s="4" t="s">
        <v>208</v>
      </c>
      <c r="O255" s="4" t="s">
        <v>234</v>
      </c>
    </row>
    <row r="256" spans="1:15" ht="57" customHeight="1" x14ac:dyDescent="0.3">
      <c r="A256" s="3">
        <v>3458652</v>
      </c>
      <c r="B256" s="3" t="s">
        <v>1344</v>
      </c>
      <c r="C256" s="3" t="s">
        <v>197</v>
      </c>
      <c r="D256" s="3" t="s">
        <v>845</v>
      </c>
      <c r="E256" s="3" t="s">
        <v>227</v>
      </c>
      <c r="F256" s="3" t="s">
        <v>413</v>
      </c>
      <c r="G256" s="3" t="s">
        <v>1345</v>
      </c>
      <c r="H256" s="3" t="s">
        <v>1346</v>
      </c>
      <c r="I256" s="3" t="s">
        <v>203</v>
      </c>
      <c r="J256" s="3" t="s">
        <v>253</v>
      </c>
      <c r="K256" s="3" t="s">
        <v>422</v>
      </c>
      <c r="L256" s="3" t="s">
        <v>1343</v>
      </c>
      <c r="M256" s="3" t="s">
        <v>245</v>
      </c>
      <c r="N256" s="3" t="s">
        <v>217</v>
      </c>
      <c r="O256" s="3" t="s">
        <v>234</v>
      </c>
    </row>
    <row r="257" spans="1:15" ht="22.5" customHeight="1" x14ac:dyDescent="0.3">
      <c r="A257" s="4">
        <v>3459519</v>
      </c>
      <c r="B257" s="4" t="s">
        <v>1347</v>
      </c>
      <c r="C257" s="4" t="s">
        <v>197</v>
      </c>
      <c r="D257" s="4" t="s">
        <v>198</v>
      </c>
      <c r="E257" s="4" t="s">
        <v>227</v>
      </c>
      <c r="F257" s="4" t="s">
        <v>200</v>
      </c>
      <c r="G257" s="4" t="s">
        <v>1348</v>
      </c>
      <c r="H257" s="4" t="s">
        <v>1349</v>
      </c>
      <c r="I257" s="4" t="s">
        <v>203</v>
      </c>
      <c r="J257" s="4" t="s">
        <v>214</v>
      </c>
      <c r="K257" s="4" t="s">
        <v>922</v>
      </c>
      <c r="L257" s="4" t="s">
        <v>1032</v>
      </c>
      <c r="M257" s="4" t="s">
        <v>207</v>
      </c>
      <c r="N257" s="4" t="s">
        <v>208</v>
      </c>
      <c r="O257" s="4" t="s">
        <v>418</v>
      </c>
    </row>
    <row r="258" spans="1:15" ht="22.5" customHeight="1" x14ac:dyDescent="0.3">
      <c r="A258" s="3">
        <v>3462013</v>
      </c>
      <c r="B258" s="3" t="s">
        <v>1350</v>
      </c>
      <c r="C258" s="3" t="s">
        <v>197</v>
      </c>
      <c r="D258" s="3" t="s">
        <v>1351</v>
      </c>
      <c r="E258" s="3" t="s">
        <v>227</v>
      </c>
      <c r="F258" s="3" t="s">
        <v>200</v>
      </c>
      <c r="G258" s="3" t="s">
        <v>1352</v>
      </c>
      <c r="H258" s="3" t="s">
        <v>1353</v>
      </c>
      <c r="I258" s="3" t="s">
        <v>203</v>
      </c>
      <c r="J258" s="3" t="s">
        <v>204</v>
      </c>
      <c r="K258" s="3" t="s">
        <v>375</v>
      </c>
      <c r="L258" s="3" t="s">
        <v>1354</v>
      </c>
      <c r="M258" s="3" t="s">
        <v>245</v>
      </c>
      <c r="N258" s="3" t="s">
        <v>217</v>
      </c>
      <c r="O258" s="3" t="s">
        <v>234</v>
      </c>
    </row>
    <row r="259" spans="1:15" ht="22.5" customHeight="1" x14ac:dyDescent="0.3">
      <c r="A259" s="4">
        <v>3465195</v>
      </c>
      <c r="B259" s="4" t="s">
        <v>1355</v>
      </c>
      <c r="C259" s="4" t="s">
        <v>197</v>
      </c>
      <c r="D259" s="4" t="s">
        <v>198</v>
      </c>
      <c r="E259" s="4" t="s">
        <v>227</v>
      </c>
      <c r="F259" s="4" t="s">
        <v>200</v>
      </c>
      <c r="G259" s="4" t="s">
        <v>480</v>
      </c>
      <c r="H259" s="4" t="s">
        <v>1356</v>
      </c>
      <c r="I259" s="4" t="s">
        <v>203</v>
      </c>
      <c r="J259" s="4" t="s">
        <v>214</v>
      </c>
      <c r="K259" s="4" t="s">
        <v>941</v>
      </c>
      <c r="L259" s="4" t="s">
        <v>1357</v>
      </c>
      <c r="M259" s="4" t="s">
        <v>207</v>
      </c>
      <c r="N259" s="4" t="s">
        <v>208</v>
      </c>
      <c r="O259" s="4" t="s">
        <v>234</v>
      </c>
    </row>
    <row r="260" spans="1:15" ht="22.5" customHeight="1" x14ac:dyDescent="0.3">
      <c r="A260" s="3">
        <v>3467201</v>
      </c>
      <c r="B260" s="3" t="s">
        <v>1358</v>
      </c>
      <c r="C260" s="3" t="s">
        <v>197</v>
      </c>
      <c r="D260" s="3" t="s">
        <v>198</v>
      </c>
      <c r="E260" s="3" t="s">
        <v>227</v>
      </c>
      <c r="F260" s="3" t="s">
        <v>200</v>
      </c>
      <c r="G260" s="3" t="s">
        <v>1359</v>
      </c>
      <c r="H260" s="3" t="s">
        <v>784</v>
      </c>
      <c r="I260" s="3" t="s">
        <v>203</v>
      </c>
      <c r="J260" s="3" t="s">
        <v>204</v>
      </c>
      <c r="K260" s="3" t="s">
        <v>785</v>
      </c>
      <c r="L260" s="3" t="s">
        <v>1360</v>
      </c>
      <c r="M260" s="3" t="s">
        <v>233</v>
      </c>
      <c r="N260" s="3" t="s">
        <v>217</v>
      </c>
      <c r="O260" s="3" t="s">
        <v>433</v>
      </c>
    </row>
    <row r="261" spans="1:15" ht="22.5" customHeight="1" x14ac:dyDescent="0.3">
      <c r="A261" s="4">
        <v>3470946</v>
      </c>
      <c r="B261" s="4" t="s">
        <v>1361</v>
      </c>
      <c r="C261" s="4" t="s">
        <v>197</v>
      </c>
      <c r="D261" s="4" t="s">
        <v>198</v>
      </c>
      <c r="E261" s="4" t="s">
        <v>227</v>
      </c>
      <c r="F261" s="4" t="s">
        <v>200</v>
      </c>
      <c r="G261" s="4" t="s">
        <v>1362</v>
      </c>
      <c r="H261" s="4" t="s">
        <v>1363</v>
      </c>
      <c r="I261" s="4" t="s">
        <v>203</v>
      </c>
      <c r="J261" s="4" t="s">
        <v>204</v>
      </c>
      <c r="K261" s="4" t="s">
        <v>1364</v>
      </c>
      <c r="L261" s="4" t="s">
        <v>1365</v>
      </c>
      <c r="M261" s="4" t="s">
        <v>233</v>
      </c>
      <c r="N261" s="4" t="s">
        <v>208</v>
      </c>
      <c r="O261" s="4" t="s">
        <v>433</v>
      </c>
    </row>
    <row r="262" spans="1:15" ht="22.5" customHeight="1" x14ac:dyDescent="0.3">
      <c r="A262" s="3">
        <v>3471284</v>
      </c>
      <c r="B262" s="3" t="s">
        <v>1366</v>
      </c>
      <c r="C262" s="3" t="s">
        <v>197</v>
      </c>
      <c r="D262" s="3" t="s">
        <v>198</v>
      </c>
      <c r="E262" s="3" t="s">
        <v>227</v>
      </c>
      <c r="F262" s="3" t="s">
        <v>200</v>
      </c>
      <c r="G262" s="3" t="s">
        <v>1367</v>
      </c>
      <c r="H262" s="3" t="s">
        <v>1368</v>
      </c>
      <c r="I262" s="3" t="s">
        <v>203</v>
      </c>
      <c r="J262" s="3" t="s">
        <v>204</v>
      </c>
      <c r="K262" s="3" t="s">
        <v>1369</v>
      </c>
      <c r="L262" s="3" t="s">
        <v>975</v>
      </c>
      <c r="M262" s="3" t="s">
        <v>245</v>
      </c>
      <c r="N262" s="3" t="s">
        <v>208</v>
      </c>
      <c r="O262" s="3" t="s">
        <v>418</v>
      </c>
    </row>
    <row r="263" spans="1:15" ht="22.5" customHeight="1" x14ac:dyDescent="0.3">
      <c r="A263" s="4">
        <v>3472892</v>
      </c>
      <c r="B263" s="4" t="s">
        <v>1370</v>
      </c>
      <c r="C263" s="4" t="s">
        <v>197</v>
      </c>
      <c r="D263" s="4" t="s">
        <v>198</v>
      </c>
      <c r="E263" s="4" t="s">
        <v>227</v>
      </c>
      <c r="F263" s="4" t="s">
        <v>200</v>
      </c>
      <c r="G263" s="4" t="s">
        <v>360</v>
      </c>
      <c r="H263" s="4" t="s">
        <v>1371</v>
      </c>
      <c r="I263" s="4" t="s">
        <v>203</v>
      </c>
      <c r="J263" s="4" t="s">
        <v>506</v>
      </c>
      <c r="K263" s="4" t="s">
        <v>540</v>
      </c>
      <c r="L263" s="4" t="s">
        <v>758</v>
      </c>
      <c r="M263" s="4" t="s">
        <v>245</v>
      </c>
      <c r="N263" s="4" t="s">
        <v>217</v>
      </c>
      <c r="O263" s="4" t="s">
        <v>234</v>
      </c>
    </row>
    <row r="264" spans="1:15" ht="22.5" customHeight="1" x14ac:dyDescent="0.3">
      <c r="A264" s="3">
        <v>3477428</v>
      </c>
      <c r="B264" s="3" t="s">
        <v>1372</v>
      </c>
      <c r="C264" s="3" t="s">
        <v>197</v>
      </c>
      <c r="D264" s="3" t="s">
        <v>198</v>
      </c>
      <c r="E264" s="3" t="s">
        <v>227</v>
      </c>
      <c r="F264" s="3" t="s">
        <v>200</v>
      </c>
      <c r="G264" s="3" t="s">
        <v>1373</v>
      </c>
      <c r="H264" s="3" t="s">
        <v>604</v>
      </c>
      <c r="I264" s="3" t="s">
        <v>203</v>
      </c>
      <c r="J264" s="3" t="s">
        <v>204</v>
      </c>
      <c r="K264" s="3" t="s">
        <v>1374</v>
      </c>
      <c r="L264" s="3" t="s">
        <v>1375</v>
      </c>
      <c r="M264" s="3" t="s">
        <v>245</v>
      </c>
      <c r="N264" s="3" t="s">
        <v>217</v>
      </c>
      <c r="O264" s="3" t="s">
        <v>234</v>
      </c>
    </row>
    <row r="265" spans="1:15" ht="33.75" customHeight="1" x14ac:dyDescent="0.3">
      <c r="A265" s="4">
        <v>3478637</v>
      </c>
      <c r="B265" s="4" t="s">
        <v>1376</v>
      </c>
      <c r="C265" s="4" t="s">
        <v>197</v>
      </c>
      <c r="D265" s="4" t="s">
        <v>198</v>
      </c>
      <c r="E265" s="4" t="s">
        <v>227</v>
      </c>
      <c r="F265" s="4" t="s">
        <v>888</v>
      </c>
      <c r="G265" s="4" t="s">
        <v>1377</v>
      </c>
      <c r="H265" s="4" t="s">
        <v>1378</v>
      </c>
      <c r="I265" s="4" t="s">
        <v>203</v>
      </c>
      <c r="J265" s="4" t="s">
        <v>323</v>
      </c>
      <c r="K265" s="4" t="s">
        <v>1379</v>
      </c>
      <c r="L265" s="4" t="s">
        <v>1380</v>
      </c>
      <c r="M265" s="4" t="s">
        <v>245</v>
      </c>
      <c r="N265" s="4" t="s">
        <v>208</v>
      </c>
      <c r="O265" s="4" t="s">
        <v>234</v>
      </c>
    </row>
    <row r="266" spans="1:15" ht="22.5" customHeight="1" x14ac:dyDescent="0.3">
      <c r="A266" s="3">
        <v>3480186</v>
      </c>
      <c r="B266" s="3" t="s">
        <v>1381</v>
      </c>
      <c r="C266" s="3" t="s">
        <v>197</v>
      </c>
      <c r="D266" s="3" t="s">
        <v>198</v>
      </c>
      <c r="E266" s="3" t="s">
        <v>227</v>
      </c>
      <c r="F266" s="3" t="s">
        <v>200</v>
      </c>
      <c r="G266" s="3" t="s">
        <v>1382</v>
      </c>
      <c r="H266" s="3" t="s">
        <v>1383</v>
      </c>
      <c r="I266" s="3" t="s">
        <v>203</v>
      </c>
      <c r="J266" s="3" t="s">
        <v>329</v>
      </c>
      <c r="K266" s="3" t="s">
        <v>1384</v>
      </c>
      <c r="L266" s="3" t="s">
        <v>1385</v>
      </c>
      <c r="M266" s="3" t="s">
        <v>245</v>
      </c>
      <c r="N266" s="3" t="s">
        <v>217</v>
      </c>
      <c r="O266" s="3" t="s">
        <v>444</v>
      </c>
    </row>
    <row r="267" spans="1:15" ht="22.5" customHeight="1" x14ac:dyDescent="0.3">
      <c r="A267" s="4">
        <v>3481735</v>
      </c>
      <c r="B267" s="4" t="s">
        <v>1386</v>
      </c>
      <c r="C267" s="4" t="s">
        <v>197</v>
      </c>
      <c r="D267" s="4" t="s">
        <v>198</v>
      </c>
      <c r="E267" s="4" t="s">
        <v>227</v>
      </c>
      <c r="F267" s="4" t="s">
        <v>200</v>
      </c>
      <c r="G267" s="4" t="s">
        <v>1387</v>
      </c>
      <c r="H267" s="4" t="s">
        <v>736</v>
      </c>
      <c r="I267" s="4" t="s">
        <v>737</v>
      </c>
      <c r="J267" s="4" t="s">
        <v>214</v>
      </c>
      <c r="K267" s="4" t="s">
        <v>738</v>
      </c>
      <c r="L267" s="4" t="s">
        <v>1388</v>
      </c>
      <c r="M267" s="4" t="s">
        <v>245</v>
      </c>
      <c r="N267" s="4" t="s">
        <v>208</v>
      </c>
      <c r="O267" s="4" t="s">
        <v>234</v>
      </c>
    </row>
    <row r="268" spans="1:15" ht="22.5" customHeight="1" x14ac:dyDescent="0.3">
      <c r="A268" s="3">
        <v>3481867</v>
      </c>
      <c r="B268" s="3" t="s">
        <v>1389</v>
      </c>
      <c r="C268" s="3" t="s">
        <v>197</v>
      </c>
      <c r="D268" s="3" t="s">
        <v>198</v>
      </c>
      <c r="E268" s="3" t="s">
        <v>227</v>
      </c>
      <c r="F268" s="3" t="s">
        <v>200</v>
      </c>
      <c r="G268" s="3" t="s">
        <v>1390</v>
      </c>
      <c r="H268" s="3" t="s">
        <v>1233</v>
      </c>
      <c r="I268" s="3" t="s">
        <v>203</v>
      </c>
      <c r="J268" s="3" t="s">
        <v>214</v>
      </c>
      <c r="K268" s="3" t="s">
        <v>1234</v>
      </c>
      <c r="L268" s="3" t="s">
        <v>1391</v>
      </c>
      <c r="M268" s="3" t="s">
        <v>207</v>
      </c>
      <c r="N268" s="3" t="s">
        <v>217</v>
      </c>
      <c r="O268" s="3" t="s">
        <v>234</v>
      </c>
    </row>
    <row r="269" spans="1:15" ht="33.75" customHeight="1" x14ac:dyDescent="0.3">
      <c r="A269" s="4">
        <v>3486850</v>
      </c>
      <c r="B269" s="4" t="s">
        <v>1392</v>
      </c>
      <c r="C269" s="4" t="s">
        <v>197</v>
      </c>
      <c r="D269" s="4" t="s">
        <v>198</v>
      </c>
      <c r="E269" s="4" t="s">
        <v>227</v>
      </c>
      <c r="F269" s="4" t="s">
        <v>888</v>
      </c>
      <c r="G269" s="4" t="s">
        <v>1393</v>
      </c>
      <c r="H269" s="4" t="s">
        <v>1394</v>
      </c>
      <c r="I269" s="4" t="s">
        <v>203</v>
      </c>
      <c r="J269" s="4" t="s">
        <v>329</v>
      </c>
      <c r="K269" s="4" t="s">
        <v>1395</v>
      </c>
      <c r="L269" s="4" t="s">
        <v>1396</v>
      </c>
      <c r="M269" s="4" t="s">
        <v>245</v>
      </c>
      <c r="N269" s="4" t="s">
        <v>208</v>
      </c>
      <c r="O269" s="4" t="s">
        <v>418</v>
      </c>
    </row>
    <row r="270" spans="1:15" ht="22.5" customHeight="1" x14ac:dyDescent="0.3">
      <c r="A270" s="3">
        <v>3486982</v>
      </c>
      <c r="B270" s="3" t="s">
        <v>1397</v>
      </c>
      <c r="C270" s="3" t="s">
        <v>197</v>
      </c>
      <c r="D270" s="3" t="s">
        <v>198</v>
      </c>
      <c r="E270" s="3" t="s">
        <v>227</v>
      </c>
      <c r="F270" s="3" t="s">
        <v>200</v>
      </c>
      <c r="G270" s="3" t="s">
        <v>1398</v>
      </c>
      <c r="H270" s="3" t="s">
        <v>1114</v>
      </c>
      <c r="I270" s="3" t="s">
        <v>203</v>
      </c>
      <c r="J270" s="3" t="s">
        <v>329</v>
      </c>
      <c r="K270" s="3" t="s">
        <v>330</v>
      </c>
      <c r="L270" s="3" t="s">
        <v>1032</v>
      </c>
      <c r="M270" s="3" t="s">
        <v>233</v>
      </c>
      <c r="N270" s="3" t="s">
        <v>208</v>
      </c>
      <c r="O270" s="3" t="s">
        <v>444</v>
      </c>
    </row>
    <row r="271" spans="1:15" ht="22.5" customHeight="1" x14ac:dyDescent="0.3">
      <c r="A271" s="4">
        <v>3487768</v>
      </c>
      <c r="B271" s="4" t="s">
        <v>1399</v>
      </c>
      <c r="C271" s="4" t="s">
        <v>197</v>
      </c>
      <c r="D271" s="4" t="s">
        <v>198</v>
      </c>
      <c r="E271" s="4" t="s">
        <v>227</v>
      </c>
      <c r="F271" s="4" t="s">
        <v>200</v>
      </c>
      <c r="G271" s="4" t="s">
        <v>1400</v>
      </c>
      <c r="H271" s="4" t="s">
        <v>1401</v>
      </c>
      <c r="I271" s="4" t="s">
        <v>203</v>
      </c>
      <c r="J271" s="4" t="s">
        <v>329</v>
      </c>
      <c r="K271" s="4" t="s">
        <v>789</v>
      </c>
      <c r="L271" s="4" t="s">
        <v>396</v>
      </c>
      <c r="M271" s="4" t="s">
        <v>233</v>
      </c>
      <c r="N271" s="4" t="s">
        <v>208</v>
      </c>
      <c r="O271" s="4" t="s">
        <v>433</v>
      </c>
    </row>
    <row r="272" spans="1:15" ht="33.75" customHeight="1" x14ac:dyDescent="0.3">
      <c r="A272" s="3">
        <v>3496104</v>
      </c>
      <c r="B272" s="3" t="s">
        <v>1402</v>
      </c>
      <c r="C272" s="3" t="s">
        <v>197</v>
      </c>
      <c r="D272" s="3" t="s">
        <v>494</v>
      </c>
      <c r="E272" s="3" t="s">
        <v>227</v>
      </c>
      <c r="F272" s="3" t="s">
        <v>200</v>
      </c>
      <c r="G272" s="3" t="s">
        <v>1403</v>
      </c>
      <c r="H272" s="3" t="s">
        <v>1404</v>
      </c>
      <c r="I272" s="3" t="s">
        <v>203</v>
      </c>
      <c r="J272" s="3" t="s">
        <v>323</v>
      </c>
      <c r="K272" s="3" t="s">
        <v>1405</v>
      </c>
      <c r="L272" s="3" t="s">
        <v>1406</v>
      </c>
      <c r="M272" s="3" t="s">
        <v>245</v>
      </c>
      <c r="N272" s="3" t="s">
        <v>217</v>
      </c>
      <c r="O272" s="3" t="s">
        <v>234</v>
      </c>
    </row>
    <row r="273" spans="1:15" ht="22.5" customHeight="1" x14ac:dyDescent="0.3">
      <c r="A273" s="4">
        <v>3504840</v>
      </c>
      <c r="B273" s="4" t="s">
        <v>1407</v>
      </c>
      <c r="C273" s="4" t="s">
        <v>197</v>
      </c>
      <c r="D273" s="4" t="s">
        <v>198</v>
      </c>
      <c r="E273" s="4" t="s">
        <v>227</v>
      </c>
      <c r="F273" s="4" t="s">
        <v>200</v>
      </c>
      <c r="G273" s="4" t="s">
        <v>1408</v>
      </c>
      <c r="H273" s="4" t="s">
        <v>1409</v>
      </c>
      <c r="I273" s="4" t="s">
        <v>203</v>
      </c>
      <c r="J273" s="4" t="s">
        <v>204</v>
      </c>
      <c r="K273" s="4" t="s">
        <v>375</v>
      </c>
      <c r="L273" s="4" t="s">
        <v>1410</v>
      </c>
      <c r="M273" s="4" t="s">
        <v>245</v>
      </c>
      <c r="N273" s="4" t="s">
        <v>217</v>
      </c>
      <c r="O273" s="4" t="s">
        <v>234</v>
      </c>
    </row>
    <row r="274" spans="1:15" ht="57" customHeight="1" x14ac:dyDescent="0.3">
      <c r="A274" s="3">
        <v>3516377</v>
      </c>
      <c r="B274" s="3" t="s">
        <v>1411</v>
      </c>
      <c r="C274" s="3" t="s">
        <v>197</v>
      </c>
      <c r="D274" s="3" t="s">
        <v>572</v>
      </c>
      <c r="E274" s="3" t="s">
        <v>227</v>
      </c>
      <c r="F274" s="3" t="s">
        <v>200</v>
      </c>
      <c r="G274" s="3" t="s">
        <v>1412</v>
      </c>
      <c r="H274" s="3" t="s">
        <v>1413</v>
      </c>
      <c r="I274" s="3" t="s">
        <v>203</v>
      </c>
      <c r="J274" s="3" t="s">
        <v>204</v>
      </c>
      <c r="K274" s="3" t="s">
        <v>793</v>
      </c>
      <c r="L274" s="3" t="s">
        <v>1414</v>
      </c>
      <c r="M274" s="3" t="s">
        <v>245</v>
      </c>
      <c r="N274" s="3" t="s">
        <v>217</v>
      </c>
      <c r="O274" s="3" t="s">
        <v>433</v>
      </c>
    </row>
    <row r="275" spans="1:15" ht="125.25" customHeight="1" x14ac:dyDescent="0.3">
      <c r="A275" s="4">
        <v>3519570</v>
      </c>
      <c r="B275" s="4" t="s">
        <v>1415</v>
      </c>
      <c r="C275" s="4" t="s">
        <v>197</v>
      </c>
      <c r="D275" s="4" t="s">
        <v>1416</v>
      </c>
      <c r="E275" s="4" t="s">
        <v>227</v>
      </c>
      <c r="F275" s="4" t="s">
        <v>200</v>
      </c>
      <c r="G275" s="4" t="s">
        <v>1417</v>
      </c>
      <c r="H275" s="4" t="s">
        <v>1418</v>
      </c>
      <c r="I275" s="4" t="s">
        <v>203</v>
      </c>
      <c r="J275" s="4" t="s">
        <v>506</v>
      </c>
      <c r="K275" s="4" t="s">
        <v>540</v>
      </c>
      <c r="L275" s="4" t="s">
        <v>1177</v>
      </c>
      <c r="M275" s="4" t="s">
        <v>245</v>
      </c>
      <c r="N275" s="4" t="s">
        <v>208</v>
      </c>
      <c r="O275" s="4" t="s">
        <v>234</v>
      </c>
    </row>
    <row r="276" spans="1:15" ht="22.5" customHeight="1" x14ac:dyDescent="0.3">
      <c r="A276" s="3">
        <v>3526399</v>
      </c>
      <c r="B276" s="3" t="s">
        <v>1419</v>
      </c>
      <c r="C276" s="3" t="s">
        <v>197</v>
      </c>
      <c r="D276" s="3" t="s">
        <v>693</v>
      </c>
      <c r="E276" s="3" t="s">
        <v>227</v>
      </c>
      <c r="F276" s="3" t="s">
        <v>413</v>
      </c>
      <c r="G276" s="3" t="s">
        <v>1335</v>
      </c>
      <c r="H276" s="3" t="s">
        <v>1346</v>
      </c>
      <c r="I276" s="3" t="s">
        <v>203</v>
      </c>
      <c r="J276" s="3" t="s">
        <v>253</v>
      </c>
      <c r="K276" s="3" t="s">
        <v>422</v>
      </c>
      <c r="L276" s="3" t="s">
        <v>1420</v>
      </c>
      <c r="M276" s="3" t="s">
        <v>245</v>
      </c>
      <c r="N276" s="3" t="s">
        <v>208</v>
      </c>
      <c r="O276" s="3" t="s">
        <v>444</v>
      </c>
    </row>
    <row r="277" spans="1:15" ht="33.75" customHeight="1" x14ac:dyDescent="0.3">
      <c r="A277" s="4">
        <v>3527018</v>
      </c>
      <c r="B277" s="4" t="s">
        <v>1421</v>
      </c>
      <c r="C277" s="4" t="s">
        <v>197</v>
      </c>
      <c r="D277" s="4" t="s">
        <v>693</v>
      </c>
      <c r="E277" s="4" t="s">
        <v>227</v>
      </c>
      <c r="F277" s="4" t="s">
        <v>413</v>
      </c>
      <c r="G277" s="4" t="s">
        <v>1335</v>
      </c>
      <c r="H277" s="4" t="s">
        <v>1422</v>
      </c>
      <c r="I277" s="4" t="s">
        <v>203</v>
      </c>
      <c r="J277" s="4" t="s">
        <v>253</v>
      </c>
      <c r="K277" s="4" t="s">
        <v>1423</v>
      </c>
      <c r="L277" s="4" t="s">
        <v>1424</v>
      </c>
      <c r="M277" s="4" t="s">
        <v>245</v>
      </c>
      <c r="N277" s="4" t="s">
        <v>208</v>
      </c>
      <c r="O277" s="4" t="s">
        <v>234</v>
      </c>
    </row>
    <row r="278" spans="1:15" ht="22.5" customHeight="1" x14ac:dyDescent="0.3">
      <c r="A278" s="3">
        <v>3527328</v>
      </c>
      <c r="B278" s="3" t="s">
        <v>1425</v>
      </c>
      <c r="C278" s="3" t="s">
        <v>197</v>
      </c>
      <c r="D278" s="3" t="s">
        <v>198</v>
      </c>
      <c r="E278" s="3" t="s">
        <v>227</v>
      </c>
      <c r="F278" s="3" t="s">
        <v>413</v>
      </c>
      <c r="G278" s="3" t="s">
        <v>1426</v>
      </c>
      <c r="H278" s="3" t="s">
        <v>1427</v>
      </c>
      <c r="I278" s="3" t="s">
        <v>203</v>
      </c>
      <c r="J278" s="3" t="s">
        <v>253</v>
      </c>
      <c r="K278" s="3" t="s">
        <v>1428</v>
      </c>
      <c r="L278" s="3" t="s">
        <v>1306</v>
      </c>
      <c r="M278" s="3" t="s">
        <v>233</v>
      </c>
      <c r="N278" s="3" t="s">
        <v>208</v>
      </c>
      <c r="O278" s="3" t="s">
        <v>433</v>
      </c>
    </row>
    <row r="279" spans="1:15" ht="102" customHeight="1" x14ac:dyDescent="0.3">
      <c r="A279" s="4">
        <v>3527808</v>
      </c>
      <c r="B279" s="4" t="s">
        <v>1429</v>
      </c>
      <c r="C279" s="4" t="s">
        <v>197</v>
      </c>
      <c r="D279" s="4" t="s">
        <v>280</v>
      </c>
      <c r="E279" s="4" t="s">
        <v>227</v>
      </c>
      <c r="F279" s="4" t="s">
        <v>413</v>
      </c>
      <c r="G279" s="4" t="s">
        <v>1430</v>
      </c>
      <c r="H279" s="4" t="s">
        <v>1431</v>
      </c>
      <c r="I279" s="4" t="s">
        <v>203</v>
      </c>
      <c r="J279" s="4" t="s">
        <v>323</v>
      </c>
      <c r="K279" s="4" t="s">
        <v>1432</v>
      </c>
      <c r="L279" s="4" t="s">
        <v>1433</v>
      </c>
      <c r="M279" s="4" t="s">
        <v>207</v>
      </c>
      <c r="N279" s="4" t="s">
        <v>217</v>
      </c>
      <c r="O279" s="4" t="s">
        <v>234</v>
      </c>
    </row>
    <row r="280" spans="1:15" ht="79.5" customHeight="1" x14ac:dyDescent="0.3">
      <c r="A280" s="3">
        <v>3530221</v>
      </c>
      <c r="B280" s="3" t="s">
        <v>1434</v>
      </c>
      <c r="C280" s="3" t="s">
        <v>197</v>
      </c>
      <c r="D280" s="3" t="s">
        <v>548</v>
      </c>
      <c r="E280" s="3" t="s">
        <v>227</v>
      </c>
      <c r="F280" s="3" t="s">
        <v>413</v>
      </c>
      <c r="G280" s="3" t="s">
        <v>1435</v>
      </c>
      <c r="H280" s="3" t="s">
        <v>1436</v>
      </c>
      <c r="I280" s="3" t="s">
        <v>203</v>
      </c>
      <c r="J280" s="3" t="s">
        <v>323</v>
      </c>
      <c r="K280" s="3" t="s">
        <v>1432</v>
      </c>
      <c r="L280" s="3" t="s">
        <v>1437</v>
      </c>
      <c r="M280" s="3" t="s">
        <v>207</v>
      </c>
      <c r="N280" s="3" t="s">
        <v>217</v>
      </c>
      <c r="O280" s="3" t="s">
        <v>234</v>
      </c>
    </row>
    <row r="281" spans="1:15" ht="22.5" customHeight="1" x14ac:dyDescent="0.3">
      <c r="A281" s="4">
        <v>3538656</v>
      </c>
      <c r="B281" s="4" t="s">
        <v>1438</v>
      </c>
      <c r="C281" s="4" t="s">
        <v>197</v>
      </c>
      <c r="D281" s="4" t="s">
        <v>198</v>
      </c>
      <c r="E281" s="4" t="s">
        <v>227</v>
      </c>
      <c r="F281" s="4" t="s">
        <v>200</v>
      </c>
      <c r="G281" s="4" t="s">
        <v>1439</v>
      </c>
      <c r="H281" s="4" t="s">
        <v>1440</v>
      </c>
      <c r="I281" s="4" t="s">
        <v>203</v>
      </c>
      <c r="J281" s="4" t="s">
        <v>214</v>
      </c>
      <c r="K281" s="4" t="s">
        <v>635</v>
      </c>
      <c r="L281" s="4" t="s">
        <v>1441</v>
      </c>
      <c r="M281" s="4" t="s">
        <v>245</v>
      </c>
      <c r="N281" s="4" t="s">
        <v>208</v>
      </c>
      <c r="O281" s="4" t="s">
        <v>234</v>
      </c>
    </row>
    <row r="282" spans="1:15" ht="22.5" customHeight="1" x14ac:dyDescent="0.3">
      <c r="A282" s="3">
        <v>3539342</v>
      </c>
      <c r="B282" s="3" t="s">
        <v>1442</v>
      </c>
      <c r="C282" s="3" t="s">
        <v>197</v>
      </c>
      <c r="D282" s="3" t="s">
        <v>198</v>
      </c>
      <c r="E282" s="3" t="s">
        <v>227</v>
      </c>
      <c r="F282" s="3" t="s">
        <v>200</v>
      </c>
      <c r="G282" s="3" t="s">
        <v>1443</v>
      </c>
      <c r="H282" s="3" t="s">
        <v>1444</v>
      </c>
      <c r="I282" s="3" t="s">
        <v>203</v>
      </c>
      <c r="J282" s="3" t="s">
        <v>323</v>
      </c>
      <c r="K282" s="3" t="s">
        <v>1445</v>
      </c>
      <c r="L282" s="3" t="s">
        <v>1446</v>
      </c>
      <c r="M282" s="3" t="s">
        <v>207</v>
      </c>
      <c r="N282" s="3" t="s">
        <v>208</v>
      </c>
      <c r="O282" s="3" t="s">
        <v>444</v>
      </c>
    </row>
    <row r="283" spans="1:15" ht="33.75" customHeight="1" x14ac:dyDescent="0.3">
      <c r="A283" s="4">
        <v>3552330</v>
      </c>
      <c r="B283" s="4" t="s">
        <v>1447</v>
      </c>
      <c r="C283" s="4" t="s">
        <v>197</v>
      </c>
      <c r="D283" s="4" t="s">
        <v>198</v>
      </c>
      <c r="E283" s="4" t="s">
        <v>227</v>
      </c>
      <c r="F283" s="4" t="s">
        <v>888</v>
      </c>
      <c r="G283" s="4" t="s">
        <v>1448</v>
      </c>
      <c r="H283" s="4" t="s">
        <v>1449</v>
      </c>
      <c r="I283" s="4" t="s">
        <v>203</v>
      </c>
      <c r="J283" s="4" t="s">
        <v>204</v>
      </c>
      <c r="K283" s="4" t="s">
        <v>1450</v>
      </c>
      <c r="L283" s="4" t="s">
        <v>1451</v>
      </c>
      <c r="M283" s="4" t="s">
        <v>233</v>
      </c>
      <c r="N283" s="4" t="s">
        <v>217</v>
      </c>
      <c r="O283" s="4" t="s">
        <v>234</v>
      </c>
    </row>
    <row r="284" spans="1:15" ht="22.5" customHeight="1" x14ac:dyDescent="0.3">
      <c r="A284" s="3">
        <v>3553051</v>
      </c>
      <c r="B284" s="3" t="s">
        <v>1452</v>
      </c>
      <c r="C284" s="3" t="s">
        <v>197</v>
      </c>
      <c r="D284" s="3" t="s">
        <v>198</v>
      </c>
      <c r="E284" s="3" t="s">
        <v>227</v>
      </c>
      <c r="F284" s="3" t="s">
        <v>200</v>
      </c>
      <c r="G284" s="3" t="s">
        <v>1453</v>
      </c>
      <c r="H284" s="3" t="s">
        <v>1454</v>
      </c>
      <c r="I284" s="3" t="s">
        <v>203</v>
      </c>
      <c r="J284" s="3" t="s">
        <v>506</v>
      </c>
      <c r="K284" s="3" t="s">
        <v>1455</v>
      </c>
      <c r="L284" s="3" t="s">
        <v>1456</v>
      </c>
      <c r="M284" s="3" t="s">
        <v>245</v>
      </c>
      <c r="N284" s="3" t="s">
        <v>217</v>
      </c>
      <c r="O284" s="3" t="s">
        <v>418</v>
      </c>
    </row>
    <row r="285" spans="1:15" ht="22.5" customHeight="1" x14ac:dyDescent="0.3">
      <c r="A285" s="4">
        <v>3555933</v>
      </c>
      <c r="B285" s="4" t="s">
        <v>1457</v>
      </c>
      <c r="C285" s="4" t="s">
        <v>197</v>
      </c>
      <c r="D285" s="4"/>
      <c r="E285" s="4" t="s">
        <v>227</v>
      </c>
      <c r="F285" s="4" t="s">
        <v>200</v>
      </c>
      <c r="G285" s="4" t="s">
        <v>1458</v>
      </c>
      <c r="H285" s="4" t="s">
        <v>1459</v>
      </c>
      <c r="I285" s="4" t="s">
        <v>203</v>
      </c>
      <c r="J285" s="4" t="s">
        <v>204</v>
      </c>
      <c r="K285" s="4" t="s">
        <v>1110</v>
      </c>
      <c r="L285" s="4" t="s">
        <v>331</v>
      </c>
      <c r="M285" s="4" t="s">
        <v>207</v>
      </c>
      <c r="N285" s="4" t="s">
        <v>208</v>
      </c>
      <c r="O285" s="4" t="s">
        <v>234</v>
      </c>
    </row>
    <row r="286" spans="1:15" ht="22.5" customHeight="1" x14ac:dyDescent="0.3">
      <c r="A286" s="3">
        <v>3560643</v>
      </c>
      <c r="B286" s="3" t="s">
        <v>1460</v>
      </c>
      <c r="C286" s="3" t="s">
        <v>197</v>
      </c>
      <c r="D286" s="3" t="s">
        <v>198</v>
      </c>
      <c r="E286" s="3" t="s">
        <v>227</v>
      </c>
      <c r="F286" s="3" t="s">
        <v>200</v>
      </c>
      <c r="G286" s="3" t="s">
        <v>1461</v>
      </c>
      <c r="H286" s="3" t="s">
        <v>1462</v>
      </c>
      <c r="I286" s="3" t="s">
        <v>203</v>
      </c>
      <c r="J286" s="3" t="s">
        <v>214</v>
      </c>
      <c r="K286" s="3" t="s">
        <v>941</v>
      </c>
      <c r="L286" s="3" t="s">
        <v>1463</v>
      </c>
      <c r="M286" s="3" t="s">
        <v>245</v>
      </c>
      <c r="N286" s="3" t="s">
        <v>208</v>
      </c>
      <c r="O286" s="3" t="s">
        <v>234</v>
      </c>
    </row>
    <row r="287" spans="1:15" ht="22.5" customHeight="1" x14ac:dyDescent="0.3">
      <c r="A287" s="4">
        <v>3571610</v>
      </c>
      <c r="B287" s="4" t="s">
        <v>1464</v>
      </c>
      <c r="C287" s="4" t="s">
        <v>197</v>
      </c>
      <c r="D287" s="4" t="s">
        <v>198</v>
      </c>
      <c r="E287" s="4" t="s">
        <v>227</v>
      </c>
      <c r="F287" s="4" t="s">
        <v>200</v>
      </c>
      <c r="G287" s="4" t="s">
        <v>1465</v>
      </c>
      <c r="H287" s="4" t="s">
        <v>1466</v>
      </c>
      <c r="I287" s="4" t="s">
        <v>203</v>
      </c>
      <c r="J287" s="4" t="s">
        <v>214</v>
      </c>
      <c r="K287" s="4" t="s">
        <v>1467</v>
      </c>
      <c r="L287" s="4" t="s">
        <v>871</v>
      </c>
      <c r="M287" s="4" t="s">
        <v>233</v>
      </c>
      <c r="N287" s="4" t="s">
        <v>208</v>
      </c>
      <c r="O287" s="4" t="s">
        <v>444</v>
      </c>
    </row>
    <row r="288" spans="1:15" ht="79.5" customHeight="1" x14ac:dyDescent="0.3">
      <c r="A288" s="3">
        <v>3573958</v>
      </c>
      <c r="B288" s="3" t="s">
        <v>1468</v>
      </c>
      <c r="C288" s="3" t="s">
        <v>197</v>
      </c>
      <c r="D288" s="3" t="s">
        <v>320</v>
      </c>
      <c r="E288" s="3" t="s">
        <v>227</v>
      </c>
      <c r="F288" s="3" t="s">
        <v>200</v>
      </c>
      <c r="G288" s="3" t="s">
        <v>1469</v>
      </c>
      <c r="H288" s="3" t="s">
        <v>1470</v>
      </c>
      <c r="I288" s="3" t="s">
        <v>203</v>
      </c>
      <c r="J288" s="3" t="s">
        <v>204</v>
      </c>
      <c r="K288" s="3" t="s">
        <v>1471</v>
      </c>
      <c r="L288" s="3" t="s">
        <v>249</v>
      </c>
      <c r="M288" s="3" t="s">
        <v>245</v>
      </c>
      <c r="N288" s="3" t="s">
        <v>208</v>
      </c>
      <c r="O288" s="3" t="s">
        <v>433</v>
      </c>
    </row>
    <row r="289" spans="1:15" ht="22.5" customHeight="1" x14ac:dyDescent="0.3">
      <c r="A289" s="4">
        <v>3574687</v>
      </c>
      <c r="B289" s="4" t="s">
        <v>1472</v>
      </c>
      <c r="C289" s="4" t="s">
        <v>197</v>
      </c>
      <c r="D289" s="4" t="s">
        <v>198</v>
      </c>
      <c r="E289" s="4" t="s">
        <v>227</v>
      </c>
      <c r="F289" s="4" t="s">
        <v>200</v>
      </c>
      <c r="G289" s="4" t="s">
        <v>1473</v>
      </c>
      <c r="H289" s="4" t="s">
        <v>1474</v>
      </c>
      <c r="I289" s="4" t="s">
        <v>203</v>
      </c>
      <c r="J289" s="4" t="s">
        <v>204</v>
      </c>
      <c r="K289" s="4" t="s">
        <v>416</v>
      </c>
      <c r="L289" s="4" t="s">
        <v>1475</v>
      </c>
      <c r="M289" s="4" t="s">
        <v>207</v>
      </c>
      <c r="N289" s="4" t="s">
        <v>208</v>
      </c>
      <c r="O289" s="4" t="s">
        <v>418</v>
      </c>
    </row>
    <row r="290" spans="1:15" ht="57" customHeight="1" x14ac:dyDescent="0.3">
      <c r="A290" s="3">
        <v>3575357</v>
      </c>
      <c r="B290" s="3" t="s">
        <v>1476</v>
      </c>
      <c r="C290" s="3" t="s">
        <v>197</v>
      </c>
      <c r="D290" s="3" t="s">
        <v>845</v>
      </c>
      <c r="E290" s="3" t="s">
        <v>227</v>
      </c>
      <c r="F290" s="3" t="s">
        <v>200</v>
      </c>
      <c r="G290" s="3" t="s">
        <v>818</v>
      </c>
      <c r="H290" s="3" t="s">
        <v>884</v>
      </c>
      <c r="I290" s="3" t="s">
        <v>203</v>
      </c>
      <c r="J290" s="3" t="s">
        <v>329</v>
      </c>
      <c r="K290" s="3" t="s">
        <v>1477</v>
      </c>
      <c r="L290" s="3" t="s">
        <v>1478</v>
      </c>
      <c r="M290" s="3" t="s">
        <v>245</v>
      </c>
      <c r="N290" s="3" t="s">
        <v>208</v>
      </c>
      <c r="O290" s="3" t="s">
        <v>234</v>
      </c>
    </row>
    <row r="291" spans="1:15" ht="33.75" customHeight="1" x14ac:dyDescent="0.3">
      <c r="A291" s="4">
        <v>3576930</v>
      </c>
      <c r="B291" s="4" t="s">
        <v>1479</v>
      </c>
      <c r="C291" s="4" t="s">
        <v>197</v>
      </c>
      <c r="D291" s="4" t="s">
        <v>220</v>
      </c>
      <c r="E291" s="4" t="s">
        <v>227</v>
      </c>
      <c r="F291" s="4" t="s">
        <v>200</v>
      </c>
      <c r="G291" s="4" t="s">
        <v>1480</v>
      </c>
      <c r="H291" s="4" t="s">
        <v>1481</v>
      </c>
      <c r="I291" s="4" t="s">
        <v>203</v>
      </c>
      <c r="J291" s="4" t="s">
        <v>323</v>
      </c>
      <c r="K291" s="4" t="s">
        <v>1482</v>
      </c>
      <c r="L291" s="4" t="s">
        <v>1483</v>
      </c>
      <c r="M291" s="4" t="s">
        <v>245</v>
      </c>
      <c r="N291" s="4" t="s">
        <v>208</v>
      </c>
      <c r="O291" s="4" t="s">
        <v>234</v>
      </c>
    </row>
    <row r="292" spans="1:15" ht="22.5" customHeight="1" x14ac:dyDescent="0.3">
      <c r="A292" s="3">
        <v>3578283</v>
      </c>
      <c r="B292" s="3" t="s">
        <v>1484</v>
      </c>
      <c r="C292" s="3" t="s">
        <v>197</v>
      </c>
      <c r="D292" s="3" t="s">
        <v>198</v>
      </c>
      <c r="E292" s="3" t="s">
        <v>227</v>
      </c>
      <c r="F292" s="3" t="s">
        <v>200</v>
      </c>
      <c r="G292" s="3" t="s">
        <v>1485</v>
      </c>
      <c r="H292" s="3" t="s">
        <v>1486</v>
      </c>
      <c r="I292" s="3" t="s">
        <v>203</v>
      </c>
      <c r="J292" s="3" t="s">
        <v>214</v>
      </c>
      <c r="K292" s="3" t="s">
        <v>482</v>
      </c>
      <c r="L292" s="3" t="s">
        <v>1487</v>
      </c>
      <c r="M292" s="3" t="s">
        <v>207</v>
      </c>
      <c r="N292" s="3" t="s">
        <v>217</v>
      </c>
      <c r="O292" s="3" t="s">
        <v>234</v>
      </c>
    </row>
    <row r="293" spans="1:15" ht="79.5" customHeight="1" x14ac:dyDescent="0.3">
      <c r="A293" s="4">
        <v>3582698</v>
      </c>
      <c r="B293" s="4" t="s">
        <v>1488</v>
      </c>
      <c r="C293" s="4" t="s">
        <v>197</v>
      </c>
      <c r="D293" s="4" t="s">
        <v>320</v>
      </c>
      <c r="E293" s="4" t="s">
        <v>227</v>
      </c>
      <c r="F293" s="4" t="s">
        <v>200</v>
      </c>
      <c r="G293" s="4" t="s">
        <v>1489</v>
      </c>
      <c r="H293" s="4" t="s">
        <v>1490</v>
      </c>
      <c r="I293" s="4" t="s">
        <v>203</v>
      </c>
      <c r="J293" s="4" t="s">
        <v>266</v>
      </c>
      <c r="K293" s="4" t="s">
        <v>442</v>
      </c>
      <c r="L293" s="4" t="s">
        <v>1491</v>
      </c>
      <c r="M293" s="4" t="s">
        <v>245</v>
      </c>
      <c r="N293" s="4" t="s">
        <v>208</v>
      </c>
      <c r="O293" s="4" t="s">
        <v>418</v>
      </c>
    </row>
    <row r="294" spans="1:15" ht="22.5" customHeight="1" x14ac:dyDescent="0.3">
      <c r="A294" s="3">
        <v>3584763</v>
      </c>
      <c r="B294" s="3" t="s">
        <v>1492</v>
      </c>
      <c r="C294" s="3" t="s">
        <v>197</v>
      </c>
      <c r="D294" s="3" t="s">
        <v>198</v>
      </c>
      <c r="E294" s="3" t="s">
        <v>227</v>
      </c>
      <c r="F294" s="3" t="s">
        <v>200</v>
      </c>
      <c r="G294" s="3" t="s">
        <v>553</v>
      </c>
      <c r="H294" s="3" t="s">
        <v>1493</v>
      </c>
      <c r="I294" s="3" t="s">
        <v>203</v>
      </c>
      <c r="J294" s="3" t="s">
        <v>266</v>
      </c>
      <c r="K294" s="3" t="s">
        <v>555</v>
      </c>
      <c r="L294" s="3" t="s">
        <v>1494</v>
      </c>
      <c r="M294" s="3" t="s">
        <v>245</v>
      </c>
      <c r="N294" s="3" t="s">
        <v>208</v>
      </c>
      <c r="O294" s="3" t="s">
        <v>234</v>
      </c>
    </row>
    <row r="295" spans="1:15" ht="22.5" customHeight="1" x14ac:dyDescent="0.3">
      <c r="A295" s="4">
        <v>3591522</v>
      </c>
      <c r="B295" s="4" t="s">
        <v>1495</v>
      </c>
      <c r="C295" s="4" t="s">
        <v>197</v>
      </c>
      <c r="D295" s="4" t="s">
        <v>198</v>
      </c>
      <c r="E295" s="4" t="s">
        <v>227</v>
      </c>
      <c r="F295" s="4" t="s">
        <v>200</v>
      </c>
      <c r="G295" s="4" t="s">
        <v>1496</v>
      </c>
      <c r="H295" s="4" t="s">
        <v>1497</v>
      </c>
      <c r="I295" s="4" t="s">
        <v>203</v>
      </c>
      <c r="J295" s="4" t="s">
        <v>345</v>
      </c>
      <c r="K295" s="4" t="s">
        <v>594</v>
      </c>
      <c r="L295" s="4" t="s">
        <v>1441</v>
      </c>
      <c r="M295" s="4" t="s">
        <v>245</v>
      </c>
      <c r="N295" s="4" t="s">
        <v>217</v>
      </c>
      <c r="O295" s="4" t="s">
        <v>234</v>
      </c>
    </row>
    <row r="296" spans="1:15" ht="22.5" customHeight="1" x14ac:dyDescent="0.3">
      <c r="A296" s="3">
        <v>3593053</v>
      </c>
      <c r="B296" s="3" t="s">
        <v>1498</v>
      </c>
      <c r="C296" s="3" t="s">
        <v>197</v>
      </c>
      <c r="D296" s="3" t="s">
        <v>198</v>
      </c>
      <c r="E296" s="3" t="s">
        <v>227</v>
      </c>
      <c r="F296" s="3" t="s">
        <v>200</v>
      </c>
      <c r="G296" s="3" t="s">
        <v>1499</v>
      </c>
      <c r="H296" s="3" t="s">
        <v>1500</v>
      </c>
      <c r="I296" s="3" t="s">
        <v>203</v>
      </c>
      <c r="J296" s="3" t="s">
        <v>214</v>
      </c>
      <c r="K296" s="3" t="s">
        <v>427</v>
      </c>
      <c r="L296" s="3" t="s">
        <v>1343</v>
      </c>
      <c r="M296" s="3" t="s">
        <v>207</v>
      </c>
      <c r="N296" s="3" t="s">
        <v>208</v>
      </c>
      <c r="O296" s="3" t="s">
        <v>234</v>
      </c>
    </row>
    <row r="297" spans="1:15" ht="22.5" customHeight="1" x14ac:dyDescent="0.3">
      <c r="A297" s="4">
        <v>3594505</v>
      </c>
      <c r="B297" s="4" t="s">
        <v>1501</v>
      </c>
      <c r="C297" s="4" t="s">
        <v>197</v>
      </c>
      <c r="D297" s="4" t="s">
        <v>198</v>
      </c>
      <c r="E297" s="4" t="s">
        <v>227</v>
      </c>
      <c r="F297" s="4" t="s">
        <v>200</v>
      </c>
      <c r="G297" s="4" t="s">
        <v>1502</v>
      </c>
      <c r="H297" s="4" t="s">
        <v>736</v>
      </c>
      <c r="I297" s="4" t="s">
        <v>737</v>
      </c>
      <c r="J297" s="4" t="s">
        <v>214</v>
      </c>
      <c r="K297" s="4" t="s">
        <v>738</v>
      </c>
      <c r="L297" s="4" t="s">
        <v>1503</v>
      </c>
      <c r="M297" s="4" t="s">
        <v>207</v>
      </c>
      <c r="N297" s="4" t="s">
        <v>217</v>
      </c>
      <c r="O297" s="4" t="s">
        <v>234</v>
      </c>
    </row>
    <row r="298" spans="1:15" ht="22.5" customHeight="1" x14ac:dyDescent="0.3">
      <c r="A298" s="3">
        <v>3599523</v>
      </c>
      <c r="B298" s="3" t="s">
        <v>1504</v>
      </c>
      <c r="C298" s="3" t="s">
        <v>197</v>
      </c>
      <c r="D298" s="3" t="s">
        <v>198</v>
      </c>
      <c r="E298" s="3" t="s">
        <v>227</v>
      </c>
      <c r="F298" s="3" t="s">
        <v>578</v>
      </c>
      <c r="G298" s="3" t="s">
        <v>1505</v>
      </c>
      <c r="H298" s="3" t="s">
        <v>1506</v>
      </c>
      <c r="I298" s="3" t="s">
        <v>203</v>
      </c>
      <c r="J298" s="3" t="s">
        <v>214</v>
      </c>
      <c r="K298" s="3" t="s">
        <v>1507</v>
      </c>
      <c r="L298" s="3" t="s">
        <v>1211</v>
      </c>
      <c r="M298" s="3" t="s">
        <v>245</v>
      </c>
      <c r="N298" s="3" t="s">
        <v>217</v>
      </c>
      <c r="O298" s="3" t="s">
        <v>234</v>
      </c>
    </row>
    <row r="299" spans="1:15" ht="22.5" customHeight="1" x14ac:dyDescent="0.3">
      <c r="A299" s="4">
        <v>3601447</v>
      </c>
      <c r="B299" s="4" t="s">
        <v>1508</v>
      </c>
      <c r="C299" s="4" t="s">
        <v>197</v>
      </c>
      <c r="D299" s="4" t="s">
        <v>198</v>
      </c>
      <c r="E299" s="4" t="s">
        <v>227</v>
      </c>
      <c r="F299" s="4" t="s">
        <v>200</v>
      </c>
      <c r="G299" s="4" t="s">
        <v>1509</v>
      </c>
      <c r="H299" s="4" t="s">
        <v>1510</v>
      </c>
      <c r="I299" s="4" t="s">
        <v>203</v>
      </c>
      <c r="J299" s="4" t="s">
        <v>214</v>
      </c>
      <c r="K299" s="4" t="s">
        <v>1511</v>
      </c>
      <c r="L299" s="4" t="s">
        <v>1512</v>
      </c>
      <c r="M299" s="4" t="s">
        <v>207</v>
      </c>
      <c r="N299" s="4" t="s">
        <v>217</v>
      </c>
      <c r="O299" s="4" t="s">
        <v>444</v>
      </c>
    </row>
    <row r="300" spans="1:15" ht="22.5" customHeight="1" x14ac:dyDescent="0.3">
      <c r="A300" s="3">
        <v>3602915</v>
      </c>
      <c r="B300" s="3" t="s">
        <v>1513</v>
      </c>
      <c r="C300" s="3" t="s">
        <v>197</v>
      </c>
      <c r="D300" s="3" t="s">
        <v>198</v>
      </c>
      <c r="E300" s="3" t="s">
        <v>227</v>
      </c>
      <c r="F300" s="3" t="s">
        <v>200</v>
      </c>
      <c r="G300" s="3" t="s">
        <v>1217</v>
      </c>
      <c r="H300" s="3" t="s">
        <v>1514</v>
      </c>
      <c r="I300" s="3" t="s">
        <v>203</v>
      </c>
      <c r="J300" s="3" t="s">
        <v>214</v>
      </c>
      <c r="K300" s="3" t="s">
        <v>1515</v>
      </c>
      <c r="L300" s="3" t="s">
        <v>1516</v>
      </c>
      <c r="M300" s="3" t="s">
        <v>207</v>
      </c>
      <c r="N300" s="3" t="s">
        <v>208</v>
      </c>
      <c r="O300" s="3" t="s">
        <v>234</v>
      </c>
    </row>
    <row r="301" spans="1:15" ht="22.5" customHeight="1" x14ac:dyDescent="0.3">
      <c r="A301" s="4">
        <v>3604675</v>
      </c>
      <c r="B301" s="4" t="s">
        <v>1517</v>
      </c>
      <c r="C301" s="4" t="s">
        <v>197</v>
      </c>
      <c r="D301" s="4" t="s">
        <v>693</v>
      </c>
      <c r="E301" s="4" t="s">
        <v>227</v>
      </c>
      <c r="F301" s="4" t="s">
        <v>413</v>
      </c>
      <c r="G301" s="4" t="s">
        <v>1518</v>
      </c>
      <c r="H301" s="4" t="s">
        <v>1427</v>
      </c>
      <c r="I301" s="4" t="s">
        <v>203</v>
      </c>
      <c r="J301" s="4" t="s">
        <v>253</v>
      </c>
      <c r="K301" s="4" t="s">
        <v>1428</v>
      </c>
      <c r="L301" s="4" t="s">
        <v>1380</v>
      </c>
      <c r="M301" s="4" t="s">
        <v>207</v>
      </c>
      <c r="N301" s="4" t="s">
        <v>208</v>
      </c>
      <c r="O301" s="4" t="s">
        <v>433</v>
      </c>
    </row>
    <row r="302" spans="1:15" ht="22.5" customHeight="1" x14ac:dyDescent="0.3">
      <c r="A302" s="3">
        <v>3604721</v>
      </c>
      <c r="B302" s="3" t="s">
        <v>1519</v>
      </c>
      <c r="C302" s="3" t="s">
        <v>197</v>
      </c>
      <c r="D302" s="3" t="s">
        <v>693</v>
      </c>
      <c r="E302" s="3" t="s">
        <v>227</v>
      </c>
      <c r="F302" s="3" t="s">
        <v>413</v>
      </c>
      <c r="G302" s="3" t="s">
        <v>1520</v>
      </c>
      <c r="H302" s="3" t="s">
        <v>1521</v>
      </c>
      <c r="I302" s="3" t="s">
        <v>203</v>
      </c>
      <c r="J302" s="3" t="s">
        <v>253</v>
      </c>
      <c r="K302" s="3" t="s">
        <v>1423</v>
      </c>
      <c r="L302" s="3" t="s">
        <v>1380</v>
      </c>
      <c r="M302" s="3" t="s">
        <v>245</v>
      </c>
      <c r="N302" s="3" t="s">
        <v>217</v>
      </c>
      <c r="O302" s="3" t="s">
        <v>418</v>
      </c>
    </row>
    <row r="303" spans="1:15" ht="22.5" customHeight="1" x14ac:dyDescent="0.3">
      <c r="A303" s="4">
        <v>3611434</v>
      </c>
      <c r="B303" s="4" t="s">
        <v>1522</v>
      </c>
      <c r="C303" s="4" t="s">
        <v>197</v>
      </c>
      <c r="D303" s="4" t="s">
        <v>198</v>
      </c>
      <c r="E303" s="4" t="s">
        <v>227</v>
      </c>
      <c r="F303" s="4" t="s">
        <v>200</v>
      </c>
      <c r="G303" s="4" t="s">
        <v>1523</v>
      </c>
      <c r="H303" s="4" t="s">
        <v>1524</v>
      </c>
      <c r="I303" s="4" t="s">
        <v>203</v>
      </c>
      <c r="J303" s="4" t="s">
        <v>204</v>
      </c>
      <c r="K303" s="4" t="s">
        <v>1110</v>
      </c>
      <c r="L303" s="4" t="s">
        <v>1525</v>
      </c>
      <c r="M303" s="4" t="s">
        <v>245</v>
      </c>
      <c r="N303" s="4" t="s">
        <v>208</v>
      </c>
      <c r="O303" s="4" t="s">
        <v>234</v>
      </c>
    </row>
    <row r="304" spans="1:15" ht="22.5" customHeight="1" x14ac:dyDescent="0.3">
      <c r="A304" s="3">
        <v>3613364</v>
      </c>
      <c r="B304" s="3" t="s">
        <v>1526</v>
      </c>
      <c r="C304" s="3" t="s">
        <v>197</v>
      </c>
      <c r="D304" s="3" t="s">
        <v>198</v>
      </c>
      <c r="E304" s="3" t="s">
        <v>227</v>
      </c>
      <c r="F304" s="3" t="s">
        <v>200</v>
      </c>
      <c r="G304" s="3" t="s">
        <v>1527</v>
      </c>
      <c r="H304" s="3" t="s">
        <v>1528</v>
      </c>
      <c r="I304" s="3" t="s">
        <v>203</v>
      </c>
      <c r="J304" s="3" t="s">
        <v>214</v>
      </c>
      <c r="K304" s="3" t="s">
        <v>535</v>
      </c>
      <c r="L304" s="3" t="s">
        <v>1529</v>
      </c>
      <c r="M304" s="3" t="s">
        <v>207</v>
      </c>
      <c r="N304" s="3" t="s">
        <v>208</v>
      </c>
      <c r="O304" s="3" t="s">
        <v>444</v>
      </c>
    </row>
    <row r="305" spans="1:15" ht="22.5" customHeight="1" x14ac:dyDescent="0.3">
      <c r="A305" s="4">
        <v>3615227</v>
      </c>
      <c r="B305" s="4" t="s">
        <v>1530</v>
      </c>
      <c r="C305" s="4" t="s">
        <v>197</v>
      </c>
      <c r="D305" s="4" t="s">
        <v>198</v>
      </c>
      <c r="E305" s="4" t="s">
        <v>227</v>
      </c>
      <c r="F305" s="4" t="s">
        <v>200</v>
      </c>
      <c r="G305" s="4" t="s">
        <v>1531</v>
      </c>
      <c r="H305" s="4" t="s">
        <v>1532</v>
      </c>
      <c r="I305" s="4" t="s">
        <v>203</v>
      </c>
      <c r="J305" s="4" t="s">
        <v>323</v>
      </c>
      <c r="K305" s="4" t="s">
        <v>1147</v>
      </c>
      <c r="L305" s="4" t="s">
        <v>1533</v>
      </c>
      <c r="M305" s="4" t="s">
        <v>207</v>
      </c>
      <c r="N305" s="4" t="s">
        <v>208</v>
      </c>
      <c r="O305" s="4" t="s">
        <v>418</v>
      </c>
    </row>
    <row r="306" spans="1:15" ht="22.5" customHeight="1" x14ac:dyDescent="0.3">
      <c r="A306" s="3">
        <v>3619591</v>
      </c>
      <c r="B306" s="3" t="s">
        <v>1534</v>
      </c>
      <c r="C306" s="3" t="s">
        <v>197</v>
      </c>
      <c r="D306" s="3" t="s">
        <v>198</v>
      </c>
      <c r="E306" s="3" t="s">
        <v>227</v>
      </c>
      <c r="F306" s="3" t="s">
        <v>200</v>
      </c>
      <c r="G306" s="3" t="s">
        <v>1535</v>
      </c>
      <c r="H306" s="3" t="s">
        <v>1536</v>
      </c>
      <c r="I306" s="3" t="s">
        <v>203</v>
      </c>
      <c r="J306" s="3" t="s">
        <v>214</v>
      </c>
      <c r="K306" s="3" t="s">
        <v>1537</v>
      </c>
      <c r="L306" s="3" t="s">
        <v>1538</v>
      </c>
      <c r="M306" s="3" t="s">
        <v>233</v>
      </c>
      <c r="N306" s="3" t="s">
        <v>217</v>
      </c>
      <c r="O306" s="3" t="s">
        <v>433</v>
      </c>
    </row>
    <row r="307" spans="1:15" ht="22.5" customHeight="1" x14ac:dyDescent="0.3">
      <c r="A307" s="4">
        <v>3625702</v>
      </c>
      <c r="B307" s="4" t="s">
        <v>1539</v>
      </c>
      <c r="C307" s="4" t="s">
        <v>197</v>
      </c>
      <c r="D307" s="4" t="s">
        <v>198</v>
      </c>
      <c r="E307" s="4" t="s">
        <v>227</v>
      </c>
      <c r="F307" s="4" t="s">
        <v>200</v>
      </c>
      <c r="G307" s="4" t="s">
        <v>1540</v>
      </c>
      <c r="H307" s="4" t="s">
        <v>1541</v>
      </c>
      <c r="I307" s="4" t="s">
        <v>203</v>
      </c>
      <c r="J307" s="4" t="s">
        <v>323</v>
      </c>
      <c r="K307" s="4" t="s">
        <v>1542</v>
      </c>
      <c r="L307" s="4" t="s">
        <v>1543</v>
      </c>
      <c r="M307" s="4" t="s">
        <v>207</v>
      </c>
      <c r="N307" s="4" t="s">
        <v>208</v>
      </c>
      <c r="O307" s="4" t="s">
        <v>418</v>
      </c>
    </row>
    <row r="308" spans="1:15" ht="22.5" customHeight="1" x14ac:dyDescent="0.3">
      <c r="A308" s="3">
        <v>3634078</v>
      </c>
      <c r="B308" s="3" t="s">
        <v>1544</v>
      </c>
      <c r="C308" s="3" t="s">
        <v>197</v>
      </c>
      <c r="D308" s="3" t="s">
        <v>198</v>
      </c>
      <c r="E308" s="3" t="s">
        <v>227</v>
      </c>
      <c r="F308" s="3" t="s">
        <v>200</v>
      </c>
      <c r="G308" s="3" t="s">
        <v>1545</v>
      </c>
      <c r="H308" s="3" t="s">
        <v>1546</v>
      </c>
      <c r="I308" s="3" t="s">
        <v>203</v>
      </c>
      <c r="J308" s="3" t="s">
        <v>204</v>
      </c>
      <c r="K308" s="3" t="s">
        <v>1547</v>
      </c>
      <c r="L308" s="3" t="s">
        <v>916</v>
      </c>
      <c r="M308" s="3" t="s">
        <v>233</v>
      </c>
      <c r="N308" s="3" t="s">
        <v>217</v>
      </c>
      <c r="O308" s="3" t="s">
        <v>418</v>
      </c>
    </row>
    <row r="309" spans="1:15" ht="22.5" customHeight="1" x14ac:dyDescent="0.3">
      <c r="A309" s="4">
        <v>3641430</v>
      </c>
      <c r="B309" s="4" t="s">
        <v>1548</v>
      </c>
      <c r="C309" s="4" t="s">
        <v>197</v>
      </c>
      <c r="D309" s="4" t="s">
        <v>198</v>
      </c>
      <c r="E309" s="4" t="s">
        <v>227</v>
      </c>
      <c r="F309" s="4" t="s">
        <v>200</v>
      </c>
      <c r="G309" s="4" t="s">
        <v>1213</v>
      </c>
      <c r="H309" s="4" t="s">
        <v>1214</v>
      </c>
      <c r="I309" s="4" t="s">
        <v>203</v>
      </c>
      <c r="J309" s="4" t="s">
        <v>214</v>
      </c>
      <c r="K309" s="4" t="s">
        <v>1549</v>
      </c>
      <c r="L309" s="4" t="s">
        <v>1550</v>
      </c>
      <c r="M309" s="4" t="s">
        <v>245</v>
      </c>
      <c r="N309" s="4" t="s">
        <v>217</v>
      </c>
      <c r="O309" s="4" t="s">
        <v>418</v>
      </c>
    </row>
    <row r="310" spans="1:15" ht="22.5" customHeight="1" x14ac:dyDescent="0.3">
      <c r="A310" s="3">
        <v>3651770</v>
      </c>
      <c r="B310" s="3" t="s">
        <v>1551</v>
      </c>
      <c r="C310" s="3" t="s">
        <v>197</v>
      </c>
      <c r="D310" s="3" t="s">
        <v>198</v>
      </c>
      <c r="E310" s="3" t="s">
        <v>227</v>
      </c>
      <c r="F310" s="3" t="s">
        <v>200</v>
      </c>
      <c r="G310" s="3" t="s">
        <v>1552</v>
      </c>
      <c r="H310" s="3" t="s">
        <v>1553</v>
      </c>
      <c r="I310" s="3" t="s">
        <v>737</v>
      </c>
      <c r="J310" s="3" t="s">
        <v>214</v>
      </c>
      <c r="K310" s="3" t="s">
        <v>1247</v>
      </c>
      <c r="L310" s="3" t="s">
        <v>1554</v>
      </c>
      <c r="M310" s="3" t="s">
        <v>207</v>
      </c>
      <c r="N310" s="3" t="s">
        <v>217</v>
      </c>
      <c r="O310" s="3" t="s">
        <v>234</v>
      </c>
    </row>
    <row r="311" spans="1:15" ht="57" customHeight="1" x14ac:dyDescent="0.3">
      <c r="A311" s="4">
        <v>3658473</v>
      </c>
      <c r="B311" s="4" t="s">
        <v>1555</v>
      </c>
      <c r="C311" s="4" t="s">
        <v>197</v>
      </c>
      <c r="D311" s="4" t="s">
        <v>342</v>
      </c>
      <c r="E311" s="4" t="s">
        <v>227</v>
      </c>
      <c r="F311" s="4" t="s">
        <v>200</v>
      </c>
      <c r="G311" s="4" t="s">
        <v>1556</v>
      </c>
      <c r="H311" s="4" t="s">
        <v>1085</v>
      </c>
      <c r="I311" s="4" t="s">
        <v>203</v>
      </c>
      <c r="J311" s="4" t="s">
        <v>204</v>
      </c>
      <c r="K311" s="4" t="s">
        <v>1557</v>
      </c>
      <c r="L311" s="4" t="s">
        <v>1558</v>
      </c>
      <c r="M311" s="4" t="s">
        <v>207</v>
      </c>
      <c r="N311" s="4" t="s">
        <v>208</v>
      </c>
      <c r="O311" s="4" t="s">
        <v>234</v>
      </c>
    </row>
    <row r="312" spans="1:15" ht="22.5" customHeight="1" x14ac:dyDescent="0.3">
      <c r="A312" s="3">
        <v>3660079</v>
      </c>
      <c r="B312" s="3" t="s">
        <v>1559</v>
      </c>
      <c r="C312" s="3" t="s">
        <v>197</v>
      </c>
      <c r="D312" s="3" t="s">
        <v>198</v>
      </c>
      <c r="E312" s="3" t="s">
        <v>227</v>
      </c>
      <c r="F312" s="3" t="s">
        <v>200</v>
      </c>
      <c r="G312" s="3" t="s">
        <v>1560</v>
      </c>
      <c r="H312" s="3" t="s">
        <v>1561</v>
      </c>
      <c r="I312" s="3" t="s">
        <v>203</v>
      </c>
      <c r="J312" s="3" t="s">
        <v>599</v>
      </c>
      <c r="K312" s="3" t="s">
        <v>1562</v>
      </c>
      <c r="L312" s="3" t="s">
        <v>1563</v>
      </c>
      <c r="M312" s="3" t="s">
        <v>245</v>
      </c>
      <c r="N312" s="3" t="s">
        <v>208</v>
      </c>
      <c r="O312" s="3" t="s">
        <v>234</v>
      </c>
    </row>
    <row r="313" spans="1:15" ht="22.5" customHeight="1" x14ac:dyDescent="0.3">
      <c r="A313" s="4">
        <v>3660966</v>
      </c>
      <c r="B313" s="4" t="s">
        <v>1564</v>
      </c>
      <c r="C313" s="4" t="s">
        <v>197</v>
      </c>
      <c r="D313" s="4" t="s">
        <v>198</v>
      </c>
      <c r="E313" s="4" t="s">
        <v>227</v>
      </c>
      <c r="F313" s="4" t="s">
        <v>200</v>
      </c>
      <c r="G313" s="4" t="s">
        <v>1565</v>
      </c>
      <c r="H313" s="4" t="s">
        <v>1566</v>
      </c>
      <c r="I313" s="4" t="s">
        <v>737</v>
      </c>
      <c r="J313" s="4" t="s">
        <v>214</v>
      </c>
      <c r="K313" s="4" t="s">
        <v>1247</v>
      </c>
      <c r="L313" s="4" t="s">
        <v>1567</v>
      </c>
      <c r="M313" s="4" t="s">
        <v>207</v>
      </c>
      <c r="N313" s="4" t="s">
        <v>208</v>
      </c>
      <c r="O313" s="4" t="s">
        <v>234</v>
      </c>
    </row>
    <row r="314" spans="1:15" ht="22.5" customHeight="1" x14ac:dyDescent="0.3">
      <c r="A314" s="3">
        <v>3669386</v>
      </c>
      <c r="B314" s="3" t="s">
        <v>1568</v>
      </c>
      <c r="C314" s="3" t="s">
        <v>197</v>
      </c>
      <c r="D314" s="3"/>
      <c r="E314" s="3" t="s">
        <v>227</v>
      </c>
      <c r="F314" s="3" t="s">
        <v>200</v>
      </c>
      <c r="G314" s="3" t="s">
        <v>1569</v>
      </c>
      <c r="H314" s="3" t="s">
        <v>1570</v>
      </c>
      <c r="I314" s="3" t="s">
        <v>203</v>
      </c>
      <c r="J314" s="3" t="s">
        <v>323</v>
      </c>
      <c r="K314" s="3" t="s">
        <v>848</v>
      </c>
      <c r="L314" s="3" t="s">
        <v>1456</v>
      </c>
      <c r="M314" s="3" t="s">
        <v>207</v>
      </c>
      <c r="N314" s="3" t="s">
        <v>208</v>
      </c>
      <c r="O314" s="3" t="s">
        <v>418</v>
      </c>
    </row>
    <row r="315" spans="1:15" ht="57" customHeight="1" x14ac:dyDescent="0.3">
      <c r="A315" s="4">
        <v>3678482</v>
      </c>
      <c r="B315" s="4" t="s">
        <v>1571</v>
      </c>
      <c r="C315" s="4" t="s">
        <v>197</v>
      </c>
      <c r="D315" s="4" t="s">
        <v>755</v>
      </c>
      <c r="E315" s="4" t="s">
        <v>227</v>
      </c>
      <c r="F315" s="4" t="s">
        <v>200</v>
      </c>
      <c r="G315" s="4" t="s">
        <v>1572</v>
      </c>
      <c r="H315" s="4" t="s">
        <v>1573</v>
      </c>
      <c r="I315" s="4" t="s">
        <v>203</v>
      </c>
      <c r="J315" s="4" t="s">
        <v>506</v>
      </c>
      <c r="K315" s="4" t="s">
        <v>1574</v>
      </c>
      <c r="L315" s="4" t="s">
        <v>1575</v>
      </c>
      <c r="M315" s="4" t="s">
        <v>207</v>
      </c>
      <c r="N315" s="4" t="s">
        <v>208</v>
      </c>
      <c r="O315" s="4" t="s">
        <v>444</v>
      </c>
    </row>
    <row r="316" spans="1:15" ht="22.5" customHeight="1" x14ac:dyDescent="0.3">
      <c r="A316" s="3">
        <v>3694119</v>
      </c>
      <c r="B316" s="3" t="s">
        <v>1576</v>
      </c>
      <c r="C316" s="3" t="s">
        <v>197</v>
      </c>
      <c r="D316" s="3" t="s">
        <v>198</v>
      </c>
      <c r="E316" s="3" t="s">
        <v>227</v>
      </c>
      <c r="F316" s="3" t="s">
        <v>200</v>
      </c>
      <c r="G316" s="3" t="s">
        <v>480</v>
      </c>
      <c r="H316" s="3" t="s">
        <v>1577</v>
      </c>
      <c r="I316" s="3" t="s">
        <v>203</v>
      </c>
      <c r="J316" s="3" t="s">
        <v>214</v>
      </c>
      <c r="K316" s="3" t="s">
        <v>941</v>
      </c>
      <c r="L316" s="3" t="s">
        <v>1578</v>
      </c>
      <c r="M316" s="3" t="s">
        <v>207</v>
      </c>
      <c r="N316" s="3" t="s">
        <v>208</v>
      </c>
      <c r="O316" s="3" t="s">
        <v>418</v>
      </c>
    </row>
    <row r="317" spans="1:15" ht="22.5" customHeight="1" x14ac:dyDescent="0.3">
      <c r="A317" s="4">
        <v>3715930</v>
      </c>
      <c r="B317" s="4" t="s">
        <v>1579</v>
      </c>
      <c r="C317" s="4" t="s">
        <v>197</v>
      </c>
      <c r="D317" s="4" t="s">
        <v>198</v>
      </c>
      <c r="E317" s="4" t="s">
        <v>227</v>
      </c>
      <c r="F317" s="4" t="s">
        <v>200</v>
      </c>
      <c r="G317" s="4" t="s">
        <v>1580</v>
      </c>
      <c r="H317" s="4" t="s">
        <v>1581</v>
      </c>
      <c r="I317" s="4" t="s">
        <v>203</v>
      </c>
      <c r="J317" s="4" t="s">
        <v>204</v>
      </c>
      <c r="K317" s="4" t="s">
        <v>1582</v>
      </c>
      <c r="L317" s="4" t="s">
        <v>1583</v>
      </c>
      <c r="M317" s="4" t="s">
        <v>245</v>
      </c>
      <c r="N317" s="4" t="s">
        <v>208</v>
      </c>
      <c r="O317" s="4" t="s">
        <v>234</v>
      </c>
    </row>
    <row r="318" spans="1:15" ht="22.5" customHeight="1" x14ac:dyDescent="0.3">
      <c r="A318" s="3">
        <v>3718530</v>
      </c>
      <c r="B318" s="3" t="s">
        <v>1584</v>
      </c>
      <c r="C318" s="3" t="s">
        <v>197</v>
      </c>
      <c r="D318" s="3" t="s">
        <v>198</v>
      </c>
      <c r="E318" s="3" t="s">
        <v>227</v>
      </c>
      <c r="F318" s="3" t="s">
        <v>200</v>
      </c>
      <c r="G318" s="3" t="s">
        <v>1585</v>
      </c>
      <c r="H318" s="3" t="s">
        <v>1586</v>
      </c>
      <c r="I318" s="3" t="s">
        <v>737</v>
      </c>
      <c r="J318" s="3" t="s">
        <v>214</v>
      </c>
      <c r="K318" s="3" t="s">
        <v>1587</v>
      </c>
      <c r="L318" s="3" t="s">
        <v>1588</v>
      </c>
      <c r="M318" s="3" t="s">
        <v>207</v>
      </c>
      <c r="N318" s="3" t="s">
        <v>217</v>
      </c>
      <c r="O318" s="3" t="s">
        <v>234</v>
      </c>
    </row>
    <row r="319" spans="1:15" ht="22.5" customHeight="1" x14ac:dyDescent="0.3">
      <c r="A319" s="4">
        <v>3719839</v>
      </c>
      <c r="B319" s="4" t="s">
        <v>1589</v>
      </c>
      <c r="C319" s="4" t="s">
        <v>197</v>
      </c>
      <c r="D319" s="4" t="s">
        <v>198</v>
      </c>
      <c r="E319" s="4" t="s">
        <v>227</v>
      </c>
      <c r="F319" s="4" t="s">
        <v>200</v>
      </c>
      <c r="G319" s="4" t="s">
        <v>1590</v>
      </c>
      <c r="H319" s="4" t="s">
        <v>1409</v>
      </c>
      <c r="I319" s="4" t="s">
        <v>203</v>
      </c>
      <c r="J319" s="4" t="s">
        <v>214</v>
      </c>
      <c r="K319" s="4" t="s">
        <v>482</v>
      </c>
      <c r="L319" s="4" t="s">
        <v>1591</v>
      </c>
      <c r="M319" s="4" t="s">
        <v>207</v>
      </c>
      <c r="N319" s="4" t="s">
        <v>217</v>
      </c>
      <c r="O319" s="4" t="s">
        <v>234</v>
      </c>
    </row>
    <row r="320" spans="1:15" ht="22.5" customHeight="1" x14ac:dyDescent="0.3">
      <c r="A320" s="3">
        <v>3720071</v>
      </c>
      <c r="B320" s="3" t="s">
        <v>1592</v>
      </c>
      <c r="C320" s="3" t="s">
        <v>197</v>
      </c>
      <c r="D320" s="3" t="s">
        <v>198</v>
      </c>
      <c r="E320" s="3" t="s">
        <v>227</v>
      </c>
      <c r="F320" s="3" t="s">
        <v>200</v>
      </c>
      <c r="G320" s="3" t="s">
        <v>1593</v>
      </c>
      <c r="H320" s="3" t="s">
        <v>773</v>
      </c>
      <c r="I320" s="3" t="s">
        <v>203</v>
      </c>
      <c r="J320" s="3" t="s">
        <v>214</v>
      </c>
      <c r="K320" s="3" t="s">
        <v>410</v>
      </c>
      <c r="L320" s="3" t="s">
        <v>1594</v>
      </c>
      <c r="M320" s="3" t="s">
        <v>245</v>
      </c>
      <c r="N320" s="3" t="s">
        <v>217</v>
      </c>
      <c r="O320" s="3" t="s">
        <v>234</v>
      </c>
    </row>
    <row r="321" spans="1:15" ht="22.5" customHeight="1" x14ac:dyDescent="0.3">
      <c r="A321" s="4">
        <v>3725203</v>
      </c>
      <c r="B321" s="4" t="s">
        <v>1595</v>
      </c>
      <c r="C321" s="4" t="s">
        <v>197</v>
      </c>
      <c r="D321" s="4" t="s">
        <v>198</v>
      </c>
      <c r="E321" s="4" t="s">
        <v>227</v>
      </c>
      <c r="F321" s="4" t="s">
        <v>200</v>
      </c>
      <c r="G321" s="4" t="s">
        <v>1596</v>
      </c>
      <c r="H321" s="4" t="s">
        <v>1597</v>
      </c>
      <c r="I321" s="4" t="s">
        <v>203</v>
      </c>
      <c r="J321" s="4" t="s">
        <v>266</v>
      </c>
      <c r="K321" s="4" t="s">
        <v>442</v>
      </c>
      <c r="L321" s="4" t="s">
        <v>1598</v>
      </c>
      <c r="M321" s="4" t="s">
        <v>245</v>
      </c>
      <c r="N321" s="4" t="s">
        <v>217</v>
      </c>
      <c r="O321" s="4" t="s">
        <v>234</v>
      </c>
    </row>
    <row r="322" spans="1:15" ht="22.5" customHeight="1" x14ac:dyDescent="0.3">
      <c r="A322" s="3">
        <v>3738175</v>
      </c>
      <c r="B322" s="3" t="s">
        <v>1599</v>
      </c>
      <c r="C322" s="3" t="s">
        <v>197</v>
      </c>
      <c r="D322" s="3" t="s">
        <v>198</v>
      </c>
      <c r="E322" s="3" t="s">
        <v>227</v>
      </c>
      <c r="F322" s="3" t="s">
        <v>200</v>
      </c>
      <c r="G322" s="3" t="s">
        <v>868</v>
      </c>
      <c r="H322" s="3" t="s">
        <v>869</v>
      </c>
      <c r="I322" s="3" t="s">
        <v>203</v>
      </c>
      <c r="J322" s="3" t="s">
        <v>204</v>
      </c>
      <c r="K322" s="3" t="s">
        <v>870</v>
      </c>
      <c r="L322" s="3" t="s">
        <v>1600</v>
      </c>
      <c r="M322" s="3" t="s">
        <v>207</v>
      </c>
      <c r="N322" s="3" t="s">
        <v>208</v>
      </c>
      <c r="O322" s="3" t="s">
        <v>418</v>
      </c>
    </row>
    <row r="323" spans="1:15" ht="22.5" customHeight="1" x14ac:dyDescent="0.3">
      <c r="A323" s="4">
        <v>3738701</v>
      </c>
      <c r="B323" s="4" t="s">
        <v>1601</v>
      </c>
      <c r="C323" s="4" t="s">
        <v>197</v>
      </c>
      <c r="D323" s="4" t="s">
        <v>198</v>
      </c>
      <c r="E323" s="4" t="s">
        <v>227</v>
      </c>
      <c r="F323" s="4" t="s">
        <v>200</v>
      </c>
      <c r="G323" s="4" t="s">
        <v>1602</v>
      </c>
      <c r="H323" s="4" t="s">
        <v>1603</v>
      </c>
      <c r="I323" s="4" t="s">
        <v>737</v>
      </c>
      <c r="J323" s="4" t="s">
        <v>214</v>
      </c>
      <c r="K323" s="4" t="s">
        <v>1604</v>
      </c>
      <c r="L323" s="4" t="s">
        <v>1605</v>
      </c>
      <c r="M323" s="4" t="s">
        <v>233</v>
      </c>
      <c r="N323" s="4" t="s">
        <v>217</v>
      </c>
      <c r="O323" s="4" t="s">
        <v>234</v>
      </c>
    </row>
    <row r="324" spans="1:15" ht="22.5" customHeight="1" x14ac:dyDescent="0.3">
      <c r="A324" s="3">
        <v>3740404</v>
      </c>
      <c r="B324" s="3" t="s">
        <v>1606</v>
      </c>
      <c r="C324" s="3" t="s">
        <v>197</v>
      </c>
      <c r="D324" s="3"/>
      <c r="E324" s="3" t="s">
        <v>227</v>
      </c>
      <c r="F324" s="3" t="s">
        <v>200</v>
      </c>
      <c r="G324" s="3" t="s">
        <v>1607</v>
      </c>
      <c r="H324" s="3" t="s">
        <v>1608</v>
      </c>
      <c r="I324" s="3" t="s">
        <v>203</v>
      </c>
      <c r="J324" s="3" t="s">
        <v>204</v>
      </c>
      <c r="K324" s="3" t="s">
        <v>452</v>
      </c>
      <c r="L324" s="3" t="s">
        <v>371</v>
      </c>
      <c r="M324" s="3" t="s">
        <v>245</v>
      </c>
      <c r="N324" s="3" t="s">
        <v>217</v>
      </c>
      <c r="O324" s="3" t="s">
        <v>234</v>
      </c>
    </row>
    <row r="325" spans="1:15" ht="22.5" customHeight="1" x14ac:dyDescent="0.3">
      <c r="A325" s="4">
        <v>3745074</v>
      </c>
      <c r="B325" s="4" t="s">
        <v>1609</v>
      </c>
      <c r="C325" s="4" t="s">
        <v>197</v>
      </c>
      <c r="D325" s="4" t="s">
        <v>198</v>
      </c>
      <c r="E325" s="4" t="s">
        <v>227</v>
      </c>
      <c r="F325" s="4" t="s">
        <v>200</v>
      </c>
      <c r="G325" s="4" t="s">
        <v>1610</v>
      </c>
      <c r="H325" s="4" t="s">
        <v>1611</v>
      </c>
      <c r="I325" s="4" t="s">
        <v>203</v>
      </c>
      <c r="J325" s="4" t="s">
        <v>214</v>
      </c>
      <c r="K325" s="4" t="s">
        <v>482</v>
      </c>
      <c r="L325" s="4" t="s">
        <v>1612</v>
      </c>
      <c r="M325" s="4" t="s">
        <v>245</v>
      </c>
      <c r="N325" s="4" t="s">
        <v>217</v>
      </c>
      <c r="O325" s="4" t="s">
        <v>234</v>
      </c>
    </row>
    <row r="326" spans="1:15" ht="22.5" customHeight="1" x14ac:dyDescent="0.3">
      <c r="A326" s="3">
        <v>3757323</v>
      </c>
      <c r="B326" s="3" t="s">
        <v>1613</v>
      </c>
      <c r="C326" s="3" t="s">
        <v>197</v>
      </c>
      <c r="D326" s="3" t="s">
        <v>198</v>
      </c>
      <c r="E326" s="3" t="s">
        <v>227</v>
      </c>
      <c r="F326" s="3" t="s">
        <v>200</v>
      </c>
      <c r="G326" s="3" t="s">
        <v>1412</v>
      </c>
      <c r="H326" s="3" t="s">
        <v>1413</v>
      </c>
      <c r="I326" s="3" t="s">
        <v>203</v>
      </c>
      <c r="J326" s="3" t="s">
        <v>204</v>
      </c>
      <c r="K326" s="3" t="s">
        <v>793</v>
      </c>
      <c r="L326" s="3" t="s">
        <v>1614</v>
      </c>
      <c r="M326" s="3" t="s">
        <v>233</v>
      </c>
      <c r="N326" s="3" t="s">
        <v>217</v>
      </c>
      <c r="O326" s="3" t="s">
        <v>234</v>
      </c>
    </row>
    <row r="327" spans="1:15" ht="33.75" customHeight="1" x14ac:dyDescent="0.3">
      <c r="A327" s="4">
        <v>3760073</v>
      </c>
      <c r="B327" s="4" t="s">
        <v>1615</v>
      </c>
      <c r="C327" s="4" t="s">
        <v>197</v>
      </c>
      <c r="D327" s="4" t="s">
        <v>220</v>
      </c>
      <c r="E327" s="4" t="s">
        <v>227</v>
      </c>
      <c r="F327" s="4" t="s">
        <v>200</v>
      </c>
      <c r="G327" s="4" t="s">
        <v>1616</v>
      </c>
      <c r="H327" s="4" t="s">
        <v>1146</v>
      </c>
      <c r="I327" s="4" t="s">
        <v>203</v>
      </c>
      <c r="J327" s="4" t="s">
        <v>323</v>
      </c>
      <c r="K327" s="4" t="s">
        <v>705</v>
      </c>
      <c r="L327" s="4" t="s">
        <v>1617</v>
      </c>
      <c r="M327" s="4" t="s">
        <v>207</v>
      </c>
      <c r="N327" s="4" t="s">
        <v>208</v>
      </c>
      <c r="O327" s="4" t="s">
        <v>418</v>
      </c>
    </row>
    <row r="328" spans="1:15" ht="22.5" customHeight="1" x14ac:dyDescent="0.3">
      <c r="A328" s="3">
        <v>3766756</v>
      </c>
      <c r="B328" s="3" t="s">
        <v>1618</v>
      </c>
      <c r="C328" s="3" t="s">
        <v>197</v>
      </c>
      <c r="D328" s="3" t="s">
        <v>198</v>
      </c>
      <c r="E328" s="3" t="s">
        <v>227</v>
      </c>
      <c r="F328" s="3" t="s">
        <v>578</v>
      </c>
      <c r="G328" s="3" t="s">
        <v>1619</v>
      </c>
      <c r="H328" s="3" t="s">
        <v>902</v>
      </c>
      <c r="I328" s="3" t="s">
        <v>203</v>
      </c>
      <c r="J328" s="3" t="s">
        <v>214</v>
      </c>
      <c r="K328" s="3" t="s">
        <v>1620</v>
      </c>
      <c r="L328" s="3" t="s">
        <v>1130</v>
      </c>
      <c r="M328" s="3" t="s">
        <v>245</v>
      </c>
      <c r="N328" s="3" t="s">
        <v>217</v>
      </c>
      <c r="O328" s="3" t="s">
        <v>234</v>
      </c>
    </row>
    <row r="329" spans="1:15" ht="22.5" customHeight="1" x14ac:dyDescent="0.3">
      <c r="A329" s="4">
        <v>3767892</v>
      </c>
      <c r="B329" s="4" t="s">
        <v>1621</v>
      </c>
      <c r="C329" s="4" t="s">
        <v>197</v>
      </c>
      <c r="D329" s="4" t="s">
        <v>198</v>
      </c>
      <c r="E329" s="4" t="s">
        <v>227</v>
      </c>
      <c r="F329" s="4" t="s">
        <v>200</v>
      </c>
      <c r="G329" s="4" t="s">
        <v>1622</v>
      </c>
      <c r="H329" s="4" t="s">
        <v>1623</v>
      </c>
      <c r="I329" s="4" t="s">
        <v>203</v>
      </c>
      <c r="J329" s="4" t="s">
        <v>214</v>
      </c>
      <c r="K329" s="4" t="s">
        <v>1624</v>
      </c>
      <c r="L329" s="4" t="s">
        <v>719</v>
      </c>
      <c r="M329" s="4" t="s">
        <v>207</v>
      </c>
      <c r="N329" s="4" t="s">
        <v>217</v>
      </c>
      <c r="O329" s="4" t="s">
        <v>234</v>
      </c>
    </row>
    <row r="330" spans="1:15" ht="22.5" customHeight="1" x14ac:dyDescent="0.3">
      <c r="A330" s="3">
        <v>3771113</v>
      </c>
      <c r="B330" s="3" t="s">
        <v>1625</v>
      </c>
      <c r="C330" s="3" t="s">
        <v>197</v>
      </c>
      <c r="D330" s="3" t="s">
        <v>198</v>
      </c>
      <c r="E330" s="3" t="s">
        <v>227</v>
      </c>
      <c r="F330" s="3" t="s">
        <v>200</v>
      </c>
      <c r="G330" s="3" t="s">
        <v>1626</v>
      </c>
      <c r="H330" s="3" t="s">
        <v>837</v>
      </c>
      <c r="I330" s="3" t="s">
        <v>203</v>
      </c>
      <c r="J330" s="3" t="s">
        <v>204</v>
      </c>
      <c r="K330" s="3" t="s">
        <v>1627</v>
      </c>
      <c r="L330" s="3" t="s">
        <v>1628</v>
      </c>
      <c r="M330" s="3" t="s">
        <v>245</v>
      </c>
      <c r="N330" s="3" t="s">
        <v>217</v>
      </c>
      <c r="O330" s="3" t="s">
        <v>234</v>
      </c>
    </row>
    <row r="331" spans="1:15" ht="57" customHeight="1" x14ac:dyDescent="0.3">
      <c r="A331" s="4">
        <v>3773531</v>
      </c>
      <c r="B331" s="4" t="s">
        <v>1629</v>
      </c>
      <c r="C331" s="4" t="s">
        <v>197</v>
      </c>
      <c r="D331" s="4" t="s">
        <v>925</v>
      </c>
      <c r="E331" s="4" t="s">
        <v>227</v>
      </c>
      <c r="F331" s="4" t="s">
        <v>200</v>
      </c>
      <c r="G331" s="4" t="s">
        <v>1630</v>
      </c>
      <c r="H331" s="4" t="s">
        <v>568</v>
      </c>
      <c r="I331" s="4" t="s">
        <v>203</v>
      </c>
      <c r="J331" s="4" t="s">
        <v>506</v>
      </c>
      <c r="K331" s="4" t="s">
        <v>1631</v>
      </c>
      <c r="L331" s="4" t="s">
        <v>1632</v>
      </c>
      <c r="M331" s="4" t="s">
        <v>207</v>
      </c>
      <c r="N331" s="4" t="s">
        <v>217</v>
      </c>
      <c r="O331" s="4" t="s">
        <v>433</v>
      </c>
    </row>
    <row r="332" spans="1:15" ht="22.5" customHeight="1" x14ac:dyDescent="0.3">
      <c r="A332" s="3">
        <v>3792145</v>
      </c>
      <c r="B332" s="3" t="s">
        <v>1633</v>
      </c>
      <c r="C332" s="3" t="s">
        <v>197</v>
      </c>
      <c r="D332" s="3" t="s">
        <v>198</v>
      </c>
      <c r="E332" s="3" t="s">
        <v>227</v>
      </c>
      <c r="F332" s="3" t="s">
        <v>200</v>
      </c>
      <c r="G332" s="3" t="s">
        <v>1634</v>
      </c>
      <c r="H332" s="3" t="s">
        <v>784</v>
      </c>
      <c r="I332" s="3" t="s">
        <v>203</v>
      </c>
      <c r="J332" s="3" t="s">
        <v>204</v>
      </c>
      <c r="K332" s="3" t="s">
        <v>785</v>
      </c>
      <c r="L332" s="3" t="s">
        <v>1635</v>
      </c>
      <c r="M332" s="3" t="s">
        <v>245</v>
      </c>
      <c r="N332" s="3" t="s">
        <v>217</v>
      </c>
      <c r="O332" s="3" t="s">
        <v>234</v>
      </c>
    </row>
    <row r="333" spans="1:15" ht="22.5" customHeight="1" x14ac:dyDescent="0.3">
      <c r="A333" s="4">
        <v>3792307</v>
      </c>
      <c r="B333" s="4" t="s">
        <v>1636</v>
      </c>
      <c r="C333" s="4" t="s">
        <v>197</v>
      </c>
      <c r="D333" s="4"/>
      <c r="E333" s="4" t="s">
        <v>227</v>
      </c>
      <c r="F333" s="4" t="s">
        <v>200</v>
      </c>
      <c r="G333" s="4" t="s">
        <v>1637</v>
      </c>
      <c r="H333" s="4" t="s">
        <v>1638</v>
      </c>
      <c r="I333" s="4" t="s">
        <v>203</v>
      </c>
      <c r="J333" s="4" t="s">
        <v>323</v>
      </c>
      <c r="K333" s="4" t="s">
        <v>1026</v>
      </c>
      <c r="L333" s="4" t="s">
        <v>1639</v>
      </c>
      <c r="M333" s="4" t="s">
        <v>245</v>
      </c>
      <c r="N333" s="4" t="s">
        <v>208</v>
      </c>
      <c r="O333" s="4" t="s">
        <v>433</v>
      </c>
    </row>
    <row r="334" spans="1:15" ht="22.5" customHeight="1" x14ac:dyDescent="0.3">
      <c r="A334" s="3">
        <v>3792595</v>
      </c>
      <c r="B334" s="3" t="s">
        <v>1640</v>
      </c>
      <c r="C334" s="3" t="s">
        <v>197</v>
      </c>
      <c r="D334" s="3" t="s">
        <v>198</v>
      </c>
      <c r="E334" s="3" t="s">
        <v>227</v>
      </c>
      <c r="F334" s="3" t="s">
        <v>200</v>
      </c>
      <c r="G334" s="3" t="s">
        <v>1641</v>
      </c>
      <c r="H334" s="3" t="s">
        <v>784</v>
      </c>
      <c r="I334" s="3" t="s">
        <v>203</v>
      </c>
      <c r="J334" s="3" t="s">
        <v>204</v>
      </c>
      <c r="K334" s="3" t="s">
        <v>785</v>
      </c>
      <c r="L334" s="3" t="s">
        <v>1639</v>
      </c>
      <c r="M334" s="3" t="s">
        <v>233</v>
      </c>
      <c r="N334" s="3" t="s">
        <v>208</v>
      </c>
      <c r="O334" s="3" t="s">
        <v>234</v>
      </c>
    </row>
    <row r="335" spans="1:15" ht="22.5" customHeight="1" x14ac:dyDescent="0.3">
      <c r="A335" s="4">
        <v>3794687</v>
      </c>
      <c r="B335" s="4" t="s">
        <v>1642</v>
      </c>
      <c r="C335" s="4" t="s">
        <v>197</v>
      </c>
      <c r="D335" s="4" t="s">
        <v>198</v>
      </c>
      <c r="E335" s="4" t="s">
        <v>227</v>
      </c>
      <c r="F335" s="4" t="s">
        <v>413</v>
      </c>
      <c r="G335" s="4" t="s">
        <v>1643</v>
      </c>
      <c r="H335" s="4" t="s">
        <v>1644</v>
      </c>
      <c r="I335" s="4" t="s">
        <v>203</v>
      </c>
      <c r="J335" s="4" t="s">
        <v>323</v>
      </c>
      <c r="K335" s="4" t="s">
        <v>1645</v>
      </c>
      <c r="L335" s="4" t="s">
        <v>1525</v>
      </c>
      <c r="M335" s="4" t="s">
        <v>233</v>
      </c>
      <c r="N335" s="4" t="s">
        <v>217</v>
      </c>
      <c r="O335" s="4" t="s">
        <v>433</v>
      </c>
    </row>
    <row r="336" spans="1:15" ht="22.5" customHeight="1" x14ac:dyDescent="0.3">
      <c r="A336" s="3">
        <v>3795373</v>
      </c>
      <c r="B336" s="3" t="s">
        <v>1646</v>
      </c>
      <c r="C336" s="3" t="s">
        <v>197</v>
      </c>
      <c r="D336" s="3" t="s">
        <v>198</v>
      </c>
      <c r="E336" s="3" t="s">
        <v>227</v>
      </c>
      <c r="F336" s="3" t="s">
        <v>200</v>
      </c>
      <c r="G336" s="3" t="s">
        <v>683</v>
      </c>
      <c r="H336" s="3" t="s">
        <v>1647</v>
      </c>
      <c r="I336" s="3" t="s">
        <v>203</v>
      </c>
      <c r="J336" s="3" t="s">
        <v>506</v>
      </c>
      <c r="K336" s="3" t="s">
        <v>1631</v>
      </c>
      <c r="L336" s="3" t="s">
        <v>1648</v>
      </c>
      <c r="M336" s="3" t="s">
        <v>207</v>
      </c>
      <c r="N336" s="3" t="s">
        <v>208</v>
      </c>
      <c r="O336" s="3" t="s">
        <v>418</v>
      </c>
    </row>
    <row r="337" spans="1:15" ht="57" customHeight="1" x14ac:dyDescent="0.3">
      <c r="A337" s="4">
        <v>3795446</v>
      </c>
      <c r="B337" s="4" t="s">
        <v>1649</v>
      </c>
      <c r="C337" s="4" t="s">
        <v>197</v>
      </c>
      <c r="D337" s="4" t="s">
        <v>925</v>
      </c>
      <c r="E337" s="4" t="s">
        <v>227</v>
      </c>
      <c r="F337" s="4" t="s">
        <v>888</v>
      </c>
      <c r="G337" s="4" t="s">
        <v>1650</v>
      </c>
      <c r="H337" s="4" t="s">
        <v>1651</v>
      </c>
      <c r="I337" s="4" t="s">
        <v>203</v>
      </c>
      <c r="J337" s="4" t="s">
        <v>316</v>
      </c>
      <c r="K337" s="4" t="s">
        <v>1652</v>
      </c>
      <c r="L337" s="4" t="s">
        <v>1648</v>
      </c>
      <c r="M337" s="4" t="s">
        <v>207</v>
      </c>
      <c r="N337" s="4" t="s">
        <v>208</v>
      </c>
      <c r="O337" s="4" t="s">
        <v>433</v>
      </c>
    </row>
    <row r="338" spans="1:15" ht="22.5" customHeight="1" x14ac:dyDescent="0.3">
      <c r="A338" s="3">
        <v>3795721</v>
      </c>
      <c r="B338" s="3" t="s">
        <v>1653</v>
      </c>
      <c r="C338" s="3" t="s">
        <v>197</v>
      </c>
      <c r="D338" s="3" t="s">
        <v>198</v>
      </c>
      <c r="E338" s="3" t="s">
        <v>227</v>
      </c>
      <c r="F338" s="3" t="s">
        <v>200</v>
      </c>
      <c r="G338" s="3" t="s">
        <v>1654</v>
      </c>
      <c r="H338" s="3" t="s">
        <v>1655</v>
      </c>
      <c r="I338" s="3" t="s">
        <v>203</v>
      </c>
      <c r="J338" s="3" t="s">
        <v>253</v>
      </c>
      <c r="K338" s="3" t="s">
        <v>1656</v>
      </c>
      <c r="L338" s="3" t="s">
        <v>1657</v>
      </c>
      <c r="M338" s="3" t="s">
        <v>207</v>
      </c>
      <c r="N338" s="3" t="s">
        <v>217</v>
      </c>
      <c r="O338" s="3" t="s">
        <v>234</v>
      </c>
    </row>
    <row r="339" spans="1:15" ht="22.5" customHeight="1" x14ac:dyDescent="0.3">
      <c r="A339" s="4">
        <v>3795950</v>
      </c>
      <c r="B339" s="4" t="s">
        <v>1658</v>
      </c>
      <c r="C339" s="4" t="s">
        <v>197</v>
      </c>
      <c r="D339" s="4" t="s">
        <v>198</v>
      </c>
      <c r="E339" s="4" t="s">
        <v>227</v>
      </c>
      <c r="F339" s="4" t="s">
        <v>200</v>
      </c>
      <c r="G339" s="4" t="s">
        <v>1029</v>
      </c>
      <c r="H339" s="4" t="s">
        <v>1030</v>
      </c>
      <c r="I339" s="4" t="s">
        <v>203</v>
      </c>
      <c r="J339" s="4" t="s">
        <v>204</v>
      </c>
      <c r="K339" s="4" t="s">
        <v>416</v>
      </c>
      <c r="L339" s="4" t="s">
        <v>1648</v>
      </c>
      <c r="M339" s="4" t="s">
        <v>207</v>
      </c>
      <c r="N339" s="4" t="s">
        <v>217</v>
      </c>
      <c r="O339" s="4" t="s">
        <v>418</v>
      </c>
    </row>
    <row r="340" spans="1:15" ht="22.5" customHeight="1" x14ac:dyDescent="0.3">
      <c r="A340" s="3">
        <v>3797155</v>
      </c>
      <c r="B340" s="3" t="s">
        <v>1659</v>
      </c>
      <c r="C340" s="3" t="s">
        <v>197</v>
      </c>
      <c r="D340" s="3" t="s">
        <v>198</v>
      </c>
      <c r="E340" s="3" t="s">
        <v>227</v>
      </c>
      <c r="F340" s="3" t="s">
        <v>200</v>
      </c>
      <c r="G340" s="3" t="s">
        <v>1660</v>
      </c>
      <c r="H340" s="3" t="s">
        <v>1661</v>
      </c>
      <c r="I340" s="3" t="s">
        <v>203</v>
      </c>
      <c r="J340" s="3" t="s">
        <v>323</v>
      </c>
      <c r="K340" s="3" t="s">
        <v>1281</v>
      </c>
      <c r="L340" s="3" t="s">
        <v>1662</v>
      </c>
      <c r="M340" s="3" t="s">
        <v>245</v>
      </c>
      <c r="N340" s="3" t="s">
        <v>217</v>
      </c>
      <c r="O340" s="3" t="s">
        <v>418</v>
      </c>
    </row>
    <row r="341" spans="1:15" ht="22.5" customHeight="1" x14ac:dyDescent="0.3">
      <c r="A341" s="4">
        <v>3799379</v>
      </c>
      <c r="B341" s="4" t="s">
        <v>1663</v>
      </c>
      <c r="C341" s="4" t="s">
        <v>197</v>
      </c>
      <c r="D341" s="4" t="s">
        <v>198</v>
      </c>
      <c r="E341" s="4" t="s">
        <v>227</v>
      </c>
      <c r="F341" s="4" t="s">
        <v>200</v>
      </c>
      <c r="G341" s="4" t="s">
        <v>1664</v>
      </c>
      <c r="H341" s="4" t="s">
        <v>1665</v>
      </c>
      <c r="I341" s="4" t="s">
        <v>203</v>
      </c>
      <c r="J341" s="4" t="s">
        <v>506</v>
      </c>
      <c r="K341" s="4" t="s">
        <v>1666</v>
      </c>
      <c r="L341" s="4" t="s">
        <v>1143</v>
      </c>
      <c r="M341" s="4" t="s">
        <v>207</v>
      </c>
      <c r="N341" s="4" t="s">
        <v>208</v>
      </c>
      <c r="O341" s="4" t="s">
        <v>234</v>
      </c>
    </row>
    <row r="342" spans="1:15" ht="22.5" customHeight="1" x14ac:dyDescent="0.3">
      <c r="A342" s="3">
        <v>3803643</v>
      </c>
      <c r="B342" s="3" t="s">
        <v>1667</v>
      </c>
      <c r="C342" s="3" t="s">
        <v>197</v>
      </c>
      <c r="D342" s="3" t="s">
        <v>198</v>
      </c>
      <c r="E342" s="3" t="s">
        <v>227</v>
      </c>
      <c r="F342" s="3" t="s">
        <v>200</v>
      </c>
      <c r="G342" s="3" t="s">
        <v>1668</v>
      </c>
      <c r="H342" s="3" t="s">
        <v>1669</v>
      </c>
      <c r="I342" s="3" t="s">
        <v>203</v>
      </c>
      <c r="J342" s="3" t="s">
        <v>204</v>
      </c>
      <c r="K342" s="3" t="s">
        <v>1110</v>
      </c>
      <c r="L342" s="3" t="s">
        <v>371</v>
      </c>
      <c r="M342" s="3" t="s">
        <v>245</v>
      </c>
      <c r="N342" s="3" t="s">
        <v>208</v>
      </c>
      <c r="O342" s="3" t="s">
        <v>234</v>
      </c>
    </row>
    <row r="343" spans="1:15" ht="22.5" customHeight="1" x14ac:dyDescent="0.3">
      <c r="A343" s="4">
        <v>3803821</v>
      </c>
      <c r="B343" s="4" t="s">
        <v>1670</v>
      </c>
      <c r="C343" s="4" t="s">
        <v>197</v>
      </c>
      <c r="D343" s="4" t="s">
        <v>198</v>
      </c>
      <c r="E343" s="4" t="s">
        <v>227</v>
      </c>
      <c r="F343" s="4" t="s">
        <v>200</v>
      </c>
      <c r="G343" s="4" t="s">
        <v>1020</v>
      </c>
      <c r="H343" s="4" t="s">
        <v>1671</v>
      </c>
      <c r="I343" s="4" t="s">
        <v>203</v>
      </c>
      <c r="J343" s="4" t="s">
        <v>214</v>
      </c>
      <c r="K343" s="4" t="s">
        <v>482</v>
      </c>
      <c r="L343" s="4" t="s">
        <v>1672</v>
      </c>
      <c r="M343" s="4" t="s">
        <v>245</v>
      </c>
      <c r="N343" s="4" t="s">
        <v>208</v>
      </c>
      <c r="O343" s="4" t="s">
        <v>234</v>
      </c>
    </row>
    <row r="344" spans="1:15" ht="33.75" customHeight="1" x14ac:dyDescent="0.3">
      <c r="A344" s="3">
        <v>3818748</v>
      </c>
      <c r="B344" s="3" t="s">
        <v>1673</v>
      </c>
      <c r="C344" s="3" t="s">
        <v>197</v>
      </c>
      <c r="D344" s="3" t="s">
        <v>198</v>
      </c>
      <c r="E344" s="3" t="s">
        <v>227</v>
      </c>
      <c r="F344" s="3" t="s">
        <v>888</v>
      </c>
      <c r="G344" s="3" t="s">
        <v>538</v>
      </c>
      <c r="H344" s="3" t="s">
        <v>1674</v>
      </c>
      <c r="I344" s="3" t="s">
        <v>203</v>
      </c>
      <c r="J344" s="3" t="s">
        <v>204</v>
      </c>
      <c r="K344" s="3" t="s">
        <v>1675</v>
      </c>
      <c r="L344" s="3" t="s">
        <v>1676</v>
      </c>
      <c r="M344" s="3" t="s">
        <v>245</v>
      </c>
      <c r="N344" s="3" t="s">
        <v>208</v>
      </c>
      <c r="O344" s="3" t="s">
        <v>234</v>
      </c>
    </row>
    <row r="345" spans="1:15" ht="22.5" customHeight="1" x14ac:dyDescent="0.3">
      <c r="A345" s="4">
        <v>3819450</v>
      </c>
      <c r="B345" s="4" t="s">
        <v>1677</v>
      </c>
      <c r="C345" s="4" t="s">
        <v>197</v>
      </c>
      <c r="D345" s="4" t="s">
        <v>198</v>
      </c>
      <c r="E345" s="4" t="s">
        <v>227</v>
      </c>
      <c r="F345" s="4" t="s">
        <v>200</v>
      </c>
      <c r="G345" s="4" t="s">
        <v>1678</v>
      </c>
      <c r="H345" s="4" t="s">
        <v>1679</v>
      </c>
      <c r="I345" s="4" t="s">
        <v>203</v>
      </c>
      <c r="J345" s="4" t="s">
        <v>323</v>
      </c>
      <c r="K345" s="4" t="s">
        <v>1680</v>
      </c>
      <c r="L345" s="4" t="s">
        <v>1130</v>
      </c>
      <c r="M345" s="4" t="s">
        <v>207</v>
      </c>
      <c r="N345" s="4" t="s">
        <v>208</v>
      </c>
      <c r="O345" s="4" t="s">
        <v>418</v>
      </c>
    </row>
    <row r="346" spans="1:15" ht="22.5" customHeight="1" x14ac:dyDescent="0.3">
      <c r="A346" s="3">
        <v>3821544</v>
      </c>
      <c r="B346" s="3" t="s">
        <v>1681</v>
      </c>
      <c r="C346" s="3" t="s">
        <v>197</v>
      </c>
      <c r="D346" s="3"/>
      <c r="E346" s="3" t="s">
        <v>227</v>
      </c>
      <c r="F346" s="3" t="s">
        <v>200</v>
      </c>
      <c r="G346" s="3" t="s">
        <v>1682</v>
      </c>
      <c r="H346" s="3" t="s">
        <v>1683</v>
      </c>
      <c r="I346" s="3" t="s">
        <v>203</v>
      </c>
      <c r="J346" s="3" t="s">
        <v>323</v>
      </c>
      <c r="K346" s="3" t="s">
        <v>848</v>
      </c>
      <c r="L346" s="3" t="s">
        <v>1684</v>
      </c>
      <c r="M346" s="3" t="s">
        <v>207</v>
      </c>
      <c r="N346" s="3" t="s">
        <v>217</v>
      </c>
      <c r="O346" s="3" t="s">
        <v>234</v>
      </c>
    </row>
    <row r="347" spans="1:15" ht="22.5" customHeight="1" x14ac:dyDescent="0.3">
      <c r="A347" s="4">
        <v>3828700</v>
      </c>
      <c r="B347" s="4" t="s">
        <v>1685</v>
      </c>
      <c r="C347" s="4" t="s">
        <v>197</v>
      </c>
      <c r="D347" s="4" t="s">
        <v>198</v>
      </c>
      <c r="E347" s="4" t="s">
        <v>227</v>
      </c>
      <c r="F347" s="4" t="s">
        <v>200</v>
      </c>
      <c r="G347" s="4" t="s">
        <v>1686</v>
      </c>
      <c r="H347" s="4" t="s">
        <v>1687</v>
      </c>
      <c r="I347" s="4" t="s">
        <v>203</v>
      </c>
      <c r="J347" s="4" t="s">
        <v>323</v>
      </c>
      <c r="K347" s="4" t="s">
        <v>324</v>
      </c>
      <c r="L347" s="4" t="s">
        <v>1688</v>
      </c>
      <c r="M347" s="4" t="s">
        <v>245</v>
      </c>
      <c r="N347" s="4" t="s">
        <v>208</v>
      </c>
      <c r="O347" s="4" t="s">
        <v>418</v>
      </c>
    </row>
    <row r="348" spans="1:15" ht="22.5" customHeight="1" x14ac:dyDescent="0.3">
      <c r="A348" s="3">
        <v>3828921</v>
      </c>
      <c r="B348" s="3" t="s">
        <v>1689</v>
      </c>
      <c r="C348" s="3" t="s">
        <v>197</v>
      </c>
      <c r="D348" s="3" t="s">
        <v>198</v>
      </c>
      <c r="E348" s="3" t="s">
        <v>227</v>
      </c>
      <c r="F348" s="3" t="s">
        <v>200</v>
      </c>
      <c r="G348" s="3" t="s">
        <v>1690</v>
      </c>
      <c r="H348" s="3" t="s">
        <v>1691</v>
      </c>
      <c r="I348" s="3" t="s">
        <v>203</v>
      </c>
      <c r="J348" s="3" t="s">
        <v>204</v>
      </c>
      <c r="K348" s="3" t="s">
        <v>1692</v>
      </c>
      <c r="L348" s="3" t="s">
        <v>1693</v>
      </c>
      <c r="M348" s="3" t="s">
        <v>207</v>
      </c>
      <c r="N348" s="3" t="s">
        <v>217</v>
      </c>
      <c r="O348" s="3" t="s">
        <v>444</v>
      </c>
    </row>
    <row r="349" spans="1:15" ht="22.5" customHeight="1" x14ac:dyDescent="0.3">
      <c r="A349" s="4">
        <v>3829073</v>
      </c>
      <c r="B349" s="4" t="s">
        <v>1694</v>
      </c>
      <c r="C349" s="4" t="s">
        <v>197</v>
      </c>
      <c r="D349" s="4" t="s">
        <v>198</v>
      </c>
      <c r="E349" s="4" t="s">
        <v>227</v>
      </c>
      <c r="F349" s="4" t="s">
        <v>200</v>
      </c>
      <c r="G349" s="4" t="s">
        <v>1695</v>
      </c>
      <c r="H349" s="4" t="s">
        <v>1404</v>
      </c>
      <c r="I349" s="4" t="s">
        <v>203</v>
      </c>
      <c r="J349" s="4" t="s">
        <v>323</v>
      </c>
      <c r="K349" s="4" t="s">
        <v>1696</v>
      </c>
      <c r="L349" s="4" t="s">
        <v>255</v>
      </c>
      <c r="M349" s="4" t="s">
        <v>245</v>
      </c>
      <c r="N349" s="4" t="s">
        <v>208</v>
      </c>
      <c r="O349" s="4" t="s">
        <v>418</v>
      </c>
    </row>
    <row r="350" spans="1:15" ht="22.5" customHeight="1" x14ac:dyDescent="0.3">
      <c r="A350" s="3">
        <v>3830810</v>
      </c>
      <c r="B350" s="3" t="s">
        <v>1697</v>
      </c>
      <c r="C350" s="3" t="s">
        <v>197</v>
      </c>
      <c r="D350" s="3" t="s">
        <v>198</v>
      </c>
      <c r="E350" s="3" t="s">
        <v>227</v>
      </c>
      <c r="F350" s="3" t="s">
        <v>200</v>
      </c>
      <c r="G350" s="3" t="s">
        <v>1698</v>
      </c>
      <c r="H350" s="3" t="s">
        <v>1699</v>
      </c>
      <c r="I350" s="3" t="s">
        <v>203</v>
      </c>
      <c r="J350" s="3" t="s">
        <v>204</v>
      </c>
      <c r="K350" s="3" t="s">
        <v>1700</v>
      </c>
      <c r="L350" s="3" t="s">
        <v>1701</v>
      </c>
      <c r="M350" s="3" t="s">
        <v>207</v>
      </c>
      <c r="N350" s="3" t="s">
        <v>217</v>
      </c>
      <c r="O350" s="3" t="s">
        <v>418</v>
      </c>
    </row>
    <row r="351" spans="1:15" ht="22.5" customHeight="1" x14ac:dyDescent="0.3">
      <c r="A351" s="4">
        <v>3834654</v>
      </c>
      <c r="B351" s="4" t="s">
        <v>1702</v>
      </c>
      <c r="C351" s="4" t="s">
        <v>197</v>
      </c>
      <c r="D351" s="4" t="s">
        <v>198</v>
      </c>
      <c r="E351" s="4" t="s">
        <v>227</v>
      </c>
      <c r="F351" s="4" t="s">
        <v>200</v>
      </c>
      <c r="G351" s="4" t="s">
        <v>1703</v>
      </c>
      <c r="H351" s="4" t="s">
        <v>646</v>
      </c>
      <c r="I351" s="4" t="s">
        <v>203</v>
      </c>
      <c r="J351" s="4" t="s">
        <v>316</v>
      </c>
      <c r="K351" s="4" t="s">
        <v>1704</v>
      </c>
      <c r="L351" s="4" t="s">
        <v>1073</v>
      </c>
      <c r="M351" s="4" t="s">
        <v>245</v>
      </c>
      <c r="N351" s="4" t="s">
        <v>217</v>
      </c>
      <c r="O351" s="4" t="s">
        <v>234</v>
      </c>
    </row>
    <row r="352" spans="1:15" ht="22.5" customHeight="1" x14ac:dyDescent="0.3">
      <c r="A352" s="3">
        <v>3837432</v>
      </c>
      <c r="B352" s="3" t="s">
        <v>1705</v>
      </c>
      <c r="C352" s="3" t="s">
        <v>197</v>
      </c>
      <c r="D352" s="3" t="s">
        <v>198</v>
      </c>
      <c r="E352" s="3" t="s">
        <v>227</v>
      </c>
      <c r="F352" s="3" t="s">
        <v>200</v>
      </c>
      <c r="G352" s="3" t="s">
        <v>1706</v>
      </c>
      <c r="H352" s="3" t="s">
        <v>1707</v>
      </c>
      <c r="I352" s="3" t="s">
        <v>203</v>
      </c>
      <c r="J352" s="3" t="s">
        <v>214</v>
      </c>
      <c r="K352" s="3" t="s">
        <v>1243</v>
      </c>
      <c r="L352" s="3" t="s">
        <v>1708</v>
      </c>
      <c r="M352" s="3" t="s">
        <v>245</v>
      </c>
      <c r="N352" s="3" t="s">
        <v>217</v>
      </c>
      <c r="O352" s="3" t="s">
        <v>234</v>
      </c>
    </row>
    <row r="353" spans="1:15" ht="33.75" customHeight="1" x14ac:dyDescent="0.3">
      <c r="A353" s="4">
        <v>3837521</v>
      </c>
      <c r="B353" s="4" t="s">
        <v>1709</v>
      </c>
      <c r="C353" s="4" t="s">
        <v>197</v>
      </c>
      <c r="D353" s="4" t="s">
        <v>494</v>
      </c>
      <c r="E353" s="4" t="s">
        <v>227</v>
      </c>
      <c r="F353" s="4" t="s">
        <v>200</v>
      </c>
      <c r="G353" s="4" t="s">
        <v>1710</v>
      </c>
      <c r="H353" s="4" t="s">
        <v>1711</v>
      </c>
      <c r="I353" s="4" t="s">
        <v>203</v>
      </c>
      <c r="J353" s="4" t="s">
        <v>323</v>
      </c>
      <c r="K353" s="4" t="s">
        <v>705</v>
      </c>
      <c r="L353" s="4" t="s">
        <v>1712</v>
      </c>
      <c r="M353" s="4" t="s">
        <v>207</v>
      </c>
      <c r="N353" s="4" t="s">
        <v>208</v>
      </c>
      <c r="O353" s="4" t="s">
        <v>234</v>
      </c>
    </row>
    <row r="354" spans="1:15" ht="33.75" customHeight="1" x14ac:dyDescent="0.3">
      <c r="A354" s="3">
        <v>3837742</v>
      </c>
      <c r="B354" s="3" t="s">
        <v>1713</v>
      </c>
      <c r="C354" s="3" t="s">
        <v>197</v>
      </c>
      <c r="D354" s="3" t="s">
        <v>1132</v>
      </c>
      <c r="E354" s="3" t="s">
        <v>227</v>
      </c>
      <c r="F354" s="3" t="s">
        <v>200</v>
      </c>
      <c r="G354" s="3" t="s">
        <v>1714</v>
      </c>
      <c r="H354" s="3" t="s">
        <v>1715</v>
      </c>
      <c r="I354" s="3" t="s">
        <v>203</v>
      </c>
      <c r="J354" s="3" t="s">
        <v>204</v>
      </c>
      <c r="K354" s="3" t="s">
        <v>1319</v>
      </c>
      <c r="L354" s="3" t="s">
        <v>1716</v>
      </c>
      <c r="M354" s="3" t="s">
        <v>207</v>
      </c>
      <c r="N354" s="3" t="s">
        <v>208</v>
      </c>
      <c r="O354" s="3" t="s">
        <v>234</v>
      </c>
    </row>
    <row r="355" spans="1:15" ht="22.5" customHeight="1" x14ac:dyDescent="0.3">
      <c r="A355" s="4">
        <v>3839559</v>
      </c>
      <c r="B355" s="4" t="s">
        <v>1717</v>
      </c>
      <c r="C355" s="4" t="s">
        <v>197</v>
      </c>
      <c r="D355" s="4" t="s">
        <v>198</v>
      </c>
      <c r="E355" s="4" t="s">
        <v>227</v>
      </c>
      <c r="F355" s="4" t="s">
        <v>200</v>
      </c>
      <c r="G355" s="4" t="s">
        <v>1718</v>
      </c>
      <c r="H355" s="4" t="s">
        <v>1210</v>
      </c>
      <c r="I355" s="4" t="s">
        <v>203</v>
      </c>
      <c r="J355" s="4" t="s">
        <v>204</v>
      </c>
      <c r="K355" s="4" t="s">
        <v>1719</v>
      </c>
      <c r="L355" s="4" t="s">
        <v>1073</v>
      </c>
      <c r="M355" s="4" t="s">
        <v>245</v>
      </c>
      <c r="N355" s="4" t="s">
        <v>217</v>
      </c>
      <c r="O355" s="4" t="s">
        <v>433</v>
      </c>
    </row>
    <row r="356" spans="1:15" ht="22.5" customHeight="1" x14ac:dyDescent="0.3">
      <c r="A356" s="3">
        <v>3844994</v>
      </c>
      <c r="B356" s="3" t="s">
        <v>1720</v>
      </c>
      <c r="C356" s="3" t="s">
        <v>197</v>
      </c>
      <c r="D356" s="3" t="s">
        <v>198</v>
      </c>
      <c r="E356" s="3" t="s">
        <v>227</v>
      </c>
      <c r="F356" s="3" t="s">
        <v>200</v>
      </c>
      <c r="G356" s="3" t="s">
        <v>1721</v>
      </c>
      <c r="H356" s="3" t="s">
        <v>1722</v>
      </c>
      <c r="I356" s="3" t="s">
        <v>203</v>
      </c>
      <c r="J356" s="3" t="s">
        <v>214</v>
      </c>
      <c r="K356" s="3" t="s">
        <v>1723</v>
      </c>
      <c r="L356" s="3" t="s">
        <v>249</v>
      </c>
      <c r="M356" s="3" t="s">
        <v>207</v>
      </c>
      <c r="N356" s="3" t="s">
        <v>217</v>
      </c>
      <c r="O356" s="3" t="s">
        <v>234</v>
      </c>
    </row>
    <row r="357" spans="1:15" ht="22.5" customHeight="1" x14ac:dyDescent="0.3">
      <c r="A357" s="4">
        <v>3847764</v>
      </c>
      <c r="B357" s="4" t="s">
        <v>1724</v>
      </c>
      <c r="C357" s="4" t="s">
        <v>197</v>
      </c>
      <c r="D357" s="4" t="s">
        <v>354</v>
      </c>
      <c r="E357" s="4" t="s">
        <v>227</v>
      </c>
      <c r="F357" s="4" t="s">
        <v>200</v>
      </c>
      <c r="G357" s="4" t="s">
        <v>1725</v>
      </c>
      <c r="H357" s="4" t="s">
        <v>1726</v>
      </c>
      <c r="I357" s="4" t="s">
        <v>203</v>
      </c>
      <c r="J357" s="4" t="s">
        <v>204</v>
      </c>
      <c r="K357" s="4" t="s">
        <v>1215</v>
      </c>
      <c r="L357" s="4" t="s">
        <v>1727</v>
      </c>
      <c r="M357" s="4" t="s">
        <v>207</v>
      </c>
      <c r="N357" s="4" t="s">
        <v>208</v>
      </c>
      <c r="O357" s="4" t="s">
        <v>444</v>
      </c>
    </row>
    <row r="358" spans="1:15" ht="33.75" customHeight="1" x14ac:dyDescent="0.3">
      <c r="A358" s="3">
        <v>3857506</v>
      </c>
      <c r="B358" s="3" t="s">
        <v>1728</v>
      </c>
      <c r="C358" s="3" t="s">
        <v>197</v>
      </c>
      <c r="D358" s="3" t="s">
        <v>198</v>
      </c>
      <c r="E358" s="3" t="s">
        <v>227</v>
      </c>
      <c r="F358" s="3" t="s">
        <v>888</v>
      </c>
      <c r="G358" s="3" t="s">
        <v>1729</v>
      </c>
      <c r="H358" s="3" t="s">
        <v>1730</v>
      </c>
      <c r="I358" s="3" t="s">
        <v>203</v>
      </c>
      <c r="J358" s="3" t="s">
        <v>323</v>
      </c>
      <c r="K358" s="3" t="s">
        <v>1026</v>
      </c>
      <c r="L358" s="3" t="s">
        <v>1731</v>
      </c>
      <c r="M358" s="3" t="s">
        <v>245</v>
      </c>
      <c r="N358" s="3" t="s">
        <v>208</v>
      </c>
      <c r="O358" s="3" t="s">
        <v>418</v>
      </c>
    </row>
    <row r="359" spans="1:15" ht="22.5" customHeight="1" x14ac:dyDescent="0.3">
      <c r="A359" s="4">
        <v>3862119</v>
      </c>
      <c r="B359" s="4" t="s">
        <v>1732</v>
      </c>
      <c r="C359" s="4" t="s">
        <v>197</v>
      </c>
      <c r="D359" s="4" t="s">
        <v>198</v>
      </c>
      <c r="E359" s="4" t="s">
        <v>227</v>
      </c>
      <c r="F359" s="4" t="s">
        <v>200</v>
      </c>
      <c r="G359" s="4" t="s">
        <v>1733</v>
      </c>
      <c r="H359" s="4" t="s">
        <v>1734</v>
      </c>
      <c r="I359" s="4" t="s">
        <v>737</v>
      </c>
      <c r="J359" s="4" t="s">
        <v>214</v>
      </c>
      <c r="K359" s="4" t="s">
        <v>1247</v>
      </c>
      <c r="L359" s="4" t="s">
        <v>1512</v>
      </c>
      <c r="M359" s="4" t="s">
        <v>207</v>
      </c>
      <c r="N359" s="4" t="s">
        <v>217</v>
      </c>
      <c r="O359" s="4" t="s">
        <v>234</v>
      </c>
    </row>
    <row r="360" spans="1:15" ht="22.5" customHeight="1" x14ac:dyDescent="0.3">
      <c r="A360" s="3">
        <v>3862348</v>
      </c>
      <c r="B360" s="3" t="s">
        <v>1735</v>
      </c>
      <c r="C360" s="3" t="s">
        <v>197</v>
      </c>
      <c r="D360" s="3" t="s">
        <v>198</v>
      </c>
      <c r="E360" s="3" t="s">
        <v>227</v>
      </c>
      <c r="F360" s="3" t="s">
        <v>200</v>
      </c>
      <c r="G360" s="3" t="s">
        <v>1736</v>
      </c>
      <c r="H360" s="3" t="s">
        <v>1737</v>
      </c>
      <c r="I360" s="3" t="s">
        <v>203</v>
      </c>
      <c r="J360" s="3" t="s">
        <v>214</v>
      </c>
      <c r="K360" s="3" t="s">
        <v>526</v>
      </c>
      <c r="L360" s="3" t="s">
        <v>1738</v>
      </c>
      <c r="M360" s="3" t="s">
        <v>207</v>
      </c>
      <c r="N360" s="3" t="s">
        <v>217</v>
      </c>
      <c r="O360" s="3" t="s">
        <v>234</v>
      </c>
    </row>
    <row r="361" spans="1:15" ht="33.75" customHeight="1" x14ac:dyDescent="0.3">
      <c r="A361" s="4">
        <v>3868664</v>
      </c>
      <c r="B361" s="4" t="s">
        <v>1739</v>
      </c>
      <c r="C361" s="4" t="s">
        <v>197</v>
      </c>
      <c r="D361" s="4" t="s">
        <v>1740</v>
      </c>
      <c r="E361" s="4" t="s">
        <v>227</v>
      </c>
      <c r="F361" s="4" t="s">
        <v>200</v>
      </c>
      <c r="G361" s="4" t="s">
        <v>1741</v>
      </c>
      <c r="H361" s="4" t="s">
        <v>1218</v>
      </c>
      <c r="I361" s="4" t="s">
        <v>203</v>
      </c>
      <c r="J361" s="4" t="s">
        <v>506</v>
      </c>
      <c r="K361" s="4" t="s">
        <v>507</v>
      </c>
      <c r="L361" s="4" t="s">
        <v>1742</v>
      </c>
      <c r="M361" s="4" t="s">
        <v>207</v>
      </c>
      <c r="N361" s="4" t="s">
        <v>208</v>
      </c>
      <c r="O361" s="4" t="s">
        <v>234</v>
      </c>
    </row>
    <row r="362" spans="1:15" ht="57" customHeight="1" x14ac:dyDescent="0.3">
      <c r="A362" s="3">
        <v>3878414</v>
      </c>
      <c r="B362" s="3" t="s">
        <v>1743</v>
      </c>
      <c r="C362" s="3" t="s">
        <v>197</v>
      </c>
      <c r="D362" s="3" t="s">
        <v>572</v>
      </c>
      <c r="E362" s="3" t="s">
        <v>227</v>
      </c>
      <c r="F362" s="3" t="s">
        <v>200</v>
      </c>
      <c r="G362" s="3" t="s">
        <v>1744</v>
      </c>
      <c r="H362" s="3" t="s">
        <v>1745</v>
      </c>
      <c r="I362" s="3" t="s">
        <v>203</v>
      </c>
      <c r="J362" s="3" t="s">
        <v>329</v>
      </c>
      <c r="K362" s="3" t="s">
        <v>1746</v>
      </c>
      <c r="L362" s="3" t="s">
        <v>1747</v>
      </c>
      <c r="M362" s="3" t="s">
        <v>245</v>
      </c>
      <c r="N362" s="3" t="s">
        <v>217</v>
      </c>
      <c r="O362" s="3" t="s">
        <v>433</v>
      </c>
    </row>
    <row r="363" spans="1:15" ht="22.5" customHeight="1" x14ac:dyDescent="0.3">
      <c r="A363" s="4">
        <v>3878546</v>
      </c>
      <c r="B363" s="4" t="s">
        <v>1748</v>
      </c>
      <c r="C363" s="4" t="s">
        <v>197</v>
      </c>
      <c r="D363" s="4" t="s">
        <v>198</v>
      </c>
      <c r="E363" s="4" t="s">
        <v>227</v>
      </c>
      <c r="F363" s="4" t="s">
        <v>200</v>
      </c>
      <c r="G363" s="4" t="s">
        <v>1749</v>
      </c>
      <c r="H363" s="4" t="s">
        <v>1750</v>
      </c>
      <c r="I363" s="4" t="s">
        <v>203</v>
      </c>
      <c r="J363" s="4" t="s">
        <v>204</v>
      </c>
      <c r="K363" s="4" t="s">
        <v>1364</v>
      </c>
      <c r="L363" s="4" t="s">
        <v>1684</v>
      </c>
      <c r="M363" s="4" t="s">
        <v>207</v>
      </c>
      <c r="N363" s="4" t="s">
        <v>217</v>
      </c>
      <c r="O363" s="4" t="s">
        <v>444</v>
      </c>
    </row>
    <row r="364" spans="1:15" ht="22.5" customHeight="1" x14ac:dyDescent="0.3">
      <c r="A364" s="3">
        <v>3878732</v>
      </c>
      <c r="B364" s="3" t="s">
        <v>1751</v>
      </c>
      <c r="C364" s="3" t="s">
        <v>197</v>
      </c>
      <c r="D364" s="3" t="s">
        <v>198</v>
      </c>
      <c r="E364" s="3" t="s">
        <v>227</v>
      </c>
      <c r="F364" s="3" t="s">
        <v>200</v>
      </c>
      <c r="G364" s="3" t="s">
        <v>1752</v>
      </c>
      <c r="H364" s="3" t="s">
        <v>1753</v>
      </c>
      <c r="I364" s="3" t="s">
        <v>203</v>
      </c>
      <c r="J364" s="3" t="s">
        <v>214</v>
      </c>
      <c r="K364" s="3" t="s">
        <v>238</v>
      </c>
      <c r="L364" s="3" t="s">
        <v>1754</v>
      </c>
      <c r="M364" s="3" t="s">
        <v>207</v>
      </c>
      <c r="N364" s="3" t="s">
        <v>217</v>
      </c>
      <c r="O364" s="3" t="s">
        <v>234</v>
      </c>
    </row>
    <row r="365" spans="1:15" ht="22.5" customHeight="1" x14ac:dyDescent="0.3">
      <c r="A365" s="4">
        <v>3902161</v>
      </c>
      <c r="B365" s="4" t="s">
        <v>1755</v>
      </c>
      <c r="C365" s="4" t="s">
        <v>197</v>
      </c>
      <c r="D365" s="4" t="s">
        <v>198</v>
      </c>
      <c r="E365" s="4" t="s">
        <v>227</v>
      </c>
      <c r="F365" s="4" t="s">
        <v>200</v>
      </c>
      <c r="G365" s="4" t="s">
        <v>1756</v>
      </c>
      <c r="H365" s="4" t="s">
        <v>1757</v>
      </c>
      <c r="I365" s="4" t="s">
        <v>203</v>
      </c>
      <c r="J365" s="4" t="s">
        <v>323</v>
      </c>
      <c r="K365" s="4" t="s">
        <v>1758</v>
      </c>
      <c r="L365" s="4" t="s">
        <v>1759</v>
      </c>
      <c r="M365" s="4" t="s">
        <v>233</v>
      </c>
      <c r="N365" s="4" t="s">
        <v>217</v>
      </c>
      <c r="O365" s="4" t="s">
        <v>433</v>
      </c>
    </row>
    <row r="366" spans="1:15" ht="22.5" customHeight="1" x14ac:dyDescent="0.3">
      <c r="A366" s="3">
        <v>3905004</v>
      </c>
      <c r="B366" s="3" t="s">
        <v>1760</v>
      </c>
      <c r="C366" s="3" t="s">
        <v>197</v>
      </c>
      <c r="D366" s="3" t="s">
        <v>198</v>
      </c>
      <c r="E366" s="3" t="s">
        <v>227</v>
      </c>
      <c r="F366" s="3" t="s">
        <v>200</v>
      </c>
      <c r="G366" s="3" t="s">
        <v>741</v>
      </c>
      <c r="H366" s="3" t="s">
        <v>742</v>
      </c>
      <c r="I366" s="3" t="s">
        <v>203</v>
      </c>
      <c r="J366" s="3" t="s">
        <v>214</v>
      </c>
      <c r="K366" s="3" t="s">
        <v>1761</v>
      </c>
      <c r="L366" s="3" t="s">
        <v>1762</v>
      </c>
      <c r="M366" s="3" t="s">
        <v>207</v>
      </c>
      <c r="N366" s="3" t="s">
        <v>217</v>
      </c>
      <c r="O366" s="3" t="s">
        <v>234</v>
      </c>
    </row>
    <row r="367" spans="1:15" ht="22.5" customHeight="1" x14ac:dyDescent="0.3">
      <c r="A367" s="4">
        <v>3949427</v>
      </c>
      <c r="B367" s="4" t="s">
        <v>1763</v>
      </c>
      <c r="C367" s="4" t="s">
        <v>197</v>
      </c>
      <c r="D367" s="4" t="s">
        <v>198</v>
      </c>
      <c r="E367" s="4" t="s">
        <v>227</v>
      </c>
      <c r="F367" s="4" t="s">
        <v>200</v>
      </c>
      <c r="G367" s="4" t="s">
        <v>1764</v>
      </c>
      <c r="H367" s="4" t="s">
        <v>1765</v>
      </c>
      <c r="I367" s="4" t="s">
        <v>203</v>
      </c>
      <c r="J367" s="4" t="s">
        <v>223</v>
      </c>
      <c r="K367" s="4" t="s">
        <v>1766</v>
      </c>
      <c r="L367" s="4" t="s">
        <v>1767</v>
      </c>
      <c r="M367" s="4" t="s">
        <v>207</v>
      </c>
      <c r="N367" s="4" t="s">
        <v>208</v>
      </c>
      <c r="O367" s="4" t="s">
        <v>234</v>
      </c>
    </row>
    <row r="368" spans="1:15" ht="22.5" customHeight="1" x14ac:dyDescent="0.3">
      <c r="A368" s="3">
        <v>3954978</v>
      </c>
      <c r="B368" s="3" t="s">
        <v>1768</v>
      </c>
      <c r="C368" s="3" t="s">
        <v>197</v>
      </c>
      <c r="D368" s="3" t="s">
        <v>198</v>
      </c>
      <c r="E368" s="3" t="s">
        <v>227</v>
      </c>
      <c r="F368" s="3" t="s">
        <v>200</v>
      </c>
      <c r="G368" s="3" t="s">
        <v>1769</v>
      </c>
      <c r="H368" s="3" t="s">
        <v>1164</v>
      </c>
      <c r="I368" s="3" t="s">
        <v>203</v>
      </c>
      <c r="J368" s="3" t="s">
        <v>214</v>
      </c>
      <c r="K368" s="3" t="s">
        <v>1234</v>
      </c>
      <c r="L368" s="3" t="s">
        <v>1770</v>
      </c>
      <c r="M368" s="3" t="s">
        <v>207</v>
      </c>
      <c r="N368" s="3" t="s">
        <v>217</v>
      </c>
      <c r="O368" s="3" t="s">
        <v>234</v>
      </c>
    </row>
    <row r="369" spans="1:15" ht="22.5" customHeight="1" x14ac:dyDescent="0.3">
      <c r="A369" s="4">
        <v>3955125</v>
      </c>
      <c r="B369" s="4" t="s">
        <v>1771</v>
      </c>
      <c r="C369" s="4" t="s">
        <v>197</v>
      </c>
      <c r="D369" s="4" t="s">
        <v>862</v>
      </c>
      <c r="E369" s="4" t="s">
        <v>227</v>
      </c>
      <c r="F369" s="4" t="s">
        <v>200</v>
      </c>
      <c r="G369" s="4" t="s">
        <v>1772</v>
      </c>
      <c r="H369" s="4" t="s">
        <v>1773</v>
      </c>
      <c r="I369" s="4" t="s">
        <v>203</v>
      </c>
      <c r="J369" s="4" t="s">
        <v>323</v>
      </c>
      <c r="K369" s="4" t="s">
        <v>1774</v>
      </c>
      <c r="L369" s="4" t="s">
        <v>1684</v>
      </c>
      <c r="M369" s="4" t="s">
        <v>245</v>
      </c>
      <c r="N369" s="4" t="s">
        <v>208</v>
      </c>
      <c r="O369" s="4" t="s">
        <v>418</v>
      </c>
    </row>
    <row r="370" spans="1:15" ht="22.5" customHeight="1" x14ac:dyDescent="0.3">
      <c r="A370" s="3">
        <v>3974510</v>
      </c>
      <c r="B370" s="3" t="s">
        <v>1775</v>
      </c>
      <c r="C370" s="3" t="s">
        <v>197</v>
      </c>
      <c r="D370" s="3" t="s">
        <v>198</v>
      </c>
      <c r="E370" s="3" t="s">
        <v>227</v>
      </c>
      <c r="F370" s="3" t="s">
        <v>200</v>
      </c>
      <c r="G370" s="3" t="s">
        <v>1776</v>
      </c>
      <c r="H370" s="3" t="s">
        <v>1777</v>
      </c>
      <c r="I370" s="3" t="s">
        <v>203</v>
      </c>
      <c r="J370" s="3" t="s">
        <v>214</v>
      </c>
      <c r="K370" s="3" t="s">
        <v>941</v>
      </c>
      <c r="L370" s="3" t="s">
        <v>1778</v>
      </c>
      <c r="M370" s="3" t="s">
        <v>207</v>
      </c>
      <c r="N370" s="3" t="s">
        <v>217</v>
      </c>
      <c r="O370" s="3" t="s">
        <v>234</v>
      </c>
    </row>
    <row r="371" spans="1:15" ht="33.75" customHeight="1" x14ac:dyDescent="0.3">
      <c r="A371" s="4">
        <v>4501241</v>
      </c>
      <c r="B371" s="4" t="s">
        <v>1779</v>
      </c>
      <c r="C371" s="4" t="s">
        <v>197</v>
      </c>
      <c r="D371" s="4" t="s">
        <v>716</v>
      </c>
      <c r="E371" s="4" t="s">
        <v>227</v>
      </c>
      <c r="F371" s="4" t="s">
        <v>413</v>
      </c>
      <c r="G371" s="4" t="s">
        <v>1780</v>
      </c>
      <c r="H371" s="4" t="s">
        <v>1781</v>
      </c>
      <c r="I371" s="4" t="s">
        <v>203</v>
      </c>
      <c r="J371" s="4" t="s">
        <v>323</v>
      </c>
      <c r="K371" s="4" t="s">
        <v>1782</v>
      </c>
      <c r="L371" s="4" t="s">
        <v>1783</v>
      </c>
      <c r="M371" s="4" t="s">
        <v>233</v>
      </c>
      <c r="N371" s="4" t="s">
        <v>217</v>
      </c>
      <c r="O371" s="4" t="s">
        <v>418</v>
      </c>
    </row>
    <row r="372" spans="1:15" ht="22.5" customHeight="1" x14ac:dyDescent="0.3">
      <c r="A372" s="3">
        <v>4506367</v>
      </c>
      <c r="B372" s="3" t="s">
        <v>1784</v>
      </c>
      <c r="C372" s="3" t="s">
        <v>197</v>
      </c>
      <c r="D372" s="3" t="s">
        <v>693</v>
      </c>
      <c r="E372" s="3" t="s">
        <v>227</v>
      </c>
      <c r="F372" s="3" t="s">
        <v>413</v>
      </c>
      <c r="G372" s="3" t="s">
        <v>1785</v>
      </c>
      <c r="H372" s="3" t="s">
        <v>1786</v>
      </c>
      <c r="I372" s="3" t="s">
        <v>203</v>
      </c>
      <c r="J372" s="3" t="s">
        <v>253</v>
      </c>
      <c r="K372" s="3" t="s">
        <v>422</v>
      </c>
      <c r="L372" s="3" t="s">
        <v>1787</v>
      </c>
      <c r="M372" s="3" t="s">
        <v>233</v>
      </c>
      <c r="N372" s="3" t="s">
        <v>208</v>
      </c>
      <c r="O372" s="3" t="s">
        <v>433</v>
      </c>
    </row>
    <row r="373" spans="1:15" ht="22.5" customHeight="1" x14ac:dyDescent="0.3">
      <c r="A373" s="4">
        <v>4516850</v>
      </c>
      <c r="B373" s="4" t="s">
        <v>1788</v>
      </c>
      <c r="C373" s="4" t="s">
        <v>197</v>
      </c>
      <c r="D373" s="4" t="s">
        <v>693</v>
      </c>
      <c r="E373" s="4" t="s">
        <v>227</v>
      </c>
      <c r="F373" s="4" t="s">
        <v>413</v>
      </c>
      <c r="G373" s="4" t="s">
        <v>1789</v>
      </c>
      <c r="H373" s="4" t="s">
        <v>1790</v>
      </c>
      <c r="I373" s="4" t="s">
        <v>203</v>
      </c>
      <c r="J373" s="4" t="s">
        <v>298</v>
      </c>
      <c r="K373" s="4" t="s">
        <v>1791</v>
      </c>
      <c r="L373" s="4" t="s">
        <v>1792</v>
      </c>
      <c r="M373" s="4" t="s">
        <v>233</v>
      </c>
      <c r="N373" s="4" t="s">
        <v>208</v>
      </c>
      <c r="O373" s="4" t="s">
        <v>433</v>
      </c>
    </row>
    <row r="374" spans="1:15" ht="22.5" customHeight="1" x14ac:dyDescent="0.3">
      <c r="A374" s="3">
        <v>4518470</v>
      </c>
      <c r="B374" s="3" t="s">
        <v>1793</v>
      </c>
      <c r="C374" s="3" t="s">
        <v>197</v>
      </c>
      <c r="D374" s="3" t="s">
        <v>693</v>
      </c>
      <c r="E374" s="3" t="s">
        <v>227</v>
      </c>
      <c r="F374" s="3" t="s">
        <v>413</v>
      </c>
      <c r="G374" s="3" t="s">
        <v>1335</v>
      </c>
      <c r="H374" s="3" t="s">
        <v>1521</v>
      </c>
      <c r="I374" s="3" t="s">
        <v>203</v>
      </c>
      <c r="J374" s="3" t="s">
        <v>253</v>
      </c>
      <c r="K374" s="3" t="s">
        <v>1337</v>
      </c>
      <c r="L374" s="3" t="s">
        <v>1794</v>
      </c>
      <c r="M374" s="3" t="s">
        <v>654</v>
      </c>
      <c r="N374" s="3" t="s">
        <v>208</v>
      </c>
      <c r="O374" s="3" t="s">
        <v>433</v>
      </c>
    </row>
    <row r="375" spans="1:15" ht="22.5" customHeight="1" x14ac:dyDescent="0.3">
      <c r="A375" s="4">
        <v>4519523</v>
      </c>
      <c r="B375" s="4" t="s">
        <v>1795</v>
      </c>
      <c r="C375" s="4" t="s">
        <v>197</v>
      </c>
      <c r="D375" s="4" t="s">
        <v>693</v>
      </c>
      <c r="E375" s="4" t="s">
        <v>227</v>
      </c>
      <c r="F375" s="4" t="s">
        <v>413</v>
      </c>
      <c r="G375" s="4" t="s">
        <v>1335</v>
      </c>
      <c r="H375" s="4" t="s">
        <v>1346</v>
      </c>
      <c r="I375" s="4" t="s">
        <v>203</v>
      </c>
      <c r="J375" s="4" t="s">
        <v>253</v>
      </c>
      <c r="K375" s="4" t="s">
        <v>1337</v>
      </c>
      <c r="L375" s="4" t="s">
        <v>576</v>
      </c>
      <c r="M375" s="4" t="s">
        <v>233</v>
      </c>
      <c r="N375" s="4" t="s">
        <v>208</v>
      </c>
      <c r="O375" s="4" t="s">
        <v>433</v>
      </c>
    </row>
    <row r="376" spans="1:15" ht="57" customHeight="1" x14ac:dyDescent="0.3">
      <c r="A376" s="3">
        <v>4519620</v>
      </c>
      <c r="B376" s="3" t="s">
        <v>1796</v>
      </c>
      <c r="C376" s="3" t="s">
        <v>197</v>
      </c>
      <c r="D376" s="3" t="s">
        <v>1797</v>
      </c>
      <c r="E376" s="3" t="s">
        <v>227</v>
      </c>
      <c r="F376" s="3" t="s">
        <v>413</v>
      </c>
      <c r="G376" s="3" t="s">
        <v>1435</v>
      </c>
      <c r="H376" s="3" t="s">
        <v>1798</v>
      </c>
      <c r="I376" s="3" t="s">
        <v>203</v>
      </c>
      <c r="J376" s="3" t="s">
        <v>323</v>
      </c>
      <c r="K376" s="3" t="s">
        <v>1432</v>
      </c>
      <c r="L376" s="3" t="s">
        <v>1799</v>
      </c>
      <c r="M376" s="3" t="s">
        <v>245</v>
      </c>
      <c r="N376" s="3" t="s">
        <v>217</v>
      </c>
      <c r="O376" s="3" t="s">
        <v>418</v>
      </c>
    </row>
    <row r="377" spans="1:15" ht="22.5" customHeight="1" x14ac:dyDescent="0.3">
      <c r="A377" s="4">
        <v>4520378</v>
      </c>
      <c r="B377" s="4" t="s">
        <v>1800</v>
      </c>
      <c r="C377" s="4" t="s">
        <v>197</v>
      </c>
      <c r="D377" s="4" t="s">
        <v>693</v>
      </c>
      <c r="E377" s="4" t="s">
        <v>227</v>
      </c>
      <c r="F377" s="4" t="s">
        <v>413</v>
      </c>
      <c r="G377" s="4" t="s">
        <v>1335</v>
      </c>
      <c r="H377" s="4" t="s">
        <v>1346</v>
      </c>
      <c r="I377" s="4" t="s">
        <v>203</v>
      </c>
      <c r="J377" s="4" t="s">
        <v>253</v>
      </c>
      <c r="K377" s="4" t="s">
        <v>1337</v>
      </c>
      <c r="L377" s="4" t="s">
        <v>546</v>
      </c>
      <c r="M377" s="4" t="s">
        <v>233</v>
      </c>
      <c r="N377" s="4" t="s">
        <v>208</v>
      </c>
      <c r="O377" s="4" t="s">
        <v>433</v>
      </c>
    </row>
    <row r="378" spans="1:15" ht="22.5" customHeight="1" x14ac:dyDescent="0.3">
      <c r="A378" s="3">
        <v>4521250</v>
      </c>
      <c r="B378" s="3" t="s">
        <v>1801</v>
      </c>
      <c r="C378" s="3" t="s">
        <v>197</v>
      </c>
      <c r="D378" s="3" t="s">
        <v>693</v>
      </c>
      <c r="E378" s="3" t="s">
        <v>227</v>
      </c>
      <c r="F378" s="3" t="s">
        <v>413</v>
      </c>
      <c r="G378" s="3" t="s">
        <v>1335</v>
      </c>
      <c r="H378" s="3" t="s">
        <v>1346</v>
      </c>
      <c r="I378" s="3" t="s">
        <v>203</v>
      </c>
      <c r="J378" s="3" t="s">
        <v>253</v>
      </c>
      <c r="K378" s="3" t="s">
        <v>1337</v>
      </c>
      <c r="L378" s="3" t="s">
        <v>1802</v>
      </c>
      <c r="M378" s="3" t="s">
        <v>233</v>
      </c>
      <c r="N378" s="3" t="s">
        <v>208</v>
      </c>
      <c r="O378" s="3" t="s">
        <v>433</v>
      </c>
    </row>
    <row r="379" spans="1:15" ht="22.5" customHeight="1" x14ac:dyDescent="0.3">
      <c r="A379" s="4">
        <v>4522990</v>
      </c>
      <c r="B379" s="4" t="s">
        <v>1803</v>
      </c>
      <c r="C379" s="4" t="s">
        <v>197</v>
      </c>
      <c r="D379" s="4" t="s">
        <v>693</v>
      </c>
      <c r="E379" s="4" t="s">
        <v>227</v>
      </c>
      <c r="F379" s="4" t="s">
        <v>413</v>
      </c>
      <c r="G379" s="4" t="s">
        <v>1520</v>
      </c>
      <c r="H379" s="4" t="s">
        <v>1521</v>
      </c>
      <c r="I379" s="4" t="s">
        <v>203</v>
      </c>
      <c r="J379" s="4" t="s">
        <v>253</v>
      </c>
      <c r="K379" s="4" t="s">
        <v>1423</v>
      </c>
      <c r="L379" s="4" t="s">
        <v>1804</v>
      </c>
      <c r="M379" s="4" t="s">
        <v>233</v>
      </c>
      <c r="N379" s="4" t="s">
        <v>208</v>
      </c>
      <c r="O379" s="4" t="s">
        <v>433</v>
      </c>
    </row>
    <row r="380" spans="1:15" ht="33.75" customHeight="1" x14ac:dyDescent="0.3">
      <c r="A380" s="3">
        <v>4524098</v>
      </c>
      <c r="B380" s="3" t="s">
        <v>1805</v>
      </c>
      <c r="C380" s="3" t="s">
        <v>197</v>
      </c>
      <c r="D380" s="3" t="s">
        <v>1132</v>
      </c>
      <c r="E380" s="3" t="s">
        <v>227</v>
      </c>
      <c r="F380" s="3" t="s">
        <v>200</v>
      </c>
      <c r="G380" s="3" t="s">
        <v>1806</v>
      </c>
      <c r="H380" s="3" t="s">
        <v>1807</v>
      </c>
      <c r="I380" s="3" t="s">
        <v>203</v>
      </c>
      <c r="J380" s="3" t="s">
        <v>329</v>
      </c>
      <c r="K380" s="3" t="s">
        <v>1808</v>
      </c>
      <c r="L380" s="3" t="s">
        <v>1809</v>
      </c>
      <c r="M380" s="3" t="s">
        <v>245</v>
      </c>
      <c r="N380" s="3" t="s">
        <v>217</v>
      </c>
      <c r="O380" s="3" t="s">
        <v>234</v>
      </c>
    </row>
    <row r="381" spans="1:15" ht="22.5" customHeight="1" x14ac:dyDescent="0.3">
      <c r="A381" s="4">
        <v>4524136</v>
      </c>
      <c r="B381" s="4" t="s">
        <v>1810</v>
      </c>
      <c r="C381" s="4" t="s">
        <v>197</v>
      </c>
      <c r="D381" s="4" t="s">
        <v>693</v>
      </c>
      <c r="E381" s="4" t="s">
        <v>227</v>
      </c>
      <c r="F381" s="4" t="s">
        <v>413</v>
      </c>
      <c r="G381" s="4" t="s">
        <v>1520</v>
      </c>
      <c r="H381" s="4" t="s">
        <v>1521</v>
      </c>
      <c r="I381" s="4" t="s">
        <v>203</v>
      </c>
      <c r="J381" s="4" t="s">
        <v>253</v>
      </c>
      <c r="K381" s="4" t="s">
        <v>422</v>
      </c>
      <c r="L381" s="4" t="s">
        <v>774</v>
      </c>
      <c r="M381" s="4" t="s">
        <v>245</v>
      </c>
      <c r="N381" s="4" t="s">
        <v>208</v>
      </c>
      <c r="O381" s="4" t="s">
        <v>433</v>
      </c>
    </row>
    <row r="382" spans="1:15" ht="22.5" customHeight="1" x14ac:dyDescent="0.3">
      <c r="A382" s="3">
        <v>4526058</v>
      </c>
      <c r="B382" s="3" t="s">
        <v>1811</v>
      </c>
      <c r="C382" s="3" t="s">
        <v>197</v>
      </c>
      <c r="D382" s="3" t="s">
        <v>693</v>
      </c>
      <c r="E382" s="3" t="s">
        <v>227</v>
      </c>
      <c r="F382" s="3" t="s">
        <v>413</v>
      </c>
      <c r="G382" s="3" t="s">
        <v>1335</v>
      </c>
      <c r="H382" s="3" t="s">
        <v>1521</v>
      </c>
      <c r="I382" s="3" t="s">
        <v>203</v>
      </c>
      <c r="J382" s="3" t="s">
        <v>253</v>
      </c>
      <c r="K382" s="3" t="s">
        <v>1423</v>
      </c>
      <c r="L382" s="3" t="s">
        <v>483</v>
      </c>
      <c r="M382" s="3" t="s">
        <v>233</v>
      </c>
      <c r="N382" s="3" t="s">
        <v>208</v>
      </c>
      <c r="O382" s="3" t="s">
        <v>433</v>
      </c>
    </row>
    <row r="383" spans="1:15" ht="33.75" customHeight="1" x14ac:dyDescent="0.3">
      <c r="A383" s="4">
        <v>4527658</v>
      </c>
      <c r="B383" s="4" t="s">
        <v>1812</v>
      </c>
      <c r="C383" s="4" t="s">
        <v>197</v>
      </c>
      <c r="D383" s="4" t="s">
        <v>494</v>
      </c>
      <c r="E383" s="4" t="s">
        <v>227</v>
      </c>
      <c r="F383" s="4" t="s">
        <v>200</v>
      </c>
      <c r="G383" s="4" t="s">
        <v>1813</v>
      </c>
      <c r="H383" s="4" t="s">
        <v>1814</v>
      </c>
      <c r="I383" s="4" t="s">
        <v>203</v>
      </c>
      <c r="J383" s="4" t="s">
        <v>214</v>
      </c>
      <c r="K383" s="4" t="s">
        <v>1815</v>
      </c>
      <c r="L383" s="4" t="s">
        <v>724</v>
      </c>
      <c r="M383" s="4" t="s">
        <v>245</v>
      </c>
      <c r="N383" s="4" t="s">
        <v>208</v>
      </c>
      <c r="O383" s="4" t="s">
        <v>433</v>
      </c>
    </row>
    <row r="384" spans="1:15" ht="22.5" customHeight="1" x14ac:dyDescent="0.3">
      <c r="A384" s="3">
        <v>4527798</v>
      </c>
      <c r="B384" s="3" t="s">
        <v>1816</v>
      </c>
      <c r="C384" s="3" t="s">
        <v>197</v>
      </c>
      <c r="D384" s="3" t="s">
        <v>1351</v>
      </c>
      <c r="E384" s="3" t="s">
        <v>227</v>
      </c>
      <c r="F384" s="3" t="s">
        <v>413</v>
      </c>
      <c r="G384" s="3" t="s">
        <v>694</v>
      </c>
      <c r="H384" s="3" t="s">
        <v>695</v>
      </c>
      <c r="I384" s="3" t="s">
        <v>203</v>
      </c>
      <c r="J384" s="3" t="s">
        <v>253</v>
      </c>
      <c r="K384" s="3" t="s">
        <v>1817</v>
      </c>
      <c r="L384" s="3" t="s">
        <v>1818</v>
      </c>
      <c r="M384" s="3" t="s">
        <v>245</v>
      </c>
      <c r="N384" s="3" t="s">
        <v>208</v>
      </c>
      <c r="O384" s="3" t="s">
        <v>433</v>
      </c>
    </row>
    <row r="385" spans="1:15" ht="33.75" customHeight="1" x14ac:dyDescent="0.3">
      <c r="A385" s="4">
        <v>4529103</v>
      </c>
      <c r="B385" s="4" t="s">
        <v>1819</v>
      </c>
      <c r="C385" s="4" t="s">
        <v>197</v>
      </c>
      <c r="D385" s="4" t="s">
        <v>198</v>
      </c>
      <c r="E385" s="4" t="s">
        <v>227</v>
      </c>
      <c r="F385" s="4" t="s">
        <v>888</v>
      </c>
      <c r="G385" s="4" t="s">
        <v>1820</v>
      </c>
      <c r="H385" s="4" t="s">
        <v>1821</v>
      </c>
      <c r="I385" s="4" t="s">
        <v>203</v>
      </c>
      <c r="J385" s="4" t="s">
        <v>298</v>
      </c>
      <c r="K385" s="4" t="s">
        <v>1822</v>
      </c>
      <c r="L385" s="4" t="s">
        <v>1823</v>
      </c>
      <c r="M385" s="4" t="s">
        <v>233</v>
      </c>
      <c r="N385" s="4" t="s">
        <v>208</v>
      </c>
      <c r="O385" s="4" t="s">
        <v>234</v>
      </c>
    </row>
    <row r="386" spans="1:15" ht="22.5" customHeight="1" x14ac:dyDescent="0.3">
      <c r="A386" s="3">
        <v>4529537</v>
      </c>
      <c r="B386" s="3" t="s">
        <v>1824</v>
      </c>
      <c r="C386" s="3" t="s">
        <v>197</v>
      </c>
      <c r="D386" s="3"/>
      <c r="E386" s="3" t="s">
        <v>227</v>
      </c>
      <c r="F386" s="3" t="s">
        <v>413</v>
      </c>
      <c r="G386" s="3" t="s">
        <v>1335</v>
      </c>
      <c r="H386" s="3" t="s">
        <v>1521</v>
      </c>
      <c r="I386" s="3" t="s">
        <v>203</v>
      </c>
      <c r="J386" s="3" t="s">
        <v>253</v>
      </c>
      <c r="K386" s="3" t="s">
        <v>1423</v>
      </c>
      <c r="L386" s="3" t="s">
        <v>1825</v>
      </c>
      <c r="M386" s="3" t="s">
        <v>233</v>
      </c>
      <c r="N386" s="3" t="s">
        <v>208</v>
      </c>
      <c r="O386" s="3" t="s">
        <v>433</v>
      </c>
    </row>
    <row r="387" spans="1:15" ht="33.75" customHeight="1" x14ac:dyDescent="0.3">
      <c r="A387" s="4">
        <v>4532031</v>
      </c>
      <c r="B387" s="4" t="s">
        <v>1826</v>
      </c>
      <c r="C387" s="4" t="s">
        <v>197</v>
      </c>
      <c r="D387" s="4" t="s">
        <v>198</v>
      </c>
      <c r="E387" s="4" t="s">
        <v>227</v>
      </c>
      <c r="F387" s="4" t="s">
        <v>413</v>
      </c>
      <c r="G387" s="4" t="s">
        <v>1827</v>
      </c>
      <c r="H387" s="4" t="s">
        <v>1828</v>
      </c>
      <c r="I387" s="4" t="s">
        <v>203</v>
      </c>
      <c r="J387" s="4" t="s">
        <v>316</v>
      </c>
      <c r="K387" s="4" t="s">
        <v>1829</v>
      </c>
      <c r="L387" s="4" t="s">
        <v>411</v>
      </c>
      <c r="M387" s="4" t="s">
        <v>245</v>
      </c>
      <c r="N387" s="4" t="s">
        <v>217</v>
      </c>
      <c r="O387" s="4" t="s">
        <v>234</v>
      </c>
    </row>
    <row r="388" spans="1:15" ht="22.5" customHeight="1" x14ac:dyDescent="0.3">
      <c r="A388" s="3">
        <v>4533151</v>
      </c>
      <c r="B388" s="3" t="s">
        <v>1830</v>
      </c>
      <c r="C388" s="3" t="s">
        <v>197</v>
      </c>
      <c r="D388" s="3" t="s">
        <v>693</v>
      </c>
      <c r="E388" s="3" t="s">
        <v>227</v>
      </c>
      <c r="F388" s="3" t="s">
        <v>413</v>
      </c>
      <c r="G388" s="3" t="s">
        <v>1335</v>
      </c>
      <c r="H388" s="3" t="s">
        <v>1521</v>
      </c>
      <c r="I388" s="3" t="s">
        <v>203</v>
      </c>
      <c r="J388" s="3" t="s">
        <v>253</v>
      </c>
      <c r="K388" s="3" t="s">
        <v>1831</v>
      </c>
      <c r="L388" s="3" t="s">
        <v>686</v>
      </c>
      <c r="M388" s="3" t="s">
        <v>233</v>
      </c>
      <c r="N388" s="3" t="s">
        <v>208</v>
      </c>
      <c r="O388" s="3" t="s">
        <v>433</v>
      </c>
    </row>
    <row r="389" spans="1:15" ht="57" customHeight="1" x14ac:dyDescent="0.3">
      <c r="A389" s="4">
        <v>4535006</v>
      </c>
      <c r="B389" s="4" t="s">
        <v>1832</v>
      </c>
      <c r="C389" s="4" t="s">
        <v>197</v>
      </c>
      <c r="D389" s="4" t="s">
        <v>845</v>
      </c>
      <c r="E389" s="4" t="s">
        <v>227</v>
      </c>
      <c r="F389" s="4" t="s">
        <v>413</v>
      </c>
      <c r="G389" s="4" t="s">
        <v>1833</v>
      </c>
      <c r="H389" s="4" t="s">
        <v>1834</v>
      </c>
      <c r="I389" s="4" t="s">
        <v>203</v>
      </c>
      <c r="J389" s="4" t="s">
        <v>323</v>
      </c>
      <c r="K389" s="4" t="s">
        <v>1835</v>
      </c>
      <c r="L389" s="4" t="s">
        <v>1836</v>
      </c>
      <c r="M389" s="4" t="s">
        <v>245</v>
      </c>
      <c r="N389" s="4" t="s">
        <v>217</v>
      </c>
      <c r="O389" s="4" t="s">
        <v>418</v>
      </c>
    </row>
    <row r="390" spans="1:15" ht="22.5" customHeight="1" x14ac:dyDescent="0.3">
      <c r="A390" s="3">
        <v>4535286</v>
      </c>
      <c r="B390" s="3" t="s">
        <v>1837</v>
      </c>
      <c r="C390" s="3" t="s">
        <v>197</v>
      </c>
      <c r="D390" s="3" t="s">
        <v>198</v>
      </c>
      <c r="E390" s="3" t="s">
        <v>227</v>
      </c>
      <c r="F390" s="3" t="s">
        <v>200</v>
      </c>
      <c r="G390" s="3" t="s">
        <v>1838</v>
      </c>
      <c r="H390" s="3" t="s">
        <v>684</v>
      </c>
      <c r="I390" s="3" t="s">
        <v>203</v>
      </c>
      <c r="J390" s="3" t="s">
        <v>506</v>
      </c>
      <c r="K390" s="3" t="s">
        <v>1839</v>
      </c>
      <c r="L390" s="3" t="s">
        <v>1306</v>
      </c>
      <c r="M390" s="3" t="s">
        <v>233</v>
      </c>
      <c r="N390" s="3" t="s">
        <v>217</v>
      </c>
      <c r="O390" s="3" t="s">
        <v>433</v>
      </c>
    </row>
    <row r="391" spans="1:15" ht="22.5" customHeight="1" x14ac:dyDescent="0.3">
      <c r="A391" s="4">
        <v>4603737</v>
      </c>
      <c r="B391" s="4" t="s">
        <v>1840</v>
      </c>
      <c r="C391" s="4" t="s">
        <v>197</v>
      </c>
      <c r="D391" s="4" t="s">
        <v>198</v>
      </c>
      <c r="E391" s="4" t="s">
        <v>227</v>
      </c>
      <c r="F391" s="4" t="s">
        <v>200</v>
      </c>
      <c r="G391" s="4" t="s">
        <v>500</v>
      </c>
      <c r="H391" s="4" t="s">
        <v>501</v>
      </c>
      <c r="I391" s="4" t="s">
        <v>203</v>
      </c>
      <c r="J391" s="4" t="s">
        <v>214</v>
      </c>
      <c r="K391" s="4" t="s">
        <v>1841</v>
      </c>
      <c r="L391" s="4" t="s">
        <v>546</v>
      </c>
      <c r="M391" s="4" t="s">
        <v>654</v>
      </c>
      <c r="N391" s="4" t="s">
        <v>208</v>
      </c>
      <c r="O391" s="4" t="s">
        <v>433</v>
      </c>
    </row>
    <row r="392" spans="1:15" ht="22.5" customHeight="1" x14ac:dyDescent="0.3">
      <c r="A392" s="3">
        <v>4604687</v>
      </c>
      <c r="B392" s="3" t="s">
        <v>1842</v>
      </c>
      <c r="C392" s="3" t="s">
        <v>197</v>
      </c>
      <c r="D392" s="3" t="s">
        <v>198</v>
      </c>
      <c r="E392" s="3" t="s">
        <v>227</v>
      </c>
      <c r="F392" s="3" t="s">
        <v>200</v>
      </c>
      <c r="G392" s="3" t="s">
        <v>1843</v>
      </c>
      <c r="H392" s="3" t="s">
        <v>1844</v>
      </c>
      <c r="I392" s="3" t="s">
        <v>737</v>
      </c>
      <c r="J392" s="3" t="s">
        <v>214</v>
      </c>
      <c r="K392" s="3" t="s">
        <v>1845</v>
      </c>
      <c r="L392" s="3" t="s">
        <v>1315</v>
      </c>
      <c r="M392" s="3" t="s">
        <v>233</v>
      </c>
      <c r="N392" s="3" t="s">
        <v>208</v>
      </c>
      <c r="O392" s="3" t="s">
        <v>418</v>
      </c>
    </row>
    <row r="393" spans="1:15" ht="22.5" customHeight="1" x14ac:dyDescent="0.3">
      <c r="A393" s="4">
        <v>4604873</v>
      </c>
      <c r="B393" s="4" t="s">
        <v>1846</v>
      </c>
      <c r="C393" s="4" t="s">
        <v>197</v>
      </c>
      <c r="D393" s="4" t="s">
        <v>198</v>
      </c>
      <c r="E393" s="4" t="s">
        <v>227</v>
      </c>
      <c r="F393" s="4" t="s">
        <v>200</v>
      </c>
      <c r="G393" s="4" t="s">
        <v>629</v>
      </c>
      <c r="H393" s="4" t="s">
        <v>630</v>
      </c>
      <c r="I393" s="4" t="s">
        <v>203</v>
      </c>
      <c r="J393" s="4" t="s">
        <v>204</v>
      </c>
      <c r="K393" s="4" t="s">
        <v>1847</v>
      </c>
      <c r="L393" s="4" t="s">
        <v>1848</v>
      </c>
      <c r="M393" s="4" t="s">
        <v>245</v>
      </c>
      <c r="N393" s="4" t="s">
        <v>217</v>
      </c>
      <c r="O393" s="4" t="s">
        <v>444</v>
      </c>
    </row>
    <row r="394" spans="1:15" ht="22.5" customHeight="1" x14ac:dyDescent="0.3">
      <c r="A394" s="3">
        <v>4607627</v>
      </c>
      <c r="B394" s="3" t="s">
        <v>1849</v>
      </c>
      <c r="C394" s="3" t="s">
        <v>197</v>
      </c>
      <c r="D394" s="3" t="s">
        <v>198</v>
      </c>
      <c r="E394" s="3" t="s">
        <v>227</v>
      </c>
      <c r="F394" s="3" t="s">
        <v>200</v>
      </c>
      <c r="G394" s="3" t="s">
        <v>1850</v>
      </c>
      <c r="H394" s="3" t="s">
        <v>1851</v>
      </c>
      <c r="I394" s="3" t="s">
        <v>203</v>
      </c>
      <c r="J394" s="3" t="s">
        <v>298</v>
      </c>
      <c r="K394" s="3" t="s">
        <v>1295</v>
      </c>
      <c r="L394" s="3" t="s">
        <v>1852</v>
      </c>
      <c r="M394" s="3" t="s">
        <v>245</v>
      </c>
      <c r="N394" s="3" t="s">
        <v>217</v>
      </c>
      <c r="O394" s="3" t="s">
        <v>418</v>
      </c>
    </row>
    <row r="395" spans="1:15" ht="22.5" customHeight="1" x14ac:dyDescent="0.3">
      <c r="A395" s="4">
        <v>4610016</v>
      </c>
      <c r="B395" s="4" t="s">
        <v>1853</v>
      </c>
      <c r="C395" s="4" t="s">
        <v>197</v>
      </c>
      <c r="D395" s="4" t="s">
        <v>198</v>
      </c>
      <c r="E395" s="4" t="s">
        <v>227</v>
      </c>
      <c r="F395" s="4" t="s">
        <v>200</v>
      </c>
      <c r="G395" s="4" t="s">
        <v>629</v>
      </c>
      <c r="H395" s="4" t="s">
        <v>630</v>
      </c>
      <c r="I395" s="4" t="s">
        <v>203</v>
      </c>
      <c r="J395" s="4" t="s">
        <v>266</v>
      </c>
      <c r="K395" s="4" t="s">
        <v>555</v>
      </c>
      <c r="L395" s="4" t="s">
        <v>443</v>
      </c>
      <c r="M395" s="4" t="s">
        <v>245</v>
      </c>
      <c r="N395" s="4" t="s">
        <v>208</v>
      </c>
      <c r="O395" s="4" t="s">
        <v>444</v>
      </c>
    </row>
    <row r="396" spans="1:15" ht="22.5" customHeight="1" x14ac:dyDescent="0.3">
      <c r="A396" s="3">
        <v>4612418</v>
      </c>
      <c r="B396" s="3" t="s">
        <v>1854</v>
      </c>
      <c r="C396" s="3" t="s">
        <v>197</v>
      </c>
      <c r="D396" s="3" t="s">
        <v>198</v>
      </c>
      <c r="E396" s="3" t="s">
        <v>227</v>
      </c>
      <c r="F396" s="3" t="s">
        <v>200</v>
      </c>
      <c r="G396" s="3" t="s">
        <v>1855</v>
      </c>
      <c r="H396" s="3" t="s">
        <v>1856</v>
      </c>
      <c r="I396" s="3" t="s">
        <v>737</v>
      </c>
      <c r="J396" s="3" t="s">
        <v>214</v>
      </c>
      <c r="K396" s="3" t="s">
        <v>1857</v>
      </c>
      <c r="L396" s="3" t="s">
        <v>388</v>
      </c>
      <c r="M396" s="3" t="s">
        <v>207</v>
      </c>
      <c r="N396" s="3" t="s">
        <v>208</v>
      </c>
      <c r="O396" s="3" t="s">
        <v>444</v>
      </c>
    </row>
    <row r="397" spans="1:15" ht="33.75" customHeight="1" x14ac:dyDescent="0.3">
      <c r="A397" s="4">
        <v>4612590</v>
      </c>
      <c r="B397" s="4" t="s">
        <v>1858</v>
      </c>
      <c r="C397" s="4" t="s">
        <v>197</v>
      </c>
      <c r="D397" s="4" t="s">
        <v>494</v>
      </c>
      <c r="E397" s="4" t="s">
        <v>227</v>
      </c>
      <c r="F397" s="4" t="s">
        <v>200</v>
      </c>
      <c r="G397" s="4" t="s">
        <v>1859</v>
      </c>
      <c r="H397" s="4" t="s">
        <v>1860</v>
      </c>
      <c r="I397" s="4" t="s">
        <v>203</v>
      </c>
      <c r="J397" s="4" t="s">
        <v>204</v>
      </c>
      <c r="K397" s="4" t="s">
        <v>1861</v>
      </c>
      <c r="L397" s="4" t="s">
        <v>1862</v>
      </c>
      <c r="M397" s="4" t="s">
        <v>233</v>
      </c>
      <c r="N397" s="4" t="s">
        <v>208</v>
      </c>
      <c r="O397" s="4" t="s">
        <v>234</v>
      </c>
    </row>
    <row r="398" spans="1:15" ht="22.5" customHeight="1" x14ac:dyDescent="0.3">
      <c r="A398" s="3">
        <v>4612744</v>
      </c>
      <c r="B398" s="3" t="s">
        <v>1863</v>
      </c>
      <c r="C398" s="3" t="s">
        <v>197</v>
      </c>
      <c r="D398" s="3" t="s">
        <v>198</v>
      </c>
      <c r="E398" s="3" t="s">
        <v>227</v>
      </c>
      <c r="F398" s="3" t="s">
        <v>200</v>
      </c>
      <c r="G398" s="3" t="s">
        <v>1864</v>
      </c>
      <c r="H398" s="3" t="s">
        <v>1865</v>
      </c>
      <c r="I398" s="3" t="s">
        <v>203</v>
      </c>
      <c r="J398" s="3" t="s">
        <v>204</v>
      </c>
      <c r="K398" s="3" t="s">
        <v>1866</v>
      </c>
      <c r="L398" s="3" t="s">
        <v>1867</v>
      </c>
      <c r="M398" s="3" t="s">
        <v>245</v>
      </c>
      <c r="N398" s="3" t="s">
        <v>208</v>
      </c>
      <c r="O398" s="3" t="s">
        <v>418</v>
      </c>
    </row>
    <row r="399" spans="1:15" ht="33.75" customHeight="1" x14ac:dyDescent="0.3">
      <c r="A399" s="4">
        <v>4613430</v>
      </c>
      <c r="B399" s="4" t="s">
        <v>1868</v>
      </c>
      <c r="C399" s="4" t="s">
        <v>197</v>
      </c>
      <c r="D399" s="4" t="s">
        <v>220</v>
      </c>
      <c r="E399" s="4" t="s">
        <v>227</v>
      </c>
      <c r="F399" s="4" t="s">
        <v>200</v>
      </c>
      <c r="G399" s="4" t="s">
        <v>1869</v>
      </c>
      <c r="H399" s="4" t="s">
        <v>1870</v>
      </c>
      <c r="I399" s="4" t="s">
        <v>203</v>
      </c>
      <c r="J399" s="4" t="s">
        <v>204</v>
      </c>
      <c r="K399" s="4" t="s">
        <v>1045</v>
      </c>
      <c r="L399" s="4" t="s">
        <v>1871</v>
      </c>
      <c r="M399" s="4" t="s">
        <v>233</v>
      </c>
      <c r="N399" s="4" t="s">
        <v>217</v>
      </c>
      <c r="O399" s="4" t="s">
        <v>418</v>
      </c>
    </row>
    <row r="400" spans="1:15" ht="22.5" customHeight="1" x14ac:dyDescent="0.3">
      <c r="A400" s="3">
        <v>4615956</v>
      </c>
      <c r="B400" s="3" t="s">
        <v>1872</v>
      </c>
      <c r="C400" s="3" t="s">
        <v>197</v>
      </c>
      <c r="D400" s="3" t="s">
        <v>198</v>
      </c>
      <c r="E400" s="3" t="s">
        <v>227</v>
      </c>
      <c r="F400" s="3" t="s">
        <v>200</v>
      </c>
      <c r="G400" s="3" t="s">
        <v>1855</v>
      </c>
      <c r="H400" s="3" t="s">
        <v>1856</v>
      </c>
      <c r="I400" s="3" t="s">
        <v>203</v>
      </c>
      <c r="J400" s="3" t="s">
        <v>214</v>
      </c>
      <c r="K400" s="3" t="s">
        <v>922</v>
      </c>
      <c r="L400" s="3" t="s">
        <v>1873</v>
      </c>
      <c r="M400" s="3" t="s">
        <v>207</v>
      </c>
      <c r="N400" s="3" t="s">
        <v>208</v>
      </c>
      <c r="O400" s="3" t="s">
        <v>418</v>
      </c>
    </row>
    <row r="401" spans="1:15" ht="22.5" customHeight="1" x14ac:dyDescent="0.3">
      <c r="A401" s="4">
        <v>4617215</v>
      </c>
      <c r="B401" s="4" t="s">
        <v>1874</v>
      </c>
      <c r="C401" s="4" t="s">
        <v>197</v>
      </c>
      <c r="D401" s="4" t="s">
        <v>198</v>
      </c>
      <c r="E401" s="4" t="s">
        <v>227</v>
      </c>
      <c r="F401" s="4" t="s">
        <v>200</v>
      </c>
      <c r="G401" s="4" t="s">
        <v>1875</v>
      </c>
      <c r="H401" s="4" t="s">
        <v>1876</v>
      </c>
      <c r="I401" s="4" t="s">
        <v>1877</v>
      </c>
      <c r="J401" s="4" t="s">
        <v>316</v>
      </c>
      <c r="K401" s="4" t="s">
        <v>1878</v>
      </c>
      <c r="L401" s="4" t="s">
        <v>1879</v>
      </c>
      <c r="M401" s="4" t="s">
        <v>245</v>
      </c>
      <c r="N401" s="4" t="s">
        <v>208</v>
      </c>
      <c r="O401" s="4" t="s">
        <v>433</v>
      </c>
    </row>
    <row r="402" spans="1:15" ht="22.5" customHeight="1" x14ac:dyDescent="0.3">
      <c r="A402" s="3">
        <v>4617444</v>
      </c>
      <c r="B402" s="3" t="s">
        <v>1880</v>
      </c>
      <c r="C402" s="3" t="s">
        <v>197</v>
      </c>
      <c r="D402" s="3" t="s">
        <v>198</v>
      </c>
      <c r="E402" s="3" t="s">
        <v>227</v>
      </c>
      <c r="F402" s="3" t="s">
        <v>200</v>
      </c>
      <c r="G402" s="3" t="s">
        <v>1881</v>
      </c>
      <c r="H402" s="3" t="s">
        <v>1882</v>
      </c>
      <c r="I402" s="3" t="s">
        <v>203</v>
      </c>
      <c r="J402" s="3" t="s">
        <v>316</v>
      </c>
      <c r="K402" s="3" t="s">
        <v>1883</v>
      </c>
      <c r="L402" s="3" t="s">
        <v>774</v>
      </c>
      <c r="M402" s="3" t="s">
        <v>233</v>
      </c>
      <c r="N402" s="3" t="s">
        <v>217</v>
      </c>
      <c r="O402" s="3" t="s">
        <v>433</v>
      </c>
    </row>
    <row r="403" spans="1:15" ht="22.5" customHeight="1" x14ac:dyDescent="0.3">
      <c r="A403" s="4">
        <v>4619803</v>
      </c>
      <c r="B403" s="4" t="s">
        <v>1884</v>
      </c>
      <c r="C403" s="4" t="s">
        <v>197</v>
      </c>
      <c r="D403" s="4" t="s">
        <v>198</v>
      </c>
      <c r="E403" s="4" t="s">
        <v>227</v>
      </c>
      <c r="F403" s="4" t="s">
        <v>200</v>
      </c>
      <c r="G403" s="4" t="s">
        <v>1885</v>
      </c>
      <c r="H403" s="4" t="s">
        <v>1886</v>
      </c>
      <c r="I403" s="4" t="s">
        <v>203</v>
      </c>
      <c r="J403" s="4" t="s">
        <v>214</v>
      </c>
      <c r="K403" s="4" t="s">
        <v>922</v>
      </c>
      <c r="L403" s="4" t="s">
        <v>1887</v>
      </c>
      <c r="M403" s="4" t="s">
        <v>245</v>
      </c>
      <c r="N403" s="4" t="s">
        <v>217</v>
      </c>
      <c r="O403" s="4" t="s">
        <v>418</v>
      </c>
    </row>
    <row r="404" spans="1:15" ht="22.5" customHeight="1" x14ac:dyDescent="0.3">
      <c r="A404" s="3">
        <v>4622294</v>
      </c>
      <c r="B404" s="3" t="s">
        <v>1888</v>
      </c>
      <c r="C404" s="3" t="s">
        <v>197</v>
      </c>
      <c r="D404" s="3" t="s">
        <v>198</v>
      </c>
      <c r="E404" s="3" t="s">
        <v>227</v>
      </c>
      <c r="F404" s="3" t="s">
        <v>200</v>
      </c>
      <c r="G404" s="3" t="s">
        <v>1889</v>
      </c>
      <c r="H404" s="3" t="s">
        <v>1890</v>
      </c>
      <c r="I404" s="3" t="s">
        <v>203</v>
      </c>
      <c r="J404" s="3" t="s">
        <v>329</v>
      </c>
      <c r="K404" s="3" t="s">
        <v>1015</v>
      </c>
      <c r="L404" s="3" t="s">
        <v>1891</v>
      </c>
      <c r="M404" s="3" t="s">
        <v>245</v>
      </c>
      <c r="N404" s="3" t="s">
        <v>208</v>
      </c>
      <c r="O404" s="3" t="s">
        <v>418</v>
      </c>
    </row>
    <row r="405" spans="1:15" ht="22.5" customHeight="1" x14ac:dyDescent="0.3">
      <c r="A405" s="4">
        <v>4623231</v>
      </c>
      <c r="B405" s="4" t="s">
        <v>1892</v>
      </c>
      <c r="C405" s="4" t="s">
        <v>197</v>
      </c>
      <c r="D405" s="4"/>
      <c r="E405" s="4" t="s">
        <v>227</v>
      </c>
      <c r="F405" s="4" t="s">
        <v>200</v>
      </c>
      <c r="G405" s="4" t="s">
        <v>1293</v>
      </c>
      <c r="H405" s="4" t="s">
        <v>1294</v>
      </c>
      <c r="I405" s="4" t="s">
        <v>203</v>
      </c>
      <c r="J405" s="4" t="s">
        <v>298</v>
      </c>
      <c r="K405" s="4" t="s">
        <v>1893</v>
      </c>
      <c r="L405" s="4" t="s">
        <v>1894</v>
      </c>
      <c r="M405" s="4" t="s">
        <v>245</v>
      </c>
      <c r="N405" s="4" t="s">
        <v>217</v>
      </c>
      <c r="O405" s="4" t="s">
        <v>418</v>
      </c>
    </row>
    <row r="406" spans="1:15" ht="22.5" customHeight="1" x14ac:dyDescent="0.3">
      <c r="A406" s="3">
        <v>4626591</v>
      </c>
      <c r="B406" s="3" t="s">
        <v>1895</v>
      </c>
      <c r="C406" s="3" t="s">
        <v>197</v>
      </c>
      <c r="D406" s="3" t="s">
        <v>198</v>
      </c>
      <c r="E406" s="3" t="s">
        <v>227</v>
      </c>
      <c r="F406" s="3" t="s">
        <v>200</v>
      </c>
      <c r="G406" s="3" t="s">
        <v>818</v>
      </c>
      <c r="H406" s="3" t="s">
        <v>819</v>
      </c>
      <c r="I406" s="3" t="s">
        <v>203</v>
      </c>
      <c r="J406" s="3" t="s">
        <v>329</v>
      </c>
      <c r="K406" s="3" t="s">
        <v>1746</v>
      </c>
      <c r="L406" s="3" t="s">
        <v>1727</v>
      </c>
      <c r="M406" s="3" t="s">
        <v>245</v>
      </c>
      <c r="N406" s="3" t="s">
        <v>217</v>
      </c>
      <c r="O406" s="3" t="s">
        <v>234</v>
      </c>
    </row>
    <row r="407" spans="1:15" ht="33.75" customHeight="1" x14ac:dyDescent="0.3">
      <c r="A407" s="4">
        <v>4626990</v>
      </c>
      <c r="B407" s="4" t="s">
        <v>1896</v>
      </c>
      <c r="C407" s="4" t="s">
        <v>197</v>
      </c>
      <c r="D407" s="4" t="s">
        <v>938</v>
      </c>
      <c r="E407" s="4" t="s">
        <v>227</v>
      </c>
      <c r="F407" s="4" t="s">
        <v>200</v>
      </c>
      <c r="G407" s="4" t="s">
        <v>1897</v>
      </c>
      <c r="H407" s="4" t="s">
        <v>1305</v>
      </c>
      <c r="I407" s="4" t="s">
        <v>203</v>
      </c>
      <c r="J407" s="4" t="s">
        <v>323</v>
      </c>
      <c r="K407" s="4" t="s">
        <v>1898</v>
      </c>
      <c r="L407" s="4" t="s">
        <v>1899</v>
      </c>
      <c r="M407" s="4" t="s">
        <v>207</v>
      </c>
      <c r="N407" s="4" t="s">
        <v>217</v>
      </c>
      <c r="O407" s="4" t="s">
        <v>234</v>
      </c>
    </row>
    <row r="408" spans="1:15" ht="22.5" customHeight="1" x14ac:dyDescent="0.3">
      <c r="A408" s="3">
        <v>4630211</v>
      </c>
      <c r="B408" s="3" t="s">
        <v>1900</v>
      </c>
      <c r="C408" s="3" t="s">
        <v>197</v>
      </c>
      <c r="D408" s="3" t="s">
        <v>198</v>
      </c>
      <c r="E408" s="3" t="s">
        <v>227</v>
      </c>
      <c r="F408" s="3" t="s">
        <v>200</v>
      </c>
      <c r="G408" s="3" t="s">
        <v>1304</v>
      </c>
      <c r="H408" s="3" t="s">
        <v>1305</v>
      </c>
      <c r="I408" s="3" t="s">
        <v>203</v>
      </c>
      <c r="J408" s="3" t="s">
        <v>323</v>
      </c>
      <c r="K408" s="3" t="s">
        <v>1835</v>
      </c>
      <c r="L408" s="3" t="s">
        <v>1901</v>
      </c>
      <c r="M408" s="3" t="s">
        <v>245</v>
      </c>
      <c r="N408" s="3" t="s">
        <v>208</v>
      </c>
      <c r="O408" s="3" t="s">
        <v>234</v>
      </c>
    </row>
    <row r="409" spans="1:15" ht="22.5" customHeight="1" x14ac:dyDescent="0.3">
      <c r="A409" s="4">
        <v>4631188</v>
      </c>
      <c r="B409" s="4" t="s">
        <v>1902</v>
      </c>
      <c r="C409" s="4" t="s">
        <v>197</v>
      </c>
      <c r="D409" s="4" t="s">
        <v>198</v>
      </c>
      <c r="E409" s="4" t="s">
        <v>227</v>
      </c>
      <c r="F409" s="4" t="s">
        <v>200</v>
      </c>
      <c r="G409" s="4" t="s">
        <v>1903</v>
      </c>
      <c r="H409" s="4" t="s">
        <v>1753</v>
      </c>
      <c r="I409" s="4" t="s">
        <v>203</v>
      </c>
      <c r="J409" s="4" t="s">
        <v>214</v>
      </c>
      <c r="K409" s="4" t="s">
        <v>1904</v>
      </c>
      <c r="L409" s="4" t="s">
        <v>1684</v>
      </c>
      <c r="M409" s="4" t="s">
        <v>245</v>
      </c>
      <c r="N409" s="4" t="s">
        <v>208</v>
      </c>
      <c r="O409" s="4" t="s">
        <v>234</v>
      </c>
    </row>
    <row r="410" spans="1:15" ht="22.5" customHeight="1" x14ac:dyDescent="0.3">
      <c r="A410" s="3">
        <v>4632303</v>
      </c>
      <c r="B410" s="3" t="s">
        <v>1905</v>
      </c>
      <c r="C410" s="3" t="s">
        <v>197</v>
      </c>
      <c r="D410" s="3" t="s">
        <v>693</v>
      </c>
      <c r="E410" s="3" t="s">
        <v>227</v>
      </c>
      <c r="F410" s="3" t="s">
        <v>413</v>
      </c>
      <c r="G410" s="3" t="s">
        <v>1335</v>
      </c>
      <c r="H410" s="3" t="s">
        <v>1521</v>
      </c>
      <c r="I410" s="3" t="s">
        <v>203</v>
      </c>
      <c r="J410" s="3" t="s">
        <v>253</v>
      </c>
      <c r="K410" s="3" t="s">
        <v>1423</v>
      </c>
      <c r="L410" s="3" t="s">
        <v>1906</v>
      </c>
      <c r="M410" s="3" t="s">
        <v>245</v>
      </c>
      <c r="N410" s="3" t="s">
        <v>208</v>
      </c>
      <c r="O410" s="3" t="s">
        <v>433</v>
      </c>
    </row>
    <row r="411" spans="1:15" ht="22.5" customHeight="1" x14ac:dyDescent="0.3">
      <c r="A411" s="4">
        <v>4642988</v>
      </c>
      <c r="B411" s="4" t="s">
        <v>1907</v>
      </c>
      <c r="C411" s="4" t="s">
        <v>197</v>
      </c>
      <c r="D411" s="4" t="s">
        <v>198</v>
      </c>
      <c r="E411" s="4" t="s">
        <v>227</v>
      </c>
      <c r="F411" s="4" t="s">
        <v>200</v>
      </c>
      <c r="G411" s="4" t="s">
        <v>1908</v>
      </c>
      <c r="H411" s="4" t="s">
        <v>1909</v>
      </c>
      <c r="I411" s="4" t="s">
        <v>737</v>
      </c>
      <c r="J411" s="4" t="s">
        <v>214</v>
      </c>
      <c r="K411" s="4" t="s">
        <v>1247</v>
      </c>
      <c r="L411" s="4" t="s">
        <v>1910</v>
      </c>
      <c r="M411" s="4" t="s">
        <v>207</v>
      </c>
      <c r="N411" s="4" t="s">
        <v>217</v>
      </c>
      <c r="O411" s="4" t="s">
        <v>234</v>
      </c>
    </row>
    <row r="412" spans="1:15" ht="57" customHeight="1" x14ac:dyDescent="0.3">
      <c r="A412" s="3">
        <v>4643321</v>
      </c>
      <c r="B412" s="3" t="s">
        <v>1911</v>
      </c>
      <c r="C412" s="3" t="s">
        <v>197</v>
      </c>
      <c r="D412" s="3" t="s">
        <v>925</v>
      </c>
      <c r="E412" s="3" t="s">
        <v>227</v>
      </c>
      <c r="F412" s="3" t="s">
        <v>888</v>
      </c>
      <c r="G412" s="3" t="s">
        <v>1912</v>
      </c>
      <c r="H412" s="3" t="s">
        <v>1913</v>
      </c>
      <c r="I412" s="3" t="s">
        <v>203</v>
      </c>
      <c r="J412" s="3" t="s">
        <v>298</v>
      </c>
      <c r="K412" s="3" t="s">
        <v>1914</v>
      </c>
      <c r="L412" s="3" t="s">
        <v>1915</v>
      </c>
      <c r="M412" s="3" t="s">
        <v>207</v>
      </c>
      <c r="N412" s="3" t="s">
        <v>208</v>
      </c>
      <c r="O412" s="3" t="s">
        <v>444</v>
      </c>
    </row>
    <row r="413" spans="1:15" ht="22.5" customHeight="1" x14ac:dyDescent="0.3">
      <c r="A413" s="4">
        <v>4645421</v>
      </c>
      <c r="B413" s="4" t="s">
        <v>1916</v>
      </c>
      <c r="C413" s="4" t="s">
        <v>197</v>
      </c>
      <c r="D413" s="4" t="s">
        <v>198</v>
      </c>
      <c r="E413" s="4" t="s">
        <v>227</v>
      </c>
      <c r="F413" s="4" t="s">
        <v>200</v>
      </c>
      <c r="G413" s="4" t="s">
        <v>1917</v>
      </c>
      <c r="H413" s="4" t="s">
        <v>1918</v>
      </c>
      <c r="I413" s="4" t="s">
        <v>203</v>
      </c>
      <c r="J413" s="4" t="s">
        <v>323</v>
      </c>
      <c r="K413" s="4" t="s">
        <v>1919</v>
      </c>
      <c r="L413" s="4" t="s">
        <v>1920</v>
      </c>
      <c r="M413" s="4" t="s">
        <v>245</v>
      </c>
      <c r="N413" s="4" t="s">
        <v>208</v>
      </c>
      <c r="O413" s="4" t="s">
        <v>234</v>
      </c>
    </row>
    <row r="414" spans="1:15" ht="22.5" customHeight="1" x14ac:dyDescent="0.3">
      <c r="A414" s="3">
        <v>4649567</v>
      </c>
      <c r="B414" s="3" t="s">
        <v>1921</v>
      </c>
      <c r="C414" s="3" t="s">
        <v>197</v>
      </c>
      <c r="D414" s="3" t="s">
        <v>198</v>
      </c>
      <c r="E414" s="3" t="s">
        <v>227</v>
      </c>
      <c r="F414" s="3" t="s">
        <v>200</v>
      </c>
      <c r="G414" s="3" t="s">
        <v>1922</v>
      </c>
      <c r="H414" s="3" t="s">
        <v>520</v>
      </c>
      <c r="I414" s="3" t="s">
        <v>203</v>
      </c>
      <c r="J414" s="3" t="s">
        <v>329</v>
      </c>
      <c r="K414" s="3" t="s">
        <v>330</v>
      </c>
      <c r="L414" s="3" t="s">
        <v>1923</v>
      </c>
      <c r="M414" s="3" t="s">
        <v>207</v>
      </c>
      <c r="N414" s="3" t="s">
        <v>217</v>
      </c>
      <c r="O414" s="3" t="s">
        <v>234</v>
      </c>
    </row>
    <row r="415" spans="1:15" ht="22.5" customHeight="1" x14ac:dyDescent="0.3">
      <c r="A415" s="4">
        <v>4651308</v>
      </c>
      <c r="B415" s="4" t="s">
        <v>1924</v>
      </c>
      <c r="C415" s="4" t="s">
        <v>197</v>
      </c>
      <c r="D415" s="4" t="s">
        <v>198</v>
      </c>
      <c r="E415" s="4" t="s">
        <v>227</v>
      </c>
      <c r="F415" s="4" t="s">
        <v>200</v>
      </c>
      <c r="G415" s="4" t="s">
        <v>1925</v>
      </c>
      <c r="H415" s="4" t="s">
        <v>1926</v>
      </c>
      <c r="I415" s="4" t="s">
        <v>203</v>
      </c>
      <c r="J415" s="4" t="s">
        <v>214</v>
      </c>
      <c r="K415" s="4" t="s">
        <v>1086</v>
      </c>
      <c r="L415" s="4" t="s">
        <v>1927</v>
      </c>
      <c r="M415" s="4" t="s">
        <v>207</v>
      </c>
      <c r="N415" s="4" t="s">
        <v>217</v>
      </c>
      <c r="O415" s="4" t="s">
        <v>418</v>
      </c>
    </row>
    <row r="416" spans="1:15" ht="22.5" customHeight="1" x14ac:dyDescent="0.3">
      <c r="A416" s="3">
        <v>4651685</v>
      </c>
      <c r="B416" s="3" t="s">
        <v>1928</v>
      </c>
      <c r="C416" s="3" t="s">
        <v>197</v>
      </c>
      <c r="D416" s="3" t="s">
        <v>198</v>
      </c>
      <c r="E416" s="3" t="s">
        <v>608</v>
      </c>
      <c r="F416" s="3" t="s">
        <v>200</v>
      </c>
      <c r="G416" s="3" t="s">
        <v>609</v>
      </c>
      <c r="H416" s="3" t="s">
        <v>610</v>
      </c>
      <c r="I416" s="3" t="s">
        <v>203</v>
      </c>
      <c r="J416" s="3" t="s">
        <v>329</v>
      </c>
      <c r="K416" s="3" t="s">
        <v>611</v>
      </c>
      <c r="L416" s="3" t="s">
        <v>380</v>
      </c>
      <c r="M416" s="3" t="s">
        <v>207</v>
      </c>
      <c r="N416" s="3" t="s">
        <v>208</v>
      </c>
      <c r="O416" s="3" t="s">
        <v>1929</v>
      </c>
    </row>
    <row r="417" spans="1:15" ht="33.75" customHeight="1" x14ac:dyDescent="0.3">
      <c r="A417" s="4">
        <v>4655249</v>
      </c>
      <c r="B417" s="4" t="s">
        <v>1930</v>
      </c>
      <c r="C417" s="4" t="s">
        <v>197</v>
      </c>
      <c r="D417" s="4" t="s">
        <v>1132</v>
      </c>
      <c r="E417" s="4" t="s">
        <v>227</v>
      </c>
      <c r="F417" s="4" t="s">
        <v>888</v>
      </c>
      <c r="G417" s="4" t="s">
        <v>1931</v>
      </c>
      <c r="H417" s="4" t="s">
        <v>1932</v>
      </c>
      <c r="I417" s="4" t="s">
        <v>203</v>
      </c>
      <c r="J417" s="4" t="s">
        <v>323</v>
      </c>
      <c r="K417" s="4" t="s">
        <v>1933</v>
      </c>
      <c r="L417" s="4" t="s">
        <v>1934</v>
      </c>
      <c r="M417" s="4" t="s">
        <v>245</v>
      </c>
      <c r="N417" s="4" t="s">
        <v>217</v>
      </c>
      <c r="O417" s="4" t="s">
        <v>433</v>
      </c>
    </row>
    <row r="418" spans="1:15" ht="22.5" customHeight="1" x14ac:dyDescent="0.3">
      <c r="A418" s="3">
        <v>4655516</v>
      </c>
      <c r="B418" s="3" t="s">
        <v>1935</v>
      </c>
      <c r="C418" s="3" t="s">
        <v>197</v>
      </c>
      <c r="D418" s="3" t="s">
        <v>198</v>
      </c>
      <c r="E418" s="3" t="s">
        <v>227</v>
      </c>
      <c r="F418" s="3" t="s">
        <v>200</v>
      </c>
      <c r="G418" s="3" t="s">
        <v>1936</v>
      </c>
      <c r="H418" s="3" t="s">
        <v>1937</v>
      </c>
      <c r="I418" s="3" t="s">
        <v>203</v>
      </c>
      <c r="J418" s="3" t="s">
        <v>204</v>
      </c>
      <c r="K418" s="3" t="s">
        <v>1692</v>
      </c>
      <c r="L418" s="3" t="s">
        <v>1927</v>
      </c>
      <c r="M418" s="3" t="s">
        <v>207</v>
      </c>
      <c r="N418" s="3" t="s">
        <v>208</v>
      </c>
      <c r="O418" s="3" t="s">
        <v>418</v>
      </c>
    </row>
    <row r="419" spans="1:15" ht="22.5" customHeight="1" x14ac:dyDescent="0.3">
      <c r="A419" s="4">
        <v>4657810</v>
      </c>
      <c r="B419" s="4" t="s">
        <v>1938</v>
      </c>
      <c r="C419" s="4" t="s">
        <v>197</v>
      </c>
      <c r="D419" s="4" t="s">
        <v>198</v>
      </c>
      <c r="E419" s="4" t="s">
        <v>227</v>
      </c>
      <c r="F419" s="4" t="s">
        <v>200</v>
      </c>
      <c r="G419" s="4" t="s">
        <v>1939</v>
      </c>
      <c r="H419" s="4" t="s">
        <v>784</v>
      </c>
      <c r="I419" s="4" t="s">
        <v>203</v>
      </c>
      <c r="J419" s="4" t="s">
        <v>204</v>
      </c>
      <c r="K419" s="4" t="s">
        <v>785</v>
      </c>
      <c r="L419" s="4" t="s">
        <v>1693</v>
      </c>
      <c r="M419" s="4" t="s">
        <v>233</v>
      </c>
      <c r="N419" s="4" t="s">
        <v>208</v>
      </c>
      <c r="O419" s="4" t="s">
        <v>433</v>
      </c>
    </row>
    <row r="420" spans="1:15" ht="33.75" customHeight="1" x14ac:dyDescent="0.3">
      <c r="A420" s="3">
        <v>4659872</v>
      </c>
      <c r="B420" s="3" t="s">
        <v>1940</v>
      </c>
      <c r="C420" s="3" t="s">
        <v>197</v>
      </c>
      <c r="D420" s="3" t="s">
        <v>494</v>
      </c>
      <c r="E420" s="3" t="s">
        <v>227</v>
      </c>
      <c r="F420" s="3" t="s">
        <v>200</v>
      </c>
      <c r="G420" s="3" t="s">
        <v>567</v>
      </c>
      <c r="H420" s="3" t="s">
        <v>1941</v>
      </c>
      <c r="I420" s="3" t="s">
        <v>203</v>
      </c>
      <c r="J420" s="3" t="s">
        <v>506</v>
      </c>
      <c r="K420" s="3" t="s">
        <v>1631</v>
      </c>
      <c r="L420" s="3" t="s">
        <v>1942</v>
      </c>
      <c r="M420" s="3" t="s">
        <v>207</v>
      </c>
      <c r="N420" s="3" t="s">
        <v>208</v>
      </c>
      <c r="O420" s="3" t="s">
        <v>433</v>
      </c>
    </row>
    <row r="421" spans="1:15" ht="22.5" customHeight="1" x14ac:dyDescent="0.3">
      <c r="A421" s="4">
        <v>4662342</v>
      </c>
      <c r="B421" s="4" t="s">
        <v>1943</v>
      </c>
      <c r="C421" s="4" t="s">
        <v>197</v>
      </c>
      <c r="D421" s="4" t="s">
        <v>198</v>
      </c>
      <c r="E421" s="4" t="s">
        <v>227</v>
      </c>
      <c r="F421" s="4" t="s">
        <v>200</v>
      </c>
      <c r="G421" s="4" t="s">
        <v>1944</v>
      </c>
      <c r="H421" s="4" t="s">
        <v>1945</v>
      </c>
      <c r="I421" s="4" t="s">
        <v>203</v>
      </c>
      <c r="J421" s="4" t="s">
        <v>204</v>
      </c>
      <c r="K421" s="4" t="s">
        <v>1110</v>
      </c>
      <c r="L421" s="4" t="s">
        <v>1946</v>
      </c>
      <c r="M421" s="4" t="s">
        <v>207</v>
      </c>
      <c r="N421" s="4" t="s">
        <v>217</v>
      </c>
      <c r="O421" s="4" t="s">
        <v>234</v>
      </c>
    </row>
    <row r="422" spans="1:15" ht="57" customHeight="1" x14ac:dyDescent="0.3">
      <c r="A422" s="3">
        <v>4662458</v>
      </c>
      <c r="B422" s="3" t="s">
        <v>1947</v>
      </c>
      <c r="C422" s="3" t="s">
        <v>197</v>
      </c>
      <c r="D422" s="3" t="s">
        <v>572</v>
      </c>
      <c r="E422" s="3" t="s">
        <v>227</v>
      </c>
      <c r="F422" s="3" t="s">
        <v>413</v>
      </c>
      <c r="G422" s="3" t="s">
        <v>756</v>
      </c>
      <c r="H422" s="3" t="s">
        <v>1948</v>
      </c>
      <c r="I422" s="3" t="s">
        <v>203</v>
      </c>
      <c r="J422" s="3" t="s">
        <v>323</v>
      </c>
      <c r="K422" s="3" t="s">
        <v>1949</v>
      </c>
      <c r="L422" s="3" t="s">
        <v>1950</v>
      </c>
      <c r="M422" s="3" t="s">
        <v>245</v>
      </c>
      <c r="N422" s="3" t="s">
        <v>208</v>
      </c>
      <c r="O422" s="3" t="s">
        <v>234</v>
      </c>
    </row>
    <row r="423" spans="1:15" ht="22.5" customHeight="1" x14ac:dyDescent="0.3">
      <c r="A423" s="4">
        <v>4665236</v>
      </c>
      <c r="B423" s="4" t="s">
        <v>1951</v>
      </c>
      <c r="C423" s="4" t="s">
        <v>197</v>
      </c>
      <c r="D423" s="4" t="s">
        <v>198</v>
      </c>
      <c r="E423" s="4" t="s">
        <v>227</v>
      </c>
      <c r="F423" s="4" t="s">
        <v>200</v>
      </c>
      <c r="G423" s="4" t="s">
        <v>1952</v>
      </c>
      <c r="H423" s="4" t="s">
        <v>1953</v>
      </c>
      <c r="I423" s="4" t="s">
        <v>737</v>
      </c>
      <c r="J423" s="4" t="s">
        <v>214</v>
      </c>
      <c r="K423" s="4" t="s">
        <v>1247</v>
      </c>
      <c r="L423" s="4" t="s">
        <v>871</v>
      </c>
      <c r="M423" s="4" t="s">
        <v>207</v>
      </c>
      <c r="N423" s="4" t="s">
        <v>208</v>
      </c>
      <c r="O423" s="4" t="s">
        <v>234</v>
      </c>
    </row>
    <row r="424" spans="1:15" ht="22.5" customHeight="1" x14ac:dyDescent="0.3">
      <c r="A424" s="3">
        <v>4669274</v>
      </c>
      <c r="B424" s="3" t="s">
        <v>1954</v>
      </c>
      <c r="C424" s="3" t="s">
        <v>197</v>
      </c>
      <c r="D424" s="3" t="s">
        <v>198</v>
      </c>
      <c r="E424" s="3" t="s">
        <v>227</v>
      </c>
      <c r="F424" s="3" t="s">
        <v>200</v>
      </c>
      <c r="G424" s="3" t="s">
        <v>914</v>
      </c>
      <c r="H424" s="3" t="s">
        <v>1302</v>
      </c>
      <c r="I424" s="3" t="s">
        <v>203</v>
      </c>
      <c r="J424" s="3" t="s">
        <v>214</v>
      </c>
      <c r="K424" s="3" t="s">
        <v>1861</v>
      </c>
      <c r="L424" s="3" t="s">
        <v>1955</v>
      </c>
      <c r="M424" s="3" t="s">
        <v>233</v>
      </c>
      <c r="N424" s="3" t="s">
        <v>208</v>
      </c>
      <c r="O424" s="3" t="s">
        <v>433</v>
      </c>
    </row>
    <row r="425" spans="1:15" ht="22.5" customHeight="1" x14ac:dyDescent="0.3">
      <c r="A425" s="4">
        <v>4670078</v>
      </c>
      <c r="B425" s="4" t="s">
        <v>1956</v>
      </c>
      <c r="C425" s="4" t="s">
        <v>197</v>
      </c>
      <c r="D425" s="4" t="s">
        <v>198</v>
      </c>
      <c r="E425" s="4" t="s">
        <v>227</v>
      </c>
      <c r="F425" s="4" t="s">
        <v>200</v>
      </c>
      <c r="G425" s="4" t="s">
        <v>1957</v>
      </c>
      <c r="H425" s="4" t="s">
        <v>1958</v>
      </c>
      <c r="I425" s="4" t="s">
        <v>203</v>
      </c>
      <c r="J425" s="4" t="s">
        <v>204</v>
      </c>
      <c r="K425" s="4" t="s">
        <v>1959</v>
      </c>
      <c r="L425" s="4" t="s">
        <v>1960</v>
      </c>
      <c r="M425" s="4" t="s">
        <v>207</v>
      </c>
      <c r="N425" s="4" t="s">
        <v>208</v>
      </c>
      <c r="O425" s="4" t="s">
        <v>418</v>
      </c>
    </row>
    <row r="426" spans="1:15" ht="22.5" customHeight="1" x14ac:dyDescent="0.3">
      <c r="A426" s="3">
        <v>4673913</v>
      </c>
      <c r="B426" s="3" t="s">
        <v>1961</v>
      </c>
      <c r="C426" s="3" t="s">
        <v>197</v>
      </c>
      <c r="D426" s="3" t="s">
        <v>198</v>
      </c>
      <c r="E426" s="3" t="s">
        <v>227</v>
      </c>
      <c r="F426" s="3" t="s">
        <v>200</v>
      </c>
      <c r="G426" s="3" t="s">
        <v>1962</v>
      </c>
      <c r="H426" s="3" t="s">
        <v>1963</v>
      </c>
      <c r="I426" s="3" t="s">
        <v>203</v>
      </c>
      <c r="J426" s="3" t="s">
        <v>323</v>
      </c>
      <c r="K426" s="3" t="s">
        <v>848</v>
      </c>
      <c r="L426" s="3" t="s">
        <v>1964</v>
      </c>
      <c r="M426" s="3" t="s">
        <v>245</v>
      </c>
      <c r="N426" s="3" t="s">
        <v>208</v>
      </c>
      <c r="O426" s="3" t="s">
        <v>234</v>
      </c>
    </row>
    <row r="427" spans="1:15" ht="79.5" customHeight="1" x14ac:dyDescent="0.3">
      <c r="A427" s="4">
        <v>4674308</v>
      </c>
      <c r="B427" s="4" t="s">
        <v>1965</v>
      </c>
      <c r="C427" s="4" t="s">
        <v>197</v>
      </c>
      <c r="D427" s="4" t="s">
        <v>320</v>
      </c>
      <c r="E427" s="4" t="s">
        <v>227</v>
      </c>
      <c r="F427" s="4" t="s">
        <v>200</v>
      </c>
      <c r="G427" s="4" t="s">
        <v>1966</v>
      </c>
      <c r="H427" s="4" t="s">
        <v>1967</v>
      </c>
      <c r="I427" s="4" t="s">
        <v>203</v>
      </c>
      <c r="J427" s="4" t="s">
        <v>214</v>
      </c>
      <c r="K427" s="4" t="s">
        <v>521</v>
      </c>
      <c r="L427" s="4" t="s">
        <v>294</v>
      </c>
      <c r="M427" s="4" t="s">
        <v>245</v>
      </c>
      <c r="N427" s="4" t="s">
        <v>217</v>
      </c>
      <c r="O427" s="4" t="s">
        <v>433</v>
      </c>
    </row>
    <row r="428" spans="1:15" ht="22.5" customHeight="1" x14ac:dyDescent="0.3">
      <c r="A428" s="3">
        <v>4677692</v>
      </c>
      <c r="B428" s="3" t="s">
        <v>1968</v>
      </c>
      <c r="C428" s="3" t="s">
        <v>197</v>
      </c>
      <c r="D428" s="3" t="s">
        <v>198</v>
      </c>
      <c r="E428" s="3" t="s">
        <v>227</v>
      </c>
      <c r="F428" s="3" t="s">
        <v>200</v>
      </c>
      <c r="G428" s="3" t="s">
        <v>1969</v>
      </c>
      <c r="H428" s="3" t="s">
        <v>1970</v>
      </c>
      <c r="I428" s="3" t="s">
        <v>203</v>
      </c>
      <c r="J428" s="3" t="s">
        <v>323</v>
      </c>
      <c r="K428" s="3" t="s">
        <v>1026</v>
      </c>
      <c r="L428" s="3" t="s">
        <v>758</v>
      </c>
      <c r="M428" s="3" t="s">
        <v>245</v>
      </c>
      <c r="N428" s="3" t="s">
        <v>208</v>
      </c>
      <c r="O428" s="3" t="s">
        <v>433</v>
      </c>
    </row>
    <row r="429" spans="1:15" ht="22.5" customHeight="1" x14ac:dyDescent="0.3">
      <c r="A429" s="4">
        <v>4678117</v>
      </c>
      <c r="B429" s="4" t="s">
        <v>1971</v>
      </c>
      <c r="C429" s="4" t="s">
        <v>197</v>
      </c>
      <c r="D429" s="4" t="s">
        <v>198</v>
      </c>
      <c r="E429" s="4" t="s">
        <v>227</v>
      </c>
      <c r="F429" s="4" t="s">
        <v>200</v>
      </c>
      <c r="G429" s="4" t="s">
        <v>1972</v>
      </c>
      <c r="H429" s="4" t="s">
        <v>1973</v>
      </c>
      <c r="I429" s="4" t="s">
        <v>203</v>
      </c>
      <c r="J429" s="4" t="s">
        <v>204</v>
      </c>
      <c r="K429" s="4" t="s">
        <v>1974</v>
      </c>
      <c r="L429" s="4" t="s">
        <v>1046</v>
      </c>
      <c r="M429" s="4" t="s">
        <v>207</v>
      </c>
      <c r="N429" s="4" t="s">
        <v>208</v>
      </c>
      <c r="O429" s="4" t="s">
        <v>444</v>
      </c>
    </row>
    <row r="430" spans="1:15" ht="22.5" customHeight="1" x14ac:dyDescent="0.3">
      <c r="A430" s="3">
        <v>4679113</v>
      </c>
      <c r="B430" s="3" t="s">
        <v>1975</v>
      </c>
      <c r="C430" s="3" t="s">
        <v>197</v>
      </c>
      <c r="D430" s="3" t="s">
        <v>198</v>
      </c>
      <c r="E430" s="3" t="s">
        <v>227</v>
      </c>
      <c r="F430" s="3" t="s">
        <v>413</v>
      </c>
      <c r="G430" s="3" t="s">
        <v>1976</v>
      </c>
      <c r="H430" s="3" t="s">
        <v>1977</v>
      </c>
      <c r="I430" s="3" t="s">
        <v>203</v>
      </c>
      <c r="J430" s="3" t="s">
        <v>298</v>
      </c>
      <c r="K430" s="3" t="s">
        <v>1978</v>
      </c>
      <c r="L430" s="3" t="s">
        <v>1955</v>
      </c>
      <c r="M430" s="3" t="s">
        <v>245</v>
      </c>
      <c r="N430" s="3" t="s">
        <v>217</v>
      </c>
      <c r="O430" s="3" t="s">
        <v>418</v>
      </c>
    </row>
    <row r="431" spans="1:15" ht="22.5" customHeight="1" x14ac:dyDescent="0.3">
      <c r="A431" s="4">
        <v>4679520</v>
      </c>
      <c r="B431" s="4" t="s">
        <v>1979</v>
      </c>
      <c r="C431" s="4" t="s">
        <v>197</v>
      </c>
      <c r="D431" s="4" t="s">
        <v>198</v>
      </c>
      <c r="E431" s="4" t="s">
        <v>227</v>
      </c>
      <c r="F431" s="4" t="s">
        <v>200</v>
      </c>
      <c r="G431" s="4" t="s">
        <v>1864</v>
      </c>
      <c r="H431" s="4" t="s">
        <v>1980</v>
      </c>
      <c r="I431" s="4" t="s">
        <v>203</v>
      </c>
      <c r="J431" s="4" t="s">
        <v>345</v>
      </c>
      <c r="K431" s="4" t="s">
        <v>1981</v>
      </c>
      <c r="L431" s="4" t="s">
        <v>1955</v>
      </c>
      <c r="M431" s="4" t="s">
        <v>245</v>
      </c>
      <c r="N431" s="4" t="s">
        <v>208</v>
      </c>
      <c r="O431" s="4" t="s">
        <v>433</v>
      </c>
    </row>
    <row r="432" spans="1:15" ht="22.5" customHeight="1" x14ac:dyDescent="0.3">
      <c r="A432" s="3">
        <v>4680065</v>
      </c>
      <c r="B432" s="3" t="s">
        <v>1982</v>
      </c>
      <c r="C432" s="3" t="s">
        <v>197</v>
      </c>
      <c r="D432" s="3" t="s">
        <v>198</v>
      </c>
      <c r="E432" s="3" t="s">
        <v>227</v>
      </c>
      <c r="F432" s="3" t="s">
        <v>200</v>
      </c>
      <c r="G432" s="3" t="s">
        <v>1983</v>
      </c>
      <c r="H432" s="3" t="s">
        <v>1210</v>
      </c>
      <c r="I432" s="3" t="s">
        <v>203</v>
      </c>
      <c r="J432" s="3" t="s">
        <v>214</v>
      </c>
      <c r="K432" s="3" t="s">
        <v>1984</v>
      </c>
      <c r="L432" s="3" t="s">
        <v>1985</v>
      </c>
      <c r="M432" s="3" t="s">
        <v>207</v>
      </c>
      <c r="N432" s="3" t="s">
        <v>217</v>
      </c>
      <c r="O432" s="3" t="s">
        <v>234</v>
      </c>
    </row>
    <row r="433" spans="1:15" ht="22.5" customHeight="1" x14ac:dyDescent="0.3">
      <c r="A433" s="4">
        <v>4682645</v>
      </c>
      <c r="B433" s="4" t="s">
        <v>1986</v>
      </c>
      <c r="C433" s="4" t="s">
        <v>197</v>
      </c>
      <c r="D433" s="4" t="s">
        <v>198</v>
      </c>
      <c r="E433" s="4" t="s">
        <v>227</v>
      </c>
      <c r="F433" s="4" t="s">
        <v>200</v>
      </c>
      <c r="G433" s="4" t="s">
        <v>1987</v>
      </c>
      <c r="H433" s="4" t="s">
        <v>1988</v>
      </c>
      <c r="I433" s="4" t="s">
        <v>203</v>
      </c>
      <c r="J433" s="4" t="s">
        <v>204</v>
      </c>
      <c r="K433" s="4" t="s">
        <v>416</v>
      </c>
      <c r="L433" s="4" t="s">
        <v>1989</v>
      </c>
      <c r="M433" s="4" t="s">
        <v>207</v>
      </c>
      <c r="N433" s="4" t="s">
        <v>217</v>
      </c>
      <c r="O433" s="4" t="s">
        <v>234</v>
      </c>
    </row>
    <row r="434" spans="1:15" ht="22.5" customHeight="1" x14ac:dyDescent="0.3">
      <c r="A434" s="3">
        <v>4683315</v>
      </c>
      <c r="B434" s="3" t="s">
        <v>1990</v>
      </c>
      <c r="C434" s="3" t="s">
        <v>197</v>
      </c>
      <c r="D434" s="3" t="s">
        <v>198</v>
      </c>
      <c r="E434" s="3" t="s">
        <v>227</v>
      </c>
      <c r="F434" s="3" t="s">
        <v>200</v>
      </c>
      <c r="G434" s="3" t="s">
        <v>1217</v>
      </c>
      <c r="H434" s="3" t="s">
        <v>1514</v>
      </c>
      <c r="I434" s="3" t="s">
        <v>203</v>
      </c>
      <c r="J434" s="3" t="s">
        <v>204</v>
      </c>
      <c r="K434" s="3" t="s">
        <v>1991</v>
      </c>
      <c r="L434" s="3" t="s">
        <v>1992</v>
      </c>
      <c r="M434" s="3" t="s">
        <v>245</v>
      </c>
      <c r="N434" s="3" t="s">
        <v>208</v>
      </c>
      <c r="O434" s="3" t="s">
        <v>418</v>
      </c>
    </row>
    <row r="435" spans="1:15" ht="22.5" customHeight="1" x14ac:dyDescent="0.3">
      <c r="A435" s="4">
        <v>4693590</v>
      </c>
      <c r="B435" s="4" t="s">
        <v>1993</v>
      </c>
      <c r="C435" s="4" t="s">
        <v>197</v>
      </c>
      <c r="D435" s="4" t="s">
        <v>198</v>
      </c>
      <c r="E435" s="4" t="s">
        <v>227</v>
      </c>
      <c r="F435" s="4" t="s">
        <v>200</v>
      </c>
      <c r="G435" s="4" t="s">
        <v>1994</v>
      </c>
      <c r="H435" s="4" t="s">
        <v>1995</v>
      </c>
      <c r="I435" s="4" t="s">
        <v>203</v>
      </c>
      <c r="J435" s="4" t="s">
        <v>204</v>
      </c>
      <c r="K435" s="4" t="s">
        <v>452</v>
      </c>
      <c r="L435" s="4" t="s">
        <v>1996</v>
      </c>
      <c r="M435" s="4" t="s">
        <v>207</v>
      </c>
      <c r="N435" s="4" t="s">
        <v>217</v>
      </c>
      <c r="O435" s="4" t="s">
        <v>234</v>
      </c>
    </row>
    <row r="436" spans="1:15" ht="33.75" customHeight="1" x14ac:dyDescent="0.3">
      <c r="A436" s="3">
        <v>4693914</v>
      </c>
      <c r="B436" s="3" t="s">
        <v>1997</v>
      </c>
      <c r="C436" s="3" t="s">
        <v>197</v>
      </c>
      <c r="D436" s="3" t="s">
        <v>198</v>
      </c>
      <c r="E436" s="3" t="s">
        <v>227</v>
      </c>
      <c r="F436" s="3" t="s">
        <v>200</v>
      </c>
      <c r="G436" s="3" t="s">
        <v>1038</v>
      </c>
      <c r="H436" s="3" t="s">
        <v>1039</v>
      </c>
      <c r="I436" s="3" t="s">
        <v>203</v>
      </c>
      <c r="J436" s="3" t="s">
        <v>323</v>
      </c>
      <c r="K436" s="3" t="s">
        <v>1040</v>
      </c>
      <c r="L436" s="3" t="s">
        <v>1998</v>
      </c>
      <c r="M436" s="3" t="s">
        <v>207</v>
      </c>
      <c r="N436" s="3" t="s">
        <v>208</v>
      </c>
      <c r="O436" s="3" t="s">
        <v>418</v>
      </c>
    </row>
    <row r="437" spans="1:15" ht="22.5" customHeight="1" x14ac:dyDescent="0.3">
      <c r="A437" s="4">
        <v>4694481</v>
      </c>
      <c r="B437" s="4" t="s">
        <v>1999</v>
      </c>
      <c r="C437" s="4" t="s">
        <v>197</v>
      </c>
      <c r="D437" s="4" t="s">
        <v>198</v>
      </c>
      <c r="E437" s="4" t="s">
        <v>227</v>
      </c>
      <c r="F437" s="4" t="s">
        <v>200</v>
      </c>
      <c r="G437" s="4" t="s">
        <v>2000</v>
      </c>
      <c r="H437" s="4" t="s">
        <v>2001</v>
      </c>
      <c r="I437" s="4" t="s">
        <v>203</v>
      </c>
      <c r="J437" s="4" t="s">
        <v>214</v>
      </c>
      <c r="K437" s="4" t="s">
        <v>2002</v>
      </c>
      <c r="L437" s="4" t="s">
        <v>2003</v>
      </c>
      <c r="M437" s="4" t="s">
        <v>207</v>
      </c>
      <c r="N437" s="4" t="s">
        <v>217</v>
      </c>
      <c r="O437" s="4" t="s">
        <v>234</v>
      </c>
    </row>
    <row r="438" spans="1:15" ht="22.5" customHeight="1" x14ac:dyDescent="0.3">
      <c r="A438" s="3">
        <v>4695275</v>
      </c>
      <c r="B438" s="3" t="s">
        <v>2004</v>
      </c>
      <c r="C438" s="3" t="s">
        <v>197</v>
      </c>
      <c r="D438" s="3" t="s">
        <v>198</v>
      </c>
      <c r="E438" s="3" t="s">
        <v>227</v>
      </c>
      <c r="F438" s="3" t="s">
        <v>200</v>
      </c>
      <c r="G438" s="3" t="s">
        <v>2005</v>
      </c>
      <c r="H438" s="3" t="s">
        <v>2006</v>
      </c>
      <c r="I438" s="3" t="s">
        <v>203</v>
      </c>
      <c r="J438" s="3" t="s">
        <v>204</v>
      </c>
      <c r="K438" s="3" t="s">
        <v>1135</v>
      </c>
      <c r="L438" s="3" t="s">
        <v>2007</v>
      </c>
      <c r="M438" s="3" t="s">
        <v>245</v>
      </c>
      <c r="N438" s="3" t="s">
        <v>217</v>
      </c>
      <c r="O438" s="3" t="s">
        <v>433</v>
      </c>
    </row>
    <row r="439" spans="1:15" ht="22.5" customHeight="1" x14ac:dyDescent="0.3">
      <c r="A439" s="4">
        <v>4695658</v>
      </c>
      <c r="B439" s="4" t="s">
        <v>2008</v>
      </c>
      <c r="C439" s="4" t="s">
        <v>197</v>
      </c>
      <c r="D439" s="4" t="s">
        <v>198</v>
      </c>
      <c r="E439" s="4" t="s">
        <v>227</v>
      </c>
      <c r="F439" s="4" t="s">
        <v>200</v>
      </c>
      <c r="G439" s="4" t="s">
        <v>2009</v>
      </c>
      <c r="H439" s="4" t="s">
        <v>2010</v>
      </c>
      <c r="I439" s="4" t="s">
        <v>203</v>
      </c>
      <c r="J439" s="4" t="s">
        <v>214</v>
      </c>
      <c r="K439" s="4" t="s">
        <v>626</v>
      </c>
      <c r="L439" s="4" t="s">
        <v>871</v>
      </c>
      <c r="M439" s="4" t="s">
        <v>207</v>
      </c>
      <c r="N439" s="4" t="s">
        <v>217</v>
      </c>
      <c r="O439" s="4" t="s">
        <v>234</v>
      </c>
    </row>
    <row r="440" spans="1:15" ht="22.5" customHeight="1" x14ac:dyDescent="0.3">
      <c r="A440" s="3">
        <v>4696360</v>
      </c>
      <c r="B440" s="3" t="s">
        <v>2011</v>
      </c>
      <c r="C440" s="3" t="s">
        <v>197</v>
      </c>
      <c r="D440" s="3" t="s">
        <v>862</v>
      </c>
      <c r="E440" s="3" t="s">
        <v>227</v>
      </c>
      <c r="F440" s="3" t="s">
        <v>200</v>
      </c>
      <c r="G440" s="3" t="s">
        <v>2012</v>
      </c>
      <c r="H440" s="3" t="s">
        <v>1870</v>
      </c>
      <c r="I440" s="3" t="s">
        <v>203</v>
      </c>
      <c r="J440" s="3" t="s">
        <v>323</v>
      </c>
      <c r="K440" s="3" t="s">
        <v>2013</v>
      </c>
      <c r="L440" s="3" t="s">
        <v>1762</v>
      </c>
      <c r="M440" s="3" t="s">
        <v>233</v>
      </c>
      <c r="N440" s="3" t="s">
        <v>208</v>
      </c>
      <c r="O440" s="3" t="s">
        <v>433</v>
      </c>
    </row>
    <row r="441" spans="1:15" ht="22.5" customHeight="1" x14ac:dyDescent="0.3">
      <c r="A441" s="4">
        <v>4698339</v>
      </c>
      <c r="B441" s="4" t="s">
        <v>2014</v>
      </c>
      <c r="C441" s="4" t="s">
        <v>197</v>
      </c>
      <c r="D441" s="4" t="s">
        <v>198</v>
      </c>
      <c r="E441" s="4" t="s">
        <v>227</v>
      </c>
      <c r="F441" s="4" t="s">
        <v>200</v>
      </c>
      <c r="G441" s="4" t="s">
        <v>749</v>
      </c>
      <c r="H441" s="4" t="s">
        <v>750</v>
      </c>
      <c r="I441" s="4" t="s">
        <v>203</v>
      </c>
      <c r="J441" s="4" t="s">
        <v>214</v>
      </c>
      <c r="K441" s="4" t="s">
        <v>752</v>
      </c>
      <c r="L441" s="4" t="s">
        <v>2015</v>
      </c>
      <c r="M441" s="4" t="s">
        <v>207</v>
      </c>
      <c r="N441" s="4" t="s">
        <v>217</v>
      </c>
      <c r="O441" s="4" t="s">
        <v>234</v>
      </c>
    </row>
    <row r="442" spans="1:15" ht="33.75" customHeight="1" x14ac:dyDescent="0.3">
      <c r="A442" s="3">
        <v>4698576</v>
      </c>
      <c r="B442" s="3" t="s">
        <v>2016</v>
      </c>
      <c r="C442" s="3" t="s">
        <v>197</v>
      </c>
      <c r="D442" s="3" t="s">
        <v>220</v>
      </c>
      <c r="E442" s="3" t="s">
        <v>227</v>
      </c>
      <c r="F442" s="3" t="s">
        <v>413</v>
      </c>
      <c r="G442" s="3" t="s">
        <v>2017</v>
      </c>
      <c r="H442" s="3" t="s">
        <v>2018</v>
      </c>
      <c r="I442" s="3" t="s">
        <v>203</v>
      </c>
      <c r="J442" s="3" t="s">
        <v>323</v>
      </c>
      <c r="K442" s="3" t="s">
        <v>2019</v>
      </c>
      <c r="L442" s="3" t="s">
        <v>1195</v>
      </c>
      <c r="M442" s="3" t="s">
        <v>245</v>
      </c>
      <c r="N442" s="3" t="s">
        <v>217</v>
      </c>
      <c r="O442" s="3" t="s">
        <v>433</v>
      </c>
    </row>
    <row r="443" spans="1:15" ht="22.5" customHeight="1" x14ac:dyDescent="0.3">
      <c r="A443" s="4">
        <v>4699270</v>
      </c>
      <c r="B443" s="4" t="s">
        <v>2020</v>
      </c>
      <c r="C443" s="4" t="s">
        <v>197</v>
      </c>
      <c r="D443" s="4" t="s">
        <v>198</v>
      </c>
      <c r="E443" s="4" t="s">
        <v>227</v>
      </c>
      <c r="F443" s="4" t="s">
        <v>200</v>
      </c>
      <c r="G443" s="4" t="s">
        <v>2021</v>
      </c>
      <c r="H443" s="4" t="s">
        <v>2022</v>
      </c>
      <c r="I443" s="4" t="s">
        <v>203</v>
      </c>
      <c r="J443" s="4" t="s">
        <v>323</v>
      </c>
      <c r="K443" s="4" t="s">
        <v>2023</v>
      </c>
      <c r="L443" s="4" t="s">
        <v>2024</v>
      </c>
      <c r="M443" s="4" t="s">
        <v>245</v>
      </c>
      <c r="N443" s="4" t="s">
        <v>208</v>
      </c>
      <c r="O443" s="4" t="s">
        <v>234</v>
      </c>
    </row>
    <row r="444" spans="1:15" ht="22.5" customHeight="1" x14ac:dyDescent="0.3">
      <c r="A444" s="3">
        <v>4705041</v>
      </c>
      <c r="B444" s="3" t="s">
        <v>2025</v>
      </c>
      <c r="C444" s="3" t="s">
        <v>197</v>
      </c>
      <c r="D444" s="3" t="s">
        <v>198</v>
      </c>
      <c r="E444" s="3" t="s">
        <v>227</v>
      </c>
      <c r="F444" s="3" t="s">
        <v>578</v>
      </c>
      <c r="G444" s="3" t="s">
        <v>2026</v>
      </c>
      <c r="H444" s="3" t="s">
        <v>2027</v>
      </c>
      <c r="I444" s="3" t="s">
        <v>203</v>
      </c>
      <c r="J444" s="3" t="s">
        <v>204</v>
      </c>
      <c r="K444" s="3" t="s">
        <v>2028</v>
      </c>
      <c r="L444" s="3" t="s">
        <v>2029</v>
      </c>
      <c r="M444" s="3" t="s">
        <v>207</v>
      </c>
      <c r="N444" s="3" t="s">
        <v>217</v>
      </c>
      <c r="O444" s="3" t="s">
        <v>234</v>
      </c>
    </row>
    <row r="445" spans="1:15" ht="57" customHeight="1" x14ac:dyDescent="0.3">
      <c r="A445" s="4">
        <v>4705610</v>
      </c>
      <c r="B445" s="4" t="s">
        <v>2030</v>
      </c>
      <c r="C445" s="4" t="s">
        <v>197</v>
      </c>
      <c r="D445" s="4" t="s">
        <v>845</v>
      </c>
      <c r="E445" s="4" t="s">
        <v>227</v>
      </c>
      <c r="F445" s="4" t="s">
        <v>413</v>
      </c>
      <c r="G445" s="4" t="s">
        <v>2031</v>
      </c>
      <c r="H445" s="4" t="s">
        <v>2032</v>
      </c>
      <c r="I445" s="4" t="s">
        <v>203</v>
      </c>
      <c r="J445" s="4" t="s">
        <v>214</v>
      </c>
      <c r="K445" s="4" t="s">
        <v>2033</v>
      </c>
      <c r="L445" s="4" t="s">
        <v>2034</v>
      </c>
      <c r="M445" s="4" t="s">
        <v>233</v>
      </c>
      <c r="N445" s="4" t="s">
        <v>217</v>
      </c>
      <c r="O445" s="4" t="s">
        <v>444</v>
      </c>
    </row>
    <row r="446" spans="1:15" ht="22.5" customHeight="1" x14ac:dyDescent="0.3">
      <c r="A446" s="3">
        <v>4709179</v>
      </c>
      <c r="B446" s="3" t="s">
        <v>2035</v>
      </c>
      <c r="C446" s="3" t="s">
        <v>197</v>
      </c>
      <c r="D446" s="3" t="s">
        <v>198</v>
      </c>
      <c r="E446" s="3" t="s">
        <v>227</v>
      </c>
      <c r="F446" s="3" t="s">
        <v>200</v>
      </c>
      <c r="G446" s="3" t="s">
        <v>1217</v>
      </c>
      <c r="H446" s="3" t="s">
        <v>1514</v>
      </c>
      <c r="I446" s="3" t="s">
        <v>203</v>
      </c>
      <c r="J446" s="3" t="s">
        <v>214</v>
      </c>
      <c r="K446" s="3" t="s">
        <v>662</v>
      </c>
      <c r="L446" s="3" t="s">
        <v>2036</v>
      </c>
      <c r="M446" s="3" t="s">
        <v>233</v>
      </c>
      <c r="N446" s="3" t="s">
        <v>217</v>
      </c>
      <c r="O446" s="3" t="s">
        <v>433</v>
      </c>
    </row>
    <row r="447" spans="1:15" ht="22.5" customHeight="1" x14ac:dyDescent="0.3">
      <c r="A447" s="4">
        <v>4709802</v>
      </c>
      <c r="B447" s="4" t="s">
        <v>2037</v>
      </c>
      <c r="C447" s="4" t="s">
        <v>197</v>
      </c>
      <c r="D447" s="4" t="s">
        <v>198</v>
      </c>
      <c r="E447" s="4" t="s">
        <v>227</v>
      </c>
      <c r="F447" s="4" t="s">
        <v>200</v>
      </c>
      <c r="G447" s="4" t="s">
        <v>2038</v>
      </c>
      <c r="H447" s="4" t="s">
        <v>2039</v>
      </c>
      <c r="I447" s="4" t="s">
        <v>203</v>
      </c>
      <c r="J447" s="4" t="s">
        <v>214</v>
      </c>
      <c r="K447" s="4" t="s">
        <v>2040</v>
      </c>
      <c r="L447" s="4" t="s">
        <v>2041</v>
      </c>
      <c r="M447" s="4" t="s">
        <v>207</v>
      </c>
      <c r="N447" s="4" t="s">
        <v>208</v>
      </c>
      <c r="O447" s="4" t="s">
        <v>234</v>
      </c>
    </row>
    <row r="448" spans="1:15" ht="22.5" customHeight="1" x14ac:dyDescent="0.3">
      <c r="A448" s="3">
        <v>4711289</v>
      </c>
      <c r="B448" s="3" t="s">
        <v>2042</v>
      </c>
      <c r="C448" s="3" t="s">
        <v>197</v>
      </c>
      <c r="D448" s="3" t="s">
        <v>198</v>
      </c>
      <c r="E448" s="3" t="s">
        <v>227</v>
      </c>
      <c r="F448" s="3" t="s">
        <v>200</v>
      </c>
      <c r="G448" s="3" t="s">
        <v>2043</v>
      </c>
      <c r="H448" s="3" t="s">
        <v>2044</v>
      </c>
      <c r="I448" s="3" t="s">
        <v>203</v>
      </c>
      <c r="J448" s="3" t="s">
        <v>204</v>
      </c>
      <c r="K448" s="3" t="s">
        <v>477</v>
      </c>
      <c r="L448" s="3" t="s">
        <v>2045</v>
      </c>
      <c r="M448" s="3" t="s">
        <v>207</v>
      </c>
      <c r="N448" s="3" t="s">
        <v>217</v>
      </c>
      <c r="O448" s="3" t="s">
        <v>234</v>
      </c>
    </row>
    <row r="449" spans="1:15" ht="22.5" customHeight="1" x14ac:dyDescent="0.3">
      <c r="A449" s="4">
        <v>4711815</v>
      </c>
      <c r="B449" s="4" t="s">
        <v>2046</v>
      </c>
      <c r="C449" s="4" t="s">
        <v>197</v>
      </c>
      <c r="D449" s="4" t="s">
        <v>198</v>
      </c>
      <c r="E449" s="4" t="s">
        <v>227</v>
      </c>
      <c r="F449" s="4" t="s">
        <v>200</v>
      </c>
      <c r="G449" s="4" t="s">
        <v>1535</v>
      </c>
      <c r="H449" s="4" t="s">
        <v>1536</v>
      </c>
      <c r="I449" s="4" t="s">
        <v>203</v>
      </c>
      <c r="J449" s="4" t="s">
        <v>214</v>
      </c>
      <c r="K449" s="4" t="s">
        <v>635</v>
      </c>
      <c r="L449" s="4" t="s">
        <v>249</v>
      </c>
      <c r="M449" s="4" t="s">
        <v>207</v>
      </c>
      <c r="N449" s="4" t="s">
        <v>208</v>
      </c>
      <c r="O449" s="4" t="s">
        <v>418</v>
      </c>
    </row>
    <row r="450" spans="1:15" ht="22.5" customHeight="1" x14ac:dyDescent="0.3">
      <c r="A450" s="3">
        <v>4712625</v>
      </c>
      <c r="B450" s="3" t="s">
        <v>2047</v>
      </c>
      <c r="C450" s="3" t="s">
        <v>197</v>
      </c>
      <c r="D450" s="3" t="s">
        <v>198</v>
      </c>
      <c r="E450" s="3" t="s">
        <v>227</v>
      </c>
      <c r="F450" s="3" t="s">
        <v>200</v>
      </c>
      <c r="G450" s="3" t="s">
        <v>1228</v>
      </c>
      <c r="H450" s="3" t="s">
        <v>1229</v>
      </c>
      <c r="I450" s="3" t="s">
        <v>203</v>
      </c>
      <c r="J450" s="3" t="s">
        <v>214</v>
      </c>
      <c r="K450" s="3" t="s">
        <v>2048</v>
      </c>
      <c r="L450" s="3" t="s">
        <v>1946</v>
      </c>
      <c r="M450" s="3" t="s">
        <v>207</v>
      </c>
      <c r="N450" s="3" t="s">
        <v>217</v>
      </c>
      <c r="O450" s="3" t="s">
        <v>234</v>
      </c>
    </row>
    <row r="451" spans="1:15" ht="22.5" customHeight="1" x14ac:dyDescent="0.3">
      <c r="A451" s="4">
        <v>4714407</v>
      </c>
      <c r="B451" s="4" t="s">
        <v>2049</v>
      </c>
      <c r="C451" s="4" t="s">
        <v>197</v>
      </c>
      <c r="D451" s="4" t="s">
        <v>198</v>
      </c>
      <c r="E451" s="4" t="s">
        <v>227</v>
      </c>
      <c r="F451" s="4" t="s">
        <v>200</v>
      </c>
      <c r="G451" s="4" t="s">
        <v>2050</v>
      </c>
      <c r="H451" s="4" t="s">
        <v>2051</v>
      </c>
      <c r="I451" s="4" t="s">
        <v>203</v>
      </c>
      <c r="J451" s="4" t="s">
        <v>214</v>
      </c>
      <c r="K451" s="4" t="s">
        <v>2052</v>
      </c>
      <c r="L451" s="4" t="s">
        <v>2053</v>
      </c>
      <c r="M451" s="4" t="s">
        <v>207</v>
      </c>
      <c r="N451" s="4" t="s">
        <v>217</v>
      </c>
      <c r="O451" s="4" t="s">
        <v>234</v>
      </c>
    </row>
    <row r="452" spans="1:15" ht="22.5" customHeight="1" x14ac:dyDescent="0.3">
      <c r="A452" s="3">
        <v>4714644</v>
      </c>
      <c r="B452" s="3" t="s">
        <v>2054</v>
      </c>
      <c r="C452" s="3" t="s">
        <v>197</v>
      </c>
      <c r="D452" s="3" t="s">
        <v>198</v>
      </c>
      <c r="E452" s="3" t="s">
        <v>227</v>
      </c>
      <c r="F452" s="3" t="s">
        <v>200</v>
      </c>
      <c r="G452" s="3" t="s">
        <v>2055</v>
      </c>
      <c r="H452" s="3" t="s">
        <v>784</v>
      </c>
      <c r="I452" s="3" t="s">
        <v>203</v>
      </c>
      <c r="J452" s="3" t="s">
        <v>204</v>
      </c>
      <c r="K452" s="3" t="s">
        <v>769</v>
      </c>
      <c r="L452" s="3" t="s">
        <v>249</v>
      </c>
      <c r="M452" s="3" t="s">
        <v>233</v>
      </c>
      <c r="N452" s="3" t="s">
        <v>217</v>
      </c>
      <c r="O452" s="3" t="s">
        <v>418</v>
      </c>
    </row>
    <row r="453" spans="1:15" ht="22.5" customHeight="1" x14ac:dyDescent="0.3">
      <c r="A453" s="4">
        <v>4715462</v>
      </c>
      <c r="B453" s="4" t="s">
        <v>2056</v>
      </c>
      <c r="C453" s="4" t="s">
        <v>197</v>
      </c>
      <c r="D453" s="4"/>
      <c r="E453" s="4" t="s">
        <v>227</v>
      </c>
      <c r="F453" s="4" t="s">
        <v>200</v>
      </c>
      <c r="G453" s="4" t="s">
        <v>2057</v>
      </c>
      <c r="H453" s="4" t="s">
        <v>2058</v>
      </c>
      <c r="I453" s="4" t="s">
        <v>203</v>
      </c>
      <c r="J453" s="4" t="s">
        <v>214</v>
      </c>
      <c r="K453" s="4" t="s">
        <v>535</v>
      </c>
      <c r="L453" s="4" t="s">
        <v>2059</v>
      </c>
      <c r="M453" s="4" t="s">
        <v>207</v>
      </c>
      <c r="N453" s="4" t="s">
        <v>208</v>
      </c>
      <c r="O453" s="4" t="s">
        <v>444</v>
      </c>
    </row>
    <row r="454" spans="1:15" ht="22.5" customHeight="1" x14ac:dyDescent="0.3">
      <c r="A454" s="3">
        <v>4719174</v>
      </c>
      <c r="B454" s="3" t="s">
        <v>2060</v>
      </c>
      <c r="C454" s="3" t="s">
        <v>197</v>
      </c>
      <c r="D454" s="3" t="s">
        <v>198</v>
      </c>
      <c r="E454" s="3" t="s">
        <v>227</v>
      </c>
      <c r="F454" s="3" t="s">
        <v>200</v>
      </c>
      <c r="G454" s="3" t="s">
        <v>2061</v>
      </c>
      <c r="H454" s="3" t="s">
        <v>2062</v>
      </c>
      <c r="I454" s="3" t="s">
        <v>737</v>
      </c>
      <c r="J454" s="3" t="s">
        <v>214</v>
      </c>
      <c r="K454" s="3" t="s">
        <v>2063</v>
      </c>
      <c r="L454" s="3" t="s">
        <v>2064</v>
      </c>
      <c r="M454" s="3" t="s">
        <v>207</v>
      </c>
      <c r="N454" s="3" t="s">
        <v>208</v>
      </c>
      <c r="O454" s="3" t="s">
        <v>234</v>
      </c>
    </row>
    <row r="455" spans="1:15" ht="22.5" customHeight="1" x14ac:dyDescent="0.3">
      <c r="A455" s="4">
        <v>4726693</v>
      </c>
      <c r="B455" s="4" t="s">
        <v>2065</v>
      </c>
      <c r="C455" s="4" t="s">
        <v>197</v>
      </c>
      <c r="D455" s="4" t="s">
        <v>198</v>
      </c>
      <c r="E455" s="4" t="s">
        <v>227</v>
      </c>
      <c r="F455" s="4" t="s">
        <v>200</v>
      </c>
      <c r="G455" s="4" t="s">
        <v>2066</v>
      </c>
      <c r="H455" s="4" t="s">
        <v>2067</v>
      </c>
      <c r="I455" s="4" t="s">
        <v>203</v>
      </c>
      <c r="J455" s="4" t="s">
        <v>214</v>
      </c>
      <c r="K455" s="4" t="s">
        <v>2068</v>
      </c>
      <c r="L455" s="4" t="s">
        <v>2069</v>
      </c>
      <c r="M455" s="4" t="s">
        <v>207</v>
      </c>
      <c r="N455" s="4" t="s">
        <v>208</v>
      </c>
      <c r="O455" s="4" t="s">
        <v>234</v>
      </c>
    </row>
    <row r="456" spans="1:15" ht="22.5" customHeight="1" x14ac:dyDescent="0.3">
      <c r="A456" s="3">
        <v>4726960</v>
      </c>
      <c r="B456" s="3" t="s">
        <v>2070</v>
      </c>
      <c r="C456" s="3" t="s">
        <v>197</v>
      </c>
      <c r="D456" s="3" t="s">
        <v>198</v>
      </c>
      <c r="E456" s="3" t="s">
        <v>227</v>
      </c>
      <c r="F456" s="3" t="s">
        <v>200</v>
      </c>
      <c r="G456" s="3" t="s">
        <v>2071</v>
      </c>
      <c r="H456" s="3" t="s">
        <v>2072</v>
      </c>
      <c r="I456" s="3" t="s">
        <v>203</v>
      </c>
      <c r="J456" s="3" t="s">
        <v>506</v>
      </c>
      <c r="K456" s="3" t="s">
        <v>540</v>
      </c>
      <c r="L456" s="3" t="s">
        <v>2073</v>
      </c>
      <c r="M456" s="3" t="s">
        <v>233</v>
      </c>
      <c r="N456" s="3" t="s">
        <v>217</v>
      </c>
      <c r="O456" s="3" t="s">
        <v>433</v>
      </c>
    </row>
    <row r="457" spans="1:15" ht="22.5" customHeight="1" x14ac:dyDescent="0.3">
      <c r="A457" s="4">
        <v>4731026</v>
      </c>
      <c r="B457" s="4" t="s">
        <v>2074</v>
      </c>
      <c r="C457" s="4" t="s">
        <v>197</v>
      </c>
      <c r="D457" s="4" t="s">
        <v>198</v>
      </c>
      <c r="E457" s="4" t="s">
        <v>227</v>
      </c>
      <c r="F457" s="4" t="s">
        <v>200</v>
      </c>
      <c r="G457" s="4" t="s">
        <v>660</v>
      </c>
      <c r="H457" s="4" t="s">
        <v>2075</v>
      </c>
      <c r="I457" s="4" t="s">
        <v>203</v>
      </c>
      <c r="J457" s="4" t="s">
        <v>345</v>
      </c>
      <c r="K457" s="4" t="s">
        <v>594</v>
      </c>
      <c r="L457" s="4" t="s">
        <v>273</v>
      </c>
      <c r="M457" s="4" t="s">
        <v>245</v>
      </c>
      <c r="N457" s="4" t="s">
        <v>217</v>
      </c>
      <c r="O457" s="4" t="s">
        <v>234</v>
      </c>
    </row>
    <row r="458" spans="1:15" ht="33.75" customHeight="1" x14ac:dyDescent="0.3">
      <c r="A458" s="3">
        <v>4735331</v>
      </c>
      <c r="B458" s="3" t="s">
        <v>2076</v>
      </c>
      <c r="C458" s="3" t="s">
        <v>197</v>
      </c>
      <c r="D458" s="3" t="s">
        <v>198</v>
      </c>
      <c r="E458" s="3" t="s">
        <v>227</v>
      </c>
      <c r="F458" s="3" t="s">
        <v>888</v>
      </c>
      <c r="G458" s="3" t="s">
        <v>2077</v>
      </c>
      <c r="H458" s="3" t="s">
        <v>2078</v>
      </c>
      <c r="I458" s="3" t="s">
        <v>203</v>
      </c>
      <c r="J458" s="3" t="s">
        <v>329</v>
      </c>
      <c r="K458" s="3" t="s">
        <v>1384</v>
      </c>
      <c r="L458" s="3" t="s">
        <v>1406</v>
      </c>
      <c r="M458" s="3" t="s">
        <v>207</v>
      </c>
      <c r="N458" s="3" t="s">
        <v>208</v>
      </c>
      <c r="O458" s="3" t="s">
        <v>433</v>
      </c>
    </row>
    <row r="459" spans="1:15" ht="125.25" customHeight="1" x14ac:dyDescent="0.3">
      <c r="A459" s="4">
        <v>4735897</v>
      </c>
      <c r="B459" s="4" t="s">
        <v>2079</v>
      </c>
      <c r="C459" s="4" t="s">
        <v>197</v>
      </c>
      <c r="D459" s="4" t="s">
        <v>2080</v>
      </c>
      <c r="E459" s="4" t="s">
        <v>227</v>
      </c>
      <c r="F459" s="4" t="s">
        <v>413</v>
      </c>
      <c r="G459" s="4" t="s">
        <v>1345</v>
      </c>
      <c r="H459" s="4" t="s">
        <v>1346</v>
      </c>
      <c r="I459" s="4" t="s">
        <v>203</v>
      </c>
      <c r="J459" s="4" t="s">
        <v>253</v>
      </c>
      <c r="K459" s="4" t="s">
        <v>422</v>
      </c>
      <c r="L459" s="4" t="s">
        <v>309</v>
      </c>
      <c r="M459" s="4" t="s">
        <v>207</v>
      </c>
      <c r="N459" s="4" t="s">
        <v>208</v>
      </c>
      <c r="O459" s="4" t="s">
        <v>433</v>
      </c>
    </row>
    <row r="460" spans="1:15" ht="22.5" customHeight="1" x14ac:dyDescent="0.3">
      <c r="A460" s="3">
        <v>4737326</v>
      </c>
      <c r="B460" s="3" t="s">
        <v>2081</v>
      </c>
      <c r="C460" s="3" t="s">
        <v>197</v>
      </c>
      <c r="D460" s="3" t="s">
        <v>198</v>
      </c>
      <c r="E460" s="3" t="s">
        <v>227</v>
      </c>
      <c r="F460" s="3" t="s">
        <v>200</v>
      </c>
      <c r="G460" s="3" t="s">
        <v>2082</v>
      </c>
      <c r="H460" s="3" t="s">
        <v>1973</v>
      </c>
      <c r="I460" s="3" t="s">
        <v>203</v>
      </c>
      <c r="J460" s="3" t="s">
        <v>204</v>
      </c>
      <c r="K460" s="3" t="s">
        <v>1135</v>
      </c>
      <c r="L460" s="3" t="s">
        <v>2083</v>
      </c>
      <c r="M460" s="3" t="s">
        <v>207</v>
      </c>
      <c r="N460" s="3" t="s">
        <v>208</v>
      </c>
      <c r="O460" s="3" t="s">
        <v>433</v>
      </c>
    </row>
    <row r="461" spans="1:15" ht="57" customHeight="1" x14ac:dyDescent="0.3">
      <c r="A461" s="4">
        <v>4739116</v>
      </c>
      <c r="B461" s="4" t="s">
        <v>2084</v>
      </c>
      <c r="C461" s="4" t="s">
        <v>197</v>
      </c>
      <c r="D461" s="4" t="s">
        <v>342</v>
      </c>
      <c r="E461" s="4" t="s">
        <v>227</v>
      </c>
      <c r="F461" s="4" t="s">
        <v>888</v>
      </c>
      <c r="G461" s="4" t="s">
        <v>679</v>
      </c>
      <c r="H461" s="4" t="s">
        <v>1730</v>
      </c>
      <c r="I461" s="4" t="s">
        <v>203</v>
      </c>
      <c r="J461" s="4" t="s">
        <v>323</v>
      </c>
      <c r="K461" s="4" t="s">
        <v>324</v>
      </c>
      <c r="L461" s="4" t="s">
        <v>2085</v>
      </c>
      <c r="M461" s="4" t="s">
        <v>207</v>
      </c>
      <c r="N461" s="4" t="s">
        <v>217</v>
      </c>
      <c r="O461" s="4" t="s">
        <v>234</v>
      </c>
    </row>
    <row r="462" spans="1:15" ht="33.75" customHeight="1" x14ac:dyDescent="0.3">
      <c r="A462" s="3">
        <v>4739833</v>
      </c>
      <c r="B462" s="3" t="s">
        <v>2086</v>
      </c>
      <c r="C462" s="3" t="s">
        <v>197</v>
      </c>
      <c r="D462" s="3" t="s">
        <v>796</v>
      </c>
      <c r="E462" s="3" t="s">
        <v>227</v>
      </c>
      <c r="F462" s="3" t="s">
        <v>200</v>
      </c>
      <c r="G462" s="3" t="s">
        <v>2087</v>
      </c>
      <c r="H462" s="3" t="s">
        <v>847</v>
      </c>
      <c r="I462" s="3" t="s">
        <v>203</v>
      </c>
      <c r="J462" s="3" t="s">
        <v>323</v>
      </c>
      <c r="K462" s="3" t="s">
        <v>705</v>
      </c>
      <c r="L462" s="3" t="s">
        <v>2007</v>
      </c>
      <c r="M462" s="3" t="s">
        <v>207</v>
      </c>
      <c r="N462" s="3" t="s">
        <v>217</v>
      </c>
      <c r="O462" s="3" t="s">
        <v>418</v>
      </c>
    </row>
    <row r="463" spans="1:15" ht="33.75" customHeight="1" x14ac:dyDescent="0.3">
      <c r="A463" s="4">
        <v>4740459</v>
      </c>
      <c r="B463" s="4" t="s">
        <v>2088</v>
      </c>
      <c r="C463" s="4" t="s">
        <v>197</v>
      </c>
      <c r="D463" s="4" t="s">
        <v>1132</v>
      </c>
      <c r="E463" s="4" t="s">
        <v>227</v>
      </c>
      <c r="F463" s="4" t="s">
        <v>200</v>
      </c>
      <c r="G463" s="4" t="s">
        <v>2089</v>
      </c>
      <c r="H463" s="4" t="s">
        <v>1737</v>
      </c>
      <c r="I463" s="4" t="s">
        <v>203</v>
      </c>
      <c r="J463" s="4" t="s">
        <v>214</v>
      </c>
      <c r="K463" s="4" t="s">
        <v>283</v>
      </c>
      <c r="L463" s="4" t="s">
        <v>2090</v>
      </c>
      <c r="M463" s="4" t="s">
        <v>207</v>
      </c>
      <c r="N463" s="4" t="s">
        <v>217</v>
      </c>
      <c r="O463" s="4" t="s">
        <v>234</v>
      </c>
    </row>
    <row r="464" spans="1:15" ht="22.5" customHeight="1" x14ac:dyDescent="0.3">
      <c r="A464" s="3">
        <v>4741617</v>
      </c>
      <c r="B464" s="3" t="s">
        <v>2091</v>
      </c>
      <c r="C464" s="3" t="s">
        <v>197</v>
      </c>
      <c r="D464" s="3" t="s">
        <v>198</v>
      </c>
      <c r="E464" s="3" t="s">
        <v>227</v>
      </c>
      <c r="F464" s="3" t="s">
        <v>200</v>
      </c>
      <c r="G464" s="3" t="s">
        <v>2092</v>
      </c>
      <c r="H464" s="3" t="s">
        <v>2093</v>
      </c>
      <c r="I464" s="3" t="s">
        <v>203</v>
      </c>
      <c r="J464" s="3" t="s">
        <v>506</v>
      </c>
      <c r="K464" s="3" t="s">
        <v>2094</v>
      </c>
      <c r="L464" s="3" t="s">
        <v>1046</v>
      </c>
      <c r="M464" s="3" t="s">
        <v>207</v>
      </c>
      <c r="N464" s="3" t="s">
        <v>217</v>
      </c>
      <c r="O464" s="3" t="s">
        <v>418</v>
      </c>
    </row>
    <row r="465" spans="1:15" ht="33.75" customHeight="1" x14ac:dyDescent="0.3">
      <c r="A465" s="4">
        <v>4742192</v>
      </c>
      <c r="B465" s="4" t="s">
        <v>2095</v>
      </c>
      <c r="C465" s="4" t="s">
        <v>197</v>
      </c>
      <c r="D465" s="4" t="s">
        <v>494</v>
      </c>
      <c r="E465" s="4" t="s">
        <v>227</v>
      </c>
      <c r="F465" s="4" t="s">
        <v>200</v>
      </c>
      <c r="G465" s="4" t="s">
        <v>2096</v>
      </c>
      <c r="H465" s="4" t="s">
        <v>1418</v>
      </c>
      <c r="I465" s="4" t="s">
        <v>203</v>
      </c>
      <c r="J465" s="4" t="s">
        <v>506</v>
      </c>
      <c r="K465" s="4" t="s">
        <v>2097</v>
      </c>
      <c r="L465" s="4" t="s">
        <v>2098</v>
      </c>
      <c r="M465" s="4" t="s">
        <v>207</v>
      </c>
      <c r="N465" s="4" t="s">
        <v>208</v>
      </c>
      <c r="O465" s="4" t="s">
        <v>234</v>
      </c>
    </row>
    <row r="466" spans="1:15" ht="22.5" customHeight="1" x14ac:dyDescent="0.3">
      <c r="A466" s="3">
        <v>4743369</v>
      </c>
      <c r="B466" s="3" t="s">
        <v>2099</v>
      </c>
      <c r="C466" s="3" t="s">
        <v>197</v>
      </c>
      <c r="D466" s="3" t="s">
        <v>198</v>
      </c>
      <c r="E466" s="3" t="s">
        <v>227</v>
      </c>
      <c r="F466" s="3" t="s">
        <v>200</v>
      </c>
      <c r="G466" s="3" t="s">
        <v>2100</v>
      </c>
      <c r="H466" s="3" t="s">
        <v>1090</v>
      </c>
      <c r="I466" s="3" t="s">
        <v>203</v>
      </c>
      <c r="J466" s="3" t="s">
        <v>323</v>
      </c>
      <c r="K466" s="3" t="s">
        <v>709</v>
      </c>
      <c r="L466" s="3" t="s">
        <v>2101</v>
      </c>
      <c r="M466" s="3" t="s">
        <v>207</v>
      </c>
      <c r="N466" s="3" t="s">
        <v>208</v>
      </c>
      <c r="O466" s="3" t="s">
        <v>444</v>
      </c>
    </row>
    <row r="467" spans="1:15" ht="22.5" customHeight="1" x14ac:dyDescent="0.3">
      <c r="A467" s="4">
        <v>4745108</v>
      </c>
      <c r="B467" s="4" t="s">
        <v>2102</v>
      </c>
      <c r="C467" s="4" t="s">
        <v>197</v>
      </c>
      <c r="D467" s="4" t="s">
        <v>198</v>
      </c>
      <c r="E467" s="4" t="s">
        <v>227</v>
      </c>
      <c r="F467" s="4" t="s">
        <v>200</v>
      </c>
      <c r="G467" s="4" t="s">
        <v>2103</v>
      </c>
      <c r="H467" s="4" t="s">
        <v>2104</v>
      </c>
      <c r="I467" s="4" t="s">
        <v>737</v>
      </c>
      <c r="J467" s="4" t="s">
        <v>214</v>
      </c>
      <c r="K467" s="4" t="s">
        <v>1857</v>
      </c>
      <c r="L467" s="4" t="s">
        <v>2105</v>
      </c>
      <c r="M467" s="4" t="s">
        <v>207</v>
      </c>
      <c r="N467" s="4" t="s">
        <v>217</v>
      </c>
      <c r="O467" s="4" t="s">
        <v>234</v>
      </c>
    </row>
    <row r="468" spans="1:15" ht="22.5" customHeight="1" x14ac:dyDescent="0.3">
      <c r="A468" s="3">
        <v>4745876</v>
      </c>
      <c r="B468" s="3" t="s">
        <v>2106</v>
      </c>
      <c r="C468" s="3" t="s">
        <v>197</v>
      </c>
      <c r="D468" s="3" t="s">
        <v>198</v>
      </c>
      <c r="E468" s="3" t="s">
        <v>227</v>
      </c>
      <c r="F468" s="3" t="s">
        <v>200</v>
      </c>
      <c r="G468" s="3" t="s">
        <v>2107</v>
      </c>
      <c r="H468" s="3" t="s">
        <v>2108</v>
      </c>
      <c r="I468" s="3" t="s">
        <v>737</v>
      </c>
      <c r="J468" s="3" t="s">
        <v>214</v>
      </c>
      <c r="K468" s="3" t="s">
        <v>1247</v>
      </c>
      <c r="L468" s="3" t="s">
        <v>2109</v>
      </c>
      <c r="M468" s="3" t="s">
        <v>245</v>
      </c>
      <c r="N468" s="3" t="s">
        <v>217</v>
      </c>
      <c r="O468" s="3" t="s">
        <v>234</v>
      </c>
    </row>
    <row r="469" spans="1:15" ht="22.5" customHeight="1" x14ac:dyDescent="0.3">
      <c r="A469" s="4">
        <v>4751795</v>
      </c>
      <c r="B469" s="4" t="s">
        <v>2110</v>
      </c>
      <c r="C469" s="4" t="s">
        <v>197</v>
      </c>
      <c r="D469" s="4" t="s">
        <v>693</v>
      </c>
      <c r="E469" s="4" t="s">
        <v>227</v>
      </c>
      <c r="F469" s="4" t="s">
        <v>413</v>
      </c>
      <c r="G469" s="4" t="s">
        <v>694</v>
      </c>
      <c r="H469" s="4" t="s">
        <v>695</v>
      </c>
      <c r="I469" s="4" t="s">
        <v>203</v>
      </c>
      <c r="J469" s="4" t="s">
        <v>253</v>
      </c>
      <c r="K469" s="4" t="s">
        <v>422</v>
      </c>
      <c r="L469" s="4" t="s">
        <v>2111</v>
      </c>
      <c r="M469" s="4" t="s">
        <v>207</v>
      </c>
      <c r="N469" s="4" t="s">
        <v>208</v>
      </c>
      <c r="O469" s="4" t="s">
        <v>234</v>
      </c>
    </row>
    <row r="470" spans="1:15" ht="22.5" customHeight="1" x14ac:dyDescent="0.3">
      <c r="A470" s="3">
        <v>4752929</v>
      </c>
      <c r="B470" s="3" t="s">
        <v>2112</v>
      </c>
      <c r="C470" s="3" t="s">
        <v>197</v>
      </c>
      <c r="D470" s="3" t="s">
        <v>198</v>
      </c>
      <c r="E470" s="3" t="s">
        <v>227</v>
      </c>
      <c r="F470" s="3" t="s">
        <v>200</v>
      </c>
      <c r="G470" s="3" t="s">
        <v>2113</v>
      </c>
      <c r="H470" s="3" t="s">
        <v>2114</v>
      </c>
      <c r="I470" s="3" t="s">
        <v>203</v>
      </c>
      <c r="J470" s="3" t="s">
        <v>204</v>
      </c>
      <c r="K470" s="3" t="s">
        <v>870</v>
      </c>
      <c r="L470" s="3" t="s">
        <v>278</v>
      </c>
      <c r="M470" s="3" t="s">
        <v>233</v>
      </c>
      <c r="N470" s="3" t="s">
        <v>208</v>
      </c>
      <c r="O470" s="3" t="s">
        <v>433</v>
      </c>
    </row>
    <row r="471" spans="1:15" ht="22.5" customHeight="1" x14ac:dyDescent="0.3">
      <c r="A471" s="4">
        <v>4754557</v>
      </c>
      <c r="B471" s="4" t="s">
        <v>2115</v>
      </c>
      <c r="C471" s="4" t="s">
        <v>197</v>
      </c>
      <c r="D471" s="4" t="s">
        <v>198</v>
      </c>
      <c r="E471" s="4" t="s">
        <v>227</v>
      </c>
      <c r="F471" s="4" t="s">
        <v>200</v>
      </c>
      <c r="G471" s="4" t="s">
        <v>2116</v>
      </c>
      <c r="H471" s="4" t="s">
        <v>2117</v>
      </c>
      <c r="I471" s="4" t="s">
        <v>203</v>
      </c>
      <c r="J471" s="4" t="s">
        <v>204</v>
      </c>
      <c r="K471" s="4" t="s">
        <v>1369</v>
      </c>
      <c r="L471" s="4" t="s">
        <v>724</v>
      </c>
      <c r="M471" s="4" t="s">
        <v>207</v>
      </c>
      <c r="N471" s="4" t="s">
        <v>217</v>
      </c>
      <c r="O471" s="4" t="s">
        <v>234</v>
      </c>
    </row>
    <row r="472" spans="1:15" ht="22.5" customHeight="1" x14ac:dyDescent="0.3">
      <c r="A472" s="3">
        <v>4754719</v>
      </c>
      <c r="B472" s="3" t="s">
        <v>2118</v>
      </c>
      <c r="C472" s="3" t="s">
        <v>197</v>
      </c>
      <c r="D472" s="3" t="s">
        <v>198</v>
      </c>
      <c r="E472" s="3" t="s">
        <v>227</v>
      </c>
      <c r="F472" s="3" t="s">
        <v>200</v>
      </c>
      <c r="G472" s="3" t="s">
        <v>2119</v>
      </c>
      <c r="H472" s="3" t="s">
        <v>2120</v>
      </c>
      <c r="I472" s="3" t="s">
        <v>203</v>
      </c>
      <c r="J472" s="3" t="s">
        <v>204</v>
      </c>
      <c r="K472" s="3" t="s">
        <v>2121</v>
      </c>
      <c r="L472" s="3" t="s">
        <v>2122</v>
      </c>
      <c r="M472" s="3" t="s">
        <v>207</v>
      </c>
      <c r="N472" s="3" t="s">
        <v>208</v>
      </c>
      <c r="O472" s="3" t="s">
        <v>234</v>
      </c>
    </row>
    <row r="473" spans="1:15" ht="22.5" customHeight="1" x14ac:dyDescent="0.3">
      <c r="A473" s="4">
        <v>4757173</v>
      </c>
      <c r="B473" s="4" t="s">
        <v>2123</v>
      </c>
      <c r="C473" s="4" t="s">
        <v>197</v>
      </c>
      <c r="D473" s="4" t="s">
        <v>198</v>
      </c>
      <c r="E473" s="4" t="s">
        <v>227</v>
      </c>
      <c r="F473" s="4" t="s">
        <v>200</v>
      </c>
      <c r="G473" s="4" t="s">
        <v>2124</v>
      </c>
      <c r="H473" s="4" t="s">
        <v>2125</v>
      </c>
      <c r="I473" s="4" t="s">
        <v>203</v>
      </c>
      <c r="J473" s="4" t="s">
        <v>204</v>
      </c>
      <c r="K473" s="4" t="s">
        <v>2126</v>
      </c>
      <c r="L473" s="4" t="s">
        <v>2127</v>
      </c>
      <c r="M473" s="4" t="s">
        <v>245</v>
      </c>
      <c r="N473" s="4" t="s">
        <v>217</v>
      </c>
      <c r="O473" s="4" t="s">
        <v>444</v>
      </c>
    </row>
    <row r="474" spans="1:15" ht="22.5" customHeight="1" x14ac:dyDescent="0.3">
      <c r="A474" s="3">
        <v>4759877</v>
      </c>
      <c r="B474" s="3" t="s">
        <v>2128</v>
      </c>
      <c r="C474" s="3" t="s">
        <v>197</v>
      </c>
      <c r="D474" s="3" t="s">
        <v>198</v>
      </c>
      <c r="E474" s="3" t="s">
        <v>227</v>
      </c>
      <c r="F474" s="3" t="s">
        <v>200</v>
      </c>
      <c r="G474" s="3" t="s">
        <v>1889</v>
      </c>
      <c r="H474" s="3" t="s">
        <v>2129</v>
      </c>
      <c r="I474" s="3" t="s">
        <v>203</v>
      </c>
      <c r="J474" s="3" t="s">
        <v>329</v>
      </c>
      <c r="K474" s="3" t="s">
        <v>2130</v>
      </c>
      <c r="L474" s="3" t="s">
        <v>2131</v>
      </c>
      <c r="M474" s="3" t="s">
        <v>233</v>
      </c>
      <c r="N474" s="3" t="s">
        <v>208</v>
      </c>
      <c r="O474" s="3" t="s">
        <v>444</v>
      </c>
    </row>
    <row r="475" spans="1:15" ht="22.5" customHeight="1" x14ac:dyDescent="0.3">
      <c r="A475" s="4">
        <v>4760611</v>
      </c>
      <c r="B475" s="4" t="s">
        <v>2132</v>
      </c>
      <c r="C475" s="4" t="s">
        <v>197</v>
      </c>
      <c r="D475" s="4" t="s">
        <v>198</v>
      </c>
      <c r="E475" s="4" t="s">
        <v>227</v>
      </c>
      <c r="F475" s="4" t="s">
        <v>200</v>
      </c>
      <c r="G475" s="4" t="s">
        <v>480</v>
      </c>
      <c r="H475" s="4" t="s">
        <v>2133</v>
      </c>
      <c r="I475" s="4" t="s">
        <v>203</v>
      </c>
      <c r="J475" s="4" t="s">
        <v>214</v>
      </c>
      <c r="K475" s="4" t="s">
        <v>482</v>
      </c>
      <c r="L475" s="4" t="s">
        <v>2059</v>
      </c>
      <c r="M475" s="4" t="s">
        <v>207</v>
      </c>
      <c r="N475" s="4" t="s">
        <v>208</v>
      </c>
      <c r="O475" s="4" t="s">
        <v>234</v>
      </c>
    </row>
    <row r="476" spans="1:15" ht="57" customHeight="1" x14ac:dyDescent="0.3">
      <c r="A476" s="3">
        <v>4762762</v>
      </c>
      <c r="B476" s="3" t="s">
        <v>2134</v>
      </c>
      <c r="C476" s="3" t="s">
        <v>197</v>
      </c>
      <c r="D476" s="3" t="s">
        <v>925</v>
      </c>
      <c r="E476" s="3" t="s">
        <v>227</v>
      </c>
      <c r="F476" s="3" t="s">
        <v>888</v>
      </c>
      <c r="G476" s="3" t="s">
        <v>2135</v>
      </c>
      <c r="H476" s="3" t="s">
        <v>2136</v>
      </c>
      <c r="I476" s="3" t="s">
        <v>203</v>
      </c>
      <c r="J476" s="3" t="s">
        <v>298</v>
      </c>
      <c r="K476" s="3" t="s">
        <v>2137</v>
      </c>
      <c r="L476" s="3" t="s">
        <v>2122</v>
      </c>
      <c r="M476" s="3" t="s">
        <v>245</v>
      </c>
      <c r="N476" s="3" t="s">
        <v>208</v>
      </c>
      <c r="O476" s="3" t="s">
        <v>418</v>
      </c>
    </row>
    <row r="477" spans="1:15" ht="22.5" customHeight="1" x14ac:dyDescent="0.3">
      <c r="A477" s="4">
        <v>4763793</v>
      </c>
      <c r="B477" s="4" t="s">
        <v>2138</v>
      </c>
      <c r="C477" s="4" t="s">
        <v>197</v>
      </c>
      <c r="D477" s="4" t="s">
        <v>198</v>
      </c>
      <c r="E477" s="4" t="s">
        <v>227</v>
      </c>
      <c r="F477" s="4" t="s">
        <v>200</v>
      </c>
      <c r="G477" s="4" t="s">
        <v>2139</v>
      </c>
      <c r="H477" s="4" t="s">
        <v>2140</v>
      </c>
      <c r="I477" s="4" t="s">
        <v>203</v>
      </c>
      <c r="J477" s="4" t="s">
        <v>204</v>
      </c>
      <c r="K477" s="4" t="s">
        <v>1319</v>
      </c>
      <c r="L477" s="4" t="s">
        <v>1996</v>
      </c>
      <c r="M477" s="4" t="s">
        <v>245</v>
      </c>
      <c r="N477" s="4" t="s">
        <v>217</v>
      </c>
      <c r="O477" s="4" t="s">
        <v>444</v>
      </c>
    </row>
    <row r="478" spans="1:15" ht="22.5" customHeight="1" x14ac:dyDescent="0.3">
      <c r="A478" s="3">
        <v>4764676</v>
      </c>
      <c r="B478" s="3" t="s">
        <v>2141</v>
      </c>
      <c r="C478" s="3" t="s">
        <v>197</v>
      </c>
      <c r="D478" s="3" t="s">
        <v>198</v>
      </c>
      <c r="E478" s="3" t="s">
        <v>227</v>
      </c>
      <c r="F478" s="3" t="s">
        <v>200</v>
      </c>
      <c r="G478" s="3" t="s">
        <v>2142</v>
      </c>
      <c r="H478" s="3" t="s">
        <v>2143</v>
      </c>
      <c r="I478" s="3" t="s">
        <v>203</v>
      </c>
      <c r="J478" s="3" t="s">
        <v>214</v>
      </c>
      <c r="K478" s="3" t="s">
        <v>1845</v>
      </c>
      <c r="L478" s="3" t="s">
        <v>2122</v>
      </c>
      <c r="M478" s="3" t="s">
        <v>207</v>
      </c>
      <c r="N478" s="3" t="s">
        <v>208</v>
      </c>
      <c r="O478" s="3" t="s">
        <v>433</v>
      </c>
    </row>
    <row r="479" spans="1:15" ht="22.5" customHeight="1" x14ac:dyDescent="0.3">
      <c r="A479" s="4">
        <v>4765176</v>
      </c>
      <c r="B479" s="4" t="s">
        <v>2144</v>
      </c>
      <c r="C479" s="4" t="s">
        <v>197</v>
      </c>
      <c r="D479" s="4" t="s">
        <v>198</v>
      </c>
      <c r="E479" s="4" t="s">
        <v>227</v>
      </c>
      <c r="F479" s="4" t="s">
        <v>200</v>
      </c>
      <c r="G479" s="4" t="s">
        <v>2145</v>
      </c>
      <c r="H479" s="4" t="s">
        <v>2146</v>
      </c>
      <c r="I479" s="4" t="s">
        <v>203</v>
      </c>
      <c r="J479" s="4" t="s">
        <v>204</v>
      </c>
      <c r="K479" s="4" t="s">
        <v>452</v>
      </c>
      <c r="L479" s="4" t="s">
        <v>2147</v>
      </c>
      <c r="M479" s="4" t="s">
        <v>207</v>
      </c>
      <c r="N479" s="4" t="s">
        <v>208</v>
      </c>
      <c r="O479" s="4" t="s">
        <v>234</v>
      </c>
    </row>
    <row r="480" spans="1:15" ht="22.5" customHeight="1" x14ac:dyDescent="0.3">
      <c r="A480" s="3">
        <v>4769198</v>
      </c>
      <c r="B480" s="3" t="s">
        <v>2148</v>
      </c>
      <c r="C480" s="3" t="s">
        <v>197</v>
      </c>
      <c r="D480" s="3" t="s">
        <v>198</v>
      </c>
      <c r="E480" s="3" t="s">
        <v>227</v>
      </c>
      <c r="F480" s="3" t="s">
        <v>200</v>
      </c>
      <c r="G480" s="3" t="s">
        <v>2149</v>
      </c>
      <c r="H480" s="3" t="s">
        <v>2150</v>
      </c>
      <c r="I480" s="3" t="s">
        <v>203</v>
      </c>
      <c r="J480" s="3" t="s">
        <v>223</v>
      </c>
      <c r="K480" s="3" t="s">
        <v>2151</v>
      </c>
      <c r="L480" s="3" t="s">
        <v>2152</v>
      </c>
      <c r="M480" s="3" t="s">
        <v>245</v>
      </c>
      <c r="N480" s="3" t="s">
        <v>208</v>
      </c>
      <c r="O480" s="3" t="s">
        <v>433</v>
      </c>
    </row>
    <row r="481" spans="1:15" ht="33.75" customHeight="1" x14ac:dyDescent="0.3">
      <c r="A481" s="4">
        <v>4771281</v>
      </c>
      <c r="B481" s="4" t="s">
        <v>2153</v>
      </c>
      <c r="C481" s="4" t="s">
        <v>197</v>
      </c>
      <c r="D481" s="4" t="s">
        <v>938</v>
      </c>
      <c r="E481" s="4" t="s">
        <v>227</v>
      </c>
      <c r="F481" s="4" t="s">
        <v>200</v>
      </c>
      <c r="G481" s="4" t="s">
        <v>2154</v>
      </c>
      <c r="H481" s="4" t="s">
        <v>2155</v>
      </c>
      <c r="I481" s="4" t="s">
        <v>203</v>
      </c>
      <c r="J481" s="4" t="s">
        <v>253</v>
      </c>
      <c r="K481" s="4" t="s">
        <v>2156</v>
      </c>
      <c r="L481" s="4" t="s">
        <v>2157</v>
      </c>
      <c r="M481" s="4" t="s">
        <v>245</v>
      </c>
      <c r="N481" s="4" t="s">
        <v>217</v>
      </c>
      <c r="O481" s="4" t="s">
        <v>234</v>
      </c>
    </row>
    <row r="482" spans="1:15" ht="22.5" customHeight="1" x14ac:dyDescent="0.3">
      <c r="A482" s="3">
        <v>4773365</v>
      </c>
      <c r="B482" s="3" t="s">
        <v>2158</v>
      </c>
      <c r="C482" s="3" t="s">
        <v>197</v>
      </c>
      <c r="D482" s="3" t="s">
        <v>693</v>
      </c>
      <c r="E482" s="3" t="s">
        <v>227</v>
      </c>
      <c r="F482" s="3" t="s">
        <v>413</v>
      </c>
      <c r="G482" s="3" t="s">
        <v>1426</v>
      </c>
      <c r="H482" s="3" t="s">
        <v>1427</v>
      </c>
      <c r="I482" s="3" t="s">
        <v>203</v>
      </c>
      <c r="J482" s="3" t="s">
        <v>253</v>
      </c>
      <c r="K482" s="3" t="s">
        <v>1428</v>
      </c>
      <c r="L482" s="3" t="s">
        <v>2159</v>
      </c>
      <c r="M482" s="3" t="s">
        <v>245</v>
      </c>
      <c r="N482" s="3" t="s">
        <v>208</v>
      </c>
      <c r="O482" s="3" t="s">
        <v>234</v>
      </c>
    </row>
    <row r="483" spans="1:15" ht="33.75" customHeight="1" x14ac:dyDescent="0.3">
      <c r="A483" s="4">
        <v>4774515</v>
      </c>
      <c r="B483" s="4" t="s">
        <v>2160</v>
      </c>
      <c r="C483" s="4" t="s">
        <v>197</v>
      </c>
      <c r="D483" s="4" t="s">
        <v>494</v>
      </c>
      <c r="E483" s="4" t="s">
        <v>227</v>
      </c>
      <c r="F483" s="4" t="s">
        <v>200</v>
      </c>
      <c r="G483" s="4" t="s">
        <v>2161</v>
      </c>
      <c r="H483" s="4" t="s">
        <v>1851</v>
      </c>
      <c r="I483" s="4" t="s">
        <v>203</v>
      </c>
      <c r="J483" s="4" t="s">
        <v>298</v>
      </c>
      <c r="K483" s="4" t="s">
        <v>2162</v>
      </c>
      <c r="L483" s="4" t="s">
        <v>1818</v>
      </c>
      <c r="M483" s="4" t="s">
        <v>207</v>
      </c>
      <c r="N483" s="4" t="s">
        <v>208</v>
      </c>
      <c r="O483" s="4" t="s">
        <v>433</v>
      </c>
    </row>
    <row r="484" spans="1:15" ht="22.5" customHeight="1" x14ac:dyDescent="0.3">
      <c r="A484" s="3">
        <v>4776690</v>
      </c>
      <c r="B484" s="3" t="s">
        <v>2163</v>
      </c>
      <c r="C484" s="3" t="s">
        <v>197</v>
      </c>
      <c r="D484" s="3" t="s">
        <v>198</v>
      </c>
      <c r="E484" s="3" t="s">
        <v>227</v>
      </c>
      <c r="F484" s="3" t="s">
        <v>200</v>
      </c>
      <c r="G484" s="3" t="s">
        <v>2164</v>
      </c>
      <c r="H484" s="3" t="s">
        <v>2165</v>
      </c>
      <c r="I484" s="3" t="s">
        <v>203</v>
      </c>
      <c r="J484" s="3" t="s">
        <v>323</v>
      </c>
      <c r="K484" s="3" t="s">
        <v>516</v>
      </c>
      <c r="L484" s="3" t="s">
        <v>366</v>
      </c>
      <c r="M484" s="3" t="s">
        <v>245</v>
      </c>
      <c r="N484" s="3" t="s">
        <v>217</v>
      </c>
      <c r="O484" s="3" t="s">
        <v>433</v>
      </c>
    </row>
    <row r="485" spans="1:15" ht="22.5" customHeight="1" x14ac:dyDescent="0.3">
      <c r="A485" s="4">
        <v>4777557</v>
      </c>
      <c r="B485" s="4" t="s">
        <v>2166</v>
      </c>
      <c r="C485" s="4" t="s">
        <v>197</v>
      </c>
      <c r="D485" s="4" t="s">
        <v>198</v>
      </c>
      <c r="E485" s="4" t="s">
        <v>227</v>
      </c>
      <c r="F485" s="4" t="s">
        <v>200</v>
      </c>
      <c r="G485" s="4" t="s">
        <v>2167</v>
      </c>
      <c r="H485" s="4" t="s">
        <v>2168</v>
      </c>
      <c r="I485" s="4" t="s">
        <v>203</v>
      </c>
      <c r="J485" s="4" t="s">
        <v>204</v>
      </c>
      <c r="K485" s="4" t="s">
        <v>2169</v>
      </c>
      <c r="L485" s="4" t="s">
        <v>1818</v>
      </c>
      <c r="M485" s="4" t="s">
        <v>207</v>
      </c>
      <c r="N485" s="4" t="s">
        <v>217</v>
      </c>
      <c r="O485" s="4" t="s">
        <v>234</v>
      </c>
    </row>
    <row r="486" spans="1:15" ht="22.5" customHeight="1" x14ac:dyDescent="0.3">
      <c r="A486" s="3">
        <v>4777816</v>
      </c>
      <c r="B486" s="3" t="s">
        <v>2170</v>
      </c>
      <c r="C486" s="3" t="s">
        <v>197</v>
      </c>
      <c r="D486" s="3" t="s">
        <v>198</v>
      </c>
      <c r="E486" s="3" t="s">
        <v>227</v>
      </c>
      <c r="F486" s="3" t="s">
        <v>200</v>
      </c>
      <c r="G486" s="3" t="s">
        <v>894</v>
      </c>
      <c r="H486" s="3" t="s">
        <v>2171</v>
      </c>
      <c r="I486" s="3" t="s">
        <v>203</v>
      </c>
      <c r="J486" s="3" t="s">
        <v>214</v>
      </c>
      <c r="K486" s="3" t="s">
        <v>815</v>
      </c>
      <c r="L486" s="3" t="s">
        <v>366</v>
      </c>
      <c r="M486" s="3" t="s">
        <v>245</v>
      </c>
      <c r="N486" s="3" t="s">
        <v>217</v>
      </c>
      <c r="O486" s="3" t="s">
        <v>234</v>
      </c>
    </row>
    <row r="487" spans="1:15" ht="22.5" customHeight="1" x14ac:dyDescent="0.3">
      <c r="A487" s="4">
        <v>4781252</v>
      </c>
      <c r="B487" s="4" t="s">
        <v>2172</v>
      </c>
      <c r="C487" s="4" t="s">
        <v>197</v>
      </c>
      <c r="D487" s="4" t="s">
        <v>198</v>
      </c>
      <c r="E487" s="4" t="s">
        <v>227</v>
      </c>
      <c r="F487" s="4" t="s">
        <v>200</v>
      </c>
      <c r="G487" s="4" t="s">
        <v>2173</v>
      </c>
      <c r="H487" s="4" t="s">
        <v>2174</v>
      </c>
      <c r="I487" s="4" t="s">
        <v>203</v>
      </c>
      <c r="J487" s="4" t="s">
        <v>214</v>
      </c>
      <c r="K487" s="4" t="s">
        <v>2175</v>
      </c>
      <c r="L487" s="4" t="s">
        <v>2176</v>
      </c>
      <c r="M487" s="4" t="s">
        <v>207</v>
      </c>
      <c r="N487" s="4" t="s">
        <v>208</v>
      </c>
      <c r="O487" s="4" t="s">
        <v>234</v>
      </c>
    </row>
    <row r="488" spans="1:15" ht="22.5" customHeight="1" x14ac:dyDescent="0.3">
      <c r="A488" s="3">
        <v>4787153</v>
      </c>
      <c r="B488" s="3" t="s">
        <v>2177</v>
      </c>
      <c r="C488" s="3" t="s">
        <v>197</v>
      </c>
      <c r="D488" s="3" t="s">
        <v>198</v>
      </c>
      <c r="E488" s="3" t="s">
        <v>227</v>
      </c>
      <c r="F488" s="3" t="s">
        <v>200</v>
      </c>
      <c r="G488" s="3" t="s">
        <v>2178</v>
      </c>
      <c r="H488" s="3" t="s">
        <v>2114</v>
      </c>
      <c r="I488" s="3" t="s">
        <v>203</v>
      </c>
      <c r="J488" s="3" t="s">
        <v>204</v>
      </c>
      <c r="K488" s="3" t="s">
        <v>1067</v>
      </c>
      <c r="L488" s="3" t="s">
        <v>1818</v>
      </c>
      <c r="M488" s="3" t="s">
        <v>233</v>
      </c>
      <c r="N488" s="3" t="s">
        <v>208</v>
      </c>
      <c r="O488" s="3" t="s">
        <v>234</v>
      </c>
    </row>
    <row r="489" spans="1:15" ht="33.75" customHeight="1" x14ac:dyDescent="0.3">
      <c r="A489" s="4">
        <v>4791169</v>
      </c>
      <c r="B489" s="4" t="s">
        <v>2179</v>
      </c>
      <c r="C489" s="4" t="s">
        <v>197</v>
      </c>
      <c r="D489" s="4" t="s">
        <v>1132</v>
      </c>
      <c r="E489" s="4" t="s">
        <v>227</v>
      </c>
      <c r="F489" s="4" t="s">
        <v>413</v>
      </c>
      <c r="G489" s="4" t="s">
        <v>2180</v>
      </c>
      <c r="H489" s="4" t="s">
        <v>2181</v>
      </c>
      <c r="I489" s="4" t="s">
        <v>203</v>
      </c>
      <c r="J489" s="4" t="s">
        <v>323</v>
      </c>
      <c r="K489" s="4" t="s">
        <v>487</v>
      </c>
      <c r="L489" s="4" t="s">
        <v>1989</v>
      </c>
      <c r="M489" s="4" t="s">
        <v>245</v>
      </c>
      <c r="N489" s="4" t="s">
        <v>217</v>
      </c>
      <c r="O489" s="4" t="s">
        <v>433</v>
      </c>
    </row>
    <row r="490" spans="1:15" ht="79.5" customHeight="1" x14ac:dyDescent="0.3">
      <c r="A490" s="3">
        <v>4793056</v>
      </c>
      <c r="B490" s="3" t="s">
        <v>2182</v>
      </c>
      <c r="C490" s="3" t="s">
        <v>197</v>
      </c>
      <c r="D490" s="3" t="s">
        <v>377</v>
      </c>
      <c r="E490" s="3" t="s">
        <v>227</v>
      </c>
      <c r="F490" s="3" t="s">
        <v>413</v>
      </c>
      <c r="G490" s="3" t="s">
        <v>2183</v>
      </c>
      <c r="H490" s="3" t="s">
        <v>2184</v>
      </c>
      <c r="I490" s="3" t="s">
        <v>203</v>
      </c>
      <c r="J490" s="3" t="s">
        <v>323</v>
      </c>
      <c r="K490" s="3" t="s">
        <v>448</v>
      </c>
      <c r="L490" s="3" t="s">
        <v>871</v>
      </c>
      <c r="M490" s="3" t="s">
        <v>245</v>
      </c>
      <c r="N490" s="3" t="s">
        <v>217</v>
      </c>
      <c r="O490" s="3" t="s">
        <v>234</v>
      </c>
    </row>
    <row r="491" spans="1:15" ht="22.5" customHeight="1" x14ac:dyDescent="0.3">
      <c r="A491" s="4">
        <v>4794532</v>
      </c>
      <c r="B491" s="4" t="s">
        <v>2185</v>
      </c>
      <c r="C491" s="4" t="s">
        <v>197</v>
      </c>
      <c r="D491" s="4" t="s">
        <v>198</v>
      </c>
      <c r="E491" s="4" t="s">
        <v>227</v>
      </c>
      <c r="F491" s="4" t="s">
        <v>200</v>
      </c>
      <c r="G491" s="4" t="s">
        <v>1596</v>
      </c>
      <c r="H491" s="4" t="s">
        <v>1597</v>
      </c>
      <c r="I491" s="4" t="s">
        <v>203</v>
      </c>
      <c r="J491" s="4" t="s">
        <v>266</v>
      </c>
      <c r="K491" s="4" t="s">
        <v>442</v>
      </c>
      <c r="L491" s="4" t="s">
        <v>371</v>
      </c>
      <c r="M491" s="4" t="s">
        <v>245</v>
      </c>
      <c r="N491" s="4" t="s">
        <v>217</v>
      </c>
      <c r="O491" s="4" t="s">
        <v>234</v>
      </c>
    </row>
    <row r="492" spans="1:15" ht="22.5" customHeight="1" x14ac:dyDescent="0.3">
      <c r="A492" s="3">
        <v>4800648</v>
      </c>
      <c r="B492" s="3" t="s">
        <v>2186</v>
      </c>
      <c r="C492" s="3" t="s">
        <v>197</v>
      </c>
      <c r="D492" s="3" t="s">
        <v>198</v>
      </c>
      <c r="E492" s="3" t="s">
        <v>227</v>
      </c>
      <c r="F492" s="3" t="s">
        <v>200</v>
      </c>
      <c r="G492" s="3" t="s">
        <v>745</v>
      </c>
      <c r="H492" s="3" t="s">
        <v>746</v>
      </c>
      <c r="I492" s="3" t="s">
        <v>203</v>
      </c>
      <c r="J492" s="3" t="s">
        <v>214</v>
      </c>
      <c r="K492" s="3" t="s">
        <v>2187</v>
      </c>
      <c r="L492" s="3" t="s">
        <v>2003</v>
      </c>
      <c r="M492" s="3" t="s">
        <v>207</v>
      </c>
      <c r="N492" s="3" t="s">
        <v>217</v>
      </c>
      <c r="O492" s="3" t="s">
        <v>234</v>
      </c>
    </row>
    <row r="493" spans="1:15" ht="22.5" customHeight="1" x14ac:dyDescent="0.3">
      <c r="A493" s="4">
        <v>4804287</v>
      </c>
      <c r="B493" s="4" t="s">
        <v>2188</v>
      </c>
      <c r="C493" s="4" t="s">
        <v>197</v>
      </c>
      <c r="D493" s="4" t="s">
        <v>198</v>
      </c>
      <c r="E493" s="4" t="s">
        <v>227</v>
      </c>
      <c r="F493" s="4" t="s">
        <v>200</v>
      </c>
      <c r="G493" s="4" t="s">
        <v>2189</v>
      </c>
      <c r="H493" s="4" t="s">
        <v>2190</v>
      </c>
      <c r="I493" s="4" t="s">
        <v>203</v>
      </c>
      <c r="J493" s="4" t="s">
        <v>266</v>
      </c>
      <c r="K493" s="4" t="s">
        <v>555</v>
      </c>
      <c r="L493" s="4" t="s">
        <v>2191</v>
      </c>
      <c r="M493" s="4" t="s">
        <v>245</v>
      </c>
      <c r="N493" s="4" t="s">
        <v>208</v>
      </c>
      <c r="O493" s="4" t="s">
        <v>234</v>
      </c>
    </row>
    <row r="494" spans="1:15" ht="22.5" customHeight="1" x14ac:dyDescent="0.3">
      <c r="A494" s="3">
        <v>4804325</v>
      </c>
      <c r="B494" s="3" t="s">
        <v>2192</v>
      </c>
      <c r="C494" s="3" t="s">
        <v>197</v>
      </c>
      <c r="D494" s="3" t="s">
        <v>198</v>
      </c>
      <c r="E494" s="3" t="s">
        <v>227</v>
      </c>
      <c r="F494" s="3" t="s">
        <v>200</v>
      </c>
      <c r="G494" s="3" t="s">
        <v>2096</v>
      </c>
      <c r="H494" s="3" t="s">
        <v>1418</v>
      </c>
      <c r="I494" s="3" t="s">
        <v>203</v>
      </c>
      <c r="J494" s="3" t="s">
        <v>506</v>
      </c>
      <c r="K494" s="3" t="s">
        <v>2097</v>
      </c>
      <c r="L494" s="3" t="s">
        <v>2193</v>
      </c>
      <c r="M494" s="3" t="s">
        <v>207</v>
      </c>
      <c r="N494" s="3" t="s">
        <v>208</v>
      </c>
      <c r="O494" s="3" t="s">
        <v>234</v>
      </c>
    </row>
    <row r="495" spans="1:15" ht="79.5" customHeight="1" x14ac:dyDescent="0.3">
      <c r="A495" s="4">
        <v>4805062</v>
      </c>
      <c r="B495" s="4" t="s">
        <v>2194</v>
      </c>
      <c r="C495" s="4" t="s">
        <v>197</v>
      </c>
      <c r="D495" s="4" t="s">
        <v>320</v>
      </c>
      <c r="E495" s="4" t="s">
        <v>227</v>
      </c>
      <c r="F495" s="4" t="s">
        <v>888</v>
      </c>
      <c r="G495" s="4" t="s">
        <v>2195</v>
      </c>
      <c r="H495" s="4" t="s">
        <v>2196</v>
      </c>
      <c r="I495" s="4" t="s">
        <v>203</v>
      </c>
      <c r="J495" s="4" t="s">
        <v>329</v>
      </c>
      <c r="K495" s="4" t="s">
        <v>2197</v>
      </c>
      <c r="L495" s="4" t="s">
        <v>2152</v>
      </c>
      <c r="M495" s="4" t="s">
        <v>207</v>
      </c>
      <c r="N495" s="4" t="s">
        <v>208</v>
      </c>
      <c r="O495" s="4" t="s">
        <v>418</v>
      </c>
    </row>
    <row r="496" spans="1:15" ht="102" customHeight="1" x14ac:dyDescent="0.3">
      <c r="A496" s="3">
        <v>4807200</v>
      </c>
      <c r="B496" s="3" t="s">
        <v>2198</v>
      </c>
      <c r="C496" s="3" t="s">
        <v>197</v>
      </c>
      <c r="D496" s="3" t="s">
        <v>280</v>
      </c>
      <c r="E496" s="3" t="s">
        <v>227</v>
      </c>
      <c r="F496" s="3" t="s">
        <v>200</v>
      </c>
      <c r="G496" s="3" t="s">
        <v>2005</v>
      </c>
      <c r="H496" s="3" t="s">
        <v>2006</v>
      </c>
      <c r="I496" s="3" t="s">
        <v>203</v>
      </c>
      <c r="J496" s="3" t="s">
        <v>323</v>
      </c>
      <c r="K496" s="3" t="s">
        <v>2199</v>
      </c>
      <c r="L496" s="3" t="s">
        <v>2152</v>
      </c>
      <c r="M496" s="3" t="s">
        <v>245</v>
      </c>
      <c r="N496" s="3" t="s">
        <v>208</v>
      </c>
      <c r="O496" s="3" t="s">
        <v>418</v>
      </c>
    </row>
    <row r="497" spans="1:15" ht="33.75" customHeight="1" x14ac:dyDescent="0.3">
      <c r="A497" s="4">
        <v>4811143</v>
      </c>
      <c r="B497" s="4" t="s">
        <v>2200</v>
      </c>
      <c r="C497" s="4" t="s">
        <v>197</v>
      </c>
      <c r="D497" s="4" t="s">
        <v>1740</v>
      </c>
      <c r="E497" s="4" t="s">
        <v>227</v>
      </c>
      <c r="F497" s="4" t="s">
        <v>200</v>
      </c>
      <c r="G497" s="4" t="s">
        <v>2201</v>
      </c>
      <c r="H497" s="4" t="s">
        <v>2202</v>
      </c>
      <c r="I497" s="4" t="s">
        <v>203</v>
      </c>
      <c r="J497" s="4" t="s">
        <v>214</v>
      </c>
      <c r="K497" s="4" t="s">
        <v>1243</v>
      </c>
      <c r="L497" s="4" t="s">
        <v>2203</v>
      </c>
      <c r="M497" s="4" t="s">
        <v>207</v>
      </c>
      <c r="N497" s="4" t="s">
        <v>217</v>
      </c>
      <c r="O497" s="4" t="s">
        <v>234</v>
      </c>
    </row>
    <row r="498" spans="1:15" ht="22.5" customHeight="1" x14ac:dyDescent="0.3">
      <c r="A498" s="3">
        <v>4813294</v>
      </c>
      <c r="B498" s="3" t="s">
        <v>2204</v>
      </c>
      <c r="C498" s="3" t="s">
        <v>197</v>
      </c>
      <c r="D498" s="3" t="s">
        <v>198</v>
      </c>
      <c r="E498" s="3" t="s">
        <v>227</v>
      </c>
      <c r="F498" s="3" t="s">
        <v>200</v>
      </c>
      <c r="G498" s="3" t="s">
        <v>2205</v>
      </c>
      <c r="H498" s="3" t="s">
        <v>2206</v>
      </c>
      <c r="I498" s="3" t="s">
        <v>203</v>
      </c>
      <c r="J498" s="3" t="s">
        <v>214</v>
      </c>
      <c r="K498" s="3" t="s">
        <v>747</v>
      </c>
      <c r="L498" s="3" t="s">
        <v>2207</v>
      </c>
      <c r="M498" s="3" t="s">
        <v>245</v>
      </c>
      <c r="N498" s="3" t="s">
        <v>208</v>
      </c>
      <c r="O498" s="3" t="s">
        <v>444</v>
      </c>
    </row>
    <row r="499" spans="1:15" ht="22.5" customHeight="1" x14ac:dyDescent="0.3">
      <c r="A499" s="4">
        <v>4815289</v>
      </c>
      <c r="B499" s="4" t="s">
        <v>2208</v>
      </c>
      <c r="C499" s="4" t="s">
        <v>197</v>
      </c>
      <c r="D499" s="4" t="s">
        <v>198</v>
      </c>
      <c r="E499" s="4" t="s">
        <v>227</v>
      </c>
      <c r="F499" s="4" t="s">
        <v>200</v>
      </c>
      <c r="G499" s="4" t="s">
        <v>2209</v>
      </c>
      <c r="H499" s="4" t="s">
        <v>2210</v>
      </c>
      <c r="I499" s="4" t="s">
        <v>203</v>
      </c>
      <c r="J499" s="4" t="s">
        <v>323</v>
      </c>
      <c r="K499" s="4" t="s">
        <v>1007</v>
      </c>
      <c r="L499" s="4" t="s">
        <v>2211</v>
      </c>
      <c r="M499" s="4" t="s">
        <v>207</v>
      </c>
      <c r="N499" s="4" t="s">
        <v>208</v>
      </c>
      <c r="O499" s="4" t="s">
        <v>418</v>
      </c>
    </row>
    <row r="500" spans="1:15" ht="22.5" customHeight="1" x14ac:dyDescent="0.3">
      <c r="A500" s="3">
        <v>4817184</v>
      </c>
      <c r="B500" s="3" t="s">
        <v>2212</v>
      </c>
      <c r="C500" s="3" t="s">
        <v>197</v>
      </c>
      <c r="D500" s="3" t="s">
        <v>198</v>
      </c>
      <c r="E500" s="3" t="s">
        <v>227</v>
      </c>
      <c r="F500" s="3" t="s">
        <v>200</v>
      </c>
      <c r="G500" s="3" t="s">
        <v>2213</v>
      </c>
      <c r="H500" s="3" t="s">
        <v>2214</v>
      </c>
      <c r="I500" s="3" t="s">
        <v>737</v>
      </c>
      <c r="J500" s="3" t="s">
        <v>214</v>
      </c>
      <c r="K500" s="3" t="s">
        <v>1247</v>
      </c>
      <c r="L500" s="3" t="s">
        <v>2215</v>
      </c>
      <c r="M500" s="3" t="s">
        <v>207</v>
      </c>
      <c r="N500" s="3" t="s">
        <v>217</v>
      </c>
      <c r="O500" s="3" t="s">
        <v>234</v>
      </c>
    </row>
    <row r="501" spans="1:15" ht="22.5" customHeight="1" x14ac:dyDescent="0.3">
      <c r="A501" s="4">
        <v>4818865</v>
      </c>
      <c r="B501" s="4" t="s">
        <v>2216</v>
      </c>
      <c r="C501" s="4" t="s">
        <v>197</v>
      </c>
      <c r="D501" s="4" t="s">
        <v>198</v>
      </c>
      <c r="E501" s="4" t="s">
        <v>227</v>
      </c>
      <c r="F501" s="4" t="s">
        <v>200</v>
      </c>
      <c r="G501" s="4" t="s">
        <v>2217</v>
      </c>
      <c r="H501" s="4" t="s">
        <v>2218</v>
      </c>
      <c r="I501" s="4" t="s">
        <v>203</v>
      </c>
      <c r="J501" s="4" t="s">
        <v>214</v>
      </c>
      <c r="K501" s="4" t="s">
        <v>2219</v>
      </c>
      <c r="L501" s="4" t="s">
        <v>2220</v>
      </c>
      <c r="M501" s="4" t="s">
        <v>207</v>
      </c>
      <c r="N501" s="4" t="s">
        <v>217</v>
      </c>
      <c r="O501" s="4" t="s">
        <v>234</v>
      </c>
    </row>
    <row r="502" spans="1:15" ht="22.5" customHeight="1" x14ac:dyDescent="0.3">
      <c r="A502" s="3">
        <v>4819373</v>
      </c>
      <c r="B502" s="3" t="s">
        <v>2221</v>
      </c>
      <c r="C502" s="3" t="s">
        <v>197</v>
      </c>
      <c r="D502" s="3" t="s">
        <v>198</v>
      </c>
      <c r="E502" s="3" t="s">
        <v>227</v>
      </c>
      <c r="F502" s="3" t="s">
        <v>200</v>
      </c>
      <c r="G502" s="3" t="s">
        <v>994</v>
      </c>
      <c r="H502" s="3" t="s">
        <v>559</v>
      </c>
      <c r="I502" s="3" t="s">
        <v>203</v>
      </c>
      <c r="J502" s="3" t="s">
        <v>329</v>
      </c>
      <c r="K502" s="3" t="s">
        <v>1015</v>
      </c>
      <c r="L502" s="3" t="s">
        <v>2007</v>
      </c>
      <c r="M502" s="3" t="s">
        <v>245</v>
      </c>
      <c r="N502" s="3" t="s">
        <v>217</v>
      </c>
      <c r="O502" s="3" t="s">
        <v>418</v>
      </c>
    </row>
    <row r="503" spans="1:15" ht="33.75" customHeight="1" x14ac:dyDescent="0.3">
      <c r="A503" s="4">
        <v>4820851</v>
      </c>
      <c r="B503" s="4" t="s">
        <v>2222</v>
      </c>
      <c r="C503" s="4" t="s">
        <v>197</v>
      </c>
      <c r="D503" s="4" t="s">
        <v>198</v>
      </c>
      <c r="E503" s="4" t="s">
        <v>227</v>
      </c>
      <c r="F503" s="4" t="s">
        <v>888</v>
      </c>
      <c r="G503" s="4" t="s">
        <v>2223</v>
      </c>
      <c r="H503" s="4" t="s">
        <v>2224</v>
      </c>
      <c r="I503" s="4" t="s">
        <v>203</v>
      </c>
      <c r="J503" s="4" t="s">
        <v>298</v>
      </c>
      <c r="K503" s="4" t="s">
        <v>2225</v>
      </c>
      <c r="L503" s="4" t="s">
        <v>2226</v>
      </c>
      <c r="M503" s="4" t="s">
        <v>207</v>
      </c>
      <c r="N503" s="4" t="s">
        <v>208</v>
      </c>
      <c r="O503" s="4" t="s">
        <v>234</v>
      </c>
    </row>
    <row r="504" spans="1:15" ht="22.5" customHeight="1" x14ac:dyDescent="0.3">
      <c r="A504" s="3">
        <v>4825535</v>
      </c>
      <c r="B504" s="3" t="s">
        <v>2227</v>
      </c>
      <c r="C504" s="3" t="s">
        <v>197</v>
      </c>
      <c r="D504" s="3" t="s">
        <v>198</v>
      </c>
      <c r="E504" s="3" t="s">
        <v>227</v>
      </c>
      <c r="F504" s="3" t="s">
        <v>200</v>
      </c>
      <c r="G504" s="3" t="s">
        <v>2228</v>
      </c>
      <c r="H504" s="3" t="s">
        <v>2229</v>
      </c>
      <c r="I504" s="3" t="s">
        <v>203</v>
      </c>
      <c r="J504" s="3" t="s">
        <v>329</v>
      </c>
      <c r="K504" s="3" t="s">
        <v>2230</v>
      </c>
      <c r="L504" s="3" t="s">
        <v>1946</v>
      </c>
      <c r="M504" s="3" t="s">
        <v>233</v>
      </c>
      <c r="N504" s="3" t="s">
        <v>217</v>
      </c>
      <c r="O504" s="3" t="s">
        <v>433</v>
      </c>
    </row>
    <row r="505" spans="1:15" ht="22.5" customHeight="1" x14ac:dyDescent="0.3">
      <c r="A505" s="4">
        <v>4826221</v>
      </c>
      <c r="B505" s="4" t="s">
        <v>2231</v>
      </c>
      <c r="C505" s="4" t="s">
        <v>197</v>
      </c>
      <c r="D505" s="4" t="s">
        <v>198</v>
      </c>
      <c r="E505" s="4" t="s">
        <v>227</v>
      </c>
      <c r="F505" s="4" t="s">
        <v>200</v>
      </c>
      <c r="G505" s="4" t="s">
        <v>2232</v>
      </c>
      <c r="H505" s="4" t="s">
        <v>736</v>
      </c>
      <c r="I505" s="4" t="s">
        <v>737</v>
      </c>
      <c r="J505" s="4" t="s">
        <v>214</v>
      </c>
      <c r="K505" s="4" t="s">
        <v>738</v>
      </c>
      <c r="L505" s="4" t="s">
        <v>2007</v>
      </c>
      <c r="M505" s="4" t="s">
        <v>207</v>
      </c>
      <c r="N505" s="4" t="s">
        <v>208</v>
      </c>
      <c r="O505" s="4" t="s">
        <v>444</v>
      </c>
    </row>
    <row r="506" spans="1:15" ht="22.5" customHeight="1" x14ac:dyDescent="0.3">
      <c r="A506" s="3">
        <v>4826450</v>
      </c>
      <c r="B506" s="3" t="s">
        <v>2233</v>
      </c>
      <c r="C506" s="3" t="s">
        <v>197</v>
      </c>
      <c r="D506" s="3" t="s">
        <v>198</v>
      </c>
      <c r="E506" s="3" t="s">
        <v>227</v>
      </c>
      <c r="F506" s="3" t="s">
        <v>200</v>
      </c>
      <c r="G506" s="3" t="s">
        <v>1607</v>
      </c>
      <c r="H506" s="3" t="s">
        <v>1608</v>
      </c>
      <c r="I506" s="3" t="s">
        <v>203</v>
      </c>
      <c r="J506" s="3" t="s">
        <v>204</v>
      </c>
      <c r="K506" s="3" t="s">
        <v>452</v>
      </c>
      <c r="L506" s="3" t="s">
        <v>758</v>
      </c>
      <c r="M506" s="3" t="s">
        <v>245</v>
      </c>
      <c r="N506" s="3" t="s">
        <v>208</v>
      </c>
      <c r="O506" s="3" t="s">
        <v>234</v>
      </c>
    </row>
    <row r="507" spans="1:15" ht="33.75" customHeight="1" x14ac:dyDescent="0.3">
      <c r="A507" s="4">
        <v>4829662</v>
      </c>
      <c r="B507" s="4" t="s">
        <v>2234</v>
      </c>
      <c r="C507" s="4" t="s">
        <v>197</v>
      </c>
      <c r="D507" s="4" t="s">
        <v>1132</v>
      </c>
      <c r="E507" s="4" t="s">
        <v>227</v>
      </c>
      <c r="F507" s="4" t="s">
        <v>200</v>
      </c>
      <c r="G507" s="4" t="s">
        <v>2235</v>
      </c>
      <c r="H507" s="4" t="s">
        <v>2236</v>
      </c>
      <c r="I507" s="4" t="s">
        <v>203</v>
      </c>
      <c r="J507" s="4" t="s">
        <v>323</v>
      </c>
      <c r="K507" s="4" t="s">
        <v>1445</v>
      </c>
      <c r="L507" s="4" t="s">
        <v>2237</v>
      </c>
      <c r="M507" s="4" t="s">
        <v>233</v>
      </c>
      <c r="N507" s="4" t="s">
        <v>208</v>
      </c>
      <c r="O507" s="4" t="s">
        <v>433</v>
      </c>
    </row>
    <row r="508" spans="1:15" ht="22.5" customHeight="1" x14ac:dyDescent="0.3">
      <c r="A508" s="3">
        <v>4829700</v>
      </c>
      <c r="B508" s="3" t="s">
        <v>2238</v>
      </c>
      <c r="C508" s="3" t="s">
        <v>197</v>
      </c>
      <c r="D508" s="3" t="s">
        <v>198</v>
      </c>
      <c r="E508" s="3" t="s">
        <v>227</v>
      </c>
      <c r="F508" s="3" t="s">
        <v>200</v>
      </c>
      <c r="G508" s="3" t="s">
        <v>2239</v>
      </c>
      <c r="H508" s="3" t="s">
        <v>802</v>
      </c>
      <c r="I508" s="3" t="s">
        <v>203</v>
      </c>
      <c r="J508" s="3" t="s">
        <v>214</v>
      </c>
      <c r="K508" s="3" t="s">
        <v>2240</v>
      </c>
      <c r="L508" s="3" t="s">
        <v>2241</v>
      </c>
      <c r="M508" s="3" t="s">
        <v>207</v>
      </c>
      <c r="N508" s="3" t="s">
        <v>208</v>
      </c>
      <c r="O508" s="3" t="s">
        <v>234</v>
      </c>
    </row>
    <row r="509" spans="1:15" ht="22.5" customHeight="1" x14ac:dyDescent="0.3">
      <c r="A509" s="4">
        <v>4829891</v>
      </c>
      <c r="B509" s="4" t="s">
        <v>2242</v>
      </c>
      <c r="C509" s="4" t="s">
        <v>197</v>
      </c>
      <c r="D509" s="4" t="s">
        <v>198</v>
      </c>
      <c r="E509" s="4" t="s">
        <v>227</v>
      </c>
      <c r="F509" s="4" t="s">
        <v>200</v>
      </c>
      <c r="G509" s="4" t="s">
        <v>2243</v>
      </c>
      <c r="H509" s="4" t="s">
        <v>2244</v>
      </c>
      <c r="I509" s="4" t="s">
        <v>203</v>
      </c>
      <c r="J509" s="4" t="s">
        <v>204</v>
      </c>
      <c r="K509" s="4" t="s">
        <v>1110</v>
      </c>
      <c r="L509" s="4" t="s">
        <v>2245</v>
      </c>
      <c r="M509" s="4" t="s">
        <v>245</v>
      </c>
      <c r="N509" s="4" t="s">
        <v>208</v>
      </c>
      <c r="O509" s="4" t="s">
        <v>234</v>
      </c>
    </row>
    <row r="510" spans="1:15" ht="57" customHeight="1" x14ac:dyDescent="0.3">
      <c r="A510" s="3">
        <v>4830601</v>
      </c>
      <c r="B510" s="3" t="s">
        <v>2246</v>
      </c>
      <c r="C510" s="3" t="s">
        <v>197</v>
      </c>
      <c r="D510" s="3" t="s">
        <v>342</v>
      </c>
      <c r="E510" s="3" t="s">
        <v>227</v>
      </c>
      <c r="F510" s="3" t="s">
        <v>413</v>
      </c>
      <c r="G510" s="3" t="s">
        <v>2247</v>
      </c>
      <c r="H510" s="3" t="s">
        <v>2248</v>
      </c>
      <c r="I510" s="3" t="s">
        <v>203</v>
      </c>
      <c r="J510" s="3" t="s">
        <v>204</v>
      </c>
      <c r="K510" s="3" t="s">
        <v>2249</v>
      </c>
      <c r="L510" s="3" t="s">
        <v>2250</v>
      </c>
      <c r="M510" s="3" t="s">
        <v>245</v>
      </c>
      <c r="N510" s="3" t="s">
        <v>217</v>
      </c>
      <c r="O510" s="3" t="s">
        <v>234</v>
      </c>
    </row>
    <row r="511" spans="1:15" ht="22.5" customHeight="1" x14ac:dyDescent="0.3">
      <c r="A511" s="4">
        <v>4832299</v>
      </c>
      <c r="B511" s="4" t="s">
        <v>2251</v>
      </c>
      <c r="C511" s="4" t="s">
        <v>197</v>
      </c>
      <c r="D511" s="4" t="s">
        <v>198</v>
      </c>
      <c r="E511" s="4" t="s">
        <v>227</v>
      </c>
      <c r="F511" s="4" t="s">
        <v>200</v>
      </c>
      <c r="G511" s="4" t="s">
        <v>2252</v>
      </c>
      <c r="H511" s="4" t="s">
        <v>2253</v>
      </c>
      <c r="I511" s="4" t="s">
        <v>737</v>
      </c>
      <c r="J511" s="4" t="s">
        <v>214</v>
      </c>
      <c r="K511" s="4" t="s">
        <v>1247</v>
      </c>
      <c r="L511" s="4" t="s">
        <v>1612</v>
      </c>
      <c r="M511" s="4" t="s">
        <v>207</v>
      </c>
      <c r="N511" s="4" t="s">
        <v>217</v>
      </c>
      <c r="O511" s="4" t="s">
        <v>234</v>
      </c>
    </row>
    <row r="512" spans="1:15" ht="22.5" customHeight="1" x14ac:dyDescent="0.3">
      <c r="A512" s="3">
        <v>4833538</v>
      </c>
      <c r="B512" s="3" t="s">
        <v>2254</v>
      </c>
      <c r="C512" s="3" t="s">
        <v>197</v>
      </c>
      <c r="D512" s="3" t="s">
        <v>198</v>
      </c>
      <c r="E512" s="3" t="s">
        <v>227</v>
      </c>
      <c r="F512" s="3" t="s">
        <v>413</v>
      </c>
      <c r="G512" s="3" t="s">
        <v>2255</v>
      </c>
      <c r="H512" s="3" t="s">
        <v>1171</v>
      </c>
      <c r="I512" s="3" t="s">
        <v>203</v>
      </c>
      <c r="J512" s="3" t="s">
        <v>266</v>
      </c>
      <c r="K512" s="3" t="s">
        <v>2256</v>
      </c>
      <c r="L512" s="3" t="s">
        <v>2257</v>
      </c>
      <c r="M512" s="3" t="s">
        <v>207</v>
      </c>
      <c r="N512" s="3" t="s">
        <v>208</v>
      </c>
      <c r="O512" s="3" t="s">
        <v>444</v>
      </c>
    </row>
    <row r="513" spans="1:15" ht="22.5" customHeight="1" x14ac:dyDescent="0.3">
      <c r="A513" s="4">
        <v>4834992</v>
      </c>
      <c r="B513" s="4" t="s">
        <v>2258</v>
      </c>
      <c r="C513" s="4" t="s">
        <v>197</v>
      </c>
      <c r="D513" s="4" t="s">
        <v>198</v>
      </c>
      <c r="E513" s="4" t="s">
        <v>227</v>
      </c>
      <c r="F513" s="4" t="s">
        <v>200</v>
      </c>
      <c r="G513" s="4" t="s">
        <v>2259</v>
      </c>
      <c r="H513" s="4" t="s">
        <v>2114</v>
      </c>
      <c r="I513" s="4" t="s">
        <v>203</v>
      </c>
      <c r="J513" s="4" t="s">
        <v>204</v>
      </c>
      <c r="K513" s="4" t="s">
        <v>1067</v>
      </c>
      <c r="L513" s="4" t="s">
        <v>2260</v>
      </c>
      <c r="M513" s="4" t="s">
        <v>233</v>
      </c>
      <c r="N513" s="4" t="s">
        <v>217</v>
      </c>
      <c r="O513" s="4" t="s">
        <v>433</v>
      </c>
    </row>
    <row r="514" spans="1:15" ht="22.5" customHeight="1" x14ac:dyDescent="0.3">
      <c r="A514" s="3">
        <v>4842227</v>
      </c>
      <c r="B514" s="3" t="s">
        <v>2261</v>
      </c>
      <c r="C514" s="3" t="s">
        <v>197</v>
      </c>
      <c r="D514" s="3" t="s">
        <v>198</v>
      </c>
      <c r="E514" s="3" t="s">
        <v>227</v>
      </c>
      <c r="F514" s="3" t="s">
        <v>200</v>
      </c>
      <c r="G514" s="3" t="s">
        <v>2262</v>
      </c>
      <c r="H514" s="3" t="s">
        <v>2263</v>
      </c>
      <c r="I514" s="3" t="s">
        <v>203</v>
      </c>
      <c r="J514" s="3" t="s">
        <v>204</v>
      </c>
      <c r="K514" s="3" t="s">
        <v>2264</v>
      </c>
      <c r="L514" s="3" t="s">
        <v>2265</v>
      </c>
      <c r="M514" s="3" t="s">
        <v>207</v>
      </c>
      <c r="N514" s="3" t="s">
        <v>217</v>
      </c>
      <c r="O514" s="3" t="s">
        <v>234</v>
      </c>
    </row>
    <row r="515" spans="1:15" ht="22.5" customHeight="1" x14ac:dyDescent="0.3">
      <c r="A515" s="4">
        <v>4843320</v>
      </c>
      <c r="B515" s="4" t="s">
        <v>2266</v>
      </c>
      <c r="C515" s="4" t="s">
        <v>197</v>
      </c>
      <c r="D515" s="4" t="s">
        <v>198</v>
      </c>
      <c r="E515" s="4" t="s">
        <v>227</v>
      </c>
      <c r="F515" s="4" t="s">
        <v>200</v>
      </c>
      <c r="G515" s="4" t="s">
        <v>1387</v>
      </c>
      <c r="H515" s="4" t="s">
        <v>736</v>
      </c>
      <c r="I515" s="4" t="s">
        <v>737</v>
      </c>
      <c r="J515" s="4" t="s">
        <v>214</v>
      </c>
      <c r="K515" s="4" t="s">
        <v>738</v>
      </c>
      <c r="L515" s="4" t="s">
        <v>371</v>
      </c>
      <c r="M515" s="4" t="s">
        <v>207</v>
      </c>
      <c r="N515" s="4" t="s">
        <v>208</v>
      </c>
      <c r="O515" s="4" t="s">
        <v>234</v>
      </c>
    </row>
    <row r="516" spans="1:15" ht="22.5" customHeight="1" x14ac:dyDescent="0.3">
      <c r="A516" s="3">
        <v>4843630</v>
      </c>
      <c r="B516" s="3" t="s">
        <v>2267</v>
      </c>
      <c r="C516" s="3" t="s">
        <v>197</v>
      </c>
      <c r="D516" s="3" t="s">
        <v>198</v>
      </c>
      <c r="E516" s="3" t="s">
        <v>227</v>
      </c>
      <c r="F516" s="3" t="s">
        <v>200</v>
      </c>
      <c r="G516" s="3" t="s">
        <v>2268</v>
      </c>
      <c r="H516" s="3" t="s">
        <v>2269</v>
      </c>
      <c r="I516" s="3" t="s">
        <v>203</v>
      </c>
      <c r="J516" s="3" t="s">
        <v>329</v>
      </c>
      <c r="K516" s="3" t="s">
        <v>330</v>
      </c>
      <c r="L516" s="3" t="s">
        <v>2270</v>
      </c>
      <c r="M516" s="3" t="s">
        <v>245</v>
      </c>
      <c r="N516" s="3" t="s">
        <v>217</v>
      </c>
      <c r="O516" s="3" t="s">
        <v>234</v>
      </c>
    </row>
    <row r="517" spans="1:15" ht="22.5" customHeight="1" x14ac:dyDescent="0.3">
      <c r="A517" s="4">
        <v>4845226</v>
      </c>
      <c r="B517" s="4" t="s">
        <v>2271</v>
      </c>
      <c r="C517" s="4" t="s">
        <v>197</v>
      </c>
      <c r="D517" s="4" t="s">
        <v>198</v>
      </c>
      <c r="E517" s="4" t="s">
        <v>227</v>
      </c>
      <c r="F517" s="4" t="s">
        <v>200</v>
      </c>
      <c r="G517" s="4" t="s">
        <v>2272</v>
      </c>
      <c r="H517" s="4" t="s">
        <v>1722</v>
      </c>
      <c r="I517" s="4" t="s">
        <v>203</v>
      </c>
      <c r="J517" s="4" t="s">
        <v>214</v>
      </c>
      <c r="K517" s="4" t="s">
        <v>1723</v>
      </c>
      <c r="L517" s="4" t="s">
        <v>371</v>
      </c>
      <c r="M517" s="4" t="s">
        <v>207</v>
      </c>
      <c r="N517" s="4" t="s">
        <v>217</v>
      </c>
      <c r="O517" s="4" t="s">
        <v>444</v>
      </c>
    </row>
    <row r="518" spans="1:15" ht="22.5" customHeight="1" x14ac:dyDescent="0.3">
      <c r="A518" s="3">
        <v>4845919</v>
      </c>
      <c r="B518" s="3" t="s">
        <v>2273</v>
      </c>
      <c r="C518" s="3" t="s">
        <v>197</v>
      </c>
      <c r="D518" s="3" t="s">
        <v>198</v>
      </c>
      <c r="E518" s="3" t="s">
        <v>608</v>
      </c>
      <c r="F518" s="3" t="s">
        <v>200</v>
      </c>
      <c r="G518" s="3" t="s">
        <v>1079</v>
      </c>
      <c r="H518" s="3" t="s">
        <v>2274</v>
      </c>
      <c r="I518" s="3" t="s">
        <v>203</v>
      </c>
      <c r="J518" s="3" t="s">
        <v>204</v>
      </c>
      <c r="K518" s="3" t="s">
        <v>2275</v>
      </c>
      <c r="L518" s="3" t="s">
        <v>871</v>
      </c>
      <c r="M518" s="3" t="s">
        <v>245</v>
      </c>
      <c r="N518" s="3" t="s">
        <v>208</v>
      </c>
      <c r="O518" s="3" t="s">
        <v>1929</v>
      </c>
    </row>
    <row r="519" spans="1:15" ht="33.75" customHeight="1" x14ac:dyDescent="0.3">
      <c r="A519" s="4">
        <v>4847334</v>
      </c>
      <c r="B519" s="4" t="s">
        <v>2276</v>
      </c>
      <c r="C519" s="4" t="s">
        <v>197</v>
      </c>
      <c r="D519" s="4" t="s">
        <v>938</v>
      </c>
      <c r="E519" s="4" t="s">
        <v>227</v>
      </c>
      <c r="F519" s="4" t="s">
        <v>200</v>
      </c>
      <c r="G519" s="4" t="s">
        <v>2277</v>
      </c>
      <c r="H519" s="4" t="s">
        <v>2278</v>
      </c>
      <c r="I519" s="4" t="s">
        <v>203</v>
      </c>
      <c r="J519" s="4" t="s">
        <v>345</v>
      </c>
      <c r="K519" s="4" t="s">
        <v>2279</v>
      </c>
      <c r="L519" s="4" t="s">
        <v>363</v>
      </c>
      <c r="M519" s="4" t="s">
        <v>245</v>
      </c>
      <c r="N519" s="4" t="s">
        <v>217</v>
      </c>
      <c r="O519" s="4" t="s">
        <v>433</v>
      </c>
    </row>
    <row r="520" spans="1:15" ht="22.5" customHeight="1" x14ac:dyDescent="0.3">
      <c r="A520" s="3">
        <v>4848659</v>
      </c>
      <c r="B520" s="3" t="s">
        <v>2280</v>
      </c>
      <c r="C520" s="3" t="s">
        <v>197</v>
      </c>
      <c r="D520" s="3" t="s">
        <v>198</v>
      </c>
      <c r="E520" s="3" t="s">
        <v>227</v>
      </c>
      <c r="F520" s="3" t="s">
        <v>200</v>
      </c>
      <c r="G520" s="3" t="s">
        <v>2281</v>
      </c>
      <c r="H520" s="3" t="s">
        <v>2282</v>
      </c>
      <c r="I520" s="3" t="s">
        <v>203</v>
      </c>
      <c r="J520" s="3" t="s">
        <v>214</v>
      </c>
      <c r="K520" s="3" t="s">
        <v>2033</v>
      </c>
      <c r="L520" s="3" t="s">
        <v>1946</v>
      </c>
      <c r="M520" s="3" t="s">
        <v>245</v>
      </c>
      <c r="N520" s="3" t="s">
        <v>208</v>
      </c>
      <c r="O520" s="3" t="s">
        <v>433</v>
      </c>
    </row>
    <row r="521" spans="1:15" ht="22.5" customHeight="1" x14ac:dyDescent="0.3">
      <c r="A521" s="4">
        <v>4848829</v>
      </c>
      <c r="B521" s="4" t="s">
        <v>2283</v>
      </c>
      <c r="C521" s="4" t="s">
        <v>197</v>
      </c>
      <c r="D521" s="4" t="s">
        <v>198</v>
      </c>
      <c r="E521" s="4" t="s">
        <v>227</v>
      </c>
      <c r="F521" s="4" t="s">
        <v>200</v>
      </c>
      <c r="G521" s="4" t="s">
        <v>2284</v>
      </c>
      <c r="H521" s="4" t="s">
        <v>2285</v>
      </c>
      <c r="I521" s="4" t="s">
        <v>203</v>
      </c>
      <c r="J521" s="4" t="s">
        <v>214</v>
      </c>
      <c r="K521" s="4" t="s">
        <v>752</v>
      </c>
      <c r="L521" s="4" t="s">
        <v>273</v>
      </c>
      <c r="M521" s="4" t="s">
        <v>207</v>
      </c>
      <c r="N521" s="4" t="s">
        <v>217</v>
      </c>
      <c r="O521" s="4" t="s">
        <v>234</v>
      </c>
    </row>
    <row r="522" spans="1:15" ht="22.5" customHeight="1" x14ac:dyDescent="0.3">
      <c r="A522" s="3">
        <v>4852249</v>
      </c>
      <c r="B522" s="3" t="s">
        <v>2286</v>
      </c>
      <c r="C522" s="3" t="s">
        <v>197</v>
      </c>
      <c r="D522" s="3" t="s">
        <v>198</v>
      </c>
      <c r="E522" s="3" t="s">
        <v>227</v>
      </c>
      <c r="F522" s="3" t="s">
        <v>200</v>
      </c>
      <c r="G522" s="3" t="s">
        <v>2287</v>
      </c>
      <c r="H522" s="3" t="s">
        <v>2288</v>
      </c>
      <c r="I522" s="3" t="s">
        <v>737</v>
      </c>
      <c r="J522" s="3" t="s">
        <v>214</v>
      </c>
      <c r="K522" s="3" t="s">
        <v>1247</v>
      </c>
      <c r="L522" s="3" t="s">
        <v>278</v>
      </c>
      <c r="M522" s="3" t="s">
        <v>207</v>
      </c>
      <c r="N522" s="3" t="s">
        <v>208</v>
      </c>
      <c r="O522" s="3" t="s">
        <v>234</v>
      </c>
    </row>
    <row r="523" spans="1:15" ht="33.75" customHeight="1" x14ac:dyDescent="0.3">
      <c r="A523" s="4">
        <v>4853997</v>
      </c>
      <c r="B523" s="4" t="s">
        <v>2289</v>
      </c>
      <c r="C523" s="4" t="s">
        <v>197</v>
      </c>
      <c r="D523" s="4" t="s">
        <v>827</v>
      </c>
      <c r="E523" s="4" t="s">
        <v>227</v>
      </c>
      <c r="F523" s="4" t="s">
        <v>200</v>
      </c>
      <c r="G523" s="4" t="s">
        <v>2290</v>
      </c>
      <c r="H523" s="4" t="s">
        <v>2291</v>
      </c>
      <c r="I523" s="4" t="s">
        <v>203</v>
      </c>
      <c r="J523" s="4" t="s">
        <v>316</v>
      </c>
      <c r="K523" s="4" t="s">
        <v>2292</v>
      </c>
      <c r="L523" s="4" t="s">
        <v>1920</v>
      </c>
      <c r="M523" s="4" t="s">
        <v>245</v>
      </c>
      <c r="N523" s="4" t="s">
        <v>217</v>
      </c>
      <c r="O523" s="4" t="s">
        <v>444</v>
      </c>
    </row>
    <row r="524" spans="1:15" ht="22.5" customHeight="1" x14ac:dyDescent="0.3">
      <c r="A524" s="3">
        <v>4856066</v>
      </c>
      <c r="B524" s="3" t="s">
        <v>2293</v>
      </c>
      <c r="C524" s="3" t="s">
        <v>197</v>
      </c>
      <c r="D524" s="3" t="s">
        <v>198</v>
      </c>
      <c r="E524" s="3" t="s">
        <v>227</v>
      </c>
      <c r="F524" s="3" t="s">
        <v>200</v>
      </c>
      <c r="G524" s="3" t="s">
        <v>2294</v>
      </c>
      <c r="H524" s="3" t="s">
        <v>2295</v>
      </c>
      <c r="I524" s="3" t="s">
        <v>737</v>
      </c>
      <c r="J524" s="3" t="s">
        <v>214</v>
      </c>
      <c r="K524" s="3" t="s">
        <v>1247</v>
      </c>
      <c r="L524" s="3" t="s">
        <v>2059</v>
      </c>
      <c r="M524" s="3" t="s">
        <v>207</v>
      </c>
      <c r="N524" s="3" t="s">
        <v>217</v>
      </c>
      <c r="O524" s="3" t="s">
        <v>234</v>
      </c>
    </row>
    <row r="525" spans="1:15" ht="22.5" customHeight="1" x14ac:dyDescent="0.3">
      <c r="A525" s="4">
        <v>4856538</v>
      </c>
      <c r="B525" s="4" t="s">
        <v>2296</v>
      </c>
      <c r="C525" s="4" t="s">
        <v>197</v>
      </c>
      <c r="D525" s="4" t="s">
        <v>198</v>
      </c>
      <c r="E525" s="4" t="s">
        <v>227</v>
      </c>
      <c r="F525" s="4" t="s">
        <v>200</v>
      </c>
      <c r="G525" s="4" t="s">
        <v>2297</v>
      </c>
      <c r="H525" s="4" t="s">
        <v>2298</v>
      </c>
      <c r="I525" s="4" t="s">
        <v>203</v>
      </c>
      <c r="J525" s="4" t="s">
        <v>214</v>
      </c>
      <c r="K525" s="4" t="s">
        <v>1234</v>
      </c>
      <c r="L525" s="4" t="s">
        <v>2059</v>
      </c>
      <c r="M525" s="4" t="s">
        <v>207</v>
      </c>
      <c r="N525" s="4" t="s">
        <v>217</v>
      </c>
      <c r="O525" s="4" t="s">
        <v>234</v>
      </c>
    </row>
    <row r="526" spans="1:15" ht="22.5" customHeight="1" x14ac:dyDescent="0.3">
      <c r="A526" s="3">
        <v>4856864</v>
      </c>
      <c r="B526" s="3" t="s">
        <v>2299</v>
      </c>
      <c r="C526" s="3" t="s">
        <v>197</v>
      </c>
      <c r="D526" s="3" t="s">
        <v>198</v>
      </c>
      <c r="E526" s="3" t="s">
        <v>227</v>
      </c>
      <c r="F526" s="3" t="s">
        <v>200</v>
      </c>
      <c r="G526" s="3" t="s">
        <v>2300</v>
      </c>
      <c r="H526" s="3" t="s">
        <v>2301</v>
      </c>
      <c r="I526" s="3" t="s">
        <v>203</v>
      </c>
      <c r="J526" s="3" t="s">
        <v>329</v>
      </c>
      <c r="K526" s="3" t="s">
        <v>330</v>
      </c>
      <c r="L526" s="3" t="s">
        <v>261</v>
      </c>
      <c r="M526" s="3" t="s">
        <v>207</v>
      </c>
      <c r="N526" s="3" t="s">
        <v>217</v>
      </c>
      <c r="O526" s="3" t="s">
        <v>234</v>
      </c>
    </row>
    <row r="527" spans="1:15" ht="22.5" customHeight="1" x14ac:dyDescent="0.3">
      <c r="A527" s="4">
        <v>4857283</v>
      </c>
      <c r="B527" s="4" t="s">
        <v>2302</v>
      </c>
      <c r="C527" s="4" t="s">
        <v>197</v>
      </c>
      <c r="D527" s="4" t="s">
        <v>198</v>
      </c>
      <c r="E527" s="4" t="s">
        <v>227</v>
      </c>
      <c r="F527" s="4" t="s">
        <v>200</v>
      </c>
      <c r="G527" s="4" t="s">
        <v>584</v>
      </c>
      <c r="H527" s="4" t="s">
        <v>1707</v>
      </c>
      <c r="I527" s="4" t="s">
        <v>203</v>
      </c>
      <c r="J527" s="4" t="s">
        <v>214</v>
      </c>
      <c r="K527" s="4" t="s">
        <v>941</v>
      </c>
      <c r="L527" s="4" t="s">
        <v>371</v>
      </c>
      <c r="M527" s="4" t="s">
        <v>207</v>
      </c>
      <c r="N527" s="4" t="s">
        <v>208</v>
      </c>
      <c r="O527" s="4" t="s">
        <v>234</v>
      </c>
    </row>
    <row r="528" spans="1:15" ht="33.75" customHeight="1" x14ac:dyDescent="0.3">
      <c r="A528" s="3">
        <v>4858182</v>
      </c>
      <c r="B528" s="3" t="s">
        <v>2303</v>
      </c>
      <c r="C528" s="3" t="s">
        <v>197</v>
      </c>
      <c r="D528" s="3" t="s">
        <v>198</v>
      </c>
      <c r="E528" s="3" t="s">
        <v>227</v>
      </c>
      <c r="F528" s="3" t="s">
        <v>200</v>
      </c>
      <c r="G528" s="3" t="s">
        <v>2304</v>
      </c>
      <c r="H528" s="3" t="s">
        <v>1039</v>
      </c>
      <c r="I528" s="3" t="s">
        <v>203</v>
      </c>
      <c r="J528" s="3" t="s">
        <v>323</v>
      </c>
      <c r="K528" s="3" t="s">
        <v>2305</v>
      </c>
      <c r="L528" s="3" t="s">
        <v>2306</v>
      </c>
      <c r="M528" s="3" t="s">
        <v>207</v>
      </c>
      <c r="N528" s="3" t="s">
        <v>208</v>
      </c>
      <c r="O528" s="3" t="s">
        <v>444</v>
      </c>
    </row>
    <row r="529" spans="1:15" ht="102" customHeight="1" x14ac:dyDescent="0.3">
      <c r="A529" s="4">
        <v>4859952</v>
      </c>
      <c r="B529" s="4" t="s">
        <v>2307</v>
      </c>
      <c r="C529" s="4" t="s">
        <v>197</v>
      </c>
      <c r="D529" s="4" t="s">
        <v>280</v>
      </c>
      <c r="E529" s="4" t="s">
        <v>227</v>
      </c>
      <c r="F529" s="4" t="s">
        <v>413</v>
      </c>
      <c r="G529" s="4" t="s">
        <v>1780</v>
      </c>
      <c r="H529" s="4" t="s">
        <v>2308</v>
      </c>
      <c r="I529" s="4" t="s">
        <v>651</v>
      </c>
      <c r="J529" s="4" t="s">
        <v>323</v>
      </c>
      <c r="K529" s="4" t="s">
        <v>2309</v>
      </c>
      <c r="L529" s="4" t="s">
        <v>2265</v>
      </c>
      <c r="M529" s="4" t="s">
        <v>233</v>
      </c>
      <c r="N529" s="4" t="s">
        <v>217</v>
      </c>
      <c r="O529" s="4" t="s">
        <v>433</v>
      </c>
    </row>
    <row r="530" spans="1:15" ht="22.5" customHeight="1" x14ac:dyDescent="0.3">
      <c r="A530" s="3">
        <v>4863267</v>
      </c>
      <c r="B530" s="3" t="s">
        <v>2310</v>
      </c>
      <c r="C530" s="3" t="s">
        <v>197</v>
      </c>
      <c r="D530" s="3" t="s">
        <v>198</v>
      </c>
      <c r="E530" s="3" t="s">
        <v>227</v>
      </c>
      <c r="F530" s="3" t="s">
        <v>200</v>
      </c>
      <c r="G530" s="3" t="s">
        <v>2311</v>
      </c>
      <c r="H530" s="3" t="s">
        <v>2312</v>
      </c>
      <c r="I530" s="3" t="s">
        <v>203</v>
      </c>
      <c r="J530" s="3" t="s">
        <v>214</v>
      </c>
      <c r="K530" s="3" t="s">
        <v>747</v>
      </c>
      <c r="L530" s="3" t="s">
        <v>2313</v>
      </c>
      <c r="M530" s="3" t="s">
        <v>245</v>
      </c>
      <c r="N530" s="3" t="s">
        <v>217</v>
      </c>
      <c r="O530" s="3" t="s">
        <v>418</v>
      </c>
    </row>
    <row r="531" spans="1:15" ht="22.5" customHeight="1" x14ac:dyDescent="0.3">
      <c r="A531" s="4">
        <v>4863291</v>
      </c>
      <c r="B531" s="4" t="s">
        <v>2314</v>
      </c>
      <c r="C531" s="4" t="s">
        <v>197</v>
      </c>
      <c r="D531" s="4" t="s">
        <v>198</v>
      </c>
      <c r="E531" s="4" t="s">
        <v>227</v>
      </c>
      <c r="F531" s="4" t="s">
        <v>200</v>
      </c>
      <c r="G531" s="4" t="s">
        <v>2315</v>
      </c>
      <c r="H531" s="4" t="s">
        <v>2001</v>
      </c>
      <c r="I531" s="4" t="s">
        <v>203</v>
      </c>
      <c r="J531" s="4" t="s">
        <v>214</v>
      </c>
      <c r="K531" s="4" t="s">
        <v>2002</v>
      </c>
      <c r="L531" s="4" t="s">
        <v>2313</v>
      </c>
      <c r="M531" s="4" t="s">
        <v>207</v>
      </c>
      <c r="N531" s="4" t="s">
        <v>217</v>
      </c>
      <c r="O531" s="4" t="s">
        <v>234</v>
      </c>
    </row>
    <row r="532" spans="1:15" ht="22.5" customHeight="1" x14ac:dyDescent="0.3">
      <c r="A532" s="3">
        <v>4865316</v>
      </c>
      <c r="B532" s="3" t="s">
        <v>2316</v>
      </c>
      <c r="C532" s="3" t="s">
        <v>197</v>
      </c>
      <c r="D532" s="3" t="s">
        <v>198</v>
      </c>
      <c r="E532" s="3" t="s">
        <v>227</v>
      </c>
      <c r="F532" s="3" t="s">
        <v>200</v>
      </c>
      <c r="G532" s="3" t="s">
        <v>2317</v>
      </c>
      <c r="H532" s="3" t="s">
        <v>2318</v>
      </c>
      <c r="I532" s="3" t="s">
        <v>737</v>
      </c>
      <c r="J532" s="3" t="s">
        <v>214</v>
      </c>
      <c r="K532" s="3" t="s">
        <v>1247</v>
      </c>
      <c r="L532" s="3" t="s">
        <v>2319</v>
      </c>
      <c r="M532" s="3" t="s">
        <v>207</v>
      </c>
      <c r="N532" s="3" t="s">
        <v>208</v>
      </c>
      <c r="O532" s="3" t="s">
        <v>234</v>
      </c>
    </row>
    <row r="533" spans="1:15" ht="22.5" customHeight="1" x14ac:dyDescent="0.3">
      <c r="A533" s="4">
        <v>4865952</v>
      </c>
      <c r="B533" s="4" t="s">
        <v>2320</v>
      </c>
      <c r="C533" s="4" t="s">
        <v>197</v>
      </c>
      <c r="D533" s="4" t="s">
        <v>198</v>
      </c>
      <c r="E533" s="4" t="s">
        <v>227</v>
      </c>
      <c r="F533" s="4" t="s">
        <v>200</v>
      </c>
      <c r="G533" s="4" t="s">
        <v>533</v>
      </c>
      <c r="H533" s="4" t="s">
        <v>534</v>
      </c>
      <c r="I533" s="4" t="s">
        <v>203</v>
      </c>
      <c r="J533" s="4" t="s">
        <v>214</v>
      </c>
      <c r="K533" s="4" t="s">
        <v>535</v>
      </c>
      <c r="L533" s="4" t="s">
        <v>2059</v>
      </c>
      <c r="M533" s="4" t="s">
        <v>245</v>
      </c>
      <c r="N533" s="4" t="s">
        <v>208</v>
      </c>
      <c r="O533" s="4" t="s">
        <v>234</v>
      </c>
    </row>
    <row r="534" spans="1:15" ht="22.5" customHeight="1" x14ac:dyDescent="0.3">
      <c r="A534" s="3">
        <v>4868498</v>
      </c>
      <c r="B534" s="3" t="s">
        <v>2321</v>
      </c>
      <c r="C534" s="3" t="s">
        <v>197</v>
      </c>
      <c r="D534" s="3" t="s">
        <v>198</v>
      </c>
      <c r="E534" s="3" t="s">
        <v>227</v>
      </c>
      <c r="F534" s="3" t="s">
        <v>200</v>
      </c>
      <c r="G534" s="3" t="s">
        <v>2322</v>
      </c>
      <c r="H534" s="3" t="s">
        <v>2323</v>
      </c>
      <c r="I534" s="3" t="s">
        <v>203</v>
      </c>
      <c r="J534" s="3" t="s">
        <v>214</v>
      </c>
      <c r="K534" s="3" t="s">
        <v>2324</v>
      </c>
      <c r="L534" s="3" t="s">
        <v>2325</v>
      </c>
      <c r="M534" s="3" t="s">
        <v>245</v>
      </c>
      <c r="N534" s="3" t="s">
        <v>217</v>
      </c>
      <c r="O534" s="3" t="s">
        <v>418</v>
      </c>
    </row>
    <row r="535" spans="1:15" ht="22.5" customHeight="1" x14ac:dyDescent="0.3">
      <c r="A535" s="4">
        <v>4869869</v>
      </c>
      <c r="B535" s="4" t="s">
        <v>2326</v>
      </c>
      <c r="C535" s="4" t="s">
        <v>197</v>
      </c>
      <c r="D535" s="4" t="s">
        <v>198</v>
      </c>
      <c r="E535" s="4" t="s">
        <v>227</v>
      </c>
      <c r="F535" s="4" t="s">
        <v>200</v>
      </c>
      <c r="G535" s="4" t="s">
        <v>2327</v>
      </c>
      <c r="H535" s="4" t="s">
        <v>2328</v>
      </c>
      <c r="I535" s="4" t="s">
        <v>751</v>
      </c>
      <c r="J535" s="4" t="s">
        <v>214</v>
      </c>
      <c r="K535" s="4" t="s">
        <v>339</v>
      </c>
      <c r="L535" s="4" t="s">
        <v>2329</v>
      </c>
      <c r="M535" s="4" t="s">
        <v>2330</v>
      </c>
      <c r="N535" s="4" t="s">
        <v>208</v>
      </c>
      <c r="O535" s="4" t="s">
        <v>234</v>
      </c>
    </row>
    <row r="536" spans="1:15" ht="22.5" customHeight="1" x14ac:dyDescent="0.3">
      <c r="A536" s="3">
        <v>4870417</v>
      </c>
      <c r="B536" s="3" t="s">
        <v>2331</v>
      </c>
      <c r="C536" s="3" t="s">
        <v>197</v>
      </c>
      <c r="D536" s="3" t="s">
        <v>198</v>
      </c>
      <c r="E536" s="3" t="s">
        <v>227</v>
      </c>
      <c r="F536" s="3" t="s">
        <v>200</v>
      </c>
      <c r="G536" s="3" t="s">
        <v>2332</v>
      </c>
      <c r="H536" s="3" t="s">
        <v>2333</v>
      </c>
      <c r="I536" s="3" t="s">
        <v>203</v>
      </c>
      <c r="J536" s="3" t="s">
        <v>214</v>
      </c>
      <c r="K536" s="3" t="s">
        <v>482</v>
      </c>
      <c r="L536" s="3" t="s">
        <v>1120</v>
      </c>
      <c r="M536" s="3" t="s">
        <v>2330</v>
      </c>
      <c r="N536" s="3" t="s">
        <v>217</v>
      </c>
      <c r="O536" s="3" t="s">
        <v>234</v>
      </c>
    </row>
    <row r="537" spans="1:15" ht="22.5" customHeight="1" x14ac:dyDescent="0.3">
      <c r="A537" s="4">
        <v>4871464</v>
      </c>
      <c r="B537" s="4" t="s">
        <v>2334</v>
      </c>
      <c r="C537" s="4" t="s">
        <v>197</v>
      </c>
      <c r="D537" s="4" t="s">
        <v>198</v>
      </c>
      <c r="E537" s="4" t="s">
        <v>227</v>
      </c>
      <c r="F537" s="4" t="s">
        <v>200</v>
      </c>
      <c r="G537" s="4" t="s">
        <v>2335</v>
      </c>
      <c r="H537" s="4" t="s">
        <v>2336</v>
      </c>
      <c r="I537" s="4" t="s">
        <v>737</v>
      </c>
      <c r="J537" s="4" t="s">
        <v>214</v>
      </c>
      <c r="K537" s="4" t="s">
        <v>1624</v>
      </c>
      <c r="L537" s="4" t="s">
        <v>2337</v>
      </c>
      <c r="M537" s="4" t="s">
        <v>207</v>
      </c>
      <c r="N537" s="4" t="s">
        <v>217</v>
      </c>
      <c r="O537" s="4" t="s">
        <v>234</v>
      </c>
    </row>
    <row r="538" spans="1:15" ht="33.75" customHeight="1" x14ac:dyDescent="0.3">
      <c r="A538" s="3">
        <v>4872231</v>
      </c>
      <c r="B538" s="3" t="s">
        <v>2338</v>
      </c>
      <c r="C538" s="3" t="s">
        <v>197</v>
      </c>
      <c r="D538" s="3" t="s">
        <v>198</v>
      </c>
      <c r="E538" s="3" t="s">
        <v>227</v>
      </c>
      <c r="F538" s="3" t="s">
        <v>888</v>
      </c>
      <c r="G538" s="3" t="s">
        <v>2339</v>
      </c>
      <c r="H538" s="3" t="s">
        <v>2340</v>
      </c>
      <c r="I538" s="3" t="s">
        <v>203</v>
      </c>
      <c r="J538" s="3" t="s">
        <v>298</v>
      </c>
      <c r="K538" s="3" t="s">
        <v>2341</v>
      </c>
      <c r="L538" s="3" t="s">
        <v>2342</v>
      </c>
      <c r="M538" s="3" t="s">
        <v>245</v>
      </c>
      <c r="N538" s="3" t="s">
        <v>217</v>
      </c>
      <c r="O538" s="3" t="s">
        <v>444</v>
      </c>
    </row>
    <row r="539" spans="1:15" ht="57" customHeight="1" x14ac:dyDescent="0.3">
      <c r="A539" s="4">
        <v>4873505</v>
      </c>
      <c r="B539" s="4" t="s">
        <v>2343</v>
      </c>
      <c r="C539" s="4" t="s">
        <v>197</v>
      </c>
      <c r="D539" s="4" t="s">
        <v>2344</v>
      </c>
      <c r="E539" s="4" t="s">
        <v>227</v>
      </c>
      <c r="F539" s="4" t="s">
        <v>413</v>
      </c>
      <c r="G539" s="4" t="s">
        <v>2345</v>
      </c>
      <c r="H539" s="4" t="s">
        <v>2346</v>
      </c>
      <c r="I539" s="4" t="s">
        <v>203</v>
      </c>
      <c r="J539" s="4" t="s">
        <v>204</v>
      </c>
      <c r="K539" s="4" t="s">
        <v>2347</v>
      </c>
      <c r="L539" s="4" t="s">
        <v>2348</v>
      </c>
      <c r="M539" s="4" t="s">
        <v>207</v>
      </c>
      <c r="N539" s="4" t="s">
        <v>217</v>
      </c>
      <c r="O539" s="4" t="s">
        <v>433</v>
      </c>
    </row>
    <row r="540" spans="1:15" ht="57" customHeight="1" x14ac:dyDescent="0.3">
      <c r="A540" s="3">
        <v>4875346</v>
      </c>
      <c r="B540" s="3" t="s">
        <v>2349</v>
      </c>
      <c r="C540" s="3" t="s">
        <v>197</v>
      </c>
      <c r="D540" s="3" t="s">
        <v>572</v>
      </c>
      <c r="E540" s="3" t="s">
        <v>227</v>
      </c>
      <c r="F540" s="3" t="s">
        <v>200</v>
      </c>
      <c r="G540" s="3" t="s">
        <v>2350</v>
      </c>
      <c r="H540" s="3" t="s">
        <v>2351</v>
      </c>
      <c r="I540" s="3" t="s">
        <v>203</v>
      </c>
      <c r="J540" s="3" t="s">
        <v>323</v>
      </c>
      <c r="K540" s="3" t="s">
        <v>2352</v>
      </c>
      <c r="L540" s="3" t="s">
        <v>2207</v>
      </c>
      <c r="M540" s="3" t="s">
        <v>207</v>
      </c>
      <c r="N540" s="3" t="s">
        <v>208</v>
      </c>
      <c r="O540" s="3" t="s">
        <v>234</v>
      </c>
    </row>
    <row r="541" spans="1:15" ht="22.5" customHeight="1" x14ac:dyDescent="0.3">
      <c r="A541" s="4">
        <v>4876709</v>
      </c>
      <c r="B541" s="4" t="s">
        <v>2353</v>
      </c>
      <c r="C541" s="4" t="s">
        <v>197</v>
      </c>
      <c r="D541" s="4" t="s">
        <v>198</v>
      </c>
      <c r="E541" s="4" t="s">
        <v>227</v>
      </c>
      <c r="F541" s="4" t="s">
        <v>200</v>
      </c>
      <c r="G541" s="4" t="s">
        <v>2354</v>
      </c>
      <c r="H541" s="4" t="s">
        <v>2355</v>
      </c>
      <c r="I541" s="4" t="s">
        <v>203</v>
      </c>
      <c r="J541" s="4" t="s">
        <v>345</v>
      </c>
      <c r="K541" s="4" t="s">
        <v>594</v>
      </c>
      <c r="L541" s="4" t="s">
        <v>2356</v>
      </c>
      <c r="M541" s="4" t="s">
        <v>207</v>
      </c>
      <c r="N541" s="4" t="s">
        <v>208</v>
      </c>
      <c r="O541" s="4" t="s">
        <v>418</v>
      </c>
    </row>
    <row r="542" spans="1:15" ht="79.5" customHeight="1" x14ac:dyDescent="0.3">
      <c r="A542" s="3">
        <v>4877594</v>
      </c>
      <c r="B542" s="3" t="s">
        <v>2357</v>
      </c>
      <c r="C542" s="3" t="s">
        <v>197</v>
      </c>
      <c r="D542" s="3" t="s">
        <v>2358</v>
      </c>
      <c r="E542" s="3" t="s">
        <v>227</v>
      </c>
      <c r="F542" s="3" t="s">
        <v>200</v>
      </c>
      <c r="G542" s="3" t="s">
        <v>2359</v>
      </c>
      <c r="H542" s="3" t="s">
        <v>2360</v>
      </c>
      <c r="I542" s="3" t="s">
        <v>203</v>
      </c>
      <c r="J542" s="3" t="s">
        <v>214</v>
      </c>
      <c r="K542" s="3" t="s">
        <v>2361</v>
      </c>
      <c r="L542" s="3" t="s">
        <v>273</v>
      </c>
      <c r="M542" s="3" t="s">
        <v>207</v>
      </c>
      <c r="N542" s="3" t="s">
        <v>208</v>
      </c>
      <c r="O542" s="3" t="s">
        <v>234</v>
      </c>
    </row>
    <row r="543" spans="1:15" ht="22.5" customHeight="1" x14ac:dyDescent="0.3">
      <c r="A543" s="4">
        <v>4878043</v>
      </c>
      <c r="B543" s="4" t="s">
        <v>2362</v>
      </c>
      <c r="C543" s="4" t="s">
        <v>197</v>
      </c>
      <c r="D543" s="4" t="s">
        <v>198</v>
      </c>
      <c r="E543" s="4" t="s">
        <v>227</v>
      </c>
      <c r="F543" s="4" t="s">
        <v>200</v>
      </c>
      <c r="G543" s="4" t="s">
        <v>2363</v>
      </c>
      <c r="H543" s="4" t="s">
        <v>2364</v>
      </c>
      <c r="I543" s="4" t="s">
        <v>203</v>
      </c>
      <c r="J543" s="4" t="s">
        <v>323</v>
      </c>
      <c r="K543" s="4" t="s">
        <v>705</v>
      </c>
      <c r="L543" s="4" t="s">
        <v>2365</v>
      </c>
      <c r="M543" s="4" t="s">
        <v>207</v>
      </c>
      <c r="N543" s="4" t="s">
        <v>208</v>
      </c>
      <c r="O543" s="4" t="s">
        <v>433</v>
      </c>
    </row>
    <row r="544" spans="1:15" ht="33.75" customHeight="1" x14ac:dyDescent="0.3">
      <c r="A544" s="3">
        <v>4878809</v>
      </c>
      <c r="B544" s="3" t="s">
        <v>2366</v>
      </c>
      <c r="C544" s="3" t="s">
        <v>197</v>
      </c>
      <c r="D544" s="3" t="s">
        <v>198</v>
      </c>
      <c r="E544" s="3" t="s">
        <v>227</v>
      </c>
      <c r="F544" s="3" t="s">
        <v>200</v>
      </c>
      <c r="G544" s="3" t="s">
        <v>460</v>
      </c>
      <c r="H544" s="3" t="s">
        <v>461</v>
      </c>
      <c r="I544" s="3" t="s">
        <v>203</v>
      </c>
      <c r="J544" s="3" t="s">
        <v>323</v>
      </c>
      <c r="K544" s="3" t="s">
        <v>2367</v>
      </c>
      <c r="L544" s="3" t="s">
        <v>278</v>
      </c>
      <c r="M544" s="3" t="s">
        <v>245</v>
      </c>
      <c r="N544" s="3" t="s">
        <v>208</v>
      </c>
      <c r="O544" s="3" t="s">
        <v>433</v>
      </c>
    </row>
    <row r="545" spans="1:15" ht="22.5" customHeight="1" x14ac:dyDescent="0.3">
      <c r="A545" s="4">
        <v>4878922</v>
      </c>
      <c r="B545" s="4" t="s">
        <v>2368</v>
      </c>
      <c r="C545" s="4" t="s">
        <v>197</v>
      </c>
      <c r="D545" s="4" t="s">
        <v>198</v>
      </c>
      <c r="E545" s="4" t="s">
        <v>227</v>
      </c>
      <c r="F545" s="4" t="s">
        <v>200</v>
      </c>
      <c r="G545" s="4" t="s">
        <v>2369</v>
      </c>
      <c r="H545" s="4" t="s">
        <v>2370</v>
      </c>
      <c r="I545" s="4" t="s">
        <v>203</v>
      </c>
      <c r="J545" s="4" t="s">
        <v>214</v>
      </c>
      <c r="K545" s="4" t="s">
        <v>941</v>
      </c>
      <c r="L545" s="4" t="s">
        <v>2371</v>
      </c>
      <c r="M545" s="4" t="s">
        <v>207</v>
      </c>
      <c r="N545" s="4" t="s">
        <v>217</v>
      </c>
      <c r="O545" s="4" t="s">
        <v>234</v>
      </c>
    </row>
    <row r="546" spans="1:15" ht="33.75" customHeight="1" x14ac:dyDescent="0.3">
      <c r="A546" s="3">
        <v>4882253</v>
      </c>
      <c r="B546" s="3" t="s">
        <v>2372</v>
      </c>
      <c r="C546" s="3" t="s">
        <v>197</v>
      </c>
      <c r="D546" s="3" t="s">
        <v>796</v>
      </c>
      <c r="E546" s="3" t="s">
        <v>227</v>
      </c>
      <c r="F546" s="3" t="s">
        <v>200</v>
      </c>
      <c r="G546" s="3" t="s">
        <v>2373</v>
      </c>
      <c r="H546" s="3" t="s">
        <v>2374</v>
      </c>
      <c r="I546" s="3" t="s">
        <v>203</v>
      </c>
      <c r="J546" s="3" t="s">
        <v>323</v>
      </c>
      <c r="K546" s="3" t="s">
        <v>848</v>
      </c>
      <c r="L546" s="3" t="s">
        <v>2375</v>
      </c>
      <c r="M546" s="3" t="s">
        <v>207</v>
      </c>
      <c r="N546" s="3" t="s">
        <v>217</v>
      </c>
      <c r="O546" s="3" t="s">
        <v>234</v>
      </c>
    </row>
    <row r="547" spans="1:15" ht="22.5" customHeight="1" x14ac:dyDescent="0.3">
      <c r="A547" s="4">
        <v>4883535</v>
      </c>
      <c r="B547" s="4" t="s">
        <v>2376</v>
      </c>
      <c r="C547" s="4" t="s">
        <v>197</v>
      </c>
      <c r="D547" s="4" t="s">
        <v>198</v>
      </c>
      <c r="E547" s="4" t="s">
        <v>227</v>
      </c>
      <c r="F547" s="4" t="s">
        <v>200</v>
      </c>
      <c r="G547" s="4" t="s">
        <v>2277</v>
      </c>
      <c r="H547" s="4" t="s">
        <v>2278</v>
      </c>
      <c r="I547" s="4" t="s">
        <v>203</v>
      </c>
      <c r="J547" s="4" t="s">
        <v>345</v>
      </c>
      <c r="K547" s="4" t="s">
        <v>2377</v>
      </c>
      <c r="L547" s="4" t="s">
        <v>2378</v>
      </c>
      <c r="M547" s="4" t="s">
        <v>245</v>
      </c>
      <c r="N547" s="4" t="s">
        <v>208</v>
      </c>
      <c r="O547" s="4" t="s">
        <v>433</v>
      </c>
    </row>
    <row r="548" spans="1:15" ht="22.5" customHeight="1" x14ac:dyDescent="0.3">
      <c r="A548" s="3">
        <v>4887891</v>
      </c>
      <c r="B548" s="3" t="s">
        <v>2379</v>
      </c>
      <c r="C548" s="3" t="s">
        <v>197</v>
      </c>
      <c r="D548" s="3" t="s">
        <v>198</v>
      </c>
      <c r="E548" s="3" t="s">
        <v>227</v>
      </c>
      <c r="F548" s="3" t="s">
        <v>200</v>
      </c>
      <c r="G548" s="3" t="s">
        <v>2380</v>
      </c>
      <c r="H548" s="3" t="s">
        <v>2381</v>
      </c>
      <c r="I548" s="3" t="s">
        <v>737</v>
      </c>
      <c r="J548" s="3" t="s">
        <v>214</v>
      </c>
      <c r="K548" s="3" t="s">
        <v>1904</v>
      </c>
      <c r="L548" s="3" t="s">
        <v>2147</v>
      </c>
      <c r="M548" s="3" t="s">
        <v>207</v>
      </c>
      <c r="N548" s="3" t="s">
        <v>208</v>
      </c>
      <c r="O548" s="3" t="s">
        <v>234</v>
      </c>
    </row>
    <row r="549" spans="1:15" ht="22.5" customHeight="1" x14ac:dyDescent="0.3">
      <c r="A549" s="4">
        <v>4888758</v>
      </c>
      <c r="B549" s="4" t="s">
        <v>2382</v>
      </c>
      <c r="C549" s="4" t="s">
        <v>197</v>
      </c>
      <c r="D549" s="4" t="s">
        <v>198</v>
      </c>
      <c r="E549" s="4" t="s">
        <v>227</v>
      </c>
      <c r="F549" s="4" t="s">
        <v>200</v>
      </c>
      <c r="G549" s="4" t="s">
        <v>2383</v>
      </c>
      <c r="H549" s="4" t="s">
        <v>2384</v>
      </c>
      <c r="I549" s="4" t="s">
        <v>203</v>
      </c>
      <c r="J549" s="4" t="s">
        <v>214</v>
      </c>
      <c r="K549" s="4" t="s">
        <v>617</v>
      </c>
      <c r="L549" s="4" t="s">
        <v>2378</v>
      </c>
      <c r="M549" s="4" t="s">
        <v>207</v>
      </c>
      <c r="N549" s="4" t="s">
        <v>208</v>
      </c>
      <c r="O549" s="4" t="s">
        <v>433</v>
      </c>
    </row>
    <row r="550" spans="1:15" ht="22.5" customHeight="1" x14ac:dyDescent="0.3">
      <c r="A550" s="3">
        <v>4892402</v>
      </c>
      <c r="B550" s="3" t="s">
        <v>2385</v>
      </c>
      <c r="C550" s="3" t="s">
        <v>197</v>
      </c>
      <c r="D550" s="3" t="s">
        <v>198</v>
      </c>
      <c r="E550" s="3" t="s">
        <v>608</v>
      </c>
      <c r="F550" s="3" t="s">
        <v>200</v>
      </c>
      <c r="G550" s="3" t="s">
        <v>2386</v>
      </c>
      <c r="H550" s="3" t="s">
        <v>2387</v>
      </c>
      <c r="I550" s="3" t="s">
        <v>203</v>
      </c>
      <c r="J550" s="3" t="s">
        <v>214</v>
      </c>
      <c r="K550" s="3" t="s">
        <v>2388</v>
      </c>
      <c r="L550" s="3" t="s">
        <v>2389</v>
      </c>
      <c r="M550" s="3" t="s">
        <v>207</v>
      </c>
      <c r="N550" s="3" t="s">
        <v>217</v>
      </c>
      <c r="O550" s="3" t="s">
        <v>613</v>
      </c>
    </row>
    <row r="551" spans="1:15" ht="22.5" customHeight="1" x14ac:dyDescent="0.3">
      <c r="A551" s="4">
        <v>4893824</v>
      </c>
      <c r="B551" s="4" t="s">
        <v>2390</v>
      </c>
      <c r="C551" s="4" t="s">
        <v>197</v>
      </c>
      <c r="D551" s="4" t="s">
        <v>198</v>
      </c>
      <c r="E551" s="4" t="s">
        <v>227</v>
      </c>
      <c r="F551" s="4" t="s">
        <v>200</v>
      </c>
      <c r="G551" s="4" t="s">
        <v>2391</v>
      </c>
      <c r="H551" s="4" t="s">
        <v>2392</v>
      </c>
      <c r="I551" s="4" t="s">
        <v>203</v>
      </c>
      <c r="J551" s="4" t="s">
        <v>204</v>
      </c>
      <c r="K551" s="4" t="s">
        <v>785</v>
      </c>
      <c r="L551" s="4" t="s">
        <v>2378</v>
      </c>
      <c r="M551" s="4" t="s">
        <v>245</v>
      </c>
      <c r="N551" s="4" t="s">
        <v>208</v>
      </c>
      <c r="O551" s="4" t="s">
        <v>433</v>
      </c>
    </row>
    <row r="552" spans="1:15" ht="22.5" customHeight="1" x14ac:dyDescent="0.3">
      <c r="A552" s="3">
        <v>4894391</v>
      </c>
      <c r="B552" s="3" t="s">
        <v>2393</v>
      </c>
      <c r="C552" s="3" t="s">
        <v>197</v>
      </c>
      <c r="D552" s="3" t="s">
        <v>198</v>
      </c>
      <c r="E552" s="3" t="s">
        <v>227</v>
      </c>
      <c r="F552" s="3" t="s">
        <v>200</v>
      </c>
      <c r="G552" s="3" t="s">
        <v>2394</v>
      </c>
      <c r="H552" s="3" t="s">
        <v>2395</v>
      </c>
      <c r="I552" s="3" t="s">
        <v>203</v>
      </c>
      <c r="J552" s="3" t="s">
        <v>323</v>
      </c>
      <c r="K552" s="3" t="s">
        <v>1542</v>
      </c>
      <c r="L552" s="3" t="s">
        <v>1731</v>
      </c>
      <c r="M552" s="3" t="s">
        <v>245</v>
      </c>
      <c r="N552" s="3" t="s">
        <v>208</v>
      </c>
      <c r="O552" s="3" t="s">
        <v>234</v>
      </c>
    </row>
    <row r="553" spans="1:15" ht="22.5" customHeight="1" x14ac:dyDescent="0.3">
      <c r="A553" s="4">
        <v>4900243</v>
      </c>
      <c r="B553" s="4" t="s">
        <v>2396</v>
      </c>
      <c r="C553" s="4" t="s">
        <v>197</v>
      </c>
      <c r="D553" s="4" t="s">
        <v>198</v>
      </c>
      <c r="E553" s="4" t="s">
        <v>227</v>
      </c>
      <c r="F553" s="4" t="s">
        <v>200</v>
      </c>
      <c r="G553" s="4" t="s">
        <v>1885</v>
      </c>
      <c r="H553" s="4" t="s">
        <v>2397</v>
      </c>
      <c r="I553" s="4" t="s">
        <v>737</v>
      </c>
      <c r="J553" s="4" t="s">
        <v>316</v>
      </c>
      <c r="K553" s="4" t="s">
        <v>2398</v>
      </c>
      <c r="L553" s="4" t="s">
        <v>1731</v>
      </c>
      <c r="M553" s="4" t="s">
        <v>207</v>
      </c>
      <c r="N553" s="4" t="s">
        <v>208</v>
      </c>
      <c r="O553" s="4" t="s">
        <v>418</v>
      </c>
    </row>
    <row r="554" spans="1:15" ht="22.5" customHeight="1" x14ac:dyDescent="0.3">
      <c r="A554" s="3">
        <v>4901711</v>
      </c>
      <c r="B554" s="3" t="s">
        <v>2399</v>
      </c>
      <c r="C554" s="3" t="s">
        <v>197</v>
      </c>
      <c r="D554" s="3" t="s">
        <v>198</v>
      </c>
      <c r="E554" s="3" t="s">
        <v>227</v>
      </c>
      <c r="F554" s="3" t="s">
        <v>200</v>
      </c>
      <c r="G554" s="3" t="s">
        <v>2400</v>
      </c>
      <c r="H554" s="3" t="s">
        <v>2401</v>
      </c>
      <c r="I554" s="3" t="s">
        <v>203</v>
      </c>
      <c r="J554" s="3" t="s">
        <v>204</v>
      </c>
      <c r="K554" s="3" t="s">
        <v>785</v>
      </c>
      <c r="L554" s="3" t="s">
        <v>2402</v>
      </c>
      <c r="M554" s="3" t="s">
        <v>245</v>
      </c>
      <c r="N554" s="3" t="s">
        <v>217</v>
      </c>
      <c r="O554" s="3" t="s">
        <v>418</v>
      </c>
    </row>
    <row r="555" spans="1:15" ht="22.5" customHeight="1" x14ac:dyDescent="0.3">
      <c r="A555" s="4">
        <v>4901886</v>
      </c>
      <c r="B555" s="4" t="s">
        <v>2403</v>
      </c>
      <c r="C555" s="4" t="s">
        <v>197</v>
      </c>
      <c r="D555" s="4" t="s">
        <v>198</v>
      </c>
      <c r="E555" s="4" t="s">
        <v>227</v>
      </c>
      <c r="F555" s="4" t="s">
        <v>200</v>
      </c>
      <c r="G555" s="4" t="s">
        <v>2404</v>
      </c>
      <c r="H555" s="4" t="s">
        <v>2405</v>
      </c>
      <c r="I555" s="4" t="s">
        <v>203</v>
      </c>
      <c r="J555" s="4" t="s">
        <v>204</v>
      </c>
      <c r="K555" s="4" t="s">
        <v>2406</v>
      </c>
      <c r="L555" s="4" t="s">
        <v>423</v>
      </c>
      <c r="M555" s="4" t="s">
        <v>207</v>
      </c>
      <c r="N555" s="4" t="s">
        <v>217</v>
      </c>
      <c r="O555" s="4" t="s">
        <v>418</v>
      </c>
    </row>
    <row r="556" spans="1:15" ht="22.5" customHeight="1" x14ac:dyDescent="0.3">
      <c r="A556" s="3">
        <v>4904958</v>
      </c>
      <c r="B556" s="3" t="s">
        <v>2407</v>
      </c>
      <c r="C556" s="3" t="s">
        <v>197</v>
      </c>
      <c r="D556" s="3" t="s">
        <v>198</v>
      </c>
      <c r="E556" s="3" t="s">
        <v>227</v>
      </c>
      <c r="F556" s="3" t="s">
        <v>413</v>
      </c>
      <c r="G556" s="3" t="s">
        <v>2408</v>
      </c>
      <c r="H556" s="3" t="s">
        <v>2409</v>
      </c>
      <c r="I556" s="3" t="s">
        <v>203</v>
      </c>
      <c r="J556" s="3" t="s">
        <v>323</v>
      </c>
      <c r="K556" s="3" t="s">
        <v>2410</v>
      </c>
      <c r="L556" s="3" t="s">
        <v>1612</v>
      </c>
      <c r="M556" s="3" t="s">
        <v>245</v>
      </c>
      <c r="N556" s="3" t="s">
        <v>208</v>
      </c>
      <c r="O556" s="3" t="s">
        <v>418</v>
      </c>
    </row>
    <row r="557" spans="1:15" ht="33.75" customHeight="1" x14ac:dyDescent="0.3">
      <c r="A557" s="4">
        <v>4905849</v>
      </c>
      <c r="B557" s="4" t="s">
        <v>2411</v>
      </c>
      <c r="C557" s="4" t="s">
        <v>197</v>
      </c>
      <c r="D557" s="4" t="s">
        <v>198</v>
      </c>
      <c r="E557" s="4" t="s">
        <v>227</v>
      </c>
      <c r="F557" s="4" t="s">
        <v>200</v>
      </c>
      <c r="G557" s="4" t="s">
        <v>460</v>
      </c>
      <c r="H557" s="4" t="s">
        <v>461</v>
      </c>
      <c r="I557" s="4" t="s">
        <v>203</v>
      </c>
      <c r="J557" s="4" t="s">
        <v>323</v>
      </c>
      <c r="K557" s="4" t="s">
        <v>2367</v>
      </c>
      <c r="L557" s="4" t="s">
        <v>423</v>
      </c>
      <c r="M557" s="4" t="s">
        <v>245</v>
      </c>
      <c r="N557" s="4" t="s">
        <v>208</v>
      </c>
      <c r="O557" s="4" t="s">
        <v>234</v>
      </c>
    </row>
    <row r="558" spans="1:15" ht="22.5" customHeight="1" x14ac:dyDescent="0.3">
      <c r="A558" s="3">
        <v>4907752</v>
      </c>
      <c r="B558" s="3" t="s">
        <v>2412</v>
      </c>
      <c r="C558" s="3" t="s">
        <v>197</v>
      </c>
      <c r="D558" s="3" t="s">
        <v>198</v>
      </c>
      <c r="E558" s="3" t="s">
        <v>227</v>
      </c>
      <c r="F558" s="3" t="s">
        <v>200</v>
      </c>
      <c r="G558" s="3" t="s">
        <v>2413</v>
      </c>
      <c r="H558" s="3" t="s">
        <v>2414</v>
      </c>
      <c r="I558" s="3" t="s">
        <v>737</v>
      </c>
      <c r="J558" s="3" t="s">
        <v>214</v>
      </c>
      <c r="K558" s="3" t="s">
        <v>2415</v>
      </c>
      <c r="L558" s="3" t="s">
        <v>261</v>
      </c>
      <c r="M558" s="3" t="s">
        <v>207</v>
      </c>
      <c r="N558" s="3" t="s">
        <v>217</v>
      </c>
      <c r="O558" s="3" t="s">
        <v>418</v>
      </c>
    </row>
    <row r="559" spans="1:15" ht="22.5" customHeight="1" x14ac:dyDescent="0.3">
      <c r="A559" s="4">
        <v>4910036</v>
      </c>
      <c r="B559" s="4" t="s">
        <v>2416</v>
      </c>
      <c r="C559" s="4" t="s">
        <v>197</v>
      </c>
      <c r="D559" s="4" t="s">
        <v>198</v>
      </c>
      <c r="E559" s="4" t="s">
        <v>227</v>
      </c>
      <c r="F559" s="4" t="s">
        <v>200</v>
      </c>
      <c r="G559" s="4" t="s">
        <v>2417</v>
      </c>
      <c r="H559" s="4" t="s">
        <v>2392</v>
      </c>
      <c r="I559" s="4" t="s">
        <v>203</v>
      </c>
      <c r="J559" s="4" t="s">
        <v>204</v>
      </c>
      <c r="K559" s="4" t="s">
        <v>1067</v>
      </c>
      <c r="L559" s="4" t="s">
        <v>2365</v>
      </c>
      <c r="M559" s="4" t="s">
        <v>233</v>
      </c>
      <c r="N559" s="4" t="s">
        <v>208</v>
      </c>
      <c r="O559" s="4" t="s">
        <v>433</v>
      </c>
    </row>
    <row r="560" spans="1:15" ht="22.5" customHeight="1" x14ac:dyDescent="0.3">
      <c r="A560" s="3">
        <v>4910117</v>
      </c>
      <c r="B560" s="3" t="s">
        <v>2418</v>
      </c>
      <c r="C560" s="3" t="s">
        <v>197</v>
      </c>
      <c r="D560" s="3" t="s">
        <v>198</v>
      </c>
      <c r="E560" s="3" t="s">
        <v>227</v>
      </c>
      <c r="F560" s="3" t="s">
        <v>200</v>
      </c>
      <c r="G560" s="3" t="s">
        <v>1412</v>
      </c>
      <c r="H560" s="3" t="s">
        <v>1413</v>
      </c>
      <c r="I560" s="3" t="s">
        <v>203</v>
      </c>
      <c r="J560" s="3" t="s">
        <v>298</v>
      </c>
      <c r="K560" s="3" t="s">
        <v>2419</v>
      </c>
      <c r="L560" s="3" t="s">
        <v>2420</v>
      </c>
      <c r="M560" s="3" t="s">
        <v>245</v>
      </c>
      <c r="N560" s="3" t="s">
        <v>208</v>
      </c>
      <c r="O560" s="3" t="s">
        <v>234</v>
      </c>
    </row>
    <row r="561" spans="1:15" ht="33.75" customHeight="1" x14ac:dyDescent="0.3">
      <c r="A561" s="4">
        <v>4911148</v>
      </c>
      <c r="B561" s="4" t="s">
        <v>2421</v>
      </c>
      <c r="C561" s="4" t="s">
        <v>197</v>
      </c>
      <c r="D561" s="4" t="s">
        <v>220</v>
      </c>
      <c r="E561" s="4" t="s">
        <v>227</v>
      </c>
      <c r="F561" s="4" t="s">
        <v>200</v>
      </c>
      <c r="G561" s="4" t="s">
        <v>2422</v>
      </c>
      <c r="H561" s="4" t="s">
        <v>2423</v>
      </c>
      <c r="I561" s="4" t="s">
        <v>203</v>
      </c>
      <c r="J561" s="4" t="s">
        <v>204</v>
      </c>
      <c r="K561" s="4" t="s">
        <v>375</v>
      </c>
      <c r="L561" s="4" t="s">
        <v>423</v>
      </c>
      <c r="M561" s="4" t="s">
        <v>207</v>
      </c>
      <c r="N561" s="4" t="s">
        <v>217</v>
      </c>
      <c r="O561" s="4" t="s">
        <v>234</v>
      </c>
    </row>
    <row r="562" spans="1:15" ht="22.5" customHeight="1" x14ac:dyDescent="0.3">
      <c r="A562" s="3">
        <v>4911296</v>
      </c>
      <c r="B562" s="3" t="s">
        <v>2424</v>
      </c>
      <c r="C562" s="3" t="s">
        <v>197</v>
      </c>
      <c r="D562" s="3" t="s">
        <v>198</v>
      </c>
      <c r="E562" s="3" t="s">
        <v>227</v>
      </c>
      <c r="F562" s="3" t="s">
        <v>200</v>
      </c>
      <c r="G562" s="3" t="s">
        <v>2425</v>
      </c>
      <c r="H562" s="3" t="s">
        <v>2426</v>
      </c>
      <c r="I562" s="3" t="s">
        <v>203</v>
      </c>
      <c r="J562" s="3" t="s">
        <v>266</v>
      </c>
      <c r="K562" s="3" t="s">
        <v>555</v>
      </c>
      <c r="L562" s="3" t="s">
        <v>2337</v>
      </c>
      <c r="M562" s="3" t="s">
        <v>207</v>
      </c>
      <c r="N562" s="3" t="s">
        <v>217</v>
      </c>
      <c r="O562" s="3" t="s">
        <v>433</v>
      </c>
    </row>
    <row r="563" spans="1:15" ht="22.5" customHeight="1" x14ac:dyDescent="0.3">
      <c r="A563" s="4">
        <v>4913930</v>
      </c>
      <c r="B563" s="4" t="s">
        <v>2427</v>
      </c>
      <c r="C563" s="4" t="s">
        <v>197</v>
      </c>
      <c r="D563" s="4" t="s">
        <v>198</v>
      </c>
      <c r="E563" s="4" t="s">
        <v>227</v>
      </c>
      <c r="F563" s="4" t="s">
        <v>200</v>
      </c>
      <c r="G563" s="4" t="s">
        <v>2428</v>
      </c>
      <c r="H563" s="4" t="s">
        <v>2429</v>
      </c>
      <c r="I563" s="4" t="s">
        <v>203</v>
      </c>
      <c r="J563" s="4" t="s">
        <v>506</v>
      </c>
      <c r="K563" s="4" t="s">
        <v>2097</v>
      </c>
      <c r="L563" s="4" t="s">
        <v>358</v>
      </c>
      <c r="M563" s="4" t="s">
        <v>207</v>
      </c>
      <c r="N563" s="4" t="s">
        <v>208</v>
      </c>
      <c r="O563" s="4" t="s">
        <v>234</v>
      </c>
    </row>
    <row r="564" spans="1:15" ht="22.5" customHeight="1" x14ac:dyDescent="0.3">
      <c r="A564" s="3">
        <v>4919033</v>
      </c>
      <c r="B564" s="3" t="s">
        <v>2430</v>
      </c>
      <c r="C564" s="3" t="s">
        <v>197</v>
      </c>
      <c r="D564" s="3" t="s">
        <v>198</v>
      </c>
      <c r="E564" s="3" t="s">
        <v>227</v>
      </c>
      <c r="F564" s="3" t="s">
        <v>200</v>
      </c>
      <c r="G564" s="3" t="s">
        <v>2431</v>
      </c>
      <c r="H564" s="3" t="s">
        <v>798</v>
      </c>
      <c r="I564" s="3" t="s">
        <v>203</v>
      </c>
      <c r="J564" s="3" t="s">
        <v>204</v>
      </c>
      <c r="K564" s="3" t="s">
        <v>452</v>
      </c>
      <c r="L564" s="3" t="s">
        <v>2432</v>
      </c>
      <c r="M564" s="3" t="s">
        <v>207</v>
      </c>
      <c r="N564" s="3" t="s">
        <v>208</v>
      </c>
      <c r="O564" s="3" t="s">
        <v>234</v>
      </c>
    </row>
    <row r="565" spans="1:15" ht="22.5" customHeight="1" x14ac:dyDescent="0.3">
      <c r="A565" s="4">
        <v>4919270</v>
      </c>
      <c r="B565" s="4" t="s">
        <v>2433</v>
      </c>
      <c r="C565" s="4" t="s">
        <v>197</v>
      </c>
      <c r="D565" s="4" t="s">
        <v>198</v>
      </c>
      <c r="E565" s="4" t="s">
        <v>227</v>
      </c>
      <c r="F565" s="4" t="s">
        <v>200</v>
      </c>
      <c r="G565" s="4" t="s">
        <v>2434</v>
      </c>
      <c r="H565" s="4" t="s">
        <v>2125</v>
      </c>
      <c r="I565" s="4" t="s">
        <v>203</v>
      </c>
      <c r="J565" s="4" t="s">
        <v>204</v>
      </c>
      <c r="K565" s="4" t="s">
        <v>2126</v>
      </c>
      <c r="L565" s="4" t="s">
        <v>2435</v>
      </c>
      <c r="M565" s="4" t="s">
        <v>207</v>
      </c>
      <c r="N565" s="4" t="s">
        <v>217</v>
      </c>
      <c r="O565" s="4" t="s">
        <v>234</v>
      </c>
    </row>
    <row r="566" spans="1:15" ht="22.5" customHeight="1" x14ac:dyDescent="0.3">
      <c r="A566" s="3">
        <v>4920740</v>
      </c>
      <c r="B566" s="3" t="s">
        <v>2436</v>
      </c>
      <c r="C566" s="3" t="s">
        <v>197</v>
      </c>
      <c r="D566" s="3" t="s">
        <v>198</v>
      </c>
      <c r="E566" s="3" t="s">
        <v>227</v>
      </c>
      <c r="F566" s="3" t="s">
        <v>200</v>
      </c>
      <c r="G566" s="3" t="s">
        <v>2437</v>
      </c>
      <c r="H566" s="3" t="s">
        <v>2438</v>
      </c>
      <c r="I566" s="3" t="s">
        <v>203</v>
      </c>
      <c r="J566" s="3" t="s">
        <v>214</v>
      </c>
      <c r="K566" s="3" t="s">
        <v>752</v>
      </c>
      <c r="L566" s="3" t="s">
        <v>2439</v>
      </c>
      <c r="M566" s="3" t="s">
        <v>245</v>
      </c>
      <c r="N566" s="3" t="s">
        <v>217</v>
      </c>
      <c r="O566" s="3" t="s">
        <v>433</v>
      </c>
    </row>
    <row r="567" spans="1:15" ht="22.5" customHeight="1" x14ac:dyDescent="0.3">
      <c r="A567" s="4">
        <v>4921151</v>
      </c>
      <c r="B567" s="4" t="s">
        <v>2440</v>
      </c>
      <c r="C567" s="4" t="s">
        <v>197</v>
      </c>
      <c r="D567" s="4" t="s">
        <v>198</v>
      </c>
      <c r="E567" s="4" t="s">
        <v>227</v>
      </c>
      <c r="F567" s="4" t="s">
        <v>200</v>
      </c>
      <c r="G567" s="4" t="s">
        <v>2441</v>
      </c>
      <c r="H567" s="4" t="s">
        <v>2442</v>
      </c>
      <c r="I567" s="4" t="s">
        <v>737</v>
      </c>
      <c r="J567" s="4" t="s">
        <v>214</v>
      </c>
      <c r="K567" s="4" t="s">
        <v>1247</v>
      </c>
      <c r="L567" s="4" t="s">
        <v>2365</v>
      </c>
      <c r="M567" s="4" t="s">
        <v>207</v>
      </c>
      <c r="N567" s="4" t="s">
        <v>217</v>
      </c>
      <c r="O567" s="4" t="s">
        <v>234</v>
      </c>
    </row>
    <row r="568" spans="1:15" ht="22.5" customHeight="1" x14ac:dyDescent="0.3">
      <c r="A568" s="3">
        <v>4921852</v>
      </c>
      <c r="B568" s="3" t="s">
        <v>2443</v>
      </c>
      <c r="C568" s="3" t="s">
        <v>197</v>
      </c>
      <c r="D568" s="3" t="s">
        <v>198</v>
      </c>
      <c r="E568" s="3" t="s">
        <v>227</v>
      </c>
      <c r="F568" s="3" t="s">
        <v>200</v>
      </c>
      <c r="G568" s="3" t="s">
        <v>2444</v>
      </c>
      <c r="H568" s="3" t="s">
        <v>2445</v>
      </c>
      <c r="I568" s="3" t="s">
        <v>203</v>
      </c>
      <c r="J568" s="3" t="s">
        <v>298</v>
      </c>
      <c r="K568" s="3" t="s">
        <v>2446</v>
      </c>
      <c r="L568" s="3" t="s">
        <v>2041</v>
      </c>
      <c r="M568" s="3" t="s">
        <v>233</v>
      </c>
      <c r="N568" s="3" t="s">
        <v>208</v>
      </c>
      <c r="O568" s="3" t="s">
        <v>418</v>
      </c>
    </row>
    <row r="569" spans="1:15" ht="22.5" customHeight="1" x14ac:dyDescent="0.3">
      <c r="A569" s="4">
        <v>4924460</v>
      </c>
      <c r="B569" s="4" t="s">
        <v>2447</v>
      </c>
      <c r="C569" s="4" t="s">
        <v>197</v>
      </c>
      <c r="D569" s="4" t="s">
        <v>198</v>
      </c>
      <c r="E569" s="4" t="s">
        <v>227</v>
      </c>
      <c r="F569" s="4" t="s">
        <v>200</v>
      </c>
      <c r="G569" s="4" t="s">
        <v>868</v>
      </c>
      <c r="H569" s="4" t="s">
        <v>2448</v>
      </c>
      <c r="I569" s="4" t="s">
        <v>203</v>
      </c>
      <c r="J569" s="4" t="s">
        <v>204</v>
      </c>
      <c r="K569" s="4" t="s">
        <v>785</v>
      </c>
      <c r="L569" s="4" t="s">
        <v>1406</v>
      </c>
      <c r="M569" s="4" t="s">
        <v>245</v>
      </c>
      <c r="N569" s="4" t="s">
        <v>217</v>
      </c>
      <c r="O569" s="4" t="s">
        <v>433</v>
      </c>
    </row>
    <row r="570" spans="1:15" ht="79.5" customHeight="1" x14ac:dyDescent="0.3">
      <c r="A570" s="3">
        <v>4927060</v>
      </c>
      <c r="B570" s="3" t="s">
        <v>2449</v>
      </c>
      <c r="C570" s="3" t="s">
        <v>197</v>
      </c>
      <c r="D570" s="3" t="s">
        <v>377</v>
      </c>
      <c r="E570" s="3" t="s">
        <v>227</v>
      </c>
      <c r="F570" s="3" t="s">
        <v>413</v>
      </c>
      <c r="G570" s="3" t="s">
        <v>756</v>
      </c>
      <c r="H570" s="3" t="s">
        <v>2450</v>
      </c>
      <c r="I570" s="3" t="s">
        <v>203</v>
      </c>
      <c r="J570" s="3" t="s">
        <v>204</v>
      </c>
      <c r="K570" s="3" t="s">
        <v>2451</v>
      </c>
      <c r="L570" s="3" t="s">
        <v>2452</v>
      </c>
      <c r="M570" s="3" t="s">
        <v>207</v>
      </c>
      <c r="N570" s="3" t="s">
        <v>217</v>
      </c>
      <c r="O570" s="3" t="s">
        <v>234</v>
      </c>
    </row>
    <row r="571" spans="1:15" ht="22.5" customHeight="1" x14ac:dyDescent="0.3">
      <c r="A571" s="4">
        <v>4928652</v>
      </c>
      <c r="B571" s="4" t="s">
        <v>2453</v>
      </c>
      <c r="C571" s="4" t="s">
        <v>197</v>
      </c>
      <c r="D571" s="4" t="s">
        <v>198</v>
      </c>
      <c r="E571" s="4" t="s">
        <v>227</v>
      </c>
      <c r="F571" s="4" t="s">
        <v>200</v>
      </c>
      <c r="G571" s="4" t="s">
        <v>2454</v>
      </c>
      <c r="H571" s="4" t="s">
        <v>2336</v>
      </c>
      <c r="I571" s="4" t="s">
        <v>203</v>
      </c>
      <c r="J571" s="4" t="s">
        <v>214</v>
      </c>
      <c r="K571" s="4" t="s">
        <v>2455</v>
      </c>
      <c r="L571" s="4" t="s">
        <v>2389</v>
      </c>
      <c r="M571" s="4" t="s">
        <v>207</v>
      </c>
      <c r="N571" s="4" t="s">
        <v>217</v>
      </c>
      <c r="O571" s="4" t="s">
        <v>234</v>
      </c>
    </row>
    <row r="572" spans="1:15" ht="57" customHeight="1" x14ac:dyDescent="0.3">
      <c r="A572" s="3">
        <v>4931289</v>
      </c>
      <c r="B572" s="3" t="s">
        <v>2456</v>
      </c>
      <c r="C572" s="3" t="s">
        <v>197</v>
      </c>
      <c r="D572" s="3" t="s">
        <v>2344</v>
      </c>
      <c r="E572" s="3" t="s">
        <v>227</v>
      </c>
      <c r="F572" s="3" t="s">
        <v>200</v>
      </c>
      <c r="G572" s="3" t="s">
        <v>2457</v>
      </c>
      <c r="H572" s="3" t="s">
        <v>2458</v>
      </c>
      <c r="I572" s="3" t="s">
        <v>203</v>
      </c>
      <c r="J572" s="3" t="s">
        <v>506</v>
      </c>
      <c r="K572" s="3" t="s">
        <v>2459</v>
      </c>
      <c r="L572" s="3" t="s">
        <v>2460</v>
      </c>
      <c r="M572" s="3" t="s">
        <v>245</v>
      </c>
      <c r="N572" s="3" t="s">
        <v>217</v>
      </c>
      <c r="O572" s="3" t="s">
        <v>234</v>
      </c>
    </row>
    <row r="573" spans="1:15" ht="22.5" customHeight="1" x14ac:dyDescent="0.3">
      <c r="A573" s="4">
        <v>4932684</v>
      </c>
      <c r="B573" s="4" t="s">
        <v>2461</v>
      </c>
      <c r="C573" s="4" t="s">
        <v>197</v>
      </c>
      <c r="D573" s="4" t="s">
        <v>198</v>
      </c>
      <c r="E573" s="4" t="s">
        <v>227</v>
      </c>
      <c r="F573" s="4" t="s">
        <v>413</v>
      </c>
      <c r="G573" s="4" t="s">
        <v>2462</v>
      </c>
      <c r="H573" s="4" t="s">
        <v>2463</v>
      </c>
      <c r="I573" s="4" t="s">
        <v>203</v>
      </c>
      <c r="J573" s="4" t="s">
        <v>298</v>
      </c>
      <c r="K573" s="4" t="s">
        <v>2464</v>
      </c>
      <c r="L573" s="4" t="s">
        <v>2465</v>
      </c>
      <c r="M573" s="4" t="s">
        <v>245</v>
      </c>
      <c r="N573" s="4" t="s">
        <v>208</v>
      </c>
      <c r="O573" s="4" t="s">
        <v>418</v>
      </c>
    </row>
    <row r="574" spans="1:15" ht="22.5" customHeight="1" x14ac:dyDescent="0.3">
      <c r="A574" s="3">
        <v>4935993</v>
      </c>
      <c r="B574" s="3" t="s">
        <v>2466</v>
      </c>
      <c r="C574" s="3" t="s">
        <v>197</v>
      </c>
      <c r="D574" s="3" t="s">
        <v>198</v>
      </c>
      <c r="E574" s="3" t="s">
        <v>227</v>
      </c>
      <c r="F574" s="3" t="s">
        <v>200</v>
      </c>
      <c r="G574" s="3" t="s">
        <v>2467</v>
      </c>
      <c r="H574" s="3" t="s">
        <v>2468</v>
      </c>
      <c r="I574" s="3" t="s">
        <v>203</v>
      </c>
      <c r="J574" s="3" t="s">
        <v>323</v>
      </c>
      <c r="K574" s="3" t="s">
        <v>967</v>
      </c>
      <c r="L574" s="3" t="s">
        <v>2469</v>
      </c>
      <c r="M574" s="3" t="s">
        <v>207</v>
      </c>
      <c r="N574" s="3" t="s">
        <v>208</v>
      </c>
      <c r="O574" s="3" t="s">
        <v>234</v>
      </c>
    </row>
    <row r="575" spans="1:15" ht="22.5" customHeight="1" x14ac:dyDescent="0.3">
      <c r="A575" s="4">
        <v>4936795</v>
      </c>
      <c r="B575" s="4" t="s">
        <v>2470</v>
      </c>
      <c r="C575" s="4" t="s">
        <v>197</v>
      </c>
      <c r="D575" s="4" t="s">
        <v>198</v>
      </c>
      <c r="E575" s="4" t="s">
        <v>227</v>
      </c>
      <c r="F575" s="4" t="s">
        <v>200</v>
      </c>
      <c r="G575" s="4" t="s">
        <v>2471</v>
      </c>
      <c r="H575" s="4" t="s">
        <v>2472</v>
      </c>
      <c r="I575" s="4" t="s">
        <v>203</v>
      </c>
      <c r="J575" s="4" t="s">
        <v>506</v>
      </c>
      <c r="K575" s="4" t="s">
        <v>685</v>
      </c>
      <c r="L575" s="4" t="s">
        <v>2473</v>
      </c>
      <c r="M575" s="4" t="s">
        <v>207</v>
      </c>
      <c r="N575" s="4" t="s">
        <v>217</v>
      </c>
      <c r="O575" s="4" t="s">
        <v>234</v>
      </c>
    </row>
    <row r="576" spans="1:15" ht="22.5" customHeight="1" x14ac:dyDescent="0.3">
      <c r="A576" s="3">
        <v>4937627</v>
      </c>
      <c r="B576" s="3" t="s">
        <v>2474</v>
      </c>
      <c r="C576" s="3" t="s">
        <v>197</v>
      </c>
      <c r="D576" s="3" t="s">
        <v>198</v>
      </c>
      <c r="E576" s="3" t="s">
        <v>227</v>
      </c>
      <c r="F576" s="3" t="s">
        <v>200</v>
      </c>
      <c r="G576" s="3" t="s">
        <v>2475</v>
      </c>
      <c r="H576" s="3" t="s">
        <v>814</v>
      </c>
      <c r="I576" s="3" t="s">
        <v>203</v>
      </c>
      <c r="J576" s="3" t="s">
        <v>214</v>
      </c>
      <c r="K576" s="3" t="s">
        <v>2240</v>
      </c>
      <c r="L576" s="3" t="s">
        <v>2473</v>
      </c>
      <c r="M576" s="3" t="s">
        <v>207</v>
      </c>
      <c r="N576" s="3" t="s">
        <v>208</v>
      </c>
      <c r="O576" s="3" t="s">
        <v>444</v>
      </c>
    </row>
    <row r="577" spans="1:15" ht="33.75" customHeight="1" x14ac:dyDescent="0.3">
      <c r="A577" s="4">
        <v>4939514</v>
      </c>
      <c r="B577" s="4" t="s">
        <v>2476</v>
      </c>
      <c r="C577" s="4" t="s">
        <v>197</v>
      </c>
      <c r="D577" s="4" t="s">
        <v>494</v>
      </c>
      <c r="E577" s="4" t="s">
        <v>227</v>
      </c>
      <c r="F577" s="4" t="s">
        <v>200</v>
      </c>
      <c r="G577" s="4" t="s">
        <v>2477</v>
      </c>
      <c r="H577" s="4" t="s">
        <v>2478</v>
      </c>
      <c r="I577" s="4" t="s">
        <v>203</v>
      </c>
      <c r="J577" s="4" t="s">
        <v>253</v>
      </c>
      <c r="K577" s="4" t="s">
        <v>422</v>
      </c>
      <c r="L577" s="4" t="s">
        <v>2473</v>
      </c>
      <c r="M577" s="4" t="s">
        <v>207</v>
      </c>
      <c r="N577" s="4" t="s">
        <v>208</v>
      </c>
      <c r="O577" s="4" t="s">
        <v>418</v>
      </c>
    </row>
    <row r="578" spans="1:15" ht="22.5" customHeight="1" x14ac:dyDescent="0.3">
      <c r="A578" s="3">
        <v>4942027</v>
      </c>
      <c r="B578" s="3" t="s">
        <v>2479</v>
      </c>
      <c r="C578" s="3" t="s">
        <v>197</v>
      </c>
      <c r="D578" s="3" t="s">
        <v>198</v>
      </c>
      <c r="E578" s="3" t="s">
        <v>227</v>
      </c>
      <c r="F578" s="3" t="s">
        <v>200</v>
      </c>
      <c r="G578" s="3" t="s">
        <v>1359</v>
      </c>
      <c r="H578" s="3" t="s">
        <v>784</v>
      </c>
      <c r="I578" s="3" t="s">
        <v>203</v>
      </c>
      <c r="J578" s="3" t="s">
        <v>204</v>
      </c>
      <c r="K578" s="3" t="s">
        <v>785</v>
      </c>
      <c r="L578" s="3" t="s">
        <v>1406</v>
      </c>
      <c r="M578" s="3" t="s">
        <v>245</v>
      </c>
      <c r="N578" s="3" t="s">
        <v>217</v>
      </c>
      <c r="O578" s="3" t="s">
        <v>418</v>
      </c>
    </row>
    <row r="579" spans="1:15" ht="22.5" customHeight="1" x14ac:dyDescent="0.3">
      <c r="A579" s="4">
        <v>4943384</v>
      </c>
      <c r="B579" s="4" t="s">
        <v>2480</v>
      </c>
      <c r="C579" s="4" t="s">
        <v>197</v>
      </c>
      <c r="D579" s="4" t="s">
        <v>198</v>
      </c>
      <c r="E579" s="4" t="s">
        <v>227</v>
      </c>
      <c r="F579" s="4" t="s">
        <v>200</v>
      </c>
      <c r="G579" s="4" t="s">
        <v>2373</v>
      </c>
      <c r="H579" s="4" t="s">
        <v>2374</v>
      </c>
      <c r="I579" s="4" t="s">
        <v>203</v>
      </c>
      <c r="J579" s="4" t="s">
        <v>323</v>
      </c>
      <c r="K579" s="4" t="s">
        <v>705</v>
      </c>
      <c r="L579" s="4" t="s">
        <v>2481</v>
      </c>
      <c r="M579" s="4" t="s">
        <v>207</v>
      </c>
      <c r="N579" s="4" t="s">
        <v>208</v>
      </c>
      <c r="O579" s="4" t="s">
        <v>433</v>
      </c>
    </row>
    <row r="580" spans="1:15" ht="22.5" customHeight="1" x14ac:dyDescent="0.3">
      <c r="A580" s="3">
        <v>4943899</v>
      </c>
      <c r="B580" s="3" t="s">
        <v>2482</v>
      </c>
      <c r="C580" s="3" t="s">
        <v>197</v>
      </c>
      <c r="D580" s="3" t="s">
        <v>198</v>
      </c>
      <c r="E580" s="3" t="s">
        <v>227</v>
      </c>
      <c r="F580" s="3" t="s">
        <v>200</v>
      </c>
      <c r="G580" s="3" t="s">
        <v>2483</v>
      </c>
      <c r="H580" s="3" t="s">
        <v>2484</v>
      </c>
      <c r="I580" s="3" t="s">
        <v>203</v>
      </c>
      <c r="J580" s="3" t="s">
        <v>204</v>
      </c>
      <c r="K580" s="3" t="s">
        <v>2485</v>
      </c>
      <c r="L580" s="3" t="s">
        <v>2486</v>
      </c>
      <c r="M580" s="3" t="s">
        <v>245</v>
      </c>
      <c r="N580" s="3" t="s">
        <v>208</v>
      </c>
      <c r="O580" s="3" t="s">
        <v>234</v>
      </c>
    </row>
    <row r="581" spans="1:15" ht="22.5" customHeight="1" x14ac:dyDescent="0.3">
      <c r="A581" s="4">
        <v>4944585</v>
      </c>
      <c r="B581" s="4" t="s">
        <v>2487</v>
      </c>
      <c r="C581" s="4" t="s">
        <v>197</v>
      </c>
      <c r="D581" s="4" t="s">
        <v>198</v>
      </c>
      <c r="E581" s="4" t="s">
        <v>227</v>
      </c>
      <c r="F581" s="4" t="s">
        <v>200</v>
      </c>
      <c r="G581" s="4" t="s">
        <v>2488</v>
      </c>
      <c r="H581" s="4" t="s">
        <v>833</v>
      </c>
      <c r="I581" s="4" t="s">
        <v>203</v>
      </c>
      <c r="J581" s="4" t="s">
        <v>329</v>
      </c>
      <c r="K581" s="4" t="s">
        <v>611</v>
      </c>
      <c r="L581" s="4" t="s">
        <v>2489</v>
      </c>
      <c r="M581" s="4" t="s">
        <v>245</v>
      </c>
      <c r="N581" s="4" t="s">
        <v>217</v>
      </c>
      <c r="O581" s="4" t="s">
        <v>433</v>
      </c>
    </row>
    <row r="582" spans="1:15" ht="33.75" customHeight="1" x14ac:dyDescent="0.3">
      <c r="A582" s="3">
        <v>4946669</v>
      </c>
      <c r="B582" s="3" t="s">
        <v>2490</v>
      </c>
      <c r="C582" s="3" t="s">
        <v>197</v>
      </c>
      <c r="D582" s="3" t="s">
        <v>1132</v>
      </c>
      <c r="E582" s="3" t="s">
        <v>227</v>
      </c>
      <c r="F582" s="3" t="s">
        <v>413</v>
      </c>
      <c r="G582" s="3" t="s">
        <v>2491</v>
      </c>
      <c r="H582" s="3" t="s">
        <v>2492</v>
      </c>
      <c r="I582" s="3" t="s">
        <v>203</v>
      </c>
      <c r="J582" s="3" t="s">
        <v>506</v>
      </c>
      <c r="K582" s="3" t="s">
        <v>2493</v>
      </c>
      <c r="L582" s="3" t="s">
        <v>2494</v>
      </c>
      <c r="M582" s="3" t="s">
        <v>245</v>
      </c>
      <c r="N582" s="3" t="s">
        <v>217</v>
      </c>
      <c r="O582" s="3" t="s">
        <v>418</v>
      </c>
    </row>
    <row r="583" spans="1:15" ht="22.5" customHeight="1" x14ac:dyDescent="0.3">
      <c r="A583" s="4">
        <v>4947444</v>
      </c>
      <c r="B583" s="4" t="s">
        <v>2495</v>
      </c>
      <c r="C583" s="4" t="s">
        <v>197</v>
      </c>
      <c r="D583" s="4" t="s">
        <v>198</v>
      </c>
      <c r="E583" s="4" t="s">
        <v>608</v>
      </c>
      <c r="F583" s="4" t="s">
        <v>200</v>
      </c>
      <c r="G583" s="4" t="s">
        <v>1079</v>
      </c>
      <c r="H583" s="4" t="s">
        <v>2496</v>
      </c>
      <c r="I583" s="4" t="s">
        <v>203</v>
      </c>
      <c r="J583" s="4" t="s">
        <v>223</v>
      </c>
      <c r="K583" s="4" t="s">
        <v>2497</v>
      </c>
      <c r="L583" s="4" t="s">
        <v>2498</v>
      </c>
      <c r="M583" s="4" t="s">
        <v>233</v>
      </c>
      <c r="N583" s="4" t="s">
        <v>217</v>
      </c>
      <c r="O583" s="4" t="s">
        <v>1929</v>
      </c>
    </row>
    <row r="584" spans="1:15" ht="22.5" customHeight="1" x14ac:dyDescent="0.3">
      <c r="A584" s="3">
        <v>4948440</v>
      </c>
      <c r="B584" s="3" t="s">
        <v>2499</v>
      </c>
      <c r="C584" s="3" t="s">
        <v>197</v>
      </c>
      <c r="D584" s="3" t="s">
        <v>198</v>
      </c>
      <c r="E584" s="3" t="s">
        <v>227</v>
      </c>
      <c r="F584" s="3" t="s">
        <v>578</v>
      </c>
      <c r="G584" s="3" t="s">
        <v>2500</v>
      </c>
      <c r="H584" s="3" t="s">
        <v>2501</v>
      </c>
      <c r="I584" s="3" t="s">
        <v>203</v>
      </c>
      <c r="J584" s="3" t="s">
        <v>329</v>
      </c>
      <c r="K584" s="3" t="s">
        <v>789</v>
      </c>
      <c r="L584" s="3" t="s">
        <v>2489</v>
      </c>
      <c r="M584" s="3" t="s">
        <v>245</v>
      </c>
      <c r="N584" s="3" t="s">
        <v>208</v>
      </c>
      <c r="O584" s="3" t="s">
        <v>418</v>
      </c>
    </row>
    <row r="585" spans="1:15" ht="22.5" customHeight="1" x14ac:dyDescent="0.3">
      <c r="A585" s="4">
        <v>4950119</v>
      </c>
      <c r="B585" s="4" t="s">
        <v>2502</v>
      </c>
      <c r="C585" s="4" t="s">
        <v>197</v>
      </c>
      <c r="D585" s="4" t="s">
        <v>198</v>
      </c>
      <c r="E585" s="4" t="s">
        <v>227</v>
      </c>
      <c r="F585" s="4" t="s">
        <v>578</v>
      </c>
      <c r="G585" s="4" t="s">
        <v>2503</v>
      </c>
      <c r="H585" s="4" t="s">
        <v>2504</v>
      </c>
      <c r="I585" s="4" t="s">
        <v>203</v>
      </c>
      <c r="J585" s="4" t="s">
        <v>506</v>
      </c>
      <c r="K585" s="4" t="s">
        <v>1574</v>
      </c>
      <c r="L585" s="4" t="s">
        <v>2494</v>
      </c>
      <c r="M585" s="4" t="s">
        <v>245</v>
      </c>
      <c r="N585" s="4" t="s">
        <v>208</v>
      </c>
      <c r="O585" s="4" t="s">
        <v>433</v>
      </c>
    </row>
    <row r="586" spans="1:15" ht="22.5" customHeight="1" x14ac:dyDescent="0.3">
      <c r="A586" s="3">
        <v>4952464</v>
      </c>
      <c r="B586" s="3" t="s">
        <v>2505</v>
      </c>
      <c r="C586" s="3" t="s">
        <v>197</v>
      </c>
      <c r="D586" s="3" t="s">
        <v>198</v>
      </c>
      <c r="E586" s="3" t="s">
        <v>227</v>
      </c>
      <c r="F586" s="3" t="s">
        <v>200</v>
      </c>
      <c r="G586" s="3" t="s">
        <v>2506</v>
      </c>
      <c r="H586" s="3" t="s">
        <v>2507</v>
      </c>
      <c r="I586" s="3" t="s">
        <v>203</v>
      </c>
      <c r="J586" s="3" t="s">
        <v>329</v>
      </c>
      <c r="K586" s="3" t="s">
        <v>2508</v>
      </c>
      <c r="L586" s="3" t="s">
        <v>2509</v>
      </c>
      <c r="M586" s="3" t="s">
        <v>245</v>
      </c>
      <c r="N586" s="3" t="s">
        <v>217</v>
      </c>
      <c r="O586" s="3" t="s">
        <v>433</v>
      </c>
    </row>
    <row r="587" spans="1:15" ht="22.5" customHeight="1" x14ac:dyDescent="0.3">
      <c r="A587" s="4">
        <v>4953312</v>
      </c>
      <c r="B587" s="4" t="s">
        <v>2510</v>
      </c>
      <c r="C587" s="4" t="s">
        <v>197</v>
      </c>
      <c r="D587" s="4" t="s">
        <v>198</v>
      </c>
      <c r="E587" s="4" t="s">
        <v>227</v>
      </c>
      <c r="F587" s="4" t="s">
        <v>200</v>
      </c>
      <c r="G587" s="4" t="s">
        <v>2511</v>
      </c>
      <c r="H587" s="4" t="s">
        <v>2512</v>
      </c>
      <c r="I587" s="4" t="s">
        <v>203</v>
      </c>
      <c r="J587" s="4" t="s">
        <v>214</v>
      </c>
      <c r="K587" s="4" t="s">
        <v>1624</v>
      </c>
      <c r="L587" s="4" t="s">
        <v>2041</v>
      </c>
      <c r="M587" s="4" t="s">
        <v>207</v>
      </c>
      <c r="N587" s="4" t="s">
        <v>217</v>
      </c>
      <c r="O587" s="4" t="s">
        <v>234</v>
      </c>
    </row>
    <row r="588" spans="1:15" ht="22.5" customHeight="1" x14ac:dyDescent="0.3">
      <c r="A588" s="3">
        <v>4955943</v>
      </c>
      <c r="B588" s="3" t="s">
        <v>2513</v>
      </c>
      <c r="C588" s="3" t="s">
        <v>197</v>
      </c>
      <c r="D588" s="3" t="s">
        <v>198</v>
      </c>
      <c r="E588" s="3" t="s">
        <v>227</v>
      </c>
      <c r="F588" s="3" t="s">
        <v>200</v>
      </c>
      <c r="G588" s="3" t="s">
        <v>2514</v>
      </c>
      <c r="H588" s="3" t="s">
        <v>2515</v>
      </c>
      <c r="I588" s="3" t="s">
        <v>203</v>
      </c>
      <c r="J588" s="3" t="s">
        <v>204</v>
      </c>
      <c r="K588" s="3" t="s">
        <v>2516</v>
      </c>
      <c r="L588" s="3" t="s">
        <v>2517</v>
      </c>
      <c r="M588" s="3" t="s">
        <v>207</v>
      </c>
      <c r="N588" s="3" t="s">
        <v>217</v>
      </c>
      <c r="O588" s="3" t="s">
        <v>234</v>
      </c>
    </row>
    <row r="589" spans="1:15" ht="22.5" customHeight="1" x14ac:dyDescent="0.3">
      <c r="A589" s="4">
        <v>4960351</v>
      </c>
      <c r="B589" s="4" t="s">
        <v>2518</v>
      </c>
      <c r="C589" s="4" t="s">
        <v>197</v>
      </c>
      <c r="D589" s="4" t="s">
        <v>198</v>
      </c>
      <c r="E589" s="4" t="s">
        <v>227</v>
      </c>
      <c r="F589" s="4" t="s">
        <v>200</v>
      </c>
      <c r="G589" s="4" t="s">
        <v>2519</v>
      </c>
      <c r="H589" s="4" t="s">
        <v>2520</v>
      </c>
      <c r="I589" s="4" t="s">
        <v>203</v>
      </c>
      <c r="J589" s="4" t="s">
        <v>298</v>
      </c>
      <c r="K589" s="4" t="s">
        <v>2521</v>
      </c>
      <c r="L589" s="4" t="s">
        <v>2522</v>
      </c>
      <c r="M589" s="4" t="s">
        <v>245</v>
      </c>
      <c r="N589" s="4" t="s">
        <v>217</v>
      </c>
      <c r="O589" s="4" t="s">
        <v>418</v>
      </c>
    </row>
    <row r="590" spans="1:15" ht="22.5" customHeight="1" x14ac:dyDescent="0.3">
      <c r="A590" s="3">
        <v>4961153</v>
      </c>
      <c r="B590" s="3" t="s">
        <v>2523</v>
      </c>
      <c r="C590" s="3" t="s">
        <v>197</v>
      </c>
      <c r="D590" s="3" t="s">
        <v>198</v>
      </c>
      <c r="E590" s="3" t="s">
        <v>227</v>
      </c>
      <c r="F590" s="3" t="s">
        <v>200</v>
      </c>
      <c r="G590" s="3" t="s">
        <v>1749</v>
      </c>
      <c r="H590" s="3" t="s">
        <v>1750</v>
      </c>
      <c r="I590" s="3" t="s">
        <v>203</v>
      </c>
      <c r="J590" s="3" t="s">
        <v>204</v>
      </c>
      <c r="K590" s="3" t="s">
        <v>1364</v>
      </c>
      <c r="L590" s="3" t="s">
        <v>2522</v>
      </c>
      <c r="M590" s="3" t="s">
        <v>245</v>
      </c>
      <c r="N590" s="3" t="s">
        <v>208</v>
      </c>
      <c r="O590" s="3" t="s">
        <v>234</v>
      </c>
    </row>
    <row r="591" spans="1:15" ht="22.5" customHeight="1" x14ac:dyDescent="0.3">
      <c r="A591" s="4">
        <v>4963105</v>
      </c>
      <c r="B591" s="4" t="s">
        <v>2524</v>
      </c>
      <c r="C591" s="4" t="s">
        <v>197</v>
      </c>
      <c r="D591" s="4" t="s">
        <v>198</v>
      </c>
      <c r="E591" s="4" t="s">
        <v>227</v>
      </c>
      <c r="F591" s="4" t="s">
        <v>200</v>
      </c>
      <c r="G591" s="4" t="s">
        <v>2525</v>
      </c>
      <c r="H591" s="4" t="s">
        <v>2526</v>
      </c>
      <c r="I591" s="4" t="s">
        <v>203</v>
      </c>
      <c r="J591" s="4" t="s">
        <v>204</v>
      </c>
      <c r="K591" s="4" t="s">
        <v>1215</v>
      </c>
      <c r="L591" s="4" t="s">
        <v>724</v>
      </c>
      <c r="M591" s="4" t="s">
        <v>2330</v>
      </c>
      <c r="N591" s="4" t="s">
        <v>208</v>
      </c>
      <c r="O591" s="4" t="s">
        <v>234</v>
      </c>
    </row>
    <row r="592" spans="1:15" ht="22.5" customHeight="1" x14ac:dyDescent="0.3">
      <c r="A592" s="3">
        <v>4963873</v>
      </c>
      <c r="B592" s="3" t="s">
        <v>2527</v>
      </c>
      <c r="C592" s="3" t="s">
        <v>197</v>
      </c>
      <c r="D592" s="3" t="s">
        <v>198</v>
      </c>
      <c r="E592" s="3" t="s">
        <v>227</v>
      </c>
      <c r="F592" s="3" t="s">
        <v>200</v>
      </c>
      <c r="G592" s="3" t="s">
        <v>2528</v>
      </c>
      <c r="H592" s="3" t="s">
        <v>2039</v>
      </c>
      <c r="I592" s="3" t="s">
        <v>203</v>
      </c>
      <c r="J592" s="3" t="s">
        <v>214</v>
      </c>
      <c r="K592" s="3" t="s">
        <v>2040</v>
      </c>
      <c r="L592" s="3" t="s">
        <v>2529</v>
      </c>
      <c r="M592" s="3" t="s">
        <v>207</v>
      </c>
      <c r="N592" s="3" t="s">
        <v>217</v>
      </c>
      <c r="O592" s="3" t="s">
        <v>234</v>
      </c>
    </row>
    <row r="593" spans="1:15" ht="22.5" customHeight="1" x14ac:dyDescent="0.3">
      <c r="A593" s="4">
        <v>4965175</v>
      </c>
      <c r="B593" s="4" t="s">
        <v>2530</v>
      </c>
      <c r="C593" s="4" t="s">
        <v>197</v>
      </c>
      <c r="D593" s="4" t="s">
        <v>198</v>
      </c>
      <c r="E593" s="4" t="s">
        <v>608</v>
      </c>
      <c r="F593" s="4" t="s">
        <v>200</v>
      </c>
      <c r="G593" s="4" t="s">
        <v>2531</v>
      </c>
      <c r="H593" s="4" t="s">
        <v>2532</v>
      </c>
      <c r="I593" s="4" t="s">
        <v>203</v>
      </c>
      <c r="J593" s="4" t="s">
        <v>506</v>
      </c>
      <c r="K593" s="4" t="s">
        <v>540</v>
      </c>
      <c r="L593" s="4" t="s">
        <v>2432</v>
      </c>
      <c r="M593" s="4" t="s">
        <v>245</v>
      </c>
      <c r="N593" s="4" t="s">
        <v>208</v>
      </c>
      <c r="O593" s="4" t="s">
        <v>613</v>
      </c>
    </row>
    <row r="594" spans="1:15" ht="22.5" customHeight="1" x14ac:dyDescent="0.3">
      <c r="A594" s="3">
        <v>4966724</v>
      </c>
      <c r="B594" s="3" t="s">
        <v>2533</v>
      </c>
      <c r="C594" s="3" t="s">
        <v>197</v>
      </c>
      <c r="D594" s="3" t="s">
        <v>198</v>
      </c>
      <c r="E594" s="3" t="s">
        <v>227</v>
      </c>
      <c r="F594" s="3" t="s">
        <v>200</v>
      </c>
      <c r="G594" s="3" t="s">
        <v>2534</v>
      </c>
      <c r="H594" s="3" t="s">
        <v>2535</v>
      </c>
      <c r="I594" s="3" t="s">
        <v>203</v>
      </c>
      <c r="J594" s="3" t="s">
        <v>506</v>
      </c>
      <c r="K594" s="3" t="s">
        <v>690</v>
      </c>
      <c r="L594" s="3" t="s">
        <v>2522</v>
      </c>
      <c r="M594" s="3" t="s">
        <v>207</v>
      </c>
      <c r="N594" s="3" t="s">
        <v>208</v>
      </c>
      <c r="O594" s="3" t="s">
        <v>433</v>
      </c>
    </row>
    <row r="595" spans="1:15" ht="22.5" customHeight="1" x14ac:dyDescent="0.3">
      <c r="A595" s="4">
        <v>4967305</v>
      </c>
      <c r="B595" s="4" t="s">
        <v>2536</v>
      </c>
      <c r="C595" s="4" t="s">
        <v>197</v>
      </c>
      <c r="D595" s="4" t="s">
        <v>198</v>
      </c>
      <c r="E595" s="4" t="s">
        <v>227</v>
      </c>
      <c r="F595" s="4" t="s">
        <v>200</v>
      </c>
      <c r="G595" s="4" t="s">
        <v>2537</v>
      </c>
      <c r="H595" s="4" t="s">
        <v>2538</v>
      </c>
      <c r="I595" s="4" t="s">
        <v>203</v>
      </c>
      <c r="J595" s="4" t="s">
        <v>223</v>
      </c>
      <c r="K595" s="4" t="s">
        <v>2539</v>
      </c>
      <c r="L595" s="4" t="s">
        <v>261</v>
      </c>
      <c r="M595" s="4" t="s">
        <v>207</v>
      </c>
      <c r="N595" s="4" t="s">
        <v>217</v>
      </c>
      <c r="O595" s="4" t="s">
        <v>234</v>
      </c>
    </row>
    <row r="596" spans="1:15" ht="22.5" customHeight="1" x14ac:dyDescent="0.3">
      <c r="A596" s="3">
        <v>4970497</v>
      </c>
      <c r="B596" s="3" t="s">
        <v>2540</v>
      </c>
      <c r="C596" s="3" t="s">
        <v>197</v>
      </c>
      <c r="D596" s="3"/>
      <c r="E596" s="3" t="s">
        <v>227</v>
      </c>
      <c r="F596" s="3" t="s">
        <v>200</v>
      </c>
      <c r="G596" s="3" t="s">
        <v>2541</v>
      </c>
      <c r="H596" s="3" t="s">
        <v>2538</v>
      </c>
      <c r="I596" s="3" t="s">
        <v>203</v>
      </c>
      <c r="J596" s="3" t="s">
        <v>223</v>
      </c>
      <c r="K596" s="3" t="s">
        <v>2539</v>
      </c>
      <c r="L596" s="3" t="s">
        <v>2542</v>
      </c>
      <c r="M596" s="3" t="s">
        <v>207</v>
      </c>
      <c r="N596" s="3" t="s">
        <v>217</v>
      </c>
      <c r="O596" s="3" t="s">
        <v>234</v>
      </c>
    </row>
    <row r="597" spans="1:15" ht="22.5" customHeight="1" x14ac:dyDescent="0.3">
      <c r="A597" s="4">
        <v>4974298</v>
      </c>
      <c r="B597" s="4" t="s">
        <v>2543</v>
      </c>
      <c r="C597" s="4" t="s">
        <v>197</v>
      </c>
      <c r="D597" s="4" t="s">
        <v>198</v>
      </c>
      <c r="E597" s="4" t="s">
        <v>227</v>
      </c>
      <c r="F597" s="4" t="s">
        <v>200</v>
      </c>
      <c r="G597" s="4" t="s">
        <v>2544</v>
      </c>
      <c r="H597" s="4" t="s">
        <v>1368</v>
      </c>
      <c r="I597" s="4" t="s">
        <v>203</v>
      </c>
      <c r="J597" s="4" t="s">
        <v>204</v>
      </c>
      <c r="K597" s="4" t="s">
        <v>1045</v>
      </c>
      <c r="L597" s="4" t="s">
        <v>2375</v>
      </c>
      <c r="M597" s="4" t="s">
        <v>207</v>
      </c>
      <c r="N597" s="4" t="s">
        <v>208</v>
      </c>
      <c r="O597" s="4" t="s">
        <v>234</v>
      </c>
    </row>
    <row r="598" spans="1:15" ht="22.5" customHeight="1" x14ac:dyDescent="0.3">
      <c r="A598" s="3">
        <v>4975278</v>
      </c>
      <c r="B598" s="3" t="s">
        <v>2545</v>
      </c>
      <c r="C598" s="3" t="s">
        <v>197</v>
      </c>
      <c r="D598" s="3" t="s">
        <v>198</v>
      </c>
      <c r="E598" s="3" t="s">
        <v>227</v>
      </c>
      <c r="F598" s="3" t="s">
        <v>200</v>
      </c>
      <c r="G598" s="3" t="s">
        <v>2546</v>
      </c>
      <c r="H598" s="3" t="s">
        <v>2547</v>
      </c>
      <c r="I598" s="3" t="s">
        <v>203</v>
      </c>
      <c r="J598" s="3" t="s">
        <v>345</v>
      </c>
      <c r="K598" s="3" t="s">
        <v>594</v>
      </c>
      <c r="L598" s="3" t="s">
        <v>1437</v>
      </c>
      <c r="M598" s="3" t="s">
        <v>207</v>
      </c>
      <c r="N598" s="3" t="s">
        <v>217</v>
      </c>
      <c r="O598" s="3" t="s">
        <v>234</v>
      </c>
    </row>
    <row r="599" spans="1:15" ht="33.75" customHeight="1" x14ac:dyDescent="0.3">
      <c r="A599" s="4">
        <v>4983394</v>
      </c>
      <c r="B599" s="4" t="s">
        <v>2548</v>
      </c>
      <c r="C599" s="4" t="s">
        <v>197</v>
      </c>
      <c r="D599" s="4" t="s">
        <v>1132</v>
      </c>
      <c r="E599" s="4" t="s">
        <v>227</v>
      </c>
      <c r="F599" s="4" t="s">
        <v>413</v>
      </c>
      <c r="G599" s="4" t="s">
        <v>2549</v>
      </c>
      <c r="H599" s="4" t="s">
        <v>2550</v>
      </c>
      <c r="I599" s="4" t="s">
        <v>203</v>
      </c>
      <c r="J599" s="4" t="s">
        <v>316</v>
      </c>
      <c r="K599" s="4" t="s">
        <v>2551</v>
      </c>
      <c r="L599" s="4" t="s">
        <v>2486</v>
      </c>
      <c r="M599" s="4" t="s">
        <v>207</v>
      </c>
      <c r="N599" s="4" t="s">
        <v>217</v>
      </c>
      <c r="O599" s="4" t="s">
        <v>234</v>
      </c>
    </row>
    <row r="600" spans="1:15" ht="22.5" customHeight="1" x14ac:dyDescent="0.3">
      <c r="A600" s="3">
        <v>4991583</v>
      </c>
      <c r="B600" s="3" t="s">
        <v>2552</v>
      </c>
      <c r="C600" s="3" t="s">
        <v>197</v>
      </c>
      <c r="D600" s="3" t="s">
        <v>198</v>
      </c>
      <c r="E600" s="3" t="s">
        <v>227</v>
      </c>
      <c r="F600" s="3" t="s">
        <v>200</v>
      </c>
      <c r="G600" s="3" t="s">
        <v>2553</v>
      </c>
      <c r="H600" s="3" t="s">
        <v>2554</v>
      </c>
      <c r="I600" s="3" t="s">
        <v>203</v>
      </c>
      <c r="J600" s="3" t="s">
        <v>323</v>
      </c>
      <c r="K600" s="3" t="s">
        <v>1142</v>
      </c>
      <c r="L600" s="3" t="s">
        <v>352</v>
      </c>
      <c r="M600" s="3" t="s">
        <v>245</v>
      </c>
      <c r="N600" s="3" t="s">
        <v>217</v>
      </c>
      <c r="O600" s="3" t="s">
        <v>234</v>
      </c>
    </row>
    <row r="601" spans="1:15" ht="22.5" customHeight="1" x14ac:dyDescent="0.3">
      <c r="A601" s="4">
        <v>4991656</v>
      </c>
      <c r="B601" s="4" t="s">
        <v>2555</v>
      </c>
      <c r="C601" s="4" t="s">
        <v>197</v>
      </c>
      <c r="D601" s="4" t="s">
        <v>198</v>
      </c>
      <c r="E601" s="4" t="s">
        <v>227</v>
      </c>
      <c r="F601" s="4" t="s">
        <v>200</v>
      </c>
      <c r="G601" s="4" t="s">
        <v>2556</v>
      </c>
      <c r="H601" s="4" t="s">
        <v>921</v>
      </c>
      <c r="I601" s="4" t="s">
        <v>203</v>
      </c>
      <c r="J601" s="4" t="s">
        <v>214</v>
      </c>
      <c r="K601" s="4" t="s">
        <v>2557</v>
      </c>
      <c r="L601" s="4" t="s">
        <v>2558</v>
      </c>
      <c r="M601" s="4" t="s">
        <v>207</v>
      </c>
      <c r="N601" s="4" t="s">
        <v>208</v>
      </c>
      <c r="O601" s="4" t="s">
        <v>234</v>
      </c>
    </row>
    <row r="602" spans="1:15" ht="79.5" customHeight="1" x14ac:dyDescent="0.3">
      <c r="A602" s="3">
        <v>4994868</v>
      </c>
      <c r="B602" s="3" t="s">
        <v>2559</v>
      </c>
      <c r="C602" s="3" t="s">
        <v>197</v>
      </c>
      <c r="D602" s="3" t="s">
        <v>2358</v>
      </c>
      <c r="E602" s="3" t="s">
        <v>227</v>
      </c>
      <c r="F602" s="3" t="s">
        <v>200</v>
      </c>
      <c r="G602" s="3" t="s">
        <v>2560</v>
      </c>
      <c r="H602" s="3" t="s">
        <v>784</v>
      </c>
      <c r="I602" s="3" t="s">
        <v>203</v>
      </c>
      <c r="J602" s="3" t="s">
        <v>204</v>
      </c>
      <c r="K602" s="3" t="s">
        <v>1067</v>
      </c>
      <c r="L602" s="3" t="s">
        <v>2041</v>
      </c>
      <c r="M602" s="3" t="s">
        <v>207</v>
      </c>
      <c r="N602" s="3" t="s">
        <v>208</v>
      </c>
      <c r="O602" s="3" t="s">
        <v>418</v>
      </c>
    </row>
    <row r="603" spans="1:15" ht="22.5" customHeight="1" x14ac:dyDescent="0.3">
      <c r="A603" s="4">
        <v>4995058</v>
      </c>
      <c r="B603" s="4" t="s">
        <v>2561</v>
      </c>
      <c r="C603" s="4" t="s">
        <v>197</v>
      </c>
      <c r="D603" s="4" t="s">
        <v>198</v>
      </c>
      <c r="E603" s="4" t="s">
        <v>227</v>
      </c>
      <c r="F603" s="4" t="s">
        <v>200</v>
      </c>
      <c r="G603" s="4" t="s">
        <v>2562</v>
      </c>
      <c r="H603" s="4" t="s">
        <v>2563</v>
      </c>
      <c r="I603" s="4" t="s">
        <v>203</v>
      </c>
      <c r="J603" s="4" t="s">
        <v>506</v>
      </c>
      <c r="K603" s="4" t="s">
        <v>507</v>
      </c>
      <c r="L603" s="4" t="s">
        <v>2564</v>
      </c>
      <c r="M603" s="4" t="s">
        <v>207</v>
      </c>
      <c r="N603" s="4" t="s">
        <v>208</v>
      </c>
      <c r="O603" s="4" t="s">
        <v>433</v>
      </c>
    </row>
    <row r="604" spans="1:15" ht="22.5" customHeight="1" x14ac:dyDescent="0.3">
      <c r="A604" s="3">
        <v>4998332</v>
      </c>
      <c r="B604" s="3" t="s">
        <v>2565</v>
      </c>
      <c r="C604" s="3" t="s">
        <v>197</v>
      </c>
      <c r="D604" s="3" t="s">
        <v>198</v>
      </c>
      <c r="E604" s="3" t="s">
        <v>227</v>
      </c>
      <c r="F604" s="3" t="s">
        <v>200</v>
      </c>
      <c r="G604" s="3" t="s">
        <v>2566</v>
      </c>
      <c r="H604" s="3" t="s">
        <v>2567</v>
      </c>
      <c r="I604" s="3" t="s">
        <v>203</v>
      </c>
      <c r="J604" s="3" t="s">
        <v>204</v>
      </c>
      <c r="K604" s="3" t="s">
        <v>2264</v>
      </c>
      <c r="L604" s="3" t="s">
        <v>2568</v>
      </c>
      <c r="M604" s="3" t="s">
        <v>207</v>
      </c>
      <c r="N604" s="3" t="s">
        <v>208</v>
      </c>
      <c r="O604" s="3" t="s">
        <v>234</v>
      </c>
    </row>
    <row r="605" spans="1:15" ht="22.5" customHeight="1" x14ac:dyDescent="0.3">
      <c r="A605" s="4">
        <v>5001439</v>
      </c>
      <c r="B605" s="4" t="s">
        <v>2569</v>
      </c>
      <c r="C605" s="4" t="s">
        <v>197</v>
      </c>
      <c r="D605" s="4" t="s">
        <v>198</v>
      </c>
      <c r="E605" s="4" t="s">
        <v>227</v>
      </c>
      <c r="F605" s="4" t="s">
        <v>200</v>
      </c>
      <c r="G605" s="4" t="s">
        <v>1580</v>
      </c>
      <c r="H605" s="4" t="s">
        <v>1581</v>
      </c>
      <c r="I605" s="4" t="s">
        <v>203</v>
      </c>
      <c r="J605" s="4" t="s">
        <v>204</v>
      </c>
      <c r="K605" s="4" t="s">
        <v>2570</v>
      </c>
      <c r="L605" s="4" t="s">
        <v>383</v>
      </c>
      <c r="M605" s="4" t="s">
        <v>245</v>
      </c>
      <c r="N605" s="4" t="s">
        <v>208</v>
      </c>
      <c r="O605" s="4" t="s">
        <v>418</v>
      </c>
    </row>
    <row r="606" spans="1:15" ht="22.5" customHeight="1" x14ac:dyDescent="0.3">
      <c r="A606" s="3">
        <v>5004918</v>
      </c>
      <c r="B606" s="3" t="s">
        <v>2571</v>
      </c>
      <c r="C606" s="3" t="s">
        <v>197</v>
      </c>
      <c r="D606" s="3" t="s">
        <v>198</v>
      </c>
      <c r="E606" s="3" t="s">
        <v>227</v>
      </c>
      <c r="F606" s="3" t="s">
        <v>200</v>
      </c>
      <c r="G606" s="3" t="s">
        <v>553</v>
      </c>
      <c r="H606" s="3" t="s">
        <v>2572</v>
      </c>
      <c r="I606" s="3" t="s">
        <v>203</v>
      </c>
      <c r="J606" s="3" t="s">
        <v>345</v>
      </c>
      <c r="K606" s="3" t="s">
        <v>594</v>
      </c>
      <c r="L606" s="3" t="s">
        <v>2573</v>
      </c>
      <c r="M606" s="3" t="s">
        <v>207</v>
      </c>
      <c r="N606" s="3" t="s">
        <v>208</v>
      </c>
      <c r="O606" s="3" t="s">
        <v>234</v>
      </c>
    </row>
    <row r="607" spans="1:15" ht="22.5" customHeight="1" x14ac:dyDescent="0.3">
      <c r="A607" s="4">
        <v>5008832</v>
      </c>
      <c r="B607" s="4" t="s">
        <v>2574</v>
      </c>
      <c r="C607" s="4" t="s">
        <v>197</v>
      </c>
      <c r="D607" s="4" t="s">
        <v>198</v>
      </c>
      <c r="E607" s="4" t="s">
        <v>227</v>
      </c>
      <c r="F607" s="4" t="s">
        <v>200</v>
      </c>
      <c r="G607" s="4" t="s">
        <v>2575</v>
      </c>
      <c r="H607" s="4" t="s">
        <v>650</v>
      </c>
      <c r="I607" s="4" t="s">
        <v>203</v>
      </c>
      <c r="J607" s="4" t="s">
        <v>266</v>
      </c>
      <c r="K607" s="4" t="s">
        <v>2576</v>
      </c>
      <c r="L607" s="4" t="s">
        <v>2041</v>
      </c>
      <c r="M607" s="4" t="s">
        <v>207</v>
      </c>
      <c r="N607" s="4" t="s">
        <v>217</v>
      </c>
      <c r="O607" s="4" t="s">
        <v>418</v>
      </c>
    </row>
    <row r="608" spans="1:15" ht="22.5" customHeight="1" x14ac:dyDescent="0.3">
      <c r="A608" s="3">
        <v>5012457</v>
      </c>
      <c r="B608" s="3" t="s">
        <v>2577</v>
      </c>
      <c r="C608" s="3" t="s">
        <v>197</v>
      </c>
      <c r="D608" s="3" t="s">
        <v>198</v>
      </c>
      <c r="E608" s="3" t="s">
        <v>227</v>
      </c>
      <c r="F608" s="3" t="s">
        <v>200</v>
      </c>
      <c r="G608" s="3" t="s">
        <v>2578</v>
      </c>
      <c r="H608" s="3" t="s">
        <v>1440</v>
      </c>
      <c r="I608" s="3" t="s">
        <v>203</v>
      </c>
      <c r="J608" s="3" t="s">
        <v>214</v>
      </c>
      <c r="K608" s="3" t="s">
        <v>922</v>
      </c>
      <c r="L608" s="3" t="s">
        <v>2041</v>
      </c>
      <c r="M608" s="3" t="s">
        <v>207</v>
      </c>
      <c r="N608" s="3" t="s">
        <v>217</v>
      </c>
      <c r="O608" s="3" t="s">
        <v>418</v>
      </c>
    </row>
    <row r="609" spans="1:15" ht="57" customHeight="1" x14ac:dyDescent="0.3">
      <c r="A609" s="4">
        <v>5013569</v>
      </c>
      <c r="B609" s="4" t="s">
        <v>2579</v>
      </c>
      <c r="C609" s="4" t="s">
        <v>197</v>
      </c>
      <c r="D609" s="4" t="s">
        <v>342</v>
      </c>
      <c r="E609" s="4" t="s">
        <v>227</v>
      </c>
      <c r="F609" s="4" t="s">
        <v>200</v>
      </c>
      <c r="G609" s="4" t="s">
        <v>2580</v>
      </c>
      <c r="H609" s="4" t="s">
        <v>2581</v>
      </c>
      <c r="I609" s="4" t="s">
        <v>203</v>
      </c>
      <c r="J609" s="4" t="s">
        <v>223</v>
      </c>
      <c r="K609" s="4" t="s">
        <v>2582</v>
      </c>
      <c r="L609" s="4" t="s">
        <v>1612</v>
      </c>
      <c r="M609" s="4" t="s">
        <v>245</v>
      </c>
      <c r="N609" s="4" t="s">
        <v>217</v>
      </c>
      <c r="O609" s="4" t="s">
        <v>444</v>
      </c>
    </row>
    <row r="610" spans="1:15" ht="22.5" customHeight="1" x14ac:dyDescent="0.3">
      <c r="A610" s="3">
        <v>5017629</v>
      </c>
      <c r="B610" s="3" t="s">
        <v>2583</v>
      </c>
      <c r="C610" s="3" t="s">
        <v>197</v>
      </c>
      <c r="D610" s="3" t="s">
        <v>198</v>
      </c>
      <c r="E610" s="3" t="s">
        <v>227</v>
      </c>
      <c r="F610" s="3" t="s">
        <v>200</v>
      </c>
      <c r="G610" s="3" t="s">
        <v>2584</v>
      </c>
      <c r="H610" s="3" t="s">
        <v>2117</v>
      </c>
      <c r="I610" s="3" t="s">
        <v>203</v>
      </c>
      <c r="J610" s="3" t="s">
        <v>204</v>
      </c>
      <c r="K610" s="3" t="s">
        <v>1369</v>
      </c>
      <c r="L610" s="3" t="s">
        <v>2585</v>
      </c>
      <c r="M610" s="3" t="s">
        <v>207</v>
      </c>
      <c r="N610" s="3" t="s">
        <v>217</v>
      </c>
      <c r="O610" s="3" t="s">
        <v>234</v>
      </c>
    </row>
    <row r="611" spans="1:15" ht="22.5" customHeight="1" x14ac:dyDescent="0.3">
      <c r="A611" s="4">
        <v>5018692</v>
      </c>
      <c r="B611" s="4" t="s">
        <v>2586</v>
      </c>
      <c r="C611" s="4" t="s">
        <v>197</v>
      </c>
      <c r="D611" s="4" t="s">
        <v>198</v>
      </c>
      <c r="E611" s="4" t="s">
        <v>227</v>
      </c>
      <c r="F611" s="4" t="s">
        <v>200</v>
      </c>
      <c r="G611" s="4" t="s">
        <v>2587</v>
      </c>
      <c r="H611" s="4" t="s">
        <v>2588</v>
      </c>
      <c r="I611" s="4" t="s">
        <v>203</v>
      </c>
      <c r="J611" s="4" t="s">
        <v>266</v>
      </c>
      <c r="K611" s="4" t="s">
        <v>1031</v>
      </c>
      <c r="L611" s="4" t="s">
        <v>1662</v>
      </c>
      <c r="M611" s="4" t="s">
        <v>207</v>
      </c>
      <c r="N611" s="4" t="s">
        <v>217</v>
      </c>
      <c r="O611" s="4" t="s">
        <v>418</v>
      </c>
    </row>
    <row r="612" spans="1:15" ht="33.75" customHeight="1" x14ac:dyDescent="0.3">
      <c r="A612" s="3">
        <v>5020964</v>
      </c>
      <c r="B612" s="3" t="s">
        <v>2589</v>
      </c>
      <c r="C612" s="3" t="s">
        <v>197</v>
      </c>
      <c r="D612" s="3" t="s">
        <v>220</v>
      </c>
      <c r="E612" s="3" t="s">
        <v>227</v>
      </c>
      <c r="F612" s="3" t="s">
        <v>200</v>
      </c>
      <c r="G612" s="3" t="s">
        <v>2590</v>
      </c>
      <c r="H612" s="3" t="s">
        <v>2591</v>
      </c>
      <c r="I612" s="3" t="s">
        <v>203</v>
      </c>
      <c r="J612" s="3" t="s">
        <v>214</v>
      </c>
      <c r="K612" s="3" t="s">
        <v>2592</v>
      </c>
      <c r="L612" s="3" t="s">
        <v>2481</v>
      </c>
      <c r="M612" s="3" t="s">
        <v>207</v>
      </c>
      <c r="N612" s="3" t="s">
        <v>217</v>
      </c>
      <c r="O612" s="3" t="s">
        <v>433</v>
      </c>
    </row>
    <row r="613" spans="1:15" ht="22.5" customHeight="1" x14ac:dyDescent="0.3">
      <c r="A613" s="4">
        <v>5022290</v>
      </c>
      <c r="B613" s="4" t="s">
        <v>2593</v>
      </c>
      <c r="C613" s="4" t="s">
        <v>197</v>
      </c>
      <c r="D613" s="4" t="s">
        <v>198</v>
      </c>
      <c r="E613" s="4" t="s">
        <v>227</v>
      </c>
      <c r="F613" s="4" t="s">
        <v>200</v>
      </c>
      <c r="G613" s="4" t="s">
        <v>2594</v>
      </c>
      <c r="H613" s="4" t="s">
        <v>2595</v>
      </c>
      <c r="I613" s="4" t="s">
        <v>203</v>
      </c>
      <c r="J613" s="4" t="s">
        <v>223</v>
      </c>
      <c r="K613" s="4" t="s">
        <v>2596</v>
      </c>
      <c r="L613" s="4" t="s">
        <v>2597</v>
      </c>
      <c r="M613" s="4" t="s">
        <v>207</v>
      </c>
      <c r="N613" s="4" t="s">
        <v>208</v>
      </c>
      <c r="O613" s="4" t="s">
        <v>234</v>
      </c>
    </row>
    <row r="614" spans="1:15" ht="22.5" customHeight="1" x14ac:dyDescent="0.3">
      <c r="A614" s="3">
        <v>5027535</v>
      </c>
      <c r="B614" s="3" t="s">
        <v>2598</v>
      </c>
      <c r="C614" s="3" t="s">
        <v>197</v>
      </c>
      <c r="D614" s="3" t="s">
        <v>198</v>
      </c>
      <c r="E614" s="3" t="s">
        <v>227</v>
      </c>
      <c r="F614" s="3" t="s">
        <v>200</v>
      </c>
      <c r="G614" s="3" t="s">
        <v>2599</v>
      </c>
      <c r="H614" s="3" t="s">
        <v>2600</v>
      </c>
      <c r="I614" s="3" t="s">
        <v>203</v>
      </c>
      <c r="J614" s="3" t="s">
        <v>266</v>
      </c>
      <c r="K614" s="3" t="s">
        <v>442</v>
      </c>
      <c r="L614" s="3" t="s">
        <v>2481</v>
      </c>
      <c r="M614" s="3" t="s">
        <v>207</v>
      </c>
      <c r="N614" s="3" t="s">
        <v>208</v>
      </c>
      <c r="O614" s="3" t="s">
        <v>234</v>
      </c>
    </row>
    <row r="615" spans="1:15" ht="22.5" customHeight="1" x14ac:dyDescent="0.3">
      <c r="A615" s="4">
        <v>5029775</v>
      </c>
      <c r="B615" s="4" t="s">
        <v>2601</v>
      </c>
      <c r="C615" s="4" t="s">
        <v>197</v>
      </c>
      <c r="D615" s="4" t="s">
        <v>693</v>
      </c>
      <c r="E615" s="4" t="s">
        <v>227</v>
      </c>
      <c r="F615" s="4" t="s">
        <v>413</v>
      </c>
      <c r="G615" s="4" t="s">
        <v>1335</v>
      </c>
      <c r="H615" s="4" t="s">
        <v>1346</v>
      </c>
      <c r="I615" s="4" t="s">
        <v>203</v>
      </c>
      <c r="J615" s="4" t="s">
        <v>253</v>
      </c>
      <c r="K615" s="4" t="s">
        <v>1337</v>
      </c>
      <c r="L615" s="4" t="s">
        <v>2481</v>
      </c>
      <c r="M615" s="4" t="s">
        <v>207</v>
      </c>
      <c r="N615" s="4" t="s">
        <v>217</v>
      </c>
      <c r="O615" s="4" t="s">
        <v>433</v>
      </c>
    </row>
    <row r="616" spans="1:15" ht="57" customHeight="1" x14ac:dyDescent="0.3">
      <c r="A616" s="3">
        <v>5030374</v>
      </c>
      <c r="B616" s="3" t="s">
        <v>2602</v>
      </c>
      <c r="C616" s="3" t="s">
        <v>197</v>
      </c>
      <c r="D616" s="3" t="s">
        <v>2603</v>
      </c>
      <c r="E616" s="3" t="s">
        <v>227</v>
      </c>
      <c r="F616" s="3" t="s">
        <v>413</v>
      </c>
      <c r="G616" s="3" t="s">
        <v>2604</v>
      </c>
      <c r="H616" s="3" t="s">
        <v>2605</v>
      </c>
      <c r="I616" s="3" t="s">
        <v>203</v>
      </c>
      <c r="J616" s="3" t="s">
        <v>316</v>
      </c>
      <c r="K616" s="3" t="s">
        <v>2551</v>
      </c>
      <c r="L616" s="3" t="s">
        <v>2606</v>
      </c>
      <c r="M616" s="3" t="s">
        <v>207</v>
      </c>
      <c r="N616" s="3" t="s">
        <v>208</v>
      </c>
      <c r="O616" s="3" t="s">
        <v>234</v>
      </c>
    </row>
    <row r="617" spans="1:15" ht="22.5" customHeight="1" x14ac:dyDescent="0.3">
      <c r="A617" s="4">
        <v>5030722</v>
      </c>
      <c r="B617" s="4" t="s">
        <v>2607</v>
      </c>
      <c r="C617" s="4" t="s">
        <v>197</v>
      </c>
      <c r="D617" s="4" t="s">
        <v>198</v>
      </c>
      <c r="E617" s="4" t="s">
        <v>227</v>
      </c>
      <c r="F617" s="4" t="s">
        <v>200</v>
      </c>
      <c r="G617" s="4" t="s">
        <v>2608</v>
      </c>
      <c r="H617" s="4" t="s">
        <v>2609</v>
      </c>
      <c r="I617" s="4" t="s">
        <v>203</v>
      </c>
      <c r="J617" s="4" t="s">
        <v>323</v>
      </c>
      <c r="K617" s="4" t="s">
        <v>2610</v>
      </c>
      <c r="L617" s="4" t="s">
        <v>2481</v>
      </c>
      <c r="M617" s="4" t="s">
        <v>233</v>
      </c>
      <c r="N617" s="4" t="s">
        <v>208</v>
      </c>
      <c r="O617" s="4" t="s">
        <v>433</v>
      </c>
    </row>
    <row r="618" spans="1:15" ht="22.5" customHeight="1" x14ac:dyDescent="0.3">
      <c r="A618" s="3">
        <v>5036445</v>
      </c>
      <c r="B618" s="3" t="s">
        <v>2611</v>
      </c>
      <c r="C618" s="3" t="s">
        <v>197</v>
      </c>
      <c r="D618" s="3" t="s">
        <v>198</v>
      </c>
      <c r="E618" s="3" t="s">
        <v>227</v>
      </c>
      <c r="F618" s="3" t="s">
        <v>200</v>
      </c>
      <c r="G618" s="3" t="s">
        <v>2612</v>
      </c>
      <c r="H618" s="3" t="s">
        <v>2613</v>
      </c>
      <c r="I618" s="3" t="s">
        <v>203</v>
      </c>
      <c r="J618" s="3" t="s">
        <v>204</v>
      </c>
      <c r="K618" s="3" t="s">
        <v>452</v>
      </c>
      <c r="L618" s="3" t="s">
        <v>2614</v>
      </c>
      <c r="M618" s="3" t="s">
        <v>207</v>
      </c>
      <c r="N618" s="3" t="s">
        <v>208</v>
      </c>
      <c r="O618" s="3" t="s">
        <v>234</v>
      </c>
    </row>
    <row r="619" spans="1:15" ht="22.5" customHeight="1" x14ac:dyDescent="0.3">
      <c r="A619" s="4">
        <v>5036976</v>
      </c>
      <c r="B619" s="4" t="s">
        <v>2615</v>
      </c>
      <c r="C619" s="4" t="s">
        <v>197</v>
      </c>
      <c r="D619" s="4" t="s">
        <v>198</v>
      </c>
      <c r="E619" s="4" t="s">
        <v>227</v>
      </c>
      <c r="F619" s="4" t="s">
        <v>200</v>
      </c>
      <c r="G619" s="4" t="s">
        <v>2616</v>
      </c>
      <c r="H619" s="4" t="s">
        <v>2617</v>
      </c>
      <c r="I619" s="4" t="s">
        <v>203</v>
      </c>
      <c r="J619" s="4" t="s">
        <v>298</v>
      </c>
      <c r="K619" s="4" t="s">
        <v>2618</v>
      </c>
      <c r="L619" s="4" t="s">
        <v>2619</v>
      </c>
      <c r="M619" s="4" t="s">
        <v>207</v>
      </c>
      <c r="N619" s="4" t="s">
        <v>208</v>
      </c>
      <c r="O619" s="4" t="s">
        <v>234</v>
      </c>
    </row>
    <row r="620" spans="1:15" ht="22.5" customHeight="1" x14ac:dyDescent="0.3">
      <c r="A620" s="3">
        <v>5041260</v>
      </c>
      <c r="B620" s="3" t="s">
        <v>2620</v>
      </c>
      <c r="C620" s="3" t="s">
        <v>197</v>
      </c>
      <c r="D620" s="3" t="s">
        <v>198</v>
      </c>
      <c r="E620" s="3" t="s">
        <v>227</v>
      </c>
      <c r="F620" s="3" t="s">
        <v>200</v>
      </c>
      <c r="G620" s="3" t="s">
        <v>2534</v>
      </c>
      <c r="H620" s="3" t="s">
        <v>2535</v>
      </c>
      <c r="I620" s="3" t="s">
        <v>203</v>
      </c>
      <c r="J620" s="3" t="s">
        <v>506</v>
      </c>
      <c r="K620" s="3" t="s">
        <v>2621</v>
      </c>
      <c r="L620" s="3" t="s">
        <v>2622</v>
      </c>
      <c r="M620" s="3" t="s">
        <v>207</v>
      </c>
      <c r="N620" s="3" t="s">
        <v>217</v>
      </c>
      <c r="O620" s="3" t="s">
        <v>234</v>
      </c>
    </row>
    <row r="621" spans="1:15" ht="22.5" customHeight="1" x14ac:dyDescent="0.3">
      <c r="A621" s="4">
        <v>5043050</v>
      </c>
      <c r="B621" s="4" t="s">
        <v>2623</v>
      </c>
      <c r="C621" s="4" t="s">
        <v>197</v>
      </c>
      <c r="D621" s="4" t="s">
        <v>198</v>
      </c>
      <c r="E621" s="4" t="s">
        <v>227</v>
      </c>
      <c r="F621" s="4" t="s">
        <v>200</v>
      </c>
      <c r="G621" s="4" t="s">
        <v>2142</v>
      </c>
      <c r="H621" s="4" t="s">
        <v>2143</v>
      </c>
      <c r="I621" s="4" t="s">
        <v>737</v>
      </c>
      <c r="J621" s="4" t="s">
        <v>214</v>
      </c>
      <c r="K621" s="4" t="s">
        <v>1857</v>
      </c>
      <c r="L621" s="4" t="s">
        <v>2573</v>
      </c>
      <c r="M621" s="4" t="s">
        <v>245</v>
      </c>
      <c r="N621" s="4" t="s">
        <v>208</v>
      </c>
      <c r="O621" s="4" t="s">
        <v>433</v>
      </c>
    </row>
    <row r="622" spans="1:15" ht="22.5" customHeight="1" x14ac:dyDescent="0.3">
      <c r="A622" s="3">
        <v>5043174</v>
      </c>
      <c r="B622" s="3" t="s">
        <v>2624</v>
      </c>
      <c r="C622" s="3" t="s">
        <v>197</v>
      </c>
      <c r="D622" s="3" t="s">
        <v>198</v>
      </c>
      <c r="E622" s="3" t="s">
        <v>227</v>
      </c>
      <c r="F622" s="3" t="s">
        <v>200</v>
      </c>
      <c r="G622" s="3" t="s">
        <v>2625</v>
      </c>
      <c r="H622" s="3" t="s">
        <v>2626</v>
      </c>
      <c r="I622" s="3" t="s">
        <v>203</v>
      </c>
      <c r="J622" s="3" t="s">
        <v>266</v>
      </c>
      <c r="K622" s="3" t="s">
        <v>442</v>
      </c>
      <c r="L622" s="3" t="s">
        <v>2573</v>
      </c>
      <c r="M622" s="3" t="s">
        <v>207</v>
      </c>
      <c r="N622" s="3" t="s">
        <v>217</v>
      </c>
      <c r="O622" s="3" t="s">
        <v>418</v>
      </c>
    </row>
    <row r="623" spans="1:15" ht="22.5" customHeight="1" x14ac:dyDescent="0.3">
      <c r="A623" s="4">
        <v>5053625</v>
      </c>
      <c r="B623" s="4" t="s">
        <v>2627</v>
      </c>
      <c r="C623" s="4" t="s">
        <v>197</v>
      </c>
      <c r="D623" s="4" t="s">
        <v>198</v>
      </c>
      <c r="E623" s="4" t="s">
        <v>227</v>
      </c>
      <c r="F623" s="4" t="s">
        <v>200</v>
      </c>
      <c r="G623" s="4" t="s">
        <v>2628</v>
      </c>
      <c r="H623" s="4" t="s">
        <v>2629</v>
      </c>
      <c r="I623" s="4" t="s">
        <v>203</v>
      </c>
      <c r="J623" s="4" t="s">
        <v>323</v>
      </c>
      <c r="K623" s="4" t="s">
        <v>982</v>
      </c>
      <c r="L623" s="4" t="s">
        <v>1989</v>
      </c>
      <c r="M623" s="4" t="s">
        <v>207</v>
      </c>
      <c r="N623" s="4" t="s">
        <v>217</v>
      </c>
      <c r="O623" s="4" t="s">
        <v>234</v>
      </c>
    </row>
    <row r="624" spans="1:15" ht="22.5" customHeight="1" x14ac:dyDescent="0.3">
      <c r="A624" s="3">
        <v>5056837</v>
      </c>
      <c r="B624" s="3" t="s">
        <v>2630</v>
      </c>
      <c r="C624" s="3" t="s">
        <v>197</v>
      </c>
      <c r="D624" s="3" t="s">
        <v>198</v>
      </c>
      <c r="E624" s="3" t="s">
        <v>227</v>
      </c>
      <c r="F624" s="3" t="s">
        <v>578</v>
      </c>
      <c r="G624" s="3" t="s">
        <v>2631</v>
      </c>
      <c r="H624" s="3" t="s">
        <v>2632</v>
      </c>
      <c r="I624" s="3" t="s">
        <v>203</v>
      </c>
      <c r="J624" s="3" t="s">
        <v>204</v>
      </c>
      <c r="K624" s="3" t="s">
        <v>1369</v>
      </c>
      <c r="L624" s="3" t="s">
        <v>2633</v>
      </c>
      <c r="M624" s="3" t="s">
        <v>207</v>
      </c>
      <c r="N624" s="3" t="s">
        <v>217</v>
      </c>
      <c r="O624" s="3" t="s">
        <v>234</v>
      </c>
    </row>
    <row r="625" spans="1:15" ht="22.5" customHeight="1" x14ac:dyDescent="0.3">
      <c r="A625" s="4">
        <v>5057019</v>
      </c>
      <c r="B625" s="4" t="s">
        <v>2634</v>
      </c>
      <c r="C625" s="4" t="s">
        <v>197</v>
      </c>
      <c r="D625" s="4" t="s">
        <v>198</v>
      </c>
      <c r="E625" s="4" t="s">
        <v>227</v>
      </c>
      <c r="F625" s="4" t="s">
        <v>200</v>
      </c>
      <c r="G625" s="4" t="s">
        <v>2635</v>
      </c>
      <c r="H625" s="4" t="s">
        <v>1246</v>
      </c>
      <c r="I625" s="4" t="s">
        <v>203</v>
      </c>
      <c r="J625" s="4" t="s">
        <v>214</v>
      </c>
      <c r="K625" s="4" t="s">
        <v>747</v>
      </c>
      <c r="L625" s="4" t="s">
        <v>2329</v>
      </c>
      <c r="M625" s="4" t="s">
        <v>207</v>
      </c>
      <c r="N625" s="4" t="s">
        <v>217</v>
      </c>
      <c r="O625" s="4" t="s">
        <v>234</v>
      </c>
    </row>
    <row r="626" spans="1:15" ht="22.5" customHeight="1" x14ac:dyDescent="0.3">
      <c r="A626" s="3">
        <v>5060761</v>
      </c>
      <c r="B626" s="3" t="s">
        <v>2636</v>
      </c>
      <c r="C626" s="3" t="s">
        <v>197</v>
      </c>
      <c r="D626" s="3" t="s">
        <v>198</v>
      </c>
      <c r="E626" s="3" t="s">
        <v>227</v>
      </c>
      <c r="F626" s="3" t="s">
        <v>200</v>
      </c>
      <c r="G626" s="3" t="s">
        <v>2637</v>
      </c>
      <c r="H626" s="3" t="s">
        <v>1691</v>
      </c>
      <c r="I626" s="3" t="s">
        <v>203</v>
      </c>
      <c r="J626" s="3" t="s">
        <v>214</v>
      </c>
      <c r="K626" s="3" t="s">
        <v>1234</v>
      </c>
      <c r="L626" s="3" t="s">
        <v>1989</v>
      </c>
      <c r="M626" s="3" t="s">
        <v>207</v>
      </c>
      <c r="N626" s="3" t="s">
        <v>208</v>
      </c>
      <c r="O626" s="3" t="s">
        <v>234</v>
      </c>
    </row>
    <row r="627" spans="1:15" ht="33.75" customHeight="1" x14ac:dyDescent="0.3">
      <c r="A627" s="4">
        <v>5061040</v>
      </c>
      <c r="B627" s="4" t="s">
        <v>2638</v>
      </c>
      <c r="C627" s="4" t="s">
        <v>197</v>
      </c>
      <c r="D627" s="4" t="s">
        <v>220</v>
      </c>
      <c r="E627" s="4" t="s">
        <v>227</v>
      </c>
      <c r="F627" s="4" t="s">
        <v>413</v>
      </c>
      <c r="G627" s="4" t="s">
        <v>756</v>
      </c>
      <c r="H627" s="4" t="s">
        <v>2639</v>
      </c>
      <c r="I627" s="4" t="s">
        <v>203</v>
      </c>
      <c r="J627" s="4" t="s">
        <v>323</v>
      </c>
      <c r="K627" s="4" t="s">
        <v>324</v>
      </c>
      <c r="L627" s="4" t="s">
        <v>1989</v>
      </c>
      <c r="M627" s="4" t="s">
        <v>233</v>
      </c>
      <c r="N627" s="4" t="s">
        <v>217</v>
      </c>
      <c r="O627" s="4" t="s">
        <v>234</v>
      </c>
    </row>
    <row r="628" spans="1:15" ht="33.75" customHeight="1" x14ac:dyDescent="0.3">
      <c r="A628" s="3">
        <v>5061725</v>
      </c>
      <c r="B628" s="3" t="s">
        <v>2640</v>
      </c>
      <c r="C628" s="3" t="s">
        <v>197</v>
      </c>
      <c r="D628" s="3" t="s">
        <v>220</v>
      </c>
      <c r="E628" s="3" t="s">
        <v>227</v>
      </c>
      <c r="F628" s="3" t="s">
        <v>888</v>
      </c>
      <c r="G628" s="3" t="s">
        <v>2641</v>
      </c>
      <c r="H628" s="3" t="s">
        <v>2642</v>
      </c>
      <c r="I628" s="3" t="s">
        <v>203</v>
      </c>
      <c r="J628" s="3" t="s">
        <v>204</v>
      </c>
      <c r="K628" s="3" t="s">
        <v>2643</v>
      </c>
      <c r="L628" s="3" t="s">
        <v>2644</v>
      </c>
      <c r="M628" s="3" t="s">
        <v>207</v>
      </c>
      <c r="N628" s="3" t="s">
        <v>208</v>
      </c>
      <c r="O628" s="3" t="s">
        <v>433</v>
      </c>
    </row>
    <row r="629" spans="1:15" ht="22.5" customHeight="1" x14ac:dyDescent="0.3">
      <c r="A629" s="4">
        <v>5062667</v>
      </c>
      <c r="B629" s="4" t="s">
        <v>2645</v>
      </c>
      <c r="C629" s="4" t="s">
        <v>197</v>
      </c>
      <c r="D629" s="4" t="s">
        <v>198</v>
      </c>
      <c r="E629" s="4" t="s">
        <v>227</v>
      </c>
      <c r="F629" s="4" t="s">
        <v>200</v>
      </c>
      <c r="G629" s="4" t="s">
        <v>2646</v>
      </c>
      <c r="H629" s="4" t="s">
        <v>2647</v>
      </c>
      <c r="I629" s="4" t="s">
        <v>203</v>
      </c>
      <c r="J629" s="4" t="s">
        <v>298</v>
      </c>
      <c r="K629" s="4" t="s">
        <v>2162</v>
      </c>
      <c r="L629" s="4" t="s">
        <v>331</v>
      </c>
      <c r="M629" s="4" t="s">
        <v>207</v>
      </c>
      <c r="N629" s="4" t="s">
        <v>217</v>
      </c>
      <c r="O629" s="4" t="s">
        <v>234</v>
      </c>
    </row>
    <row r="630" spans="1:15" ht="79.5" customHeight="1" x14ac:dyDescent="0.3">
      <c r="A630" s="3">
        <v>5065267</v>
      </c>
      <c r="B630" s="3" t="s">
        <v>2648</v>
      </c>
      <c r="C630" s="3" t="s">
        <v>197</v>
      </c>
      <c r="D630" s="3" t="s">
        <v>2649</v>
      </c>
      <c r="E630" s="3" t="s">
        <v>227</v>
      </c>
      <c r="F630" s="3" t="s">
        <v>200</v>
      </c>
      <c r="G630" s="3" t="s">
        <v>2650</v>
      </c>
      <c r="H630" s="3" t="s">
        <v>995</v>
      </c>
      <c r="I630" s="3" t="s">
        <v>203</v>
      </c>
      <c r="J630" s="3" t="s">
        <v>329</v>
      </c>
      <c r="K630" s="3" t="s">
        <v>953</v>
      </c>
      <c r="L630" s="3" t="s">
        <v>331</v>
      </c>
      <c r="M630" s="3" t="s">
        <v>207</v>
      </c>
      <c r="N630" s="3" t="s">
        <v>217</v>
      </c>
      <c r="O630" s="3" t="s">
        <v>418</v>
      </c>
    </row>
    <row r="631" spans="1:15" ht="33.75" customHeight="1" x14ac:dyDescent="0.3">
      <c r="A631" s="4">
        <v>5066964</v>
      </c>
      <c r="B631" s="4" t="s">
        <v>2651</v>
      </c>
      <c r="C631" s="4" t="s">
        <v>197</v>
      </c>
      <c r="D631" s="4" t="s">
        <v>796</v>
      </c>
      <c r="E631" s="4" t="s">
        <v>227</v>
      </c>
      <c r="F631" s="4" t="s">
        <v>200</v>
      </c>
      <c r="G631" s="4" t="s">
        <v>2652</v>
      </c>
      <c r="H631" s="4" t="s">
        <v>2653</v>
      </c>
      <c r="I631" s="4" t="s">
        <v>203</v>
      </c>
      <c r="J631" s="4" t="s">
        <v>323</v>
      </c>
      <c r="K631" s="4" t="s">
        <v>1919</v>
      </c>
      <c r="L631" s="4" t="s">
        <v>2654</v>
      </c>
      <c r="M631" s="4" t="s">
        <v>207</v>
      </c>
      <c r="N631" s="4" t="s">
        <v>208</v>
      </c>
      <c r="O631" s="4" t="s">
        <v>234</v>
      </c>
    </row>
    <row r="632" spans="1:15" ht="22.5" customHeight="1" x14ac:dyDescent="0.3">
      <c r="A632" s="3">
        <v>5068649</v>
      </c>
      <c r="B632" s="3" t="s">
        <v>2655</v>
      </c>
      <c r="C632" s="3" t="s">
        <v>197</v>
      </c>
      <c r="D632" s="3" t="s">
        <v>198</v>
      </c>
      <c r="E632" s="3" t="s">
        <v>227</v>
      </c>
      <c r="F632" s="3" t="s">
        <v>200</v>
      </c>
      <c r="G632" s="3" t="s">
        <v>2656</v>
      </c>
      <c r="H632" s="3" t="s">
        <v>2657</v>
      </c>
      <c r="I632" s="3" t="s">
        <v>203</v>
      </c>
      <c r="J632" s="3" t="s">
        <v>253</v>
      </c>
      <c r="K632" s="3" t="s">
        <v>2658</v>
      </c>
      <c r="L632" s="3" t="s">
        <v>2659</v>
      </c>
      <c r="M632" s="3" t="s">
        <v>207</v>
      </c>
      <c r="N632" s="3" t="s">
        <v>208</v>
      </c>
      <c r="O632" s="3" t="s">
        <v>433</v>
      </c>
    </row>
    <row r="633" spans="1:15" ht="33.75" customHeight="1" x14ac:dyDescent="0.3">
      <c r="A633" s="4">
        <v>5068924</v>
      </c>
      <c r="B633" s="4" t="s">
        <v>2660</v>
      </c>
      <c r="C633" s="4" t="s">
        <v>197</v>
      </c>
      <c r="D633" s="4" t="s">
        <v>198</v>
      </c>
      <c r="E633" s="4" t="s">
        <v>227</v>
      </c>
      <c r="F633" s="4" t="s">
        <v>888</v>
      </c>
      <c r="G633" s="4" t="s">
        <v>2661</v>
      </c>
      <c r="H633" s="4" t="s">
        <v>2662</v>
      </c>
      <c r="I633" s="4" t="s">
        <v>203</v>
      </c>
      <c r="J633" s="4" t="s">
        <v>204</v>
      </c>
      <c r="K633" s="4" t="s">
        <v>2663</v>
      </c>
      <c r="L633" s="4" t="s">
        <v>2664</v>
      </c>
      <c r="M633" s="4" t="s">
        <v>207</v>
      </c>
      <c r="N633" s="4" t="s">
        <v>208</v>
      </c>
      <c r="O633" s="4" t="s">
        <v>444</v>
      </c>
    </row>
    <row r="634" spans="1:15" ht="22.5" customHeight="1" x14ac:dyDescent="0.3">
      <c r="A634" s="3">
        <v>5069939</v>
      </c>
      <c r="B634" s="3" t="s">
        <v>2665</v>
      </c>
      <c r="C634" s="3" t="s">
        <v>197</v>
      </c>
      <c r="D634" s="3" t="s">
        <v>198</v>
      </c>
      <c r="E634" s="3" t="s">
        <v>227</v>
      </c>
      <c r="F634" s="3" t="s">
        <v>200</v>
      </c>
      <c r="G634" s="3" t="s">
        <v>2666</v>
      </c>
      <c r="H634" s="3" t="s">
        <v>2667</v>
      </c>
      <c r="I634" s="3" t="s">
        <v>203</v>
      </c>
      <c r="J634" s="3" t="s">
        <v>214</v>
      </c>
      <c r="K634" s="3" t="s">
        <v>2040</v>
      </c>
      <c r="L634" s="3" t="s">
        <v>2668</v>
      </c>
      <c r="M634" s="3" t="s">
        <v>207</v>
      </c>
      <c r="N634" s="3" t="s">
        <v>208</v>
      </c>
      <c r="O634" s="3" t="s">
        <v>234</v>
      </c>
    </row>
    <row r="635" spans="1:15" ht="22.5" customHeight="1" x14ac:dyDescent="0.3">
      <c r="A635" s="4">
        <v>5070244</v>
      </c>
      <c r="B635" s="4" t="s">
        <v>2669</v>
      </c>
      <c r="C635" s="4" t="s">
        <v>197</v>
      </c>
      <c r="D635" s="4" t="s">
        <v>198</v>
      </c>
      <c r="E635" s="4" t="s">
        <v>227</v>
      </c>
      <c r="F635" s="4" t="s">
        <v>200</v>
      </c>
      <c r="G635" s="4" t="s">
        <v>2670</v>
      </c>
      <c r="H635" s="4" t="s">
        <v>2671</v>
      </c>
      <c r="I635" s="4" t="s">
        <v>737</v>
      </c>
      <c r="J635" s="4" t="s">
        <v>214</v>
      </c>
      <c r="K635" s="4" t="s">
        <v>1247</v>
      </c>
      <c r="L635" s="4" t="s">
        <v>2558</v>
      </c>
      <c r="M635" s="4" t="s">
        <v>207</v>
      </c>
      <c r="N635" s="4" t="s">
        <v>217</v>
      </c>
      <c r="O635" s="4" t="s">
        <v>234</v>
      </c>
    </row>
    <row r="636" spans="1:15" ht="22.5" customHeight="1" x14ac:dyDescent="0.3">
      <c r="A636" s="3">
        <v>5071151</v>
      </c>
      <c r="B636" s="3" t="s">
        <v>2672</v>
      </c>
      <c r="C636" s="3" t="s">
        <v>197</v>
      </c>
      <c r="D636" s="3" t="s">
        <v>198</v>
      </c>
      <c r="E636" s="3" t="s">
        <v>227</v>
      </c>
      <c r="F636" s="3" t="s">
        <v>200</v>
      </c>
      <c r="G636" s="3" t="s">
        <v>2673</v>
      </c>
      <c r="H636" s="3" t="s">
        <v>2512</v>
      </c>
      <c r="I636" s="3" t="s">
        <v>203</v>
      </c>
      <c r="J636" s="3" t="s">
        <v>214</v>
      </c>
      <c r="K636" s="3" t="s">
        <v>1624</v>
      </c>
      <c r="L636" s="3" t="s">
        <v>2674</v>
      </c>
      <c r="M636" s="3" t="s">
        <v>207</v>
      </c>
      <c r="N636" s="3" t="s">
        <v>217</v>
      </c>
      <c r="O636" s="3" t="s">
        <v>234</v>
      </c>
    </row>
    <row r="637" spans="1:15" ht="33.75" customHeight="1" x14ac:dyDescent="0.3">
      <c r="A637" s="4">
        <v>5072638</v>
      </c>
      <c r="B637" s="4" t="s">
        <v>2675</v>
      </c>
      <c r="C637" s="4" t="s">
        <v>197</v>
      </c>
      <c r="D637" s="4" t="s">
        <v>827</v>
      </c>
      <c r="E637" s="4" t="s">
        <v>227</v>
      </c>
      <c r="F637" s="4" t="s">
        <v>200</v>
      </c>
      <c r="G637" s="4" t="s">
        <v>2676</v>
      </c>
      <c r="H637" s="4" t="s">
        <v>1481</v>
      </c>
      <c r="I637" s="4" t="s">
        <v>203</v>
      </c>
      <c r="J637" s="4" t="s">
        <v>323</v>
      </c>
      <c r="K637" s="4" t="s">
        <v>2677</v>
      </c>
      <c r="L637" s="4" t="s">
        <v>2678</v>
      </c>
      <c r="M637" s="4" t="s">
        <v>207</v>
      </c>
      <c r="N637" s="4" t="s">
        <v>217</v>
      </c>
      <c r="O637" s="4" t="s">
        <v>234</v>
      </c>
    </row>
    <row r="638" spans="1:15" ht="79.5" customHeight="1" x14ac:dyDescent="0.3">
      <c r="A638" s="3">
        <v>5074258</v>
      </c>
      <c r="B638" s="3" t="s">
        <v>2679</v>
      </c>
      <c r="C638" s="3" t="s">
        <v>197</v>
      </c>
      <c r="D638" s="3" t="s">
        <v>548</v>
      </c>
      <c r="E638" s="3" t="s">
        <v>227</v>
      </c>
      <c r="F638" s="3" t="s">
        <v>200</v>
      </c>
      <c r="G638" s="3" t="s">
        <v>2680</v>
      </c>
      <c r="H638" s="3" t="s">
        <v>2681</v>
      </c>
      <c r="I638" s="3" t="s">
        <v>203</v>
      </c>
      <c r="J638" s="3" t="s">
        <v>298</v>
      </c>
      <c r="K638" s="3" t="s">
        <v>299</v>
      </c>
      <c r="L638" s="3" t="s">
        <v>2585</v>
      </c>
      <c r="M638" s="3" t="s">
        <v>207</v>
      </c>
      <c r="N638" s="3" t="s">
        <v>217</v>
      </c>
      <c r="O638" s="3" t="s">
        <v>433</v>
      </c>
    </row>
    <row r="639" spans="1:15" ht="22.5" customHeight="1" x14ac:dyDescent="0.3">
      <c r="A639" s="4">
        <v>5076234</v>
      </c>
      <c r="B639" s="4" t="s">
        <v>2682</v>
      </c>
      <c r="C639" s="4" t="s">
        <v>197</v>
      </c>
      <c r="D639" s="4" t="s">
        <v>198</v>
      </c>
      <c r="E639" s="4" t="s">
        <v>227</v>
      </c>
      <c r="F639" s="4" t="s">
        <v>200</v>
      </c>
      <c r="G639" s="4" t="s">
        <v>1020</v>
      </c>
      <c r="H639" s="4" t="s">
        <v>2683</v>
      </c>
      <c r="I639" s="4" t="s">
        <v>203</v>
      </c>
      <c r="J639" s="4" t="s">
        <v>214</v>
      </c>
      <c r="K639" s="4" t="s">
        <v>482</v>
      </c>
      <c r="L639" s="4" t="s">
        <v>2684</v>
      </c>
      <c r="M639" s="4" t="s">
        <v>207</v>
      </c>
      <c r="N639" s="4" t="s">
        <v>208</v>
      </c>
      <c r="O639" s="4" t="s">
        <v>234</v>
      </c>
    </row>
    <row r="640" spans="1:15" ht="22.5" customHeight="1" x14ac:dyDescent="0.3">
      <c r="A640" s="3">
        <v>5079888</v>
      </c>
      <c r="B640" s="3" t="s">
        <v>2685</v>
      </c>
      <c r="C640" s="3" t="s">
        <v>197</v>
      </c>
      <c r="D640" s="3" t="s">
        <v>198</v>
      </c>
      <c r="E640" s="3" t="s">
        <v>227</v>
      </c>
      <c r="F640" s="3" t="s">
        <v>200</v>
      </c>
      <c r="G640" s="3" t="s">
        <v>920</v>
      </c>
      <c r="H640" s="3" t="s">
        <v>921</v>
      </c>
      <c r="I640" s="3" t="s">
        <v>737</v>
      </c>
      <c r="J640" s="3" t="s">
        <v>214</v>
      </c>
      <c r="K640" s="3" t="s">
        <v>2415</v>
      </c>
      <c r="L640" s="3" t="s">
        <v>2585</v>
      </c>
      <c r="M640" s="3" t="s">
        <v>207</v>
      </c>
      <c r="N640" s="3" t="s">
        <v>217</v>
      </c>
      <c r="O640" s="3" t="s">
        <v>234</v>
      </c>
    </row>
    <row r="641" spans="1:15" ht="22.5" customHeight="1" x14ac:dyDescent="0.3">
      <c r="A641" s="4">
        <v>5080096</v>
      </c>
      <c r="B641" s="4" t="s">
        <v>2686</v>
      </c>
      <c r="C641" s="4" t="s">
        <v>197</v>
      </c>
      <c r="D641" s="4" t="s">
        <v>862</v>
      </c>
      <c r="E641" s="4" t="s">
        <v>227</v>
      </c>
      <c r="F641" s="4" t="s">
        <v>200</v>
      </c>
      <c r="G641" s="4" t="s">
        <v>2687</v>
      </c>
      <c r="H641" s="4" t="s">
        <v>1025</v>
      </c>
      <c r="I641" s="4" t="s">
        <v>203</v>
      </c>
      <c r="J641" s="4" t="s">
        <v>323</v>
      </c>
      <c r="K641" s="4" t="s">
        <v>705</v>
      </c>
      <c r="L641" s="4" t="s">
        <v>347</v>
      </c>
      <c r="M641" s="4" t="s">
        <v>245</v>
      </c>
      <c r="N641" s="4" t="s">
        <v>217</v>
      </c>
      <c r="O641" s="4" t="s">
        <v>418</v>
      </c>
    </row>
    <row r="642" spans="1:15" ht="22.5" customHeight="1" x14ac:dyDescent="0.3">
      <c r="A642" s="3">
        <v>5084474</v>
      </c>
      <c r="B642" s="3" t="s">
        <v>2688</v>
      </c>
      <c r="C642" s="3" t="s">
        <v>197</v>
      </c>
      <c r="D642" s="3" t="s">
        <v>198</v>
      </c>
      <c r="E642" s="3" t="s">
        <v>227</v>
      </c>
      <c r="F642" s="3" t="s">
        <v>200</v>
      </c>
      <c r="G642" s="3" t="s">
        <v>1660</v>
      </c>
      <c r="H642" s="3" t="s">
        <v>1661</v>
      </c>
      <c r="I642" s="3" t="s">
        <v>203</v>
      </c>
      <c r="J642" s="3" t="s">
        <v>323</v>
      </c>
      <c r="K642" s="3" t="s">
        <v>705</v>
      </c>
      <c r="L642" s="3" t="s">
        <v>225</v>
      </c>
      <c r="M642" s="3" t="s">
        <v>245</v>
      </c>
      <c r="N642" s="3" t="s">
        <v>208</v>
      </c>
      <c r="O642" s="3" t="s">
        <v>433</v>
      </c>
    </row>
    <row r="643" spans="1:15" ht="22.5" customHeight="1" x14ac:dyDescent="0.3">
      <c r="A643" s="4">
        <v>5084725</v>
      </c>
      <c r="B643" s="4" t="s">
        <v>2689</v>
      </c>
      <c r="C643" s="4" t="s">
        <v>197</v>
      </c>
      <c r="D643" s="4" t="s">
        <v>198</v>
      </c>
      <c r="E643" s="4" t="s">
        <v>227</v>
      </c>
      <c r="F643" s="4" t="s">
        <v>200</v>
      </c>
      <c r="G643" s="4" t="s">
        <v>2690</v>
      </c>
      <c r="H643" s="4" t="s">
        <v>1963</v>
      </c>
      <c r="I643" s="4" t="s">
        <v>203</v>
      </c>
      <c r="J643" s="4" t="s">
        <v>323</v>
      </c>
      <c r="K643" s="4" t="s">
        <v>1445</v>
      </c>
      <c r="L643" s="4" t="s">
        <v>2691</v>
      </c>
      <c r="M643" s="4" t="s">
        <v>207</v>
      </c>
      <c r="N643" s="4" t="s">
        <v>208</v>
      </c>
      <c r="O643" s="4" t="s">
        <v>234</v>
      </c>
    </row>
    <row r="644" spans="1:15" ht="22.5" customHeight="1" x14ac:dyDescent="0.3">
      <c r="A644" s="3">
        <v>5086027</v>
      </c>
      <c r="B644" s="3" t="s">
        <v>2692</v>
      </c>
      <c r="C644" s="3" t="s">
        <v>197</v>
      </c>
      <c r="D644" s="3" t="s">
        <v>198</v>
      </c>
      <c r="E644" s="3" t="s">
        <v>227</v>
      </c>
      <c r="F644" s="3" t="s">
        <v>200</v>
      </c>
      <c r="G644" s="3" t="s">
        <v>2693</v>
      </c>
      <c r="H644" s="3" t="s">
        <v>2336</v>
      </c>
      <c r="I644" s="3" t="s">
        <v>737</v>
      </c>
      <c r="J644" s="3" t="s">
        <v>214</v>
      </c>
      <c r="K644" s="3" t="s">
        <v>1624</v>
      </c>
      <c r="L644" s="3" t="s">
        <v>347</v>
      </c>
      <c r="M644" s="3" t="s">
        <v>207</v>
      </c>
      <c r="N644" s="3" t="s">
        <v>217</v>
      </c>
      <c r="O644" s="3" t="s">
        <v>234</v>
      </c>
    </row>
    <row r="645" spans="1:15" ht="22.5" customHeight="1" x14ac:dyDescent="0.3">
      <c r="A645" s="4">
        <v>5087112</v>
      </c>
      <c r="B645" s="4" t="s">
        <v>2694</v>
      </c>
      <c r="C645" s="4" t="s">
        <v>197</v>
      </c>
      <c r="D645" s="4" t="s">
        <v>198</v>
      </c>
      <c r="E645" s="4" t="s">
        <v>227</v>
      </c>
      <c r="F645" s="4" t="s">
        <v>200</v>
      </c>
      <c r="G645" s="4" t="s">
        <v>2695</v>
      </c>
      <c r="H645" s="4" t="s">
        <v>2696</v>
      </c>
      <c r="I645" s="4" t="s">
        <v>203</v>
      </c>
      <c r="J645" s="4" t="s">
        <v>214</v>
      </c>
      <c r="K645" s="4" t="s">
        <v>2697</v>
      </c>
      <c r="L645" s="4" t="s">
        <v>2644</v>
      </c>
      <c r="M645" s="4" t="s">
        <v>245</v>
      </c>
      <c r="N645" s="4" t="s">
        <v>217</v>
      </c>
      <c r="O645" s="4" t="s">
        <v>234</v>
      </c>
    </row>
    <row r="646" spans="1:15" ht="22.5" customHeight="1" x14ac:dyDescent="0.3">
      <c r="A646" s="3">
        <v>5089875</v>
      </c>
      <c r="B646" s="3" t="s">
        <v>2698</v>
      </c>
      <c r="C646" s="3" t="s">
        <v>197</v>
      </c>
      <c r="D646" s="3" t="s">
        <v>198</v>
      </c>
      <c r="E646" s="3" t="s">
        <v>227</v>
      </c>
      <c r="F646" s="3" t="s">
        <v>200</v>
      </c>
      <c r="G646" s="3" t="s">
        <v>1367</v>
      </c>
      <c r="H646" s="3" t="s">
        <v>1368</v>
      </c>
      <c r="I646" s="3" t="s">
        <v>203</v>
      </c>
      <c r="J646" s="3" t="s">
        <v>204</v>
      </c>
      <c r="K646" s="3" t="s">
        <v>1369</v>
      </c>
      <c r="L646" s="3" t="s">
        <v>423</v>
      </c>
      <c r="M646" s="3" t="s">
        <v>245</v>
      </c>
      <c r="N646" s="3" t="s">
        <v>217</v>
      </c>
      <c r="O646" s="3" t="s">
        <v>433</v>
      </c>
    </row>
    <row r="647" spans="1:15" ht="22.5" customHeight="1" x14ac:dyDescent="0.3">
      <c r="A647" s="4">
        <v>5090598</v>
      </c>
      <c r="B647" s="4" t="s">
        <v>2699</v>
      </c>
      <c r="C647" s="4" t="s">
        <v>197</v>
      </c>
      <c r="D647" s="4" t="s">
        <v>198</v>
      </c>
      <c r="E647" s="4" t="s">
        <v>227</v>
      </c>
      <c r="F647" s="4" t="s">
        <v>200</v>
      </c>
      <c r="G647" s="4" t="s">
        <v>2700</v>
      </c>
      <c r="H647" s="4" t="s">
        <v>2701</v>
      </c>
      <c r="I647" s="4" t="s">
        <v>203</v>
      </c>
      <c r="J647" s="4" t="s">
        <v>266</v>
      </c>
      <c r="K647" s="4" t="s">
        <v>555</v>
      </c>
      <c r="L647" s="4" t="s">
        <v>2664</v>
      </c>
      <c r="M647" s="4" t="s">
        <v>207</v>
      </c>
      <c r="N647" s="4" t="s">
        <v>208</v>
      </c>
      <c r="O647" s="4" t="s">
        <v>433</v>
      </c>
    </row>
    <row r="648" spans="1:15" ht="22.5" customHeight="1" x14ac:dyDescent="0.3">
      <c r="A648" s="3">
        <v>5091136</v>
      </c>
      <c r="B648" s="3" t="s">
        <v>2702</v>
      </c>
      <c r="C648" s="3" t="s">
        <v>197</v>
      </c>
      <c r="D648" s="3" t="s">
        <v>198</v>
      </c>
      <c r="E648" s="3" t="s">
        <v>227</v>
      </c>
      <c r="F648" s="3" t="s">
        <v>200</v>
      </c>
      <c r="G648" s="3" t="s">
        <v>2703</v>
      </c>
      <c r="H648" s="3" t="s">
        <v>2704</v>
      </c>
      <c r="I648" s="3" t="s">
        <v>203</v>
      </c>
      <c r="J648" s="3" t="s">
        <v>323</v>
      </c>
      <c r="K648" s="3" t="s">
        <v>967</v>
      </c>
      <c r="L648" s="3" t="s">
        <v>2664</v>
      </c>
      <c r="M648" s="3" t="s">
        <v>207</v>
      </c>
      <c r="N648" s="3" t="s">
        <v>217</v>
      </c>
      <c r="O648" s="3" t="s">
        <v>444</v>
      </c>
    </row>
    <row r="649" spans="1:15" ht="22.5" customHeight="1" x14ac:dyDescent="0.3">
      <c r="A649" s="4">
        <v>5092620</v>
      </c>
      <c r="B649" s="4" t="s">
        <v>2705</v>
      </c>
      <c r="C649" s="4" t="s">
        <v>197</v>
      </c>
      <c r="D649" s="4" t="s">
        <v>198</v>
      </c>
      <c r="E649" s="4" t="s">
        <v>227</v>
      </c>
      <c r="F649" s="4" t="s">
        <v>200</v>
      </c>
      <c r="G649" s="4" t="s">
        <v>2706</v>
      </c>
      <c r="H649" s="4" t="s">
        <v>2707</v>
      </c>
      <c r="I649" s="4" t="s">
        <v>203</v>
      </c>
      <c r="J649" s="4" t="s">
        <v>323</v>
      </c>
      <c r="K649" s="4" t="s">
        <v>2708</v>
      </c>
      <c r="L649" s="4" t="s">
        <v>453</v>
      </c>
      <c r="M649" s="4" t="s">
        <v>207</v>
      </c>
      <c r="N649" s="4" t="s">
        <v>208</v>
      </c>
      <c r="O649" s="4" t="s">
        <v>234</v>
      </c>
    </row>
    <row r="650" spans="1:15" ht="22.5" customHeight="1" x14ac:dyDescent="0.3">
      <c r="A650" s="3">
        <v>5093120</v>
      </c>
      <c r="B650" s="3" t="s">
        <v>2709</v>
      </c>
      <c r="C650" s="3" t="s">
        <v>197</v>
      </c>
      <c r="D650" s="3" t="s">
        <v>198</v>
      </c>
      <c r="E650" s="3" t="s">
        <v>227</v>
      </c>
      <c r="F650" s="3" t="s">
        <v>200</v>
      </c>
      <c r="G650" s="3" t="s">
        <v>2710</v>
      </c>
      <c r="H650" s="3" t="s">
        <v>2711</v>
      </c>
      <c r="I650" s="3" t="s">
        <v>203</v>
      </c>
      <c r="J650" s="3" t="s">
        <v>323</v>
      </c>
      <c r="K650" s="3" t="s">
        <v>2712</v>
      </c>
      <c r="L650" s="3" t="s">
        <v>2633</v>
      </c>
      <c r="M650" s="3" t="s">
        <v>245</v>
      </c>
      <c r="N650" s="3" t="s">
        <v>217</v>
      </c>
      <c r="O650" s="3" t="s">
        <v>433</v>
      </c>
    </row>
    <row r="651" spans="1:15" ht="33.75" customHeight="1" x14ac:dyDescent="0.3">
      <c r="A651" s="4">
        <v>5093155</v>
      </c>
      <c r="B651" s="4" t="s">
        <v>2713</v>
      </c>
      <c r="C651" s="4" t="s">
        <v>197</v>
      </c>
      <c r="D651" s="4" t="s">
        <v>1132</v>
      </c>
      <c r="E651" s="4" t="s">
        <v>227</v>
      </c>
      <c r="F651" s="4" t="s">
        <v>200</v>
      </c>
      <c r="G651" s="4" t="s">
        <v>2714</v>
      </c>
      <c r="H651" s="4" t="s">
        <v>2715</v>
      </c>
      <c r="I651" s="4" t="s">
        <v>203</v>
      </c>
      <c r="J651" s="4" t="s">
        <v>204</v>
      </c>
      <c r="K651" s="4" t="s">
        <v>1364</v>
      </c>
      <c r="L651" s="4" t="s">
        <v>2644</v>
      </c>
      <c r="M651" s="4" t="s">
        <v>207</v>
      </c>
      <c r="N651" s="4" t="s">
        <v>217</v>
      </c>
      <c r="O651" s="4" t="s">
        <v>234</v>
      </c>
    </row>
    <row r="652" spans="1:15" ht="22.5" customHeight="1" x14ac:dyDescent="0.3">
      <c r="A652" s="3">
        <v>5093171</v>
      </c>
      <c r="B652" s="3" t="s">
        <v>2716</v>
      </c>
      <c r="C652" s="3" t="s">
        <v>197</v>
      </c>
      <c r="D652" s="3"/>
      <c r="E652" s="3" t="s">
        <v>227</v>
      </c>
      <c r="F652" s="3" t="s">
        <v>413</v>
      </c>
      <c r="G652" s="3" t="s">
        <v>2717</v>
      </c>
      <c r="H652" s="3" t="s">
        <v>2718</v>
      </c>
      <c r="I652" s="3" t="s">
        <v>203</v>
      </c>
      <c r="J652" s="3" t="s">
        <v>316</v>
      </c>
      <c r="K652" s="3" t="s">
        <v>2551</v>
      </c>
      <c r="L652" s="3" t="s">
        <v>2644</v>
      </c>
      <c r="M652" s="3" t="s">
        <v>207</v>
      </c>
      <c r="N652" s="3" t="s">
        <v>208</v>
      </c>
      <c r="O652" s="3" t="s">
        <v>234</v>
      </c>
    </row>
    <row r="653" spans="1:15" ht="33.75" customHeight="1" x14ac:dyDescent="0.3">
      <c r="A653" s="4">
        <v>5096979</v>
      </c>
      <c r="B653" s="4" t="s">
        <v>2719</v>
      </c>
      <c r="C653" s="4" t="s">
        <v>197</v>
      </c>
      <c r="D653" s="4" t="s">
        <v>198</v>
      </c>
      <c r="E653" s="4" t="s">
        <v>227</v>
      </c>
      <c r="F653" s="4" t="s">
        <v>888</v>
      </c>
      <c r="G653" s="4" t="s">
        <v>2720</v>
      </c>
      <c r="H653" s="4" t="s">
        <v>2642</v>
      </c>
      <c r="I653" s="4" t="s">
        <v>203</v>
      </c>
      <c r="J653" s="4" t="s">
        <v>329</v>
      </c>
      <c r="K653" s="4" t="s">
        <v>2721</v>
      </c>
      <c r="L653" s="4" t="s">
        <v>2633</v>
      </c>
      <c r="M653" s="4" t="s">
        <v>207</v>
      </c>
      <c r="N653" s="4" t="s">
        <v>217</v>
      </c>
      <c r="O653" s="4" t="s">
        <v>433</v>
      </c>
    </row>
    <row r="654" spans="1:15" ht="22.5" customHeight="1" x14ac:dyDescent="0.3">
      <c r="A654" s="3">
        <v>5097096</v>
      </c>
      <c r="B654" s="3" t="s">
        <v>2722</v>
      </c>
      <c r="C654" s="3" t="s">
        <v>197</v>
      </c>
      <c r="D654" s="3" t="s">
        <v>198</v>
      </c>
      <c r="E654" s="3" t="s">
        <v>227</v>
      </c>
      <c r="F654" s="3" t="s">
        <v>200</v>
      </c>
      <c r="G654" s="3" t="s">
        <v>2723</v>
      </c>
      <c r="H654" s="3" t="s">
        <v>2724</v>
      </c>
      <c r="I654" s="3" t="s">
        <v>737</v>
      </c>
      <c r="J654" s="3" t="s">
        <v>214</v>
      </c>
      <c r="K654" s="3" t="s">
        <v>2063</v>
      </c>
      <c r="L654" s="3" t="s">
        <v>2725</v>
      </c>
      <c r="M654" s="3" t="s">
        <v>207</v>
      </c>
      <c r="N654" s="3" t="s">
        <v>217</v>
      </c>
      <c r="O654" s="3" t="s">
        <v>234</v>
      </c>
    </row>
    <row r="655" spans="1:15" ht="22.5" customHeight="1" x14ac:dyDescent="0.3">
      <c r="A655" s="4">
        <v>5100305</v>
      </c>
      <c r="B655" s="4" t="s">
        <v>2726</v>
      </c>
      <c r="C655" s="4" t="s">
        <v>197</v>
      </c>
      <c r="D655" s="4" t="s">
        <v>198</v>
      </c>
      <c r="E655" s="4" t="s">
        <v>227</v>
      </c>
      <c r="F655" s="4" t="s">
        <v>200</v>
      </c>
      <c r="G655" s="4" t="s">
        <v>2727</v>
      </c>
      <c r="H655" s="4" t="s">
        <v>2298</v>
      </c>
      <c r="I655" s="4" t="s">
        <v>203</v>
      </c>
      <c r="J655" s="4" t="s">
        <v>214</v>
      </c>
      <c r="K655" s="4" t="s">
        <v>1234</v>
      </c>
      <c r="L655" s="4" t="s">
        <v>1282</v>
      </c>
      <c r="M655" s="4" t="s">
        <v>2330</v>
      </c>
      <c r="N655" s="4" t="s">
        <v>208</v>
      </c>
      <c r="O655" s="4" t="s">
        <v>433</v>
      </c>
    </row>
    <row r="656" spans="1:15" ht="22.5" customHeight="1" x14ac:dyDescent="0.3">
      <c r="A656" s="3">
        <v>5101042</v>
      </c>
      <c r="B656" s="3" t="s">
        <v>2728</v>
      </c>
      <c r="C656" s="3" t="s">
        <v>197</v>
      </c>
      <c r="D656" s="3" t="s">
        <v>198</v>
      </c>
      <c r="E656" s="3" t="s">
        <v>227</v>
      </c>
      <c r="F656" s="3" t="s">
        <v>200</v>
      </c>
      <c r="G656" s="3" t="s">
        <v>2729</v>
      </c>
      <c r="H656" s="3" t="s">
        <v>2730</v>
      </c>
      <c r="I656" s="3" t="s">
        <v>203</v>
      </c>
      <c r="J656" s="3" t="s">
        <v>214</v>
      </c>
      <c r="K656" s="3" t="s">
        <v>713</v>
      </c>
      <c r="L656" s="3" t="s">
        <v>2633</v>
      </c>
      <c r="M656" s="3" t="s">
        <v>207</v>
      </c>
      <c r="N656" s="3" t="s">
        <v>208</v>
      </c>
      <c r="O656" s="3" t="s">
        <v>444</v>
      </c>
    </row>
    <row r="657" spans="1:15" ht="22.5" customHeight="1" x14ac:dyDescent="0.3">
      <c r="A657" s="4">
        <v>5102758</v>
      </c>
      <c r="B657" s="4" t="s">
        <v>2731</v>
      </c>
      <c r="C657" s="4" t="s">
        <v>197</v>
      </c>
      <c r="D657" s="4" t="s">
        <v>198</v>
      </c>
      <c r="E657" s="4" t="s">
        <v>227</v>
      </c>
      <c r="F657" s="4" t="s">
        <v>200</v>
      </c>
      <c r="G657" s="4" t="s">
        <v>360</v>
      </c>
      <c r="H657" s="4" t="s">
        <v>1371</v>
      </c>
      <c r="I657" s="4" t="s">
        <v>230</v>
      </c>
      <c r="J657" s="4" t="s">
        <v>204</v>
      </c>
      <c r="K657" s="4" t="s">
        <v>2732</v>
      </c>
      <c r="L657" s="4" t="s">
        <v>2633</v>
      </c>
      <c r="M657" s="4" t="s">
        <v>245</v>
      </c>
      <c r="N657" s="4" t="s">
        <v>217</v>
      </c>
      <c r="O657" s="4" t="s">
        <v>613</v>
      </c>
    </row>
    <row r="658" spans="1:15" ht="22.5" customHeight="1" x14ac:dyDescent="0.3">
      <c r="A658" s="3">
        <v>5107547</v>
      </c>
      <c r="B658" s="3" t="s">
        <v>2733</v>
      </c>
      <c r="C658" s="3" t="s">
        <v>197</v>
      </c>
      <c r="D658" s="3" t="s">
        <v>198</v>
      </c>
      <c r="E658" s="3" t="s">
        <v>227</v>
      </c>
      <c r="F658" s="3" t="s">
        <v>200</v>
      </c>
      <c r="G658" s="3" t="s">
        <v>2734</v>
      </c>
      <c r="H658" s="3" t="s">
        <v>2735</v>
      </c>
      <c r="I658" s="3" t="s">
        <v>203</v>
      </c>
      <c r="J658" s="3" t="s">
        <v>223</v>
      </c>
      <c r="K658" s="3" t="s">
        <v>672</v>
      </c>
      <c r="L658" s="3" t="s">
        <v>2736</v>
      </c>
      <c r="M658" s="3" t="s">
        <v>207</v>
      </c>
      <c r="N658" s="3" t="s">
        <v>217</v>
      </c>
      <c r="O658" s="3" t="s">
        <v>234</v>
      </c>
    </row>
    <row r="659" spans="1:15" ht="22.5" customHeight="1" x14ac:dyDescent="0.3">
      <c r="A659" s="4">
        <v>5108136</v>
      </c>
      <c r="B659" s="4" t="s">
        <v>2737</v>
      </c>
      <c r="C659" s="4" t="s">
        <v>197</v>
      </c>
      <c r="D659" s="4" t="s">
        <v>862</v>
      </c>
      <c r="E659" s="4" t="s">
        <v>227</v>
      </c>
      <c r="F659" s="4" t="s">
        <v>200</v>
      </c>
      <c r="G659" s="4" t="s">
        <v>2738</v>
      </c>
      <c r="H659" s="4" t="s">
        <v>2739</v>
      </c>
      <c r="I659" s="4" t="s">
        <v>203</v>
      </c>
      <c r="J659" s="4" t="s">
        <v>329</v>
      </c>
      <c r="K659" s="4" t="s">
        <v>1808</v>
      </c>
      <c r="L659" s="4" t="s">
        <v>453</v>
      </c>
      <c r="M659" s="4" t="s">
        <v>207</v>
      </c>
      <c r="N659" s="4" t="s">
        <v>208</v>
      </c>
      <c r="O659" s="4" t="s">
        <v>234</v>
      </c>
    </row>
    <row r="660" spans="1:15" ht="22.5" customHeight="1" x14ac:dyDescent="0.3">
      <c r="A660" s="3">
        <v>5112575</v>
      </c>
      <c r="B660" s="3" t="s">
        <v>2740</v>
      </c>
      <c r="C660" s="3" t="s">
        <v>197</v>
      </c>
      <c r="D660" s="3" t="s">
        <v>198</v>
      </c>
      <c r="E660" s="3" t="s">
        <v>227</v>
      </c>
      <c r="F660" s="3" t="s">
        <v>413</v>
      </c>
      <c r="G660" s="3" t="s">
        <v>756</v>
      </c>
      <c r="H660" s="3" t="s">
        <v>2741</v>
      </c>
      <c r="I660" s="3" t="s">
        <v>203</v>
      </c>
      <c r="J660" s="3" t="s">
        <v>323</v>
      </c>
      <c r="K660" s="3" t="s">
        <v>2742</v>
      </c>
      <c r="L660" s="3" t="s">
        <v>719</v>
      </c>
      <c r="M660" s="3" t="s">
        <v>233</v>
      </c>
      <c r="N660" s="3" t="s">
        <v>208</v>
      </c>
      <c r="O660" s="3" t="s">
        <v>433</v>
      </c>
    </row>
    <row r="661" spans="1:15" ht="33.75" customHeight="1" x14ac:dyDescent="0.3">
      <c r="A661" s="4">
        <v>5115345</v>
      </c>
      <c r="B661" s="4" t="s">
        <v>2743</v>
      </c>
      <c r="C661" s="4" t="s">
        <v>197</v>
      </c>
      <c r="D661" s="4" t="s">
        <v>938</v>
      </c>
      <c r="E661" s="4" t="s">
        <v>227</v>
      </c>
      <c r="F661" s="4" t="s">
        <v>200</v>
      </c>
      <c r="G661" s="4" t="s">
        <v>2744</v>
      </c>
      <c r="H661" s="4" t="s">
        <v>2745</v>
      </c>
      <c r="I661" s="4" t="s">
        <v>737</v>
      </c>
      <c r="J661" s="4" t="s">
        <v>214</v>
      </c>
      <c r="K661" s="4" t="s">
        <v>1247</v>
      </c>
      <c r="L661" s="4" t="s">
        <v>2619</v>
      </c>
      <c r="M661" s="4" t="s">
        <v>207</v>
      </c>
      <c r="N661" s="4" t="s">
        <v>217</v>
      </c>
      <c r="O661" s="4" t="s">
        <v>234</v>
      </c>
    </row>
    <row r="662" spans="1:15" ht="22.5" customHeight="1" x14ac:dyDescent="0.3">
      <c r="A662" s="3">
        <v>5116716</v>
      </c>
      <c r="B662" s="3" t="s">
        <v>2746</v>
      </c>
      <c r="C662" s="3" t="s">
        <v>197</v>
      </c>
      <c r="D662" s="3" t="s">
        <v>198</v>
      </c>
      <c r="E662" s="3" t="s">
        <v>227</v>
      </c>
      <c r="F662" s="3" t="s">
        <v>200</v>
      </c>
      <c r="G662" s="3" t="s">
        <v>2747</v>
      </c>
      <c r="H662" s="3" t="s">
        <v>2748</v>
      </c>
      <c r="I662" s="3" t="s">
        <v>203</v>
      </c>
      <c r="J662" s="3" t="s">
        <v>506</v>
      </c>
      <c r="K662" s="3" t="s">
        <v>2097</v>
      </c>
      <c r="L662" s="3" t="s">
        <v>2619</v>
      </c>
      <c r="M662" s="3" t="s">
        <v>207</v>
      </c>
      <c r="N662" s="3" t="s">
        <v>208</v>
      </c>
      <c r="O662" s="3" t="s">
        <v>433</v>
      </c>
    </row>
    <row r="663" spans="1:15" ht="57" customHeight="1" x14ac:dyDescent="0.3">
      <c r="A663" s="4">
        <v>5118875</v>
      </c>
      <c r="B663" s="4" t="s">
        <v>2749</v>
      </c>
      <c r="C663" s="4" t="s">
        <v>197</v>
      </c>
      <c r="D663" s="4" t="s">
        <v>845</v>
      </c>
      <c r="E663" s="4" t="s">
        <v>608</v>
      </c>
      <c r="F663" s="4" t="s">
        <v>200</v>
      </c>
      <c r="G663" s="4" t="s">
        <v>2531</v>
      </c>
      <c r="H663" s="4" t="s">
        <v>2750</v>
      </c>
      <c r="I663" s="4" t="s">
        <v>203</v>
      </c>
      <c r="J663" s="4" t="s">
        <v>204</v>
      </c>
      <c r="K663" s="4" t="s">
        <v>769</v>
      </c>
      <c r="L663" s="4" t="s">
        <v>724</v>
      </c>
      <c r="M663" s="4" t="s">
        <v>207</v>
      </c>
      <c r="N663" s="4" t="s">
        <v>208</v>
      </c>
      <c r="O663" s="4" t="s">
        <v>613</v>
      </c>
    </row>
    <row r="664" spans="1:15" ht="33.75" customHeight="1" x14ac:dyDescent="0.3">
      <c r="A664" s="3">
        <v>5118905</v>
      </c>
      <c r="B664" s="3" t="s">
        <v>2751</v>
      </c>
      <c r="C664" s="3" t="s">
        <v>197</v>
      </c>
      <c r="D664" s="3" t="s">
        <v>198</v>
      </c>
      <c r="E664" s="3" t="s">
        <v>227</v>
      </c>
      <c r="F664" s="3" t="s">
        <v>888</v>
      </c>
      <c r="G664" s="3" t="s">
        <v>2752</v>
      </c>
      <c r="H664" s="3" t="s">
        <v>1159</v>
      </c>
      <c r="I664" s="3" t="s">
        <v>203</v>
      </c>
      <c r="J664" s="3" t="s">
        <v>298</v>
      </c>
      <c r="K664" s="3" t="s">
        <v>2753</v>
      </c>
      <c r="L664" s="3" t="s">
        <v>2754</v>
      </c>
      <c r="M664" s="3" t="s">
        <v>233</v>
      </c>
      <c r="N664" s="3" t="s">
        <v>217</v>
      </c>
      <c r="O664" s="3" t="s">
        <v>418</v>
      </c>
    </row>
    <row r="665" spans="1:15" ht="22.5" customHeight="1" x14ac:dyDescent="0.3">
      <c r="A665" s="4">
        <v>5119545</v>
      </c>
      <c r="B665" s="4" t="s">
        <v>2755</v>
      </c>
      <c r="C665" s="4" t="s">
        <v>197</v>
      </c>
      <c r="D665" s="4" t="s">
        <v>198</v>
      </c>
      <c r="E665" s="4" t="s">
        <v>227</v>
      </c>
      <c r="F665" s="4" t="s">
        <v>200</v>
      </c>
      <c r="G665" s="4" t="s">
        <v>2756</v>
      </c>
      <c r="H665" s="4" t="s">
        <v>2757</v>
      </c>
      <c r="I665" s="4" t="s">
        <v>203</v>
      </c>
      <c r="J665" s="4" t="s">
        <v>316</v>
      </c>
      <c r="K665" s="4" t="s">
        <v>2758</v>
      </c>
      <c r="L665" s="4" t="s">
        <v>724</v>
      </c>
      <c r="M665" s="4" t="s">
        <v>207</v>
      </c>
      <c r="N665" s="4" t="s">
        <v>208</v>
      </c>
      <c r="O665" s="4" t="s">
        <v>234</v>
      </c>
    </row>
    <row r="666" spans="1:15" ht="22.5" customHeight="1" x14ac:dyDescent="0.3">
      <c r="A666" s="3">
        <v>5124891</v>
      </c>
      <c r="B666" s="3" t="s">
        <v>2759</v>
      </c>
      <c r="C666" s="3" t="s">
        <v>197</v>
      </c>
      <c r="D666" s="3" t="s">
        <v>198</v>
      </c>
      <c r="E666" s="3" t="s">
        <v>227</v>
      </c>
      <c r="F666" s="3" t="s">
        <v>200</v>
      </c>
      <c r="G666" s="3" t="s">
        <v>2760</v>
      </c>
      <c r="H666" s="3" t="s">
        <v>2761</v>
      </c>
      <c r="I666" s="3" t="s">
        <v>203</v>
      </c>
      <c r="J666" s="3" t="s">
        <v>298</v>
      </c>
      <c r="K666" s="3" t="s">
        <v>2762</v>
      </c>
      <c r="L666" s="3" t="s">
        <v>1770</v>
      </c>
      <c r="M666" s="3" t="s">
        <v>207</v>
      </c>
      <c r="N666" s="3" t="s">
        <v>217</v>
      </c>
      <c r="O666" s="3" t="s">
        <v>234</v>
      </c>
    </row>
    <row r="667" spans="1:15" ht="22.5" customHeight="1" x14ac:dyDescent="0.3">
      <c r="A667" s="4">
        <v>5126703</v>
      </c>
      <c r="B667" s="4" t="s">
        <v>2763</v>
      </c>
      <c r="C667" s="4" t="s">
        <v>197</v>
      </c>
      <c r="D667" s="4" t="s">
        <v>198</v>
      </c>
      <c r="E667" s="4" t="s">
        <v>227</v>
      </c>
      <c r="F667" s="4" t="s">
        <v>200</v>
      </c>
      <c r="G667" s="4" t="s">
        <v>2764</v>
      </c>
      <c r="H667" s="4" t="s">
        <v>2765</v>
      </c>
      <c r="I667" s="4" t="s">
        <v>203</v>
      </c>
      <c r="J667" s="4" t="s">
        <v>266</v>
      </c>
      <c r="K667" s="4" t="s">
        <v>442</v>
      </c>
      <c r="L667" s="4" t="s">
        <v>2766</v>
      </c>
      <c r="M667" s="4" t="s">
        <v>207</v>
      </c>
      <c r="N667" s="4" t="s">
        <v>217</v>
      </c>
      <c r="O667" s="4" t="s">
        <v>234</v>
      </c>
    </row>
    <row r="668" spans="1:15" ht="22.5" customHeight="1" x14ac:dyDescent="0.3">
      <c r="A668" s="3">
        <v>5129192</v>
      </c>
      <c r="B668" s="3" t="s">
        <v>2767</v>
      </c>
      <c r="C668" s="3" t="s">
        <v>197</v>
      </c>
      <c r="D668" s="3" t="s">
        <v>198</v>
      </c>
      <c r="E668" s="3" t="s">
        <v>227</v>
      </c>
      <c r="F668" s="3" t="s">
        <v>200</v>
      </c>
      <c r="G668" s="3" t="s">
        <v>2768</v>
      </c>
      <c r="H668" s="3" t="s">
        <v>2769</v>
      </c>
      <c r="I668" s="3" t="s">
        <v>203</v>
      </c>
      <c r="J668" s="3" t="s">
        <v>266</v>
      </c>
      <c r="K668" s="3" t="s">
        <v>2770</v>
      </c>
      <c r="L668" s="3" t="s">
        <v>2771</v>
      </c>
      <c r="M668" s="3" t="s">
        <v>207</v>
      </c>
      <c r="N668" s="3" t="s">
        <v>208</v>
      </c>
      <c r="O668" s="3" t="s">
        <v>234</v>
      </c>
    </row>
    <row r="669" spans="1:15" ht="22.5" customHeight="1" x14ac:dyDescent="0.3">
      <c r="A669" s="4">
        <v>5130409</v>
      </c>
      <c r="B669" s="4" t="s">
        <v>2772</v>
      </c>
      <c r="C669" s="4" t="s">
        <v>197</v>
      </c>
      <c r="D669" s="4" t="s">
        <v>198</v>
      </c>
      <c r="E669" s="4" t="s">
        <v>227</v>
      </c>
      <c r="F669" s="4" t="s">
        <v>200</v>
      </c>
      <c r="G669" s="4" t="s">
        <v>2773</v>
      </c>
      <c r="H669" s="4" t="s">
        <v>2774</v>
      </c>
      <c r="I669" s="4" t="s">
        <v>203</v>
      </c>
      <c r="J669" s="4" t="s">
        <v>214</v>
      </c>
      <c r="K669" s="4" t="s">
        <v>410</v>
      </c>
      <c r="L669" s="4" t="s">
        <v>2775</v>
      </c>
      <c r="M669" s="4" t="s">
        <v>207</v>
      </c>
      <c r="N669" s="4" t="s">
        <v>217</v>
      </c>
      <c r="O669" s="4" t="s">
        <v>234</v>
      </c>
    </row>
    <row r="670" spans="1:15" ht="33.75" customHeight="1" x14ac:dyDescent="0.3">
      <c r="A670" s="3">
        <v>5130778</v>
      </c>
      <c r="B670" s="3" t="s">
        <v>2776</v>
      </c>
      <c r="C670" s="3" t="s">
        <v>197</v>
      </c>
      <c r="D670" s="3" t="s">
        <v>220</v>
      </c>
      <c r="E670" s="3" t="s">
        <v>227</v>
      </c>
      <c r="F670" s="3" t="s">
        <v>413</v>
      </c>
      <c r="G670" s="3" t="s">
        <v>2777</v>
      </c>
      <c r="H670" s="3" t="s">
        <v>2778</v>
      </c>
      <c r="I670" s="3" t="s">
        <v>203</v>
      </c>
      <c r="J670" s="3" t="s">
        <v>323</v>
      </c>
      <c r="K670" s="3" t="s">
        <v>2779</v>
      </c>
      <c r="L670" s="3" t="s">
        <v>225</v>
      </c>
      <c r="M670" s="3" t="s">
        <v>245</v>
      </c>
      <c r="N670" s="3" t="s">
        <v>217</v>
      </c>
      <c r="O670" s="3" t="s">
        <v>418</v>
      </c>
    </row>
    <row r="671" spans="1:15" ht="22.5" customHeight="1" x14ac:dyDescent="0.3">
      <c r="A671" s="4">
        <v>5134005</v>
      </c>
      <c r="B671" s="4" t="s">
        <v>2780</v>
      </c>
      <c r="C671" s="4" t="s">
        <v>197</v>
      </c>
      <c r="D671" s="4" t="s">
        <v>198</v>
      </c>
      <c r="E671" s="4" t="s">
        <v>227</v>
      </c>
      <c r="F671" s="4" t="s">
        <v>200</v>
      </c>
      <c r="G671" s="4" t="s">
        <v>2259</v>
      </c>
      <c r="H671" s="4" t="s">
        <v>2114</v>
      </c>
      <c r="I671" s="4" t="s">
        <v>203</v>
      </c>
      <c r="J671" s="4" t="s">
        <v>204</v>
      </c>
      <c r="K671" s="4" t="s">
        <v>2781</v>
      </c>
      <c r="L671" s="4" t="s">
        <v>2766</v>
      </c>
      <c r="M671" s="4" t="s">
        <v>233</v>
      </c>
      <c r="N671" s="4" t="s">
        <v>217</v>
      </c>
      <c r="O671" s="4" t="s">
        <v>418</v>
      </c>
    </row>
    <row r="672" spans="1:15" ht="22.5" customHeight="1" x14ac:dyDescent="0.3">
      <c r="A672" s="3">
        <v>5134358</v>
      </c>
      <c r="B672" s="3" t="s">
        <v>2782</v>
      </c>
      <c r="C672" s="3" t="s">
        <v>197</v>
      </c>
      <c r="D672" s="3" t="s">
        <v>198</v>
      </c>
      <c r="E672" s="3" t="s">
        <v>227</v>
      </c>
      <c r="F672" s="3" t="s">
        <v>200</v>
      </c>
      <c r="G672" s="3" t="s">
        <v>2783</v>
      </c>
      <c r="H672" s="3" t="s">
        <v>2784</v>
      </c>
      <c r="I672" s="3" t="s">
        <v>203</v>
      </c>
      <c r="J672" s="3" t="s">
        <v>214</v>
      </c>
      <c r="K672" s="3" t="s">
        <v>521</v>
      </c>
      <c r="L672" s="3" t="s">
        <v>2614</v>
      </c>
      <c r="M672" s="3" t="s">
        <v>207</v>
      </c>
      <c r="N672" s="3" t="s">
        <v>217</v>
      </c>
      <c r="O672" s="3" t="s">
        <v>444</v>
      </c>
    </row>
    <row r="673" spans="1:15" ht="22.5" customHeight="1" x14ac:dyDescent="0.3">
      <c r="A673" s="4">
        <v>5136628</v>
      </c>
      <c r="B673" s="4" t="s">
        <v>2785</v>
      </c>
      <c r="C673" s="4" t="s">
        <v>197</v>
      </c>
      <c r="D673" s="4" t="s">
        <v>693</v>
      </c>
      <c r="E673" s="4" t="s">
        <v>227</v>
      </c>
      <c r="F673" s="4" t="s">
        <v>413</v>
      </c>
      <c r="G673" s="4" t="s">
        <v>1518</v>
      </c>
      <c r="H673" s="4" t="s">
        <v>1427</v>
      </c>
      <c r="I673" s="4" t="s">
        <v>203</v>
      </c>
      <c r="J673" s="4" t="s">
        <v>253</v>
      </c>
      <c r="K673" s="4" t="s">
        <v>1428</v>
      </c>
      <c r="L673" s="4" t="s">
        <v>225</v>
      </c>
      <c r="M673" s="4" t="s">
        <v>207</v>
      </c>
      <c r="N673" s="4" t="s">
        <v>217</v>
      </c>
      <c r="O673" s="4" t="s">
        <v>418</v>
      </c>
    </row>
    <row r="674" spans="1:15" ht="22.5" customHeight="1" x14ac:dyDescent="0.3">
      <c r="A674" s="3">
        <v>5137225</v>
      </c>
      <c r="B674" s="3" t="s">
        <v>2786</v>
      </c>
      <c r="C674" s="3" t="s">
        <v>197</v>
      </c>
      <c r="D674" s="3" t="s">
        <v>198</v>
      </c>
      <c r="E674" s="3" t="s">
        <v>227</v>
      </c>
      <c r="F674" s="3" t="s">
        <v>200</v>
      </c>
      <c r="G674" s="3" t="s">
        <v>2787</v>
      </c>
      <c r="H674" s="3" t="s">
        <v>2788</v>
      </c>
      <c r="I674" s="3" t="s">
        <v>1877</v>
      </c>
      <c r="J674" s="3" t="s">
        <v>214</v>
      </c>
      <c r="K674" s="3" t="s">
        <v>2789</v>
      </c>
      <c r="L674" s="3" t="s">
        <v>2771</v>
      </c>
      <c r="M674" s="3" t="s">
        <v>207</v>
      </c>
      <c r="N674" s="3" t="s">
        <v>217</v>
      </c>
      <c r="O674" s="3" t="s">
        <v>444</v>
      </c>
    </row>
    <row r="675" spans="1:15" ht="22.5" customHeight="1" x14ac:dyDescent="0.3">
      <c r="A675" s="4">
        <v>5140005</v>
      </c>
      <c r="B675" s="4" t="s">
        <v>2790</v>
      </c>
      <c r="C675" s="4" t="s">
        <v>197</v>
      </c>
      <c r="D675" s="4" t="s">
        <v>198</v>
      </c>
      <c r="E675" s="4" t="s">
        <v>227</v>
      </c>
      <c r="F675" s="4" t="s">
        <v>200</v>
      </c>
      <c r="G675" s="4" t="s">
        <v>2580</v>
      </c>
      <c r="H675" s="4" t="s">
        <v>2581</v>
      </c>
      <c r="I675" s="4" t="s">
        <v>203</v>
      </c>
      <c r="J675" s="4" t="s">
        <v>223</v>
      </c>
      <c r="K675" s="4" t="s">
        <v>2582</v>
      </c>
      <c r="L675" s="4" t="s">
        <v>1282</v>
      </c>
      <c r="M675" s="4" t="s">
        <v>245</v>
      </c>
      <c r="N675" s="4" t="s">
        <v>217</v>
      </c>
      <c r="O675" s="4" t="s">
        <v>433</v>
      </c>
    </row>
    <row r="676" spans="1:15" ht="33.75" customHeight="1" x14ac:dyDescent="0.3">
      <c r="A676" s="3">
        <v>5141532</v>
      </c>
      <c r="B676" s="3" t="s">
        <v>2791</v>
      </c>
      <c r="C676" s="3" t="s">
        <v>197</v>
      </c>
      <c r="D676" s="3" t="s">
        <v>220</v>
      </c>
      <c r="E676" s="3" t="s">
        <v>227</v>
      </c>
      <c r="F676" s="3" t="s">
        <v>200</v>
      </c>
      <c r="G676" s="3" t="s">
        <v>2792</v>
      </c>
      <c r="H676" s="3" t="s">
        <v>2793</v>
      </c>
      <c r="I676" s="3" t="s">
        <v>203</v>
      </c>
      <c r="J676" s="3" t="s">
        <v>204</v>
      </c>
      <c r="K676" s="3" t="s">
        <v>2794</v>
      </c>
      <c r="L676" s="3" t="s">
        <v>2795</v>
      </c>
      <c r="M676" s="3" t="s">
        <v>207</v>
      </c>
      <c r="N676" s="3" t="s">
        <v>217</v>
      </c>
      <c r="O676" s="3" t="s">
        <v>418</v>
      </c>
    </row>
    <row r="677" spans="1:15" ht="22.5" customHeight="1" x14ac:dyDescent="0.3">
      <c r="A677" s="4">
        <v>5142407</v>
      </c>
      <c r="B677" s="4" t="s">
        <v>2796</v>
      </c>
      <c r="C677" s="4" t="s">
        <v>197</v>
      </c>
      <c r="D677" s="4" t="s">
        <v>198</v>
      </c>
      <c r="E677" s="4" t="s">
        <v>227</v>
      </c>
      <c r="F677" s="4" t="s">
        <v>200</v>
      </c>
      <c r="G677" s="4" t="s">
        <v>2797</v>
      </c>
      <c r="H677" s="4" t="s">
        <v>2798</v>
      </c>
      <c r="I677" s="4" t="s">
        <v>203</v>
      </c>
      <c r="J677" s="4" t="s">
        <v>204</v>
      </c>
      <c r="K677" s="4" t="s">
        <v>1364</v>
      </c>
      <c r="L677" s="4" t="s">
        <v>2799</v>
      </c>
      <c r="M677" s="4" t="s">
        <v>207</v>
      </c>
      <c r="N677" s="4" t="s">
        <v>208</v>
      </c>
      <c r="O677" s="4" t="s">
        <v>234</v>
      </c>
    </row>
    <row r="678" spans="1:15" ht="22.5" customHeight="1" x14ac:dyDescent="0.3">
      <c r="A678" s="3">
        <v>5149487</v>
      </c>
      <c r="B678" s="3" t="s">
        <v>2800</v>
      </c>
      <c r="C678" s="3" t="s">
        <v>197</v>
      </c>
      <c r="D678" s="3" t="s">
        <v>198</v>
      </c>
      <c r="E678" s="3" t="s">
        <v>227</v>
      </c>
      <c r="F678" s="3" t="s">
        <v>200</v>
      </c>
      <c r="G678" s="3" t="s">
        <v>2801</v>
      </c>
      <c r="H678" s="3" t="s">
        <v>2802</v>
      </c>
      <c r="I678" s="3" t="s">
        <v>203</v>
      </c>
      <c r="J678" s="3" t="s">
        <v>298</v>
      </c>
      <c r="K678" s="3" t="s">
        <v>2803</v>
      </c>
      <c r="L678" s="3" t="s">
        <v>2804</v>
      </c>
      <c r="M678" s="3" t="s">
        <v>207</v>
      </c>
      <c r="N678" s="3" t="s">
        <v>217</v>
      </c>
      <c r="O678" s="3" t="s">
        <v>234</v>
      </c>
    </row>
    <row r="679" spans="1:15" ht="22.5" customHeight="1" x14ac:dyDescent="0.3">
      <c r="A679" s="4">
        <v>5149584</v>
      </c>
      <c r="B679" s="4" t="s">
        <v>2805</v>
      </c>
      <c r="C679" s="4" t="s">
        <v>197</v>
      </c>
      <c r="D679" s="4" t="s">
        <v>198</v>
      </c>
      <c r="E679" s="4" t="s">
        <v>227</v>
      </c>
      <c r="F679" s="4" t="s">
        <v>200</v>
      </c>
      <c r="G679" s="4" t="s">
        <v>2806</v>
      </c>
      <c r="H679" s="4" t="s">
        <v>2807</v>
      </c>
      <c r="I679" s="4" t="s">
        <v>203</v>
      </c>
      <c r="J679" s="4" t="s">
        <v>204</v>
      </c>
      <c r="K679" s="4" t="s">
        <v>452</v>
      </c>
      <c r="L679" s="4" t="s">
        <v>2808</v>
      </c>
      <c r="M679" s="4" t="s">
        <v>207</v>
      </c>
      <c r="N679" s="4" t="s">
        <v>217</v>
      </c>
      <c r="O679" s="4" t="s">
        <v>418</v>
      </c>
    </row>
    <row r="680" spans="1:15" ht="22.5" customHeight="1" x14ac:dyDescent="0.3">
      <c r="A680" s="3">
        <v>5150175</v>
      </c>
      <c r="B680" s="3" t="s">
        <v>2809</v>
      </c>
      <c r="C680" s="3" t="s">
        <v>197</v>
      </c>
      <c r="D680" s="3" t="s">
        <v>862</v>
      </c>
      <c r="E680" s="3" t="s">
        <v>227</v>
      </c>
      <c r="F680" s="3" t="s">
        <v>200</v>
      </c>
      <c r="G680" s="3" t="s">
        <v>1065</v>
      </c>
      <c r="H680" s="3" t="s">
        <v>1066</v>
      </c>
      <c r="I680" s="3" t="s">
        <v>203</v>
      </c>
      <c r="J680" s="3" t="s">
        <v>323</v>
      </c>
      <c r="K680" s="3" t="s">
        <v>2712</v>
      </c>
      <c r="L680" s="3" t="s">
        <v>1375</v>
      </c>
      <c r="M680" s="3" t="s">
        <v>245</v>
      </c>
      <c r="N680" s="3" t="s">
        <v>208</v>
      </c>
      <c r="O680" s="3" t="s">
        <v>433</v>
      </c>
    </row>
    <row r="681" spans="1:15" ht="33.75" customHeight="1" x14ac:dyDescent="0.3">
      <c r="A681" s="4">
        <v>5151058</v>
      </c>
      <c r="B681" s="4" t="s">
        <v>2810</v>
      </c>
      <c r="C681" s="4" t="s">
        <v>197</v>
      </c>
      <c r="D681" s="4" t="s">
        <v>827</v>
      </c>
      <c r="E681" s="4" t="s">
        <v>227</v>
      </c>
      <c r="F681" s="4" t="s">
        <v>413</v>
      </c>
      <c r="G681" s="4" t="s">
        <v>2811</v>
      </c>
      <c r="H681" s="4" t="s">
        <v>2812</v>
      </c>
      <c r="I681" s="4" t="s">
        <v>203</v>
      </c>
      <c r="J681" s="4" t="s">
        <v>214</v>
      </c>
      <c r="K681" s="4" t="s">
        <v>2813</v>
      </c>
      <c r="L681" s="4" t="s">
        <v>1068</v>
      </c>
      <c r="M681" s="4" t="s">
        <v>207</v>
      </c>
      <c r="N681" s="4" t="s">
        <v>208</v>
      </c>
      <c r="O681" s="4" t="s">
        <v>234</v>
      </c>
    </row>
    <row r="682" spans="1:15" ht="22.5" customHeight="1" x14ac:dyDescent="0.3">
      <c r="A682" s="3">
        <v>5152305</v>
      </c>
      <c r="B682" s="3" t="s">
        <v>2814</v>
      </c>
      <c r="C682" s="3" t="s">
        <v>197</v>
      </c>
      <c r="D682" s="3" t="s">
        <v>198</v>
      </c>
      <c r="E682" s="3" t="s">
        <v>227</v>
      </c>
      <c r="F682" s="3" t="s">
        <v>200</v>
      </c>
      <c r="G682" s="3" t="s">
        <v>721</v>
      </c>
      <c r="H682" s="3" t="s">
        <v>2815</v>
      </c>
      <c r="I682" s="3" t="s">
        <v>203</v>
      </c>
      <c r="J682" s="3" t="s">
        <v>323</v>
      </c>
      <c r="K682" s="3" t="s">
        <v>1281</v>
      </c>
      <c r="L682" s="3" t="s">
        <v>2668</v>
      </c>
      <c r="M682" s="3" t="s">
        <v>207</v>
      </c>
      <c r="N682" s="3" t="s">
        <v>217</v>
      </c>
      <c r="O682" s="3" t="s">
        <v>418</v>
      </c>
    </row>
    <row r="683" spans="1:15" ht="57" customHeight="1" x14ac:dyDescent="0.3">
      <c r="A683" s="4">
        <v>5154375</v>
      </c>
      <c r="B683" s="4" t="s">
        <v>2816</v>
      </c>
      <c r="C683" s="4" t="s">
        <v>197</v>
      </c>
      <c r="D683" s="4" t="s">
        <v>1292</v>
      </c>
      <c r="E683" s="4" t="s">
        <v>227</v>
      </c>
      <c r="F683" s="4" t="s">
        <v>200</v>
      </c>
      <c r="G683" s="4" t="s">
        <v>2817</v>
      </c>
      <c r="H683" s="4" t="s">
        <v>2818</v>
      </c>
      <c r="I683" s="4" t="s">
        <v>203</v>
      </c>
      <c r="J683" s="4" t="s">
        <v>323</v>
      </c>
      <c r="K683" s="4" t="s">
        <v>1445</v>
      </c>
      <c r="L683" s="4" t="s">
        <v>2819</v>
      </c>
      <c r="M683" s="4" t="s">
        <v>2330</v>
      </c>
      <c r="N683" s="4" t="s">
        <v>217</v>
      </c>
      <c r="O683" s="4" t="s">
        <v>418</v>
      </c>
    </row>
    <row r="684" spans="1:15" ht="57" customHeight="1" x14ac:dyDescent="0.3">
      <c r="A684" s="3">
        <v>5156270</v>
      </c>
      <c r="B684" s="3" t="s">
        <v>2820</v>
      </c>
      <c r="C684" s="3" t="s">
        <v>197</v>
      </c>
      <c r="D684" s="3" t="s">
        <v>925</v>
      </c>
      <c r="E684" s="3" t="s">
        <v>227</v>
      </c>
      <c r="F684" s="3" t="s">
        <v>200</v>
      </c>
      <c r="G684" s="3" t="s">
        <v>2821</v>
      </c>
      <c r="H684" s="3" t="s">
        <v>2822</v>
      </c>
      <c r="I684" s="3" t="s">
        <v>203</v>
      </c>
      <c r="J684" s="3" t="s">
        <v>345</v>
      </c>
      <c r="K684" s="3" t="s">
        <v>2823</v>
      </c>
      <c r="L684" s="3" t="s">
        <v>2819</v>
      </c>
      <c r="M684" s="3" t="s">
        <v>207</v>
      </c>
      <c r="N684" s="3" t="s">
        <v>208</v>
      </c>
      <c r="O684" s="3" t="s">
        <v>433</v>
      </c>
    </row>
    <row r="685" spans="1:15" ht="33.75" customHeight="1" x14ac:dyDescent="0.3">
      <c r="A685" s="4">
        <v>5159903</v>
      </c>
      <c r="B685" s="4" t="s">
        <v>2824</v>
      </c>
      <c r="C685" s="4" t="s">
        <v>197</v>
      </c>
      <c r="D685" s="4" t="s">
        <v>220</v>
      </c>
      <c r="E685" s="4" t="s">
        <v>227</v>
      </c>
      <c r="F685" s="4" t="s">
        <v>413</v>
      </c>
      <c r="G685" s="4" t="s">
        <v>2825</v>
      </c>
      <c r="H685" s="4" t="s">
        <v>2826</v>
      </c>
      <c r="I685" s="4" t="s">
        <v>203</v>
      </c>
      <c r="J685" s="4" t="s">
        <v>214</v>
      </c>
      <c r="K685" s="4" t="s">
        <v>647</v>
      </c>
      <c r="L685" s="4" t="s">
        <v>2827</v>
      </c>
      <c r="M685" s="4" t="s">
        <v>207</v>
      </c>
      <c r="N685" s="4" t="s">
        <v>217</v>
      </c>
      <c r="O685" s="4" t="s">
        <v>234</v>
      </c>
    </row>
    <row r="686" spans="1:15" ht="22.5" customHeight="1" x14ac:dyDescent="0.3">
      <c r="A686" s="3">
        <v>5161533</v>
      </c>
      <c r="B686" s="3" t="s">
        <v>2828</v>
      </c>
      <c r="C686" s="3" t="s">
        <v>197</v>
      </c>
      <c r="D686" s="3" t="s">
        <v>198</v>
      </c>
      <c r="E686" s="3" t="s">
        <v>227</v>
      </c>
      <c r="F686" s="3" t="s">
        <v>200</v>
      </c>
      <c r="G686" s="3" t="s">
        <v>1630</v>
      </c>
      <c r="H686" s="3" t="s">
        <v>568</v>
      </c>
      <c r="I686" s="3" t="s">
        <v>203</v>
      </c>
      <c r="J686" s="3" t="s">
        <v>214</v>
      </c>
      <c r="K686" s="3" t="s">
        <v>569</v>
      </c>
      <c r="L686" s="3" t="s">
        <v>2829</v>
      </c>
      <c r="M686" s="3" t="s">
        <v>207</v>
      </c>
      <c r="N686" s="3" t="s">
        <v>208</v>
      </c>
      <c r="O686" s="3" t="s">
        <v>234</v>
      </c>
    </row>
    <row r="687" spans="1:15" ht="33.75" customHeight="1" x14ac:dyDescent="0.3">
      <c r="A687" s="4">
        <v>5163536</v>
      </c>
      <c r="B687" s="4" t="s">
        <v>2830</v>
      </c>
      <c r="C687" s="4" t="s">
        <v>197</v>
      </c>
      <c r="D687" s="4" t="s">
        <v>494</v>
      </c>
      <c r="E687" s="4" t="s">
        <v>227</v>
      </c>
      <c r="F687" s="4" t="s">
        <v>200</v>
      </c>
      <c r="G687" s="4" t="s">
        <v>2831</v>
      </c>
      <c r="H687" s="4" t="s">
        <v>2832</v>
      </c>
      <c r="I687" s="4" t="s">
        <v>203</v>
      </c>
      <c r="J687" s="4" t="s">
        <v>323</v>
      </c>
      <c r="K687" s="4" t="s">
        <v>2833</v>
      </c>
      <c r="L687" s="4" t="s">
        <v>1437</v>
      </c>
      <c r="M687" s="4" t="s">
        <v>2330</v>
      </c>
      <c r="N687" s="4" t="s">
        <v>208</v>
      </c>
      <c r="O687" s="4" t="s">
        <v>234</v>
      </c>
    </row>
    <row r="688" spans="1:15" ht="22.5" customHeight="1" x14ac:dyDescent="0.3">
      <c r="A688" s="3">
        <v>5164621</v>
      </c>
      <c r="B688" s="3" t="s">
        <v>2834</v>
      </c>
      <c r="C688" s="3" t="s">
        <v>197</v>
      </c>
      <c r="D688" s="3" t="s">
        <v>198</v>
      </c>
      <c r="E688" s="3" t="s">
        <v>227</v>
      </c>
      <c r="F688" s="3" t="s">
        <v>200</v>
      </c>
      <c r="G688" s="3" t="s">
        <v>2835</v>
      </c>
      <c r="H688" s="3" t="s">
        <v>2836</v>
      </c>
      <c r="I688" s="3" t="s">
        <v>737</v>
      </c>
      <c r="J688" s="3" t="s">
        <v>214</v>
      </c>
      <c r="K688" s="3" t="s">
        <v>1904</v>
      </c>
      <c r="L688" s="3" t="s">
        <v>1087</v>
      </c>
      <c r="M688" s="3" t="s">
        <v>2330</v>
      </c>
      <c r="N688" s="3" t="s">
        <v>208</v>
      </c>
      <c r="O688" s="3" t="s">
        <v>234</v>
      </c>
    </row>
    <row r="689" spans="1:15" ht="22.5" customHeight="1" x14ac:dyDescent="0.3">
      <c r="A689" s="4">
        <v>5166268</v>
      </c>
      <c r="B689" s="4" t="s">
        <v>2837</v>
      </c>
      <c r="C689" s="4" t="s">
        <v>197</v>
      </c>
      <c r="D689" s="4" t="s">
        <v>198</v>
      </c>
      <c r="E689" s="4" t="s">
        <v>227</v>
      </c>
      <c r="F689" s="4" t="s">
        <v>578</v>
      </c>
      <c r="G689" s="4" t="s">
        <v>2026</v>
      </c>
      <c r="H689" s="4" t="s">
        <v>2027</v>
      </c>
      <c r="I689" s="4" t="s">
        <v>203</v>
      </c>
      <c r="J689" s="4" t="s">
        <v>506</v>
      </c>
      <c r="K689" s="4" t="s">
        <v>540</v>
      </c>
      <c r="L689" s="4" t="s">
        <v>2838</v>
      </c>
      <c r="M689" s="4" t="s">
        <v>207</v>
      </c>
      <c r="N689" s="4" t="s">
        <v>208</v>
      </c>
      <c r="O689" s="4" t="s">
        <v>234</v>
      </c>
    </row>
    <row r="690" spans="1:15" ht="22.5" customHeight="1" x14ac:dyDescent="0.3">
      <c r="A690" s="3">
        <v>5167663</v>
      </c>
      <c r="B690" s="3" t="s">
        <v>2839</v>
      </c>
      <c r="C690" s="3" t="s">
        <v>197</v>
      </c>
      <c r="D690" s="3" t="s">
        <v>198</v>
      </c>
      <c r="E690" s="3" t="s">
        <v>227</v>
      </c>
      <c r="F690" s="3" t="s">
        <v>200</v>
      </c>
      <c r="G690" s="3" t="s">
        <v>2840</v>
      </c>
      <c r="H690" s="3" t="s">
        <v>2841</v>
      </c>
      <c r="I690" s="3" t="s">
        <v>737</v>
      </c>
      <c r="J690" s="3" t="s">
        <v>214</v>
      </c>
      <c r="K690" s="3" t="s">
        <v>1247</v>
      </c>
      <c r="L690" s="3" t="s">
        <v>2771</v>
      </c>
      <c r="M690" s="3" t="s">
        <v>2330</v>
      </c>
      <c r="N690" s="3" t="s">
        <v>208</v>
      </c>
      <c r="O690" s="3" t="s">
        <v>234</v>
      </c>
    </row>
    <row r="691" spans="1:15" ht="57" customHeight="1" x14ac:dyDescent="0.3">
      <c r="A691" s="4">
        <v>5171164</v>
      </c>
      <c r="B691" s="4" t="s">
        <v>2842</v>
      </c>
      <c r="C691" s="4" t="s">
        <v>197</v>
      </c>
      <c r="D691" s="4" t="s">
        <v>845</v>
      </c>
      <c r="E691" s="4" t="s">
        <v>227</v>
      </c>
      <c r="F691" s="4" t="s">
        <v>200</v>
      </c>
      <c r="G691" s="4" t="s">
        <v>2843</v>
      </c>
      <c r="H691" s="4" t="s">
        <v>2844</v>
      </c>
      <c r="I691" s="4" t="s">
        <v>203</v>
      </c>
      <c r="J691" s="4" t="s">
        <v>266</v>
      </c>
      <c r="K691" s="4" t="s">
        <v>442</v>
      </c>
      <c r="L691" s="4" t="s">
        <v>2845</v>
      </c>
      <c r="M691" s="4" t="s">
        <v>207</v>
      </c>
      <c r="N691" s="4" t="s">
        <v>217</v>
      </c>
      <c r="O691" s="4" t="s">
        <v>418</v>
      </c>
    </row>
    <row r="692" spans="1:15" ht="22.5" customHeight="1" x14ac:dyDescent="0.3">
      <c r="A692" s="3">
        <v>5172349</v>
      </c>
      <c r="B692" s="3" t="s">
        <v>2846</v>
      </c>
      <c r="C692" s="3" t="s">
        <v>197</v>
      </c>
      <c r="D692" s="3" t="s">
        <v>198</v>
      </c>
      <c r="E692" s="3" t="s">
        <v>227</v>
      </c>
      <c r="F692" s="3" t="s">
        <v>200</v>
      </c>
      <c r="G692" s="3" t="s">
        <v>2847</v>
      </c>
      <c r="H692" s="3" t="s">
        <v>2848</v>
      </c>
      <c r="I692" s="3" t="s">
        <v>751</v>
      </c>
      <c r="J692" s="3" t="s">
        <v>316</v>
      </c>
      <c r="K692" s="3" t="s">
        <v>2849</v>
      </c>
      <c r="L692" s="3" t="s">
        <v>758</v>
      </c>
      <c r="M692" s="3" t="s">
        <v>207</v>
      </c>
      <c r="N692" s="3" t="s">
        <v>217</v>
      </c>
      <c r="O692" s="3" t="s">
        <v>418</v>
      </c>
    </row>
    <row r="693" spans="1:15" ht="22.5" customHeight="1" x14ac:dyDescent="0.3">
      <c r="A693" s="4">
        <v>5178819</v>
      </c>
      <c r="B693" s="4" t="s">
        <v>2850</v>
      </c>
      <c r="C693" s="4" t="s">
        <v>197</v>
      </c>
      <c r="D693" s="4" t="s">
        <v>198</v>
      </c>
      <c r="E693" s="4" t="s">
        <v>227</v>
      </c>
      <c r="F693" s="4" t="s">
        <v>200</v>
      </c>
      <c r="G693" s="4" t="s">
        <v>2851</v>
      </c>
      <c r="H693" s="4" t="s">
        <v>2852</v>
      </c>
      <c r="I693" s="4" t="s">
        <v>203</v>
      </c>
      <c r="J693" s="4" t="s">
        <v>204</v>
      </c>
      <c r="K693" s="4" t="s">
        <v>870</v>
      </c>
      <c r="L693" s="4" t="s">
        <v>1612</v>
      </c>
      <c r="M693" s="4" t="s">
        <v>245</v>
      </c>
      <c r="N693" s="4" t="s">
        <v>208</v>
      </c>
      <c r="O693" s="4" t="s">
        <v>234</v>
      </c>
    </row>
    <row r="694" spans="1:15" ht="22.5" customHeight="1" x14ac:dyDescent="0.3">
      <c r="A694" s="3">
        <v>5179386</v>
      </c>
      <c r="B694" s="3" t="s">
        <v>2853</v>
      </c>
      <c r="C694" s="3" t="s">
        <v>197</v>
      </c>
      <c r="D694" s="3" t="s">
        <v>862</v>
      </c>
      <c r="E694" s="3" t="s">
        <v>227</v>
      </c>
      <c r="F694" s="3" t="s">
        <v>200</v>
      </c>
      <c r="G694" s="3" t="s">
        <v>2687</v>
      </c>
      <c r="H694" s="3" t="s">
        <v>1025</v>
      </c>
      <c r="I694" s="3" t="s">
        <v>203</v>
      </c>
      <c r="J694" s="3" t="s">
        <v>323</v>
      </c>
      <c r="K694" s="3" t="s">
        <v>1203</v>
      </c>
      <c r="L694" s="3" t="s">
        <v>2819</v>
      </c>
      <c r="M694" s="3" t="s">
        <v>2330</v>
      </c>
      <c r="N694" s="3" t="s">
        <v>208</v>
      </c>
      <c r="O694" s="3" t="s">
        <v>418</v>
      </c>
    </row>
    <row r="695" spans="1:15" ht="22.5" customHeight="1" x14ac:dyDescent="0.3">
      <c r="A695" s="4">
        <v>5179890</v>
      </c>
      <c r="B695" s="4" t="s">
        <v>2854</v>
      </c>
      <c r="C695" s="4" t="s">
        <v>197</v>
      </c>
      <c r="D695" s="4" t="s">
        <v>198</v>
      </c>
      <c r="E695" s="4" t="s">
        <v>227</v>
      </c>
      <c r="F695" s="4" t="s">
        <v>200</v>
      </c>
      <c r="G695" s="4" t="s">
        <v>2855</v>
      </c>
      <c r="H695" s="4" t="s">
        <v>2381</v>
      </c>
      <c r="I695" s="4" t="s">
        <v>737</v>
      </c>
      <c r="J695" s="4" t="s">
        <v>214</v>
      </c>
      <c r="K695" s="4" t="s">
        <v>1904</v>
      </c>
      <c r="L695" s="4" t="s">
        <v>2856</v>
      </c>
      <c r="M695" s="4" t="s">
        <v>207</v>
      </c>
      <c r="N695" s="4" t="s">
        <v>217</v>
      </c>
      <c r="O695" s="4" t="s">
        <v>234</v>
      </c>
    </row>
    <row r="696" spans="1:15" ht="22.5" customHeight="1" x14ac:dyDescent="0.3">
      <c r="A696" s="3">
        <v>5180015</v>
      </c>
      <c r="B696" s="3" t="s">
        <v>2857</v>
      </c>
      <c r="C696" s="3" t="s">
        <v>197</v>
      </c>
      <c r="D696" s="3" t="s">
        <v>198</v>
      </c>
      <c r="E696" s="3" t="s">
        <v>227</v>
      </c>
      <c r="F696" s="3" t="s">
        <v>200</v>
      </c>
      <c r="G696" s="3" t="s">
        <v>2858</v>
      </c>
      <c r="H696" s="3" t="s">
        <v>1745</v>
      </c>
      <c r="I696" s="3" t="s">
        <v>203</v>
      </c>
      <c r="J696" s="3" t="s">
        <v>329</v>
      </c>
      <c r="K696" s="3" t="s">
        <v>2859</v>
      </c>
      <c r="L696" s="3" t="s">
        <v>1463</v>
      </c>
      <c r="M696" s="3" t="s">
        <v>654</v>
      </c>
      <c r="N696" s="3" t="s">
        <v>217</v>
      </c>
      <c r="O696" s="3" t="s">
        <v>433</v>
      </c>
    </row>
    <row r="697" spans="1:15" ht="22.5" customHeight="1" x14ac:dyDescent="0.3">
      <c r="A697" s="4">
        <v>5180082</v>
      </c>
      <c r="B697" s="4" t="s">
        <v>2860</v>
      </c>
      <c r="C697" s="4" t="s">
        <v>197</v>
      </c>
      <c r="D697" s="4" t="s">
        <v>198</v>
      </c>
      <c r="E697" s="4" t="s">
        <v>227</v>
      </c>
      <c r="F697" s="4" t="s">
        <v>200</v>
      </c>
      <c r="G697" s="4" t="s">
        <v>818</v>
      </c>
      <c r="H697" s="4" t="s">
        <v>819</v>
      </c>
      <c r="I697" s="4" t="s">
        <v>203</v>
      </c>
      <c r="J697" s="4" t="s">
        <v>329</v>
      </c>
      <c r="K697" s="4" t="s">
        <v>611</v>
      </c>
      <c r="L697" s="4" t="s">
        <v>2861</v>
      </c>
      <c r="M697" s="4" t="s">
        <v>654</v>
      </c>
      <c r="N697" s="4" t="s">
        <v>217</v>
      </c>
      <c r="O697" s="4" t="s">
        <v>418</v>
      </c>
    </row>
    <row r="698" spans="1:15" ht="22.5" customHeight="1" x14ac:dyDescent="0.3">
      <c r="A698" s="3">
        <v>5180163</v>
      </c>
      <c r="B698" s="3" t="s">
        <v>2862</v>
      </c>
      <c r="C698" s="3" t="s">
        <v>197</v>
      </c>
      <c r="D698" s="3" t="s">
        <v>862</v>
      </c>
      <c r="E698" s="3" t="s">
        <v>227</v>
      </c>
      <c r="F698" s="3" t="s">
        <v>200</v>
      </c>
      <c r="G698" s="3" t="s">
        <v>2863</v>
      </c>
      <c r="H698" s="3" t="s">
        <v>2864</v>
      </c>
      <c r="I698" s="3" t="s">
        <v>203</v>
      </c>
      <c r="J698" s="3" t="s">
        <v>329</v>
      </c>
      <c r="K698" s="3" t="s">
        <v>2865</v>
      </c>
      <c r="L698" s="3" t="s">
        <v>2494</v>
      </c>
      <c r="M698" s="3" t="s">
        <v>233</v>
      </c>
      <c r="N698" s="3" t="s">
        <v>217</v>
      </c>
      <c r="O698" s="3" t="s">
        <v>433</v>
      </c>
    </row>
    <row r="699" spans="1:15" ht="22.5" customHeight="1" x14ac:dyDescent="0.3">
      <c r="A699" s="4">
        <v>5181704</v>
      </c>
      <c r="B699" s="4" t="s">
        <v>2866</v>
      </c>
      <c r="C699" s="4" t="s">
        <v>197</v>
      </c>
      <c r="D699" s="4" t="s">
        <v>198</v>
      </c>
      <c r="E699" s="4" t="s">
        <v>227</v>
      </c>
      <c r="F699" s="4" t="s">
        <v>200</v>
      </c>
      <c r="G699" s="4" t="s">
        <v>2867</v>
      </c>
      <c r="H699" s="4" t="s">
        <v>1368</v>
      </c>
      <c r="I699" s="4" t="s">
        <v>203</v>
      </c>
      <c r="J699" s="4" t="s">
        <v>204</v>
      </c>
      <c r="K699" s="4" t="s">
        <v>1369</v>
      </c>
      <c r="L699" s="4" t="s">
        <v>2819</v>
      </c>
      <c r="M699" s="4" t="s">
        <v>2330</v>
      </c>
      <c r="N699" s="4" t="s">
        <v>217</v>
      </c>
      <c r="O699" s="4" t="s">
        <v>234</v>
      </c>
    </row>
    <row r="700" spans="1:15" ht="22.5" customHeight="1" x14ac:dyDescent="0.3">
      <c r="A700" s="3">
        <v>5182840</v>
      </c>
      <c r="B700" s="3" t="s">
        <v>2868</v>
      </c>
      <c r="C700" s="3" t="s">
        <v>197</v>
      </c>
      <c r="D700" s="3" t="s">
        <v>198</v>
      </c>
      <c r="E700" s="3" t="s">
        <v>227</v>
      </c>
      <c r="F700" s="3" t="s">
        <v>200</v>
      </c>
      <c r="G700" s="3" t="s">
        <v>721</v>
      </c>
      <c r="H700" s="3" t="s">
        <v>722</v>
      </c>
      <c r="I700" s="3" t="s">
        <v>203</v>
      </c>
      <c r="J700" s="3" t="s">
        <v>323</v>
      </c>
      <c r="K700" s="3" t="s">
        <v>1379</v>
      </c>
      <c r="L700" s="3" t="s">
        <v>2869</v>
      </c>
      <c r="M700" s="3" t="s">
        <v>207</v>
      </c>
      <c r="N700" s="3" t="s">
        <v>217</v>
      </c>
      <c r="O700" s="3" t="s">
        <v>418</v>
      </c>
    </row>
    <row r="701" spans="1:15" ht="33.75" customHeight="1" x14ac:dyDescent="0.3">
      <c r="A701" s="4">
        <v>5182859</v>
      </c>
      <c r="B701" s="4" t="s">
        <v>2870</v>
      </c>
      <c r="C701" s="4" t="s">
        <v>197</v>
      </c>
      <c r="D701" s="4" t="s">
        <v>198</v>
      </c>
      <c r="E701" s="4" t="s">
        <v>227</v>
      </c>
      <c r="F701" s="4" t="s">
        <v>888</v>
      </c>
      <c r="G701" s="4" t="s">
        <v>2195</v>
      </c>
      <c r="H701" s="4" t="s">
        <v>2196</v>
      </c>
      <c r="I701" s="4" t="s">
        <v>203</v>
      </c>
      <c r="J701" s="4" t="s">
        <v>329</v>
      </c>
      <c r="K701" s="4" t="s">
        <v>2871</v>
      </c>
      <c r="L701" s="4" t="s">
        <v>2872</v>
      </c>
      <c r="M701" s="4" t="s">
        <v>245</v>
      </c>
      <c r="N701" s="4" t="s">
        <v>217</v>
      </c>
      <c r="O701" s="4" t="s">
        <v>418</v>
      </c>
    </row>
    <row r="702" spans="1:15" ht="33.75" customHeight="1" x14ac:dyDescent="0.3">
      <c r="A702" s="3">
        <v>5184851</v>
      </c>
      <c r="B702" s="3" t="s">
        <v>2873</v>
      </c>
      <c r="C702" s="3" t="s">
        <v>197</v>
      </c>
      <c r="D702" s="3" t="s">
        <v>494</v>
      </c>
      <c r="E702" s="3" t="s">
        <v>227</v>
      </c>
      <c r="F702" s="3" t="s">
        <v>413</v>
      </c>
      <c r="G702" s="3" t="s">
        <v>2874</v>
      </c>
      <c r="H702" s="3" t="s">
        <v>2875</v>
      </c>
      <c r="I702" s="3" t="s">
        <v>203</v>
      </c>
      <c r="J702" s="3" t="s">
        <v>323</v>
      </c>
      <c r="K702" s="3" t="s">
        <v>2876</v>
      </c>
      <c r="L702" s="3" t="s">
        <v>1964</v>
      </c>
      <c r="M702" s="3" t="s">
        <v>245</v>
      </c>
      <c r="N702" s="3" t="s">
        <v>217</v>
      </c>
      <c r="O702" s="3" t="s">
        <v>433</v>
      </c>
    </row>
    <row r="703" spans="1:15" ht="57" customHeight="1" x14ac:dyDescent="0.3">
      <c r="A703" s="4">
        <v>5186838</v>
      </c>
      <c r="B703" s="4" t="s">
        <v>2877</v>
      </c>
      <c r="C703" s="4" t="s">
        <v>197</v>
      </c>
      <c r="D703" s="4" t="s">
        <v>342</v>
      </c>
      <c r="E703" s="4" t="s">
        <v>227</v>
      </c>
      <c r="F703" s="4" t="s">
        <v>200</v>
      </c>
      <c r="G703" s="4" t="s">
        <v>2878</v>
      </c>
      <c r="H703" s="4" t="s">
        <v>2336</v>
      </c>
      <c r="I703" s="4" t="s">
        <v>737</v>
      </c>
      <c r="J703" s="4" t="s">
        <v>204</v>
      </c>
      <c r="K703" s="4" t="s">
        <v>1692</v>
      </c>
      <c r="L703" s="4" t="s">
        <v>2879</v>
      </c>
      <c r="M703" s="4" t="s">
        <v>207</v>
      </c>
      <c r="N703" s="4" t="s">
        <v>208</v>
      </c>
      <c r="O703" s="4" t="s">
        <v>234</v>
      </c>
    </row>
    <row r="704" spans="1:15" ht="22.5" customHeight="1" x14ac:dyDescent="0.3">
      <c r="A704" s="3">
        <v>5188180</v>
      </c>
      <c r="B704" s="3" t="s">
        <v>2880</v>
      </c>
      <c r="C704" s="3" t="s">
        <v>197</v>
      </c>
      <c r="D704" s="3" t="s">
        <v>198</v>
      </c>
      <c r="E704" s="3" t="s">
        <v>227</v>
      </c>
      <c r="F704" s="3" t="s">
        <v>200</v>
      </c>
      <c r="G704" s="3" t="s">
        <v>2881</v>
      </c>
      <c r="H704" s="3" t="s">
        <v>2882</v>
      </c>
      <c r="I704" s="3" t="s">
        <v>203</v>
      </c>
      <c r="J704" s="3" t="s">
        <v>316</v>
      </c>
      <c r="K704" s="3" t="s">
        <v>2883</v>
      </c>
      <c r="L704" s="3" t="s">
        <v>2884</v>
      </c>
      <c r="M704" s="3" t="s">
        <v>207</v>
      </c>
      <c r="N704" s="3" t="s">
        <v>208</v>
      </c>
      <c r="O704" s="3" t="s">
        <v>234</v>
      </c>
    </row>
    <row r="705" spans="1:15" ht="22.5" customHeight="1" x14ac:dyDescent="0.3">
      <c r="A705" s="4">
        <v>5189306</v>
      </c>
      <c r="B705" s="4" t="s">
        <v>2885</v>
      </c>
      <c r="C705" s="4" t="s">
        <v>197</v>
      </c>
      <c r="D705" s="4" t="s">
        <v>198</v>
      </c>
      <c r="E705" s="4" t="s">
        <v>227</v>
      </c>
      <c r="F705" s="4" t="s">
        <v>200</v>
      </c>
      <c r="G705" s="4" t="s">
        <v>2886</v>
      </c>
      <c r="H705" s="4" t="s">
        <v>2129</v>
      </c>
      <c r="I705" s="4" t="s">
        <v>751</v>
      </c>
      <c r="J705" s="4" t="s">
        <v>329</v>
      </c>
      <c r="K705" s="4" t="s">
        <v>2230</v>
      </c>
      <c r="L705" s="4" t="s">
        <v>2887</v>
      </c>
      <c r="M705" s="4" t="s">
        <v>245</v>
      </c>
      <c r="N705" s="4" t="s">
        <v>208</v>
      </c>
      <c r="O705" s="4" t="s">
        <v>433</v>
      </c>
    </row>
    <row r="706" spans="1:15" ht="22.5" customHeight="1" x14ac:dyDescent="0.3">
      <c r="A706" s="3">
        <v>5189365</v>
      </c>
      <c r="B706" s="3" t="s">
        <v>2888</v>
      </c>
      <c r="C706" s="3" t="s">
        <v>197</v>
      </c>
      <c r="D706" s="3" t="s">
        <v>198</v>
      </c>
      <c r="E706" s="3" t="s">
        <v>227</v>
      </c>
      <c r="F706" s="3" t="s">
        <v>200</v>
      </c>
      <c r="G706" s="3" t="s">
        <v>2359</v>
      </c>
      <c r="H706" s="3" t="s">
        <v>2889</v>
      </c>
      <c r="I706" s="3" t="s">
        <v>203</v>
      </c>
      <c r="J706" s="3" t="s">
        <v>214</v>
      </c>
      <c r="K706" s="3" t="s">
        <v>635</v>
      </c>
      <c r="L706" s="3" t="s">
        <v>1128</v>
      </c>
      <c r="M706" s="3" t="s">
        <v>207</v>
      </c>
      <c r="N706" s="3" t="s">
        <v>208</v>
      </c>
      <c r="O706" s="3" t="s">
        <v>433</v>
      </c>
    </row>
    <row r="707" spans="1:15" ht="22.5" customHeight="1" x14ac:dyDescent="0.3">
      <c r="A707" s="4">
        <v>5189543</v>
      </c>
      <c r="B707" s="4" t="s">
        <v>2890</v>
      </c>
      <c r="C707" s="4" t="s">
        <v>197</v>
      </c>
      <c r="D707" s="4" t="s">
        <v>198</v>
      </c>
      <c r="E707" s="4" t="s">
        <v>227</v>
      </c>
      <c r="F707" s="4" t="s">
        <v>200</v>
      </c>
      <c r="G707" s="4" t="s">
        <v>2891</v>
      </c>
      <c r="H707" s="4" t="s">
        <v>1327</v>
      </c>
      <c r="I707" s="4" t="s">
        <v>203</v>
      </c>
      <c r="J707" s="4" t="s">
        <v>204</v>
      </c>
      <c r="K707" s="4" t="s">
        <v>958</v>
      </c>
      <c r="L707" s="4" t="s">
        <v>2892</v>
      </c>
      <c r="M707" s="4" t="s">
        <v>207</v>
      </c>
      <c r="N707" s="4" t="s">
        <v>217</v>
      </c>
      <c r="O707" s="4" t="s">
        <v>234</v>
      </c>
    </row>
    <row r="708" spans="1:15" ht="22.5" customHeight="1" x14ac:dyDescent="0.3">
      <c r="A708" s="3">
        <v>5191297</v>
      </c>
      <c r="B708" s="3" t="s">
        <v>2893</v>
      </c>
      <c r="C708" s="3" t="s">
        <v>197</v>
      </c>
      <c r="D708" s="3" t="s">
        <v>198</v>
      </c>
      <c r="E708" s="3" t="s">
        <v>227</v>
      </c>
      <c r="F708" s="3" t="s">
        <v>200</v>
      </c>
      <c r="G708" s="3" t="s">
        <v>2894</v>
      </c>
      <c r="H708" s="3" t="s">
        <v>2895</v>
      </c>
      <c r="I708" s="3" t="s">
        <v>203</v>
      </c>
      <c r="J708" s="3" t="s">
        <v>266</v>
      </c>
      <c r="K708" s="3" t="s">
        <v>2896</v>
      </c>
      <c r="L708" s="3" t="s">
        <v>2897</v>
      </c>
      <c r="M708" s="3" t="s">
        <v>245</v>
      </c>
      <c r="N708" s="3" t="s">
        <v>217</v>
      </c>
      <c r="O708" s="3" t="s">
        <v>433</v>
      </c>
    </row>
    <row r="709" spans="1:15" ht="22.5" customHeight="1" x14ac:dyDescent="0.3">
      <c r="A709" s="4">
        <v>5201918</v>
      </c>
      <c r="B709" s="4" t="s">
        <v>2898</v>
      </c>
      <c r="C709" s="4" t="s">
        <v>197</v>
      </c>
      <c r="D709" s="4" t="s">
        <v>198</v>
      </c>
      <c r="E709" s="4" t="s">
        <v>227</v>
      </c>
      <c r="F709" s="4" t="s">
        <v>200</v>
      </c>
      <c r="G709" s="4" t="s">
        <v>2899</v>
      </c>
      <c r="H709" s="4" t="s">
        <v>2900</v>
      </c>
      <c r="I709" s="4" t="s">
        <v>203</v>
      </c>
      <c r="J709" s="4" t="s">
        <v>298</v>
      </c>
      <c r="K709" s="4" t="s">
        <v>299</v>
      </c>
      <c r="L709" s="4" t="s">
        <v>2901</v>
      </c>
      <c r="M709" s="4" t="s">
        <v>245</v>
      </c>
      <c r="N709" s="4" t="s">
        <v>217</v>
      </c>
      <c r="O709" s="4" t="s">
        <v>418</v>
      </c>
    </row>
    <row r="710" spans="1:15" ht="22.5" customHeight="1" x14ac:dyDescent="0.3">
      <c r="A710" s="3">
        <v>5202175</v>
      </c>
      <c r="B710" s="3" t="s">
        <v>2902</v>
      </c>
      <c r="C710" s="3" t="s">
        <v>197</v>
      </c>
      <c r="D710" s="3"/>
      <c r="E710" s="3" t="s">
        <v>227</v>
      </c>
      <c r="F710" s="3" t="s">
        <v>413</v>
      </c>
      <c r="G710" s="3" t="s">
        <v>2903</v>
      </c>
      <c r="H710" s="3" t="s">
        <v>2904</v>
      </c>
      <c r="I710" s="3" t="s">
        <v>203</v>
      </c>
      <c r="J710" s="3" t="s">
        <v>316</v>
      </c>
      <c r="K710" s="3" t="s">
        <v>2551</v>
      </c>
      <c r="L710" s="3" t="s">
        <v>453</v>
      </c>
      <c r="M710" s="3" t="s">
        <v>207</v>
      </c>
      <c r="N710" s="3" t="s">
        <v>217</v>
      </c>
      <c r="O710" s="3" t="s">
        <v>433</v>
      </c>
    </row>
    <row r="711" spans="1:15" ht="22.5" customHeight="1" x14ac:dyDescent="0.3">
      <c r="A711" s="4">
        <v>5209137</v>
      </c>
      <c r="B711" s="4" t="s">
        <v>2905</v>
      </c>
      <c r="C711" s="4" t="s">
        <v>197</v>
      </c>
      <c r="D711" s="4" t="s">
        <v>198</v>
      </c>
      <c r="E711" s="4" t="s">
        <v>227</v>
      </c>
      <c r="F711" s="4" t="s">
        <v>578</v>
      </c>
      <c r="G711" s="4" t="s">
        <v>2906</v>
      </c>
      <c r="H711" s="4" t="s">
        <v>2907</v>
      </c>
      <c r="I711" s="4" t="s">
        <v>203</v>
      </c>
      <c r="J711" s="4" t="s">
        <v>506</v>
      </c>
      <c r="K711" s="4" t="s">
        <v>1328</v>
      </c>
      <c r="L711" s="4" t="s">
        <v>453</v>
      </c>
      <c r="M711" s="4" t="s">
        <v>2330</v>
      </c>
      <c r="N711" s="4" t="s">
        <v>217</v>
      </c>
      <c r="O711" s="4" t="s">
        <v>234</v>
      </c>
    </row>
    <row r="712" spans="1:15" ht="22.5" customHeight="1" x14ac:dyDescent="0.3">
      <c r="A712" s="3">
        <v>5216788</v>
      </c>
      <c r="B712" s="3" t="s">
        <v>2908</v>
      </c>
      <c r="C712" s="3" t="s">
        <v>197</v>
      </c>
      <c r="D712" s="3" t="s">
        <v>198</v>
      </c>
      <c r="E712" s="3" t="s">
        <v>227</v>
      </c>
      <c r="F712" s="3" t="s">
        <v>200</v>
      </c>
      <c r="G712" s="3" t="s">
        <v>1267</v>
      </c>
      <c r="H712" s="3" t="s">
        <v>2909</v>
      </c>
      <c r="I712" s="3" t="s">
        <v>203</v>
      </c>
      <c r="J712" s="3" t="s">
        <v>214</v>
      </c>
      <c r="K712" s="3" t="s">
        <v>815</v>
      </c>
      <c r="L712" s="3" t="s">
        <v>2910</v>
      </c>
      <c r="M712" s="3" t="s">
        <v>233</v>
      </c>
      <c r="N712" s="3" t="s">
        <v>208</v>
      </c>
      <c r="O712" s="3" t="s">
        <v>234</v>
      </c>
    </row>
    <row r="713" spans="1:15" ht="57" customHeight="1" x14ac:dyDescent="0.3">
      <c r="A713" s="4">
        <v>5218209</v>
      </c>
      <c r="B713" s="4" t="s">
        <v>2911</v>
      </c>
      <c r="C713" s="4" t="s">
        <v>197</v>
      </c>
      <c r="D713" s="4" t="s">
        <v>2344</v>
      </c>
      <c r="E713" s="4" t="s">
        <v>227</v>
      </c>
      <c r="F713" s="4" t="s">
        <v>413</v>
      </c>
      <c r="G713" s="4" t="s">
        <v>2912</v>
      </c>
      <c r="H713" s="4" t="s">
        <v>2492</v>
      </c>
      <c r="I713" s="4" t="s">
        <v>203</v>
      </c>
      <c r="J713" s="4" t="s">
        <v>506</v>
      </c>
      <c r="K713" s="4" t="s">
        <v>2913</v>
      </c>
      <c r="L713" s="4" t="s">
        <v>2914</v>
      </c>
      <c r="M713" s="4" t="s">
        <v>207</v>
      </c>
      <c r="N713" s="4" t="s">
        <v>217</v>
      </c>
      <c r="O713" s="4" t="s">
        <v>234</v>
      </c>
    </row>
    <row r="714" spans="1:15" ht="33.75" customHeight="1" x14ac:dyDescent="0.3">
      <c r="A714" s="3">
        <v>5218233</v>
      </c>
      <c r="B714" s="3" t="s">
        <v>2915</v>
      </c>
      <c r="C714" s="3" t="s">
        <v>197</v>
      </c>
      <c r="D714" s="3" t="s">
        <v>198</v>
      </c>
      <c r="E714" s="3" t="s">
        <v>227</v>
      </c>
      <c r="F714" s="3" t="s">
        <v>888</v>
      </c>
      <c r="G714" s="3" t="s">
        <v>2916</v>
      </c>
      <c r="H714" s="3" t="s">
        <v>2917</v>
      </c>
      <c r="I714" s="3" t="s">
        <v>203</v>
      </c>
      <c r="J714" s="3" t="s">
        <v>298</v>
      </c>
      <c r="K714" s="3" t="s">
        <v>2753</v>
      </c>
      <c r="L714" s="3" t="s">
        <v>2918</v>
      </c>
      <c r="M714" s="3" t="s">
        <v>207</v>
      </c>
      <c r="N714" s="3" t="s">
        <v>217</v>
      </c>
      <c r="O714" s="3" t="s">
        <v>444</v>
      </c>
    </row>
    <row r="715" spans="1:15" ht="22.5" customHeight="1" x14ac:dyDescent="0.3">
      <c r="A715" s="4">
        <v>5219604</v>
      </c>
      <c r="B715" s="4" t="s">
        <v>2919</v>
      </c>
      <c r="C715" s="4" t="s">
        <v>197</v>
      </c>
      <c r="D715" s="4" t="s">
        <v>862</v>
      </c>
      <c r="E715" s="4" t="s">
        <v>227</v>
      </c>
      <c r="F715" s="4" t="s">
        <v>200</v>
      </c>
      <c r="G715" s="4" t="s">
        <v>2920</v>
      </c>
      <c r="H715" s="4" t="s">
        <v>505</v>
      </c>
      <c r="I715" s="4" t="s">
        <v>203</v>
      </c>
      <c r="J715" s="4" t="s">
        <v>506</v>
      </c>
      <c r="K715" s="4" t="s">
        <v>2459</v>
      </c>
      <c r="L715" s="4" t="s">
        <v>2921</v>
      </c>
      <c r="M715" s="4" t="s">
        <v>207</v>
      </c>
      <c r="N715" s="4" t="s">
        <v>208</v>
      </c>
      <c r="O715" s="4" t="s">
        <v>234</v>
      </c>
    </row>
    <row r="716" spans="1:15" ht="79.5" customHeight="1" x14ac:dyDescent="0.3">
      <c r="A716" s="3">
        <v>5225310</v>
      </c>
      <c r="B716" s="3" t="s">
        <v>2922</v>
      </c>
      <c r="C716" s="3" t="s">
        <v>197</v>
      </c>
      <c r="D716" s="3" t="s">
        <v>320</v>
      </c>
      <c r="E716" s="3" t="s">
        <v>608</v>
      </c>
      <c r="F716" s="3" t="s">
        <v>200</v>
      </c>
      <c r="G716" s="3" t="s">
        <v>2923</v>
      </c>
      <c r="H716" s="3" t="s">
        <v>2924</v>
      </c>
      <c r="I716" s="3" t="s">
        <v>203</v>
      </c>
      <c r="J716" s="3" t="s">
        <v>214</v>
      </c>
      <c r="K716" s="3" t="s">
        <v>1723</v>
      </c>
      <c r="L716" s="3" t="s">
        <v>1516</v>
      </c>
      <c r="M716" s="3" t="s">
        <v>245</v>
      </c>
      <c r="N716" s="3" t="s">
        <v>217</v>
      </c>
      <c r="O716" s="3" t="s">
        <v>613</v>
      </c>
    </row>
    <row r="717" spans="1:15" ht="22.5" customHeight="1" x14ac:dyDescent="0.3">
      <c r="A717" s="4">
        <v>5230160</v>
      </c>
      <c r="B717" s="4" t="s">
        <v>2925</v>
      </c>
      <c r="C717" s="4" t="s">
        <v>197</v>
      </c>
      <c r="D717" s="4" t="s">
        <v>198</v>
      </c>
      <c r="E717" s="4" t="s">
        <v>227</v>
      </c>
      <c r="F717" s="4" t="s">
        <v>200</v>
      </c>
      <c r="G717" s="4" t="s">
        <v>2926</v>
      </c>
      <c r="H717" s="4" t="s">
        <v>2927</v>
      </c>
      <c r="I717" s="4" t="s">
        <v>203</v>
      </c>
      <c r="J717" s="4" t="s">
        <v>214</v>
      </c>
      <c r="K717" s="4" t="s">
        <v>747</v>
      </c>
      <c r="L717" s="4" t="s">
        <v>2928</v>
      </c>
      <c r="M717" s="4" t="s">
        <v>207</v>
      </c>
      <c r="N717" s="4" t="s">
        <v>217</v>
      </c>
      <c r="O717" s="4" t="s">
        <v>444</v>
      </c>
    </row>
    <row r="718" spans="1:15" ht="22.5" customHeight="1" x14ac:dyDescent="0.3">
      <c r="A718" s="3">
        <v>5231302</v>
      </c>
      <c r="B718" s="3" t="s">
        <v>2929</v>
      </c>
      <c r="C718" s="3" t="s">
        <v>197</v>
      </c>
      <c r="D718" s="3" t="s">
        <v>198</v>
      </c>
      <c r="E718" s="3" t="s">
        <v>227</v>
      </c>
      <c r="F718" s="3" t="s">
        <v>200</v>
      </c>
      <c r="G718" s="3" t="s">
        <v>2930</v>
      </c>
      <c r="H718" s="3" t="s">
        <v>2931</v>
      </c>
      <c r="I718" s="3" t="s">
        <v>203</v>
      </c>
      <c r="J718" s="3" t="s">
        <v>214</v>
      </c>
      <c r="K718" s="3" t="s">
        <v>1624</v>
      </c>
      <c r="L718" s="3" t="s">
        <v>1617</v>
      </c>
      <c r="M718" s="3" t="s">
        <v>2330</v>
      </c>
      <c r="N718" s="3" t="s">
        <v>217</v>
      </c>
      <c r="O718" s="3" t="s">
        <v>234</v>
      </c>
    </row>
    <row r="719" spans="1:15" ht="22.5" customHeight="1" x14ac:dyDescent="0.3">
      <c r="A719" s="4">
        <v>5231345</v>
      </c>
      <c r="B719" s="4" t="s">
        <v>2932</v>
      </c>
      <c r="C719" s="4" t="s">
        <v>197</v>
      </c>
      <c r="D719" s="4" t="s">
        <v>198</v>
      </c>
      <c r="E719" s="4" t="s">
        <v>227</v>
      </c>
      <c r="F719" s="4" t="s">
        <v>200</v>
      </c>
      <c r="G719" s="4" t="s">
        <v>2933</v>
      </c>
      <c r="H719" s="4" t="s">
        <v>2125</v>
      </c>
      <c r="I719" s="4" t="s">
        <v>203</v>
      </c>
      <c r="J719" s="4" t="s">
        <v>204</v>
      </c>
      <c r="K719" s="4" t="s">
        <v>2934</v>
      </c>
      <c r="L719" s="4" t="s">
        <v>1617</v>
      </c>
      <c r="M719" s="4" t="s">
        <v>2330</v>
      </c>
      <c r="N719" s="4" t="s">
        <v>217</v>
      </c>
      <c r="O719" s="4" t="s">
        <v>444</v>
      </c>
    </row>
    <row r="720" spans="1:15" ht="57" customHeight="1" x14ac:dyDescent="0.3">
      <c r="A720" s="3">
        <v>5234735</v>
      </c>
      <c r="B720" s="3" t="s">
        <v>2935</v>
      </c>
      <c r="C720" s="3" t="s">
        <v>197</v>
      </c>
      <c r="D720" s="3" t="s">
        <v>1797</v>
      </c>
      <c r="E720" s="3" t="s">
        <v>227</v>
      </c>
      <c r="F720" s="3" t="s">
        <v>200</v>
      </c>
      <c r="G720" s="3" t="s">
        <v>2936</v>
      </c>
      <c r="H720" s="3" t="s">
        <v>2937</v>
      </c>
      <c r="I720" s="3" t="s">
        <v>203</v>
      </c>
      <c r="J720" s="3" t="s">
        <v>204</v>
      </c>
      <c r="K720" s="3" t="s">
        <v>700</v>
      </c>
      <c r="L720" s="3" t="s">
        <v>2938</v>
      </c>
      <c r="M720" s="3" t="s">
        <v>245</v>
      </c>
      <c r="N720" s="3" t="s">
        <v>217</v>
      </c>
      <c r="O720" s="3" t="s">
        <v>444</v>
      </c>
    </row>
    <row r="721" spans="1:15" ht="22.5" customHeight="1" x14ac:dyDescent="0.3">
      <c r="A721" s="4">
        <v>5235049</v>
      </c>
      <c r="B721" s="4" t="s">
        <v>2939</v>
      </c>
      <c r="C721" s="4" t="s">
        <v>197</v>
      </c>
      <c r="D721" s="4" t="s">
        <v>198</v>
      </c>
      <c r="E721" s="4" t="s">
        <v>227</v>
      </c>
      <c r="F721" s="4" t="s">
        <v>200</v>
      </c>
      <c r="G721" s="4" t="s">
        <v>1983</v>
      </c>
      <c r="H721" s="4" t="s">
        <v>1210</v>
      </c>
      <c r="I721" s="4" t="s">
        <v>203</v>
      </c>
      <c r="J721" s="4" t="s">
        <v>298</v>
      </c>
      <c r="K721" s="4" t="s">
        <v>1893</v>
      </c>
      <c r="L721" s="4" t="s">
        <v>2633</v>
      </c>
      <c r="M721" s="4" t="s">
        <v>207</v>
      </c>
      <c r="N721" s="4" t="s">
        <v>217</v>
      </c>
      <c r="O721" s="4" t="s">
        <v>234</v>
      </c>
    </row>
    <row r="722" spans="1:15" ht="22.5" customHeight="1" x14ac:dyDescent="0.3">
      <c r="A722" s="3">
        <v>5235103</v>
      </c>
      <c r="B722" s="3" t="s">
        <v>2940</v>
      </c>
      <c r="C722" s="3" t="s">
        <v>197</v>
      </c>
      <c r="D722" s="3" t="s">
        <v>198</v>
      </c>
      <c r="E722" s="3" t="s">
        <v>227</v>
      </c>
      <c r="F722" s="3" t="s">
        <v>200</v>
      </c>
      <c r="G722" s="3" t="s">
        <v>2941</v>
      </c>
      <c r="H722" s="3" t="s">
        <v>2942</v>
      </c>
      <c r="I722" s="3" t="s">
        <v>203</v>
      </c>
      <c r="J722" s="3" t="s">
        <v>204</v>
      </c>
      <c r="K722" s="3" t="s">
        <v>2943</v>
      </c>
      <c r="L722" s="3" t="s">
        <v>2633</v>
      </c>
      <c r="M722" s="3" t="s">
        <v>207</v>
      </c>
      <c r="N722" s="3" t="s">
        <v>217</v>
      </c>
      <c r="O722" s="3" t="s">
        <v>234</v>
      </c>
    </row>
    <row r="723" spans="1:15" ht="22.5" customHeight="1" x14ac:dyDescent="0.3">
      <c r="A723" s="4">
        <v>5238722</v>
      </c>
      <c r="B723" s="4" t="s">
        <v>2944</v>
      </c>
      <c r="C723" s="4" t="s">
        <v>197</v>
      </c>
      <c r="D723" s="4" t="s">
        <v>198</v>
      </c>
      <c r="E723" s="4" t="s">
        <v>227</v>
      </c>
      <c r="F723" s="4" t="s">
        <v>200</v>
      </c>
      <c r="G723" s="4" t="s">
        <v>2945</v>
      </c>
      <c r="H723" s="4" t="s">
        <v>2946</v>
      </c>
      <c r="I723" s="4" t="s">
        <v>203</v>
      </c>
      <c r="J723" s="4" t="s">
        <v>323</v>
      </c>
      <c r="K723" s="4" t="s">
        <v>2947</v>
      </c>
      <c r="L723" s="4" t="s">
        <v>2948</v>
      </c>
      <c r="M723" s="4" t="s">
        <v>245</v>
      </c>
      <c r="N723" s="4" t="s">
        <v>208</v>
      </c>
      <c r="O723" s="4" t="s">
        <v>418</v>
      </c>
    </row>
    <row r="724" spans="1:15" ht="22.5" customHeight="1" x14ac:dyDescent="0.3">
      <c r="A724" s="3">
        <v>5240301</v>
      </c>
      <c r="B724" s="3" t="s">
        <v>2949</v>
      </c>
      <c r="C724" s="3" t="s">
        <v>197</v>
      </c>
      <c r="D724" s="3" t="s">
        <v>198</v>
      </c>
      <c r="E724" s="3" t="s">
        <v>227</v>
      </c>
      <c r="F724" s="3" t="s">
        <v>200</v>
      </c>
      <c r="G724" s="3" t="s">
        <v>2863</v>
      </c>
      <c r="H724" s="3" t="s">
        <v>2864</v>
      </c>
      <c r="I724" s="3" t="s">
        <v>203</v>
      </c>
      <c r="J724" s="3" t="s">
        <v>329</v>
      </c>
      <c r="K724" s="3" t="s">
        <v>2950</v>
      </c>
      <c r="L724" s="3" t="s">
        <v>2951</v>
      </c>
      <c r="M724" s="3" t="s">
        <v>245</v>
      </c>
      <c r="N724" s="3" t="s">
        <v>217</v>
      </c>
      <c r="O724" s="3" t="s">
        <v>444</v>
      </c>
    </row>
    <row r="725" spans="1:15" ht="22.5" customHeight="1" x14ac:dyDescent="0.3">
      <c r="A725" s="4">
        <v>5241340</v>
      </c>
      <c r="B725" s="4" t="s">
        <v>2952</v>
      </c>
      <c r="C725" s="4" t="s">
        <v>197</v>
      </c>
      <c r="D725" s="4" t="s">
        <v>198</v>
      </c>
      <c r="E725" s="4" t="s">
        <v>227</v>
      </c>
      <c r="F725" s="4" t="s">
        <v>200</v>
      </c>
      <c r="G725" s="4" t="s">
        <v>2953</v>
      </c>
      <c r="H725" s="4" t="s">
        <v>2954</v>
      </c>
      <c r="I725" s="4" t="s">
        <v>203</v>
      </c>
      <c r="J725" s="4" t="s">
        <v>204</v>
      </c>
      <c r="K725" s="4" t="s">
        <v>700</v>
      </c>
      <c r="L725" s="4" t="s">
        <v>2955</v>
      </c>
      <c r="M725" s="4" t="s">
        <v>207</v>
      </c>
      <c r="N725" s="4" t="s">
        <v>208</v>
      </c>
      <c r="O725" s="4" t="s">
        <v>444</v>
      </c>
    </row>
    <row r="726" spans="1:15" ht="22.5" customHeight="1" x14ac:dyDescent="0.3">
      <c r="A726" s="3">
        <v>5242118</v>
      </c>
      <c r="B726" s="3" t="s">
        <v>2956</v>
      </c>
      <c r="C726" s="3" t="s">
        <v>197</v>
      </c>
      <c r="D726" s="3" t="s">
        <v>198</v>
      </c>
      <c r="E726" s="3" t="s">
        <v>227</v>
      </c>
      <c r="F726" s="3" t="s">
        <v>200</v>
      </c>
      <c r="G726" s="3" t="s">
        <v>2957</v>
      </c>
      <c r="H726" s="3" t="s">
        <v>2931</v>
      </c>
      <c r="I726" s="3" t="s">
        <v>203</v>
      </c>
      <c r="J726" s="3" t="s">
        <v>214</v>
      </c>
      <c r="K726" s="3" t="s">
        <v>2958</v>
      </c>
      <c r="L726" s="3" t="s">
        <v>2959</v>
      </c>
      <c r="M726" s="3" t="s">
        <v>207</v>
      </c>
      <c r="N726" s="3" t="s">
        <v>217</v>
      </c>
      <c r="O726" s="3" t="s">
        <v>234</v>
      </c>
    </row>
    <row r="727" spans="1:15" ht="22.5" customHeight="1" x14ac:dyDescent="0.3">
      <c r="A727" s="4">
        <v>5242444</v>
      </c>
      <c r="B727" s="4" t="s">
        <v>2960</v>
      </c>
      <c r="C727" s="4" t="s">
        <v>197</v>
      </c>
      <c r="D727" s="4" t="s">
        <v>198</v>
      </c>
      <c r="E727" s="4" t="s">
        <v>227</v>
      </c>
      <c r="F727" s="4" t="s">
        <v>200</v>
      </c>
      <c r="G727" s="4" t="s">
        <v>2933</v>
      </c>
      <c r="H727" s="4" t="s">
        <v>2125</v>
      </c>
      <c r="I727" s="4" t="s">
        <v>203</v>
      </c>
      <c r="J727" s="4" t="s">
        <v>204</v>
      </c>
      <c r="K727" s="4" t="s">
        <v>2934</v>
      </c>
      <c r="L727" s="4" t="s">
        <v>2961</v>
      </c>
      <c r="M727" s="4" t="s">
        <v>207</v>
      </c>
      <c r="N727" s="4" t="s">
        <v>217</v>
      </c>
      <c r="O727" s="4" t="s">
        <v>418</v>
      </c>
    </row>
    <row r="728" spans="1:15" ht="22.5" customHeight="1" x14ac:dyDescent="0.3">
      <c r="A728" s="3">
        <v>5244005</v>
      </c>
      <c r="B728" s="3" t="s">
        <v>2962</v>
      </c>
      <c r="C728" s="3" t="s">
        <v>197</v>
      </c>
      <c r="D728" s="3" t="s">
        <v>198</v>
      </c>
      <c r="E728" s="3" t="s">
        <v>227</v>
      </c>
      <c r="F728" s="3" t="s">
        <v>200</v>
      </c>
      <c r="G728" s="3" t="s">
        <v>2963</v>
      </c>
      <c r="H728" s="3" t="s">
        <v>2964</v>
      </c>
      <c r="I728" s="3" t="s">
        <v>203</v>
      </c>
      <c r="J728" s="3" t="s">
        <v>266</v>
      </c>
      <c r="K728" s="3" t="s">
        <v>555</v>
      </c>
      <c r="L728" s="3" t="s">
        <v>2965</v>
      </c>
      <c r="M728" s="3" t="s">
        <v>245</v>
      </c>
      <c r="N728" s="3" t="s">
        <v>208</v>
      </c>
      <c r="O728" s="3" t="s">
        <v>433</v>
      </c>
    </row>
    <row r="729" spans="1:15" ht="79.5" customHeight="1" x14ac:dyDescent="0.3">
      <c r="A729" s="4">
        <v>5244552</v>
      </c>
      <c r="B729" s="4" t="s">
        <v>2966</v>
      </c>
      <c r="C729" s="4" t="s">
        <v>197</v>
      </c>
      <c r="D729" s="4" t="s">
        <v>377</v>
      </c>
      <c r="E729" s="4" t="s">
        <v>227</v>
      </c>
      <c r="F729" s="4" t="s">
        <v>200</v>
      </c>
      <c r="G729" s="4" t="s">
        <v>2967</v>
      </c>
      <c r="H729" s="4" t="s">
        <v>1988</v>
      </c>
      <c r="I729" s="4" t="s">
        <v>203</v>
      </c>
      <c r="J729" s="4" t="s">
        <v>506</v>
      </c>
      <c r="K729" s="4" t="s">
        <v>1328</v>
      </c>
      <c r="L729" s="4" t="s">
        <v>794</v>
      </c>
      <c r="M729" s="4" t="s">
        <v>245</v>
      </c>
      <c r="N729" s="4" t="s">
        <v>208</v>
      </c>
      <c r="O729" s="4" t="s">
        <v>444</v>
      </c>
    </row>
    <row r="730" spans="1:15" ht="33.75" customHeight="1" x14ac:dyDescent="0.3">
      <c r="A730" s="3">
        <v>5244676</v>
      </c>
      <c r="B730" s="3" t="s">
        <v>2968</v>
      </c>
      <c r="C730" s="3" t="s">
        <v>197</v>
      </c>
      <c r="D730" s="3" t="s">
        <v>198</v>
      </c>
      <c r="E730" s="3" t="s">
        <v>227</v>
      </c>
      <c r="F730" s="3" t="s">
        <v>200</v>
      </c>
      <c r="G730" s="3" t="s">
        <v>1321</v>
      </c>
      <c r="H730" s="3" t="s">
        <v>2969</v>
      </c>
      <c r="I730" s="3" t="s">
        <v>203</v>
      </c>
      <c r="J730" s="3" t="s">
        <v>204</v>
      </c>
      <c r="K730" s="3" t="s">
        <v>2970</v>
      </c>
      <c r="L730" s="3" t="s">
        <v>2003</v>
      </c>
      <c r="M730" s="3" t="s">
        <v>233</v>
      </c>
      <c r="N730" s="3" t="s">
        <v>208</v>
      </c>
      <c r="O730" s="3" t="s">
        <v>444</v>
      </c>
    </row>
    <row r="731" spans="1:15" ht="33.75" customHeight="1" x14ac:dyDescent="0.3">
      <c r="A731" s="4">
        <v>5246091</v>
      </c>
      <c r="B731" s="4" t="s">
        <v>2971</v>
      </c>
      <c r="C731" s="4" t="s">
        <v>197</v>
      </c>
      <c r="D731" s="4" t="s">
        <v>220</v>
      </c>
      <c r="E731" s="4" t="s">
        <v>227</v>
      </c>
      <c r="F731" s="4" t="s">
        <v>200</v>
      </c>
      <c r="G731" s="4" t="s">
        <v>1718</v>
      </c>
      <c r="H731" s="4" t="s">
        <v>1726</v>
      </c>
      <c r="I731" s="4" t="s">
        <v>203</v>
      </c>
      <c r="J731" s="4" t="s">
        <v>506</v>
      </c>
      <c r="K731" s="4" t="s">
        <v>2097</v>
      </c>
      <c r="L731" s="4" t="s">
        <v>2015</v>
      </c>
      <c r="M731" s="4" t="s">
        <v>245</v>
      </c>
      <c r="N731" s="4" t="s">
        <v>217</v>
      </c>
      <c r="O731" s="4" t="s">
        <v>433</v>
      </c>
    </row>
    <row r="732" spans="1:15" ht="22.5" customHeight="1" x14ac:dyDescent="0.3">
      <c r="A732" s="3">
        <v>5246229</v>
      </c>
      <c r="B732" s="3" t="s">
        <v>2972</v>
      </c>
      <c r="C732" s="3" t="s">
        <v>197</v>
      </c>
      <c r="D732" s="3" t="s">
        <v>198</v>
      </c>
      <c r="E732" s="3" t="s">
        <v>227</v>
      </c>
      <c r="F732" s="3" t="s">
        <v>200</v>
      </c>
      <c r="G732" s="3" t="s">
        <v>2973</v>
      </c>
      <c r="H732" s="3" t="s">
        <v>784</v>
      </c>
      <c r="I732" s="3" t="s">
        <v>203</v>
      </c>
      <c r="J732" s="3" t="s">
        <v>204</v>
      </c>
      <c r="K732" s="3" t="s">
        <v>785</v>
      </c>
      <c r="L732" s="3" t="s">
        <v>2974</v>
      </c>
      <c r="M732" s="3" t="s">
        <v>233</v>
      </c>
      <c r="N732" s="3" t="s">
        <v>208</v>
      </c>
      <c r="O732" s="3" t="s">
        <v>433</v>
      </c>
    </row>
    <row r="733" spans="1:15" ht="22.5" customHeight="1" x14ac:dyDescent="0.3">
      <c r="A733" s="4">
        <v>5247861</v>
      </c>
      <c r="B733" s="4" t="s">
        <v>2975</v>
      </c>
      <c r="C733" s="4" t="s">
        <v>197</v>
      </c>
      <c r="D733" s="4" t="s">
        <v>198</v>
      </c>
      <c r="E733" s="4" t="s">
        <v>227</v>
      </c>
      <c r="F733" s="4" t="s">
        <v>200</v>
      </c>
      <c r="G733" s="4" t="s">
        <v>2976</v>
      </c>
      <c r="H733" s="4" t="s">
        <v>833</v>
      </c>
      <c r="I733" s="4" t="s">
        <v>203</v>
      </c>
      <c r="J733" s="4" t="s">
        <v>329</v>
      </c>
      <c r="K733" s="4" t="s">
        <v>2977</v>
      </c>
      <c r="L733" s="4" t="s">
        <v>2978</v>
      </c>
      <c r="M733" s="4" t="s">
        <v>207</v>
      </c>
      <c r="N733" s="4" t="s">
        <v>217</v>
      </c>
      <c r="O733" s="4" t="s">
        <v>234</v>
      </c>
    </row>
    <row r="734" spans="1:15" ht="22.5" customHeight="1" x14ac:dyDescent="0.3">
      <c r="A734" s="3">
        <v>5248469</v>
      </c>
      <c r="B734" s="3" t="s">
        <v>2979</v>
      </c>
      <c r="C734" s="3" t="s">
        <v>197</v>
      </c>
      <c r="D734" s="3" t="s">
        <v>198</v>
      </c>
      <c r="E734" s="3" t="s">
        <v>227</v>
      </c>
      <c r="F734" s="3" t="s">
        <v>200</v>
      </c>
      <c r="G734" s="3" t="s">
        <v>2980</v>
      </c>
      <c r="H734" s="3" t="s">
        <v>2981</v>
      </c>
      <c r="I734" s="3" t="s">
        <v>203</v>
      </c>
      <c r="J734" s="3" t="s">
        <v>298</v>
      </c>
      <c r="K734" s="3" t="s">
        <v>2618</v>
      </c>
      <c r="L734" s="3" t="s">
        <v>2982</v>
      </c>
      <c r="M734" s="3" t="s">
        <v>207</v>
      </c>
      <c r="N734" s="3" t="s">
        <v>217</v>
      </c>
      <c r="O734" s="3" t="s">
        <v>444</v>
      </c>
    </row>
    <row r="735" spans="1:15" ht="22.5" customHeight="1" x14ac:dyDescent="0.3">
      <c r="A735" s="4">
        <v>5248698</v>
      </c>
      <c r="B735" s="4" t="s">
        <v>2983</v>
      </c>
      <c r="C735" s="4" t="s">
        <v>197</v>
      </c>
      <c r="D735" s="4" t="s">
        <v>198</v>
      </c>
      <c r="E735" s="4" t="s">
        <v>227</v>
      </c>
      <c r="F735" s="4" t="s">
        <v>200</v>
      </c>
      <c r="G735" s="4" t="s">
        <v>1972</v>
      </c>
      <c r="H735" s="4" t="s">
        <v>1973</v>
      </c>
      <c r="I735" s="4" t="s">
        <v>203</v>
      </c>
      <c r="J735" s="4" t="s">
        <v>204</v>
      </c>
      <c r="K735" s="4" t="s">
        <v>545</v>
      </c>
      <c r="L735" s="4" t="s">
        <v>2984</v>
      </c>
      <c r="M735" s="4" t="s">
        <v>245</v>
      </c>
      <c r="N735" s="4" t="s">
        <v>217</v>
      </c>
      <c r="O735" s="4" t="s">
        <v>444</v>
      </c>
    </row>
    <row r="736" spans="1:15" ht="22.5" customHeight="1" x14ac:dyDescent="0.3">
      <c r="A736" s="3">
        <v>5249627</v>
      </c>
      <c r="B736" s="3" t="s">
        <v>2985</v>
      </c>
      <c r="C736" s="3" t="s">
        <v>197</v>
      </c>
      <c r="D736" s="3" t="s">
        <v>198</v>
      </c>
      <c r="E736" s="3" t="s">
        <v>227</v>
      </c>
      <c r="F736" s="3" t="s">
        <v>200</v>
      </c>
      <c r="G736" s="3" t="s">
        <v>2986</v>
      </c>
      <c r="H736" s="3" t="s">
        <v>2987</v>
      </c>
      <c r="I736" s="3" t="s">
        <v>203</v>
      </c>
      <c r="J736" s="3" t="s">
        <v>214</v>
      </c>
      <c r="K736" s="3" t="s">
        <v>2516</v>
      </c>
      <c r="L736" s="3" t="s">
        <v>1161</v>
      </c>
      <c r="M736" s="3" t="s">
        <v>245</v>
      </c>
      <c r="N736" s="3" t="s">
        <v>217</v>
      </c>
      <c r="O736" s="3" t="s">
        <v>444</v>
      </c>
    </row>
    <row r="737" spans="1:15" ht="22.5" customHeight="1" x14ac:dyDescent="0.3">
      <c r="A737" s="4">
        <v>5249996</v>
      </c>
      <c r="B737" s="4" t="s">
        <v>2988</v>
      </c>
      <c r="C737" s="4" t="s">
        <v>197</v>
      </c>
      <c r="D737" s="4" t="s">
        <v>198</v>
      </c>
      <c r="E737" s="4" t="s">
        <v>227</v>
      </c>
      <c r="F737" s="4" t="s">
        <v>200</v>
      </c>
      <c r="G737" s="4" t="s">
        <v>2714</v>
      </c>
      <c r="H737" s="4" t="s">
        <v>2715</v>
      </c>
      <c r="I737" s="4" t="s">
        <v>203</v>
      </c>
      <c r="J737" s="4" t="s">
        <v>204</v>
      </c>
      <c r="K737" s="4" t="s">
        <v>1364</v>
      </c>
      <c r="L737" s="4" t="s">
        <v>1204</v>
      </c>
      <c r="M737" s="4" t="s">
        <v>207</v>
      </c>
      <c r="N737" s="4" t="s">
        <v>208</v>
      </c>
      <c r="O737" s="4" t="s">
        <v>444</v>
      </c>
    </row>
    <row r="738" spans="1:15" ht="22.5" customHeight="1" x14ac:dyDescent="0.3">
      <c r="A738" s="3">
        <v>5250587</v>
      </c>
      <c r="B738" s="3" t="s">
        <v>2989</v>
      </c>
      <c r="C738" s="3" t="s">
        <v>197</v>
      </c>
      <c r="D738" s="3" t="s">
        <v>198</v>
      </c>
      <c r="E738" s="3" t="s">
        <v>227</v>
      </c>
      <c r="F738" s="3" t="s">
        <v>200</v>
      </c>
      <c r="G738" s="3" t="s">
        <v>1983</v>
      </c>
      <c r="H738" s="3" t="s">
        <v>1210</v>
      </c>
      <c r="I738" s="3" t="s">
        <v>203</v>
      </c>
      <c r="J738" s="3" t="s">
        <v>204</v>
      </c>
      <c r="K738" s="3" t="s">
        <v>437</v>
      </c>
      <c r="L738" s="3" t="s">
        <v>2990</v>
      </c>
      <c r="M738" s="3" t="s">
        <v>245</v>
      </c>
      <c r="N738" s="3" t="s">
        <v>208</v>
      </c>
      <c r="O738" s="3" t="s">
        <v>444</v>
      </c>
    </row>
    <row r="739" spans="1:15" ht="22.5" customHeight="1" x14ac:dyDescent="0.3">
      <c r="A739" s="4">
        <v>5251109</v>
      </c>
      <c r="B739" s="4" t="s">
        <v>2991</v>
      </c>
      <c r="C739" s="4" t="s">
        <v>197</v>
      </c>
      <c r="D739" s="4" t="s">
        <v>354</v>
      </c>
      <c r="E739" s="4" t="s">
        <v>227</v>
      </c>
      <c r="F739" s="4" t="s">
        <v>200</v>
      </c>
      <c r="G739" s="4" t="s">
        <v>2992</v>
      </c>
      <c r="H739" s="4" t="s">
        <v>2993</v>
      </c>
      <c r="I739" s="4" t="s">
        <v>203</v>
      </c>
      <c r="J739" s="4" t="s">
        <v>204</v>
      </c>
      <c r="K739" s="4" t="s">
        <v>1847</v>
      </c>
      <c r="L739" s="4" t="s">
        <v>512</v>
      </c>
      <c r="M739" s="4" t="s">
        <v>233</v>
      </c>
      <c r="N739" s="4" t="s">
        <v>217</v>
      </c>
      <c r="O739" s="4" t="s">
        <v>444</v>
      </c>
    </row>
    <row r="740" spans="1:15" ht="22.5" customHeight="1" x14ac:dyDescent="0.3">
      <c r="A740" s="3">
        <v>5251346</v>
      </c>
      <c r="B740" s="3" t="s">
        <v>2994</v>
      </c>
      <c r="C740" s="3" t="s">
        <v>197</v>
      </c>
      <c r="D740" s="3" t="s">
        <v>198</v>
      </c>
      <c r="E740" s="3" t="s">
        <v>227</v>
      </c>
      <c r="F740" s="3" t="s">
        <v>200</v>
      </c>
      <c r="G740" s="3" t="s">
        <v>2941</v>
      </c>
      <c r="H740" s="3" t="s">
        <v>2942</v>
      </c>
      <c r="I740" s="3" t="s">
        <v>203</v>
      </c>
      <c r="J740" s="3" t="s">
        <v>214</v>
      </c>
      <c r="K740" s="3" t="s">
        <v>2995</v>
      </c>
      <c r="L740" s="3" t="s">
        <v>2996</v>
      </c>
      <c r="M740" s="3" t="s">
        <v>233</v>
      </c>
      <c r="N740" s="3" t="s">
        <v>217</v>
      </c>
      <c r="O740" s="3" t="s">
        <v>433</v>
      </c>
    </row>
    <row r="741" spans="1:15" ht="22.5" customHeight="1" x14ac:dyDescent="0.3">
      <c r="A741" s="4">
        <v>5251443</v>
      </c>
      <c r="B741" s="4" t="s">
        <v>2997</v>
      </c>
      <c r="C741" s="4" t="s">
        <v>197</v>
      </c>
      <c r="D741" s="4" t="s">
        <v>198</v>
      </c>
      <c r="E741" s="4" t="s">
        <v>227</v>
      </c>
      <c r="F741" s="4" t="s">
        <v>200</v>
      </c>
      <c r="G741" s="4" t="s">
        <v>2998</v>
      </c>
      <c r="H741" s="4" t="s">
        <v>2999</v>
      </c>
      <c r="I741" s="4" t="s">
        <v>203</v>
      </c>
      <c r="J741" s="4" t="s">
        <v>214</v>
      </c>
      <c r="K741" s="4" t="s">
        <v>3000</v>
      </c>
      <c r="L741" s="4" t="s">
        <v>3001</v>
      </c>
      <c r="M741" s="4" t="s">
        <v>233</v>
      </c>
      <c r="N741" s="4" t="s">
        <v>217</v>
      </c>
      <c r="O741" s="4" t="s">
        <v>433</v>
      </c>
    </row>
    <row r="742" spans="1:15" ht="33.75" customHeight="1" x14ac:dyDescent="0.3">
      <c r="A742" s="3">
        <v>5253160</v>
      </c>
      <c r="B742" s="3" t="s">
        <v>3002</v>
      </c>
      <c r="C742" s="3" t="s">
        <v>197</v>
      </c>
      <c r="D742" s="3" t="s">
        <v>827</v>
      </c>
      <c r="E742" s="3" t="s">
        <v>227</v>
      </c>
      <c r="F742" s="3" t="s">
        <v>200</v>
      </c>
      <c r="G742" s="3" t="s">
        <v>3003</v>
      </c>
      <c r="H742" s="3" t="s">
        <v>3004</v>
      </c>
      <c r="I742" s="3" t="s">
        <v>203</v>
      </c>
      <c r="J742" s="3" t="s">
        <v>323</v>
      </c>
      <c r="K742" s="3" t="s">
        <v>3005</v>
      </c>
      <c r="L742" s="3" t="s">
        <v>3006</v>
      </c>
      <c r="M742" s="3" t="s">
        <v>207</v>
      </c>
      <c r="N742" s="3" t="s">
        <v>208</v>
      </c>
      <c r="O742" s="3" t="s">
        <v>444</v>
      </c>
    </row>
    <row r="743" spans="1:15" ht="22.5" customHeight="1" x14ac:dyDescent="0.3">
      <c r="A743" s="4">
        <v>5256224</v>
      </c>
      <c r="B743" s="4" t="s">
        <v>3007</v>
      </c>
      <c r="C743" s="4" t="s">
        <v>197</v>
      </c>
      <c r="D743" s="4" t="s">
        <v>198</v>
      </c>
      <c r="E743" s="4" t="s">
        <v>227</v>
      </c>
      <c r="F743" s="4" t="s">
        <v>200</v>
      </c>
      <c r="G743" s="4" t="s">
        <v>2268</v>
      </c>
      <c r="H743" s="4" t="s">
        <v>2269</v>
      </c>
      <c r="I743" s="4" t="s">
        <v>203</v>
      </c>
      <c r="J743" s="4" t="s">
        <v>329</v>
      </c>
      <c r="K743" s="4" t="s">
        <v>330</v>
      </c>
      <c r="L743" s="4" t="s">
        <v>3008</v>
      </c>
      <c r="M743" s="4" t="s">
        <v>207</v>
      </c>
      <c r="N743" s="4" t="s">
        <v>208</v>
      </c>
      <c r="O743" s="4" t="s">
        <v>234</v>
      </c>
    </row>
    <row r="744" spans="1:15" ht="22.5" customHeight="1" x14ac:dyDescent="0.3">
      <c r="A744" s="3">
        <v>5256984</v>
      </c>
      <c r="B744" s="3" t="s">
        <v>3009</v>
      </c>
      <c r="C744" s="3" t="s">
        <v>197</v>
      </c>
      <c r="D744" s="3" t="s">
        <v>198</v>
      </c>
      <c r="E744" s="3" t="s">
        <v>227</v>
      </c>
      <c r="F744" s="3" t="s">
        <v>200</v>
      </c>
      <c r="G744" s="3" t="s">
        <v>3010</v>
      </c>
      <c r="H744" s="3" t="s">
        <v>966</v>
      </c>
      <c r="I744" s="3" t="s">
        <v>203</v>
      </c>
      <c r="J744" s="3" t="s">
        <v>323</v>
      </c>
      <c r="K744" s="3" t="s">
        <v>3011</v>
      </c>
      <c r="L744" s="3" t="s">
        <v>3012</v>
      </c>
      <c r="M744" s="3" t="s">
        <v>207</v>
      </c>
      <c r="N744" s="3" t="s">
        <v>208</v>
      </c>
      <c r="O744" s="3" t="s">
        <v>234</v>
      </c>
    </row>
    <row r="745" spans="1:15" ht="22.5" customHeight="1" x14ac:dyDescent="0.3">
      <c r="A745" s="4">
        <v>5258219</v>
      </c>
      <c r="B745" s="4" t="s">
        <v>3013</v>
      </c>
      <c r="C745" s="4" t="s">
        <v>197</v>
      </c>
      <c r="D745" s="4" t="s">
        <v>198</v>
      </c>
      <c r="E745" s="4" t="s">
        <v>227</v>
      </c>
      <c r="F745" s="4" t="s">
        <v>200</v>
      </c>
      <c r="G745" s="4" t="s">
        <v>2843</v>
      </c>
      <c r="H745" s="4" t="s">
        <v>2844</v>
      </c>
      <c r="I745" s="4" t="s">
        <v>203</v>
      </c>
      <c r="J745" s="4" t="s">
        <v>266</v>
      </c>
      <c r="K745" s="4" t="s">
        <v>442</v>
      </c>
      <c r="L745" s="4" t="s">
        <v>3008</v>
      </c>
      <c r="M745" s="4" t="s">
        <v>207</v>
      </c>
      <c r="N745" s="4" t="s">
        <v>217</v>
      </c>
      <c r="O745" s="4" t="s">
        <v>234</v>
      </c>
    </row>
    <row r="746" spans="1:15" ht="22.5" customHeight="1" x14ac:dyDescent="0.3">
      <c r="A746" s="3">
        <v>5258626</v>
      </c>
      <c r="B746" s="3" t="s">
        <v>3014</v>
      </c>
      <c r="C746" s="3" t="s">
        <v>197</v>
      </c>
      <c r="D746" s="3"/>
      <c r="E746" s="3" t="s">
        <v>227</v>
      </c>
      <c r="F746" s="3" t="s">
        <v>200</v>
      </c>
      <c r="G746" s="3" t="s">
        <v>3015</v>
      </c>
      <c r="H746" s="3" t="s">
        <v>1995</v>
      </c>
      <c r="I746" s="3" t="s">
        <v>203</v>
      </c>
      <c r="J746" s="3" t="s">
        <v>253</v>
      </c>
      <c r="K746" s="3" t="s">
        <v>3016</v>
      </c>
      <c r="L746" s="3" t="s">
        <v>3017</v>
      </c>
      <c r="M746" s="3" t="s">
        <v>207</v>
      </c>
      <c r="N746" s="3" t="s">
        <v>208</v>
      </c>
      <c r="O746" s="3" t="s">
        <v>234</v>
      </c>
    </row>
    <row r="747" spans="1:15" ht="22.5" customHeight="1" x14ac:dyDescent="0.3">
      <c r="A747" s="4">
        <v>5262690</v>
      </c>
      <c r="B747" s="4" t="s">
        <v>3018</v>
      </c>
      <c r="C747" s="4" t="s">
        <v>197</v>
      </c>
      <c r="D747" s="4" t="s">
        <v>198</v>
      </c>
      <c r="E747" s="4" t="s">
        <v>227</v>
      </c>
      <c r="F747" s="4" t="s">
        <v>200</v>
      </c>
      <c r="G747" s="4" t="s">
        <v>3019</v>
      </c>
      <c r="H747" s="4" t="s">
        <v>3020</v>
      </c>
      <c r="I747" s="4" t="s">
        <v>203</v>
      </c>
      <c r="J747" s="4" t="s">
        <v>298</v>
      </c>
      <c r="K747" s="4" t="s">
        <v>2162</v>
      </c>
      <c r="L747" s="4" t="s">
        <v>3008</v>
      </c>
      <c r="M747" s="4" t="s">
        <v>245</v>
      </c>
      <c r="N747" s="4" t="s">
        <v>208</v>
      </c>
      <c r="O747" s="4" t="s">
        <v>418</v>
      </c>
    </row>
    <row r="748" spans="1:15" ht="22.5" customHeight="1" x14ac:dyDescent="0.3">
      <c r="A748" s="3">
        <v>5263026</v>
      </c>
      <c r="B748" s="3" t="s">
        <v>3021</v>
      </c>
      <c r="C748" s="3" t="s">
        <v>197</v>
      </c>
      <c r="D748" s="3" t="s">
        <v>198</v>
      </c>
      <c r="E748" s="3" t="s">
        <v>227</v>
      </c>
      <c r="F748" s="3" t="s">
        <v>200</v>
      </c>
      <c r="G748" s="3" t="s">
        <v>3022</v>
      </c>
      <c r="H748" s="3" t="s">
        <v>3023</v>
      </c>
      <c r="I748" s="3" t="s">
        <v>737</v>
      </c>
      <c r="J748" s="3" t="s">
        <v>214</v>
      </c>
      <c r="K748" s="3" t="s">
        <v>1247</v>
      </c>
      <c r="L748" s="3" t="s">
        <v>2265</v>
      </c>
      <c r="M748" s="3" t="s">
        <v>207</v>
      </c>
      <c r="N748" s="3" t="s">
        <v>208</v>
      </c>
      <c r="O748" s="3" t="s">
        <v>234</v>
      </c>
    </row>
    <row r="749" spans="1:15" ht="22.5" customHeight="1" x14ac:dyDescent="0.3">
      <c r="A749" s="4">
        <v>5264405</v>
      </c>
      <c r="B749" s="4" t="s">
        <v>3024</v>
      </c>
      <c r="C749" s="4" t="s">
        <v>197</v>
      </c>
      <c r="D749" s="4" t="s">
        <v>198</v>
      </c>
      <c r="E749" s="4" t="s">
        <v>227</v>
      </c>
      <c r="F749" s="4" t="s">
        <v>200</v>
      </c>
      <c r="G749" s="4" t="s">
        <v>3025</v>
      </c>
      <c r="H749" s="4" t="s">
        <v>3026</v>
      </c>
      <c r="I749" s="4" t="s">
        <v>737</v>
      </c>
      <c r="J749" s="4" t="s">
        <v>214</v>
      </c>
      <c r="K749" s="4" t="s">
        <v>1247</v>
      </c>
      <c r="L749" s="4" t="s">
        <v>3027</v>
      </c>
      <c r="M749" s="4" t="s">
        <v>207</v>
      </c>
      <c r="N749" s="4" t="s">
        <v>208</v>
      </c>
      <c r="O749" s="4" t="s">
        <v>234</v>
      </c>
    </row>
    <row r="750" spans="1:15" ht="22.5" customHeight="1" x14ac:dyDescent="0.3">
      <c r="A750" s="3">
        <v>5264944</v>
      </c>
      <c r="B750" s="3" t="s">
        <v>3028</v>
      </c>
      <c r="C750" s="3" t="s">
        <v>197</v>
      </c>
      <c r="D750" s="3" t="s">
        <v>198</v>
      </c>
      <c r="E750" s="3" t="s">
        <v>227</v>
      </c>
      <c r="F750" s="3" t="s">
        <v>200</v>
      </c>
      <c r="G750" s="3" t="s">
        <v>3029</v>
      </c>
      <c r="H750" s="3" t="s">
        <v>3030</v>
      </c>
      <c r="I750" s="3" t="s">
        <v>203</v>
      </c>
      <c r="J750" s="3" t="s">
        <v>204</v>
      </c>
      <c r="K750" s="3" t="s">
        <v>3031</v>
      </c>
      <c r="L750" s="3" t="s">
        <v>2207</v>
      </c>
      <c r="M750" s="3" t="s">
        <v>207</v>
      </c>
      <c r="N750" s="3" t="s">
        <v>208</v>
      </c>
      <c r="O750" s="3" t="s">
        <v>234</v>
      </c>
    </row>
    <row r="751" spans="1:15" ht="22.5" customHeight="1" x14ac:dyDescent="0.3">
      <c r="A751" s="4">
        <v>5266106</v>
      </c>
      <c r="B751" s="4" t="s">
        <v>3032</v>
      </c>
      <c r="C751" s="4" t="s">
        <v>197</v>
      </c>
      <c r="D751" s="4" t="s">
        <v>198</v>
      </c>
      <c r="E751" s="4" t="s">
        <v>227</v>
      </c>
      <c r="F751" s="4" t="s">
        <v>200</v>
      </c>
      <c r="G751" s="4" t="s">
        <v>994</v>
      </c>
      <c r="H751" s="4" t="s">
        <v>2067</v>
      </c>
      <c r="I751" s="4" t="s">
        <v>203</v>
      </c>
      <c r="J751" s="4" t="s">
        <v>329</v>
      </c>
      <c r="K751" s="4" t="s">
        <v>1015</v>
      </c>
      <c r="L751" s="4" t="s">
        <v>3008</v>
      </c>
      <c r="M751" s="4" t="s">
        <v>233</v>
      </c>
      <c r="N751" s="4" t="s">
        <v>217</v>
      </c>
      <c r="O751" s="4" t="s">
        <v>444</v>
      </c>
    </row>
    <row r="752" spans="1:15" ht="57" customHeight="1" x14ac:dyDescent="0.3">
      <c r="A752" s="3">
        <v>5266270</v>
      </c>
      <c r="B752" s="3" t="s">
        <v>3033</v>
      </c>
      <c r="C752" s="3" t="s">
        <v>197</v>
      </c>
      <c r="D752" s="3" t="s">
        <v>3034</v>
      </c>
      <c r="E752" s="3" t="s">
        <v>227</v>
      </c>
      <c r="F752" s="3" t="s">
        <v>200</v>
      </c>
      <c r="G752" s="3" t="s">
        <v>3035</v>
      </c>
      <c r="H752" s="3" t="s">
        <v>3036</v>
      </c>
      <c r="I752" s="3" t="s">
        <v>203</v>
      </c>
      <c r="J752" s="3" t="s">
        <v>204</v>
      </c>
      <c r="K752" s="3" t="s">
        <v>870</v>
      </c>
      <c r="L752" s="3" t="s">
        <v>3037</v>
      </c>
      <c r="M752" s="3" t="s">
        <v>245</v>
      </c>
      <c r="N752" s="3" t="s">
        <v>208</v>
      </c>
      <c r="O752" s="3" t="s">
        <v>433</v>
      </c>
    </row>
    <row r="753" spans="1:15" ht="22.5" customHeight="1" x14ac:dyDescent="0.3">
      <c r="A753" s="4">
        <v>5266513</v>
      </c>
      <c r="B753" s="4" t="s">
        <v>3038</v>
      </c>
      <c r="C753" s="4" t="s">
        <v>197</v>
      </c>
      <c r="D753" s="4" t="s">
        <v>198</v>
      </c>
      <c r="E753" s="4" t="s">
        <v>227</v>
      </c>
      <c r="F753" s="4" t="s">
        <v>200</v>
      </c>
      <c r="G753" s="4" t="s">
        <v>3039</v>
      </c>
      <c r="H753" s="4" t="s">
        <v>3040</v>
      </c>
      <c r="I753" s="4" t="s">
        <v>203</v>
      </c>
      <c r="J753" s="4" t="s">
        <v>253</v>
      </c>
      <c r="K753" s="4" t="s">
        <v>3041</v>
      </c>
      <c r="L753" s="4" t="s">
        <v>3008</v>
      </c>
      <c r="M753" s="4" t="s">
        <v>207</v>
      </c>
      <c r="N753" s="4" t="s">
        <v>217</v>
      </c>
      <c r="O753" s="4" t="s">
        <v>234</v>
      </c>
    </row>
    <row r="754" spans="1:15" ht="22.5" customHeight="1" x14ac:dyDescent="0.3">
      <c r="A754" s="3">
        <v>5267986</v>
      </c>
      <c r="B754" s="3" t="s">
        <v>3042</v>
      </c>
      <c r="C754" s="3" t="s">
        <v>197</v>
      </c>
      <c r="D754" s="3" t="s">
        <v>693</v>
      </c>
      <c r="E754" s="3" t="s">
        <v>227</v>
      </c>
      <c r="F754" s="3" t="s">
        <v>413</v>
      </c>
      <c r="G754" s="3" t="s">
        <v>1518</v>
      </c>
      <c r="H754" s="3" t="s">
        <v>1427</v>
      </c>
      <c r="I754" s="3" t="s">
        <v>203</v>
      </c>
      <c r="J754" s="3" t="s">
        <v>253</v>
      </c>
      <c r="K754" s="3" t="s">
        <v>1428</v>
      </c>
      <c r="L754" s="3" t="s">
        <v>1612</v>
      </c>
      <c r="M754" s="3" t="s">
        <v>207</v>
      </c>
      <c r="N754" s="3" t="s">
        <v>208</v>
      </c>
      <c r="O754" s="3" t="s">
        <v>234</v>
      </c>
    </row>
    <row r="755" spans="1:15" ht="22.5" customHeight="1" x14ac:dyDescent="0.3">
      <c r="A755" s="4">
        <v>5273323</v>
      </c>
      <c r="B755" s="4" t="s">
        <v>3043</v>
      </c>
      <c r="C755" s="4" t="s">
        <v>197</v>
      </c>
      <c r="D755" s="4" t="s">
        <v>198</v>
      </c>
      <c r="E755" s="4" t="s">
        <v>227</v>
      </c>
      <c r="F755" s="4" t="s">
        <v>200</v>
      </c>
      <c r="G755" s="4" t="s">
        <v>3044</v>
      </c>
      <c r="H755" s="4" t="s">
        <v>3045</v>
      </c>
      <c r="I755" s="4" t="s">
        <v>751</v>
      </c>
      <c r="J755" s="4" t="s">
        <v>298</v>
      </c>
      <c r="K755" s="4" t="s">
        <v>855</v>
      </c>
      <c r="L755" s="4" t="s">
        <v>2827</v>
      </c>
      <c r="M755" s="4" t="s">
        <v>233</v>
      </c>
      <c r="N755" s="4" t="s">
        <v>217</v>
      </c>
      <c r="O755" s="4" t="s">
        <v>444</v>
      </c>
    </row>
    <row r="756" spans="1:15" ht="57" customHeight="1" x14ac:dyDescent="0.3">
      <c r="A756" s="3">
        <v>5275032</v>
      </c>
      <c r="B756" s="3" t="s">
        <v>3046</v>
      </c>
      <c r="C756" s="3" t="s">
        <v>197</v>
      </c>
      <c r="D756" s="3" t="s">
        <v>755</v>
      </c>
      <c r="E756" s="3" t="s">
        <v>227</v>
      </c>
      <c r="F756" s="3" t="s">
        <v>413</v>
      </c>
      <c r="G756" s="3" t="s">
        <v>2247</v>
      </c>
      <c r="H756" s="3" t="s">
        <v>3047</v>
      </c>
      <c r="I756" s="3" t="s">
        <v>203</v>
      </c>
      <c r="J756" s="3" t="s">
        <v>214</v>
      </c>
      <c r="K756" s="3" t="s">
        <v>3048</v>
      </c>
      <c r="L756" s="3" t="s">
        <v>2771</v>
      </c>
      <c r="M756" s="3" t="s">
        <v>233</v>
      </c>
      <c r="N756" s="3" t="s">
        <v>217</v>
      </c>
      <c r="O756" s="3" t="s">
        <v>234</v>
      </c>
    </row>
    <row r="757" spans="1:15" ht="22.5" customHeight="1" x14ac:dyDescent="0.3">
      <c r="A757" s="4">
        <v>5277264</v>
      </c>
      <c r="B757" s="4" t="s">
        <v>3049</v>
      </c>
      <c r="C757" s="4" t="s">
        <v>197</v>
      </c>
      <c r="D757" s="4" t="s">
        <v>198</v>
      </c>
      <c r="E757" s="4" t="s">
        <v>227</v>
      </c>
      <c r="F757" s="4" t="s">
        <v>200</v>
      </c>
      <c r="G757" s="4" t="s">
        <v>3050</v>
      </c>
      <c r="H757" s="4" t="s">
        <v>3051</v>
      </c>
      <c r="I757" s="4" t="s">
        <v>737</v>
      </c>
      <c r="J757" s="4" t="s">
        <v>214</v>
      </c>
      <c r="K757" s="4" t="s">
        <v>1247</v>
      </c>
      <c r="L757" s="4" t="s">
        <v>1612</v>
      </c>
      <c r="M757" s="4" t="s">
        <v>207</v>
      </c>
      <c r="N757" s="4" t="s">
        <v>208</v>
      </c>
      <c r="O757" s="4" t="s">
        <v>234</v>
      </c>
    </row>
    <row r="758" spans="1:15" ht="22.5" customHeight="1" x14ac:dyDescent="0.3">
      <c r="A758" s="3">
        <v>5280486</v>
      </c>
      <c r="B758" s="3" t="s">
        <v>3052</v>
      </c>
      <c r="C758" s="3" t="s">
        <v>197</v>
      </c>
      <c r="D758" s="3" t="s">
        <v>198</v>
      </c>
      <c r="E758" s="3" t="s">
        <v>227</v>
      </c>
      <c r="F758" s="3" t="s">
        <v>200</v>
      </c>
      <c r="G758" s="3" t="s">
        <v>2000</v>
      </c>
      <c r="H758" s="3" t="s">
        <v>2001</v>
      </c>
      <c r="I758" s="3" t="s">
        <v>203</v>
      </c>
      <c r="J758" s="3" t="s">
        <v>214</v>
      </c>
      <c r="K758" s="3" t="s">
        <v>2002</v>
      </c>
      <c r="L758" s="3" t="s">
        <v>2799</v>
      </c>
      <c r="M758" s="3" t="s">
        <v>207</v>
      </c>
      <c r="N758" s="3" t="s">
        <v>217</v>
      </c>
      <c r="O758" s="3" t="s">
        <v>234</v>
      </c>
    </row>
    <row r="759" spans="1:15" ht="79.5" customHeight="1" x14ac:dyDescent="0.3">
      <c r="A759" s="4">
        <v>5283345</v>
      </c>
      <c r="B759" s="4" t="s">
        <v>3053</v>
      </c>
      <c r="C759" s="4" t="s">
        <v>197</v>
      </c>
      <c r="D759" s="4" t="s">
        <v>377</v>
      </c>
      <c r="E759" s="4" t="s">
        <v>227</v>
      </c>
      <c r="F759" s="4" t="s">
        <v>200</v>
      </c>
      <c r="G759" s="4" t="s">
        <v>3054</v>
      </c>
      <c r="H759" s="4" t="s">
        <v>3055</v>
      </c>
      <c r="I759" s="4" t="s">
        <v>203</v>
      </c>
      <c r="J759" s="4" t="s">
        <v>214</v>
      </c>
      <c r="K759" s="4" t="s">
        <v>747</v>
      </c>
      <c r="L759" s="4" t="s">
        <v>3056</v>
      </c>
      <c r="M759" s="4" t="s">
        <v>207</v>
      </c>
      <c r="N759" s="4" t="s">
        <v>208</v>
      </c>
      <c r="O759" s="4" t="s">
        <v>234</v>
      </c>
    </row>
    <row r="760" spans="1:15" ht="57" customHeight="1" x14ac:dyDescent="0.3">
      <c r="A760" s="3">
        <v>5283957</v>
      </c>
      <c r="B760" s="3" t="s">
        <v>3057</v>
      </c>
      <c r="C760" s="3" t="s">
        <v>197</v>
      </c>
      <c r="D760" s="3" t="s">
        <v>342</v>
      </c>
      <c r="E760" s="3" t="s">
        <v>227</v>
      </c>
      <c r="F760" s="3" t="s">
        <v>200</v>
      </c>
      <c r="G760" s="3" t="s">
        <v>1382</v>
      </c>
      <c r="H760" s="3" t="s">
        <v>1383</v>
      </c>
      <c r="I760" s="3" t="s">
        <v>203</v>
      </c>
      <c r="J760" s="3" t="s">
        <v>329</v>
      </c>
      <c r="K760" s="3" t="s">
        <v>3058</v>
      </c>
      <c r="L760" s="3" t="s">
        <v>1068</v>
      </c>
      <c r="M760" s="3" t="s">
        <v>207</v>
      </c>
      <c r="N760" s="3" t="s">
        <v>217</v>
      </c>
      <c r="O760" s="3" t="s">
        <v>234</v>
      </c>
    </row>
    <row r="761" spans="1:15" ht="79.5" customHeight="1" x14ac:dyDescent="0.3">
      <c r="A761" s="4">
        <v>5285739</v>
      </c>
      <c r="B761" s="4" t="s">
        <v>3059</v>
      </c>
      <c r="C761" s="4" t="s">
        <v>197</v>
      </c>
      <c r="D761" s="4" t="s">
        <v>320</v>
      </c>
      <c r="E761" s="4" t="s">
        <v>227</v>
      </c>
      <c r="F761" s="4" t="s">
        <v>200</v>
      </c>
      <c r="G761" s="4" t="s">
        <v>3060</v>
      </c>
      <c r="H761" s="4" t="s">
        <v>1368</v>
      </c>
      <c r="I761" s="4" t="s">
        <v>203</v>
      </c>
      <c r="J761" s="4" t="s">
        <v>204</v>
      </c>
      <c r="K761" s="4" t="s">
        <v>1369</v>
      </c>
      <c r="L761" s="4" t="s">
        <v>3061</v>
      </c>
      <c r="M761" s="4" t="s">
        <v>245</v>
      </c>
      <c r="N761" s="4" t="s">
        <v>208</v>
      </c>
      <c r="O761" s="4" t="s">
        <v>234</v>
      </c>
    </row>
    <row r="762" spans="1:15" ht="22.5" customHeight="1" x14ac:dyDescent="0.3">
      <c r="A762" s="3">
        <v>5290678</v>
      </c>
      <c r="B762" s="3" t="s">
        <v>3062</v>
      </c>
      <c r="C762" s="3" t="s">
        <v>197</v>
      </c>
      <c r="D762" s="3" t="s">
        <v>198</v>
      </c>
      <c r="E762" s="3" t="s">
        <v>227</v>
      </c>
      <c r="F762" s="3" t="s">
        <v>200</v>
      </c>
      <c r="G762" s="3" t="s">
        <v>3063</v>
      </c>
      <c r="H762" s="3" t="s">
        <v>3064</v>
      </c>
      <c r="I762" s="3" t="s">
        <v>203</v>
      </c>
      <c r="J762" s="3" t="s">
        <v>214</v>
      </c>
      <c r="K762" s="3" t="s">
        <v>1243</v>
      </c>
      <c r="L762" s="3" t="s">
        <v>1068</v>
      </c>
      <c r="M762" s="3" t="s">
        <v>207</v>
      </c>
      <c r="N762" s="3" t="s">
        <v>217</v>
      </c>
      <c r="O762" s="3" t="s">
        <v>234</v>
      </c>
    </row>
    <row r="763" spans="1:15" ht="22.5" customHeight="1" x14ac:dyDescent="0.3">
      <c r="A763" s="4">
        <v>5293197</v>
      </c>
      <c r="B763" s="4" t="s">
        <v>3065</v>
      </c>
      <c r="C763" s="4" t="s">
        <v>197</v>
      </c>
      <c r="D763" s="4" t="s">
        <v>198</v>
      </c>
      <c r="E763" s="4" t="s">
        <v>227</v>
      </c>
      <c r="F763" s="4" t="s">
        <v>578</v>
      </c>
      <c r="G763" s="4" t="s">
        <v>3066</v>
      </c>
      <c r="H763" s="4" t="s">
        <v>3067</v>
      </c>
      <c r="I763" s="4" t="s">
        <v>203</v>
      </c>
      <c r="J763" s="4" t="s">
        <v>204</v>
      </c>
      <c r="K763" s="4" t="s">
        <v>452</v>
      </c>
      <c r="L763" s="4" t="s">
        <v>1920</v>
      </c>
      <c r="M763" s="4" t="s">
        <v>2330</v>
      </c>
      <c r="N763" s="4" t="s">
        <v>208</v>
      </c>
      <c r="O763" s="4" t="s">
        <v>444</v>
      </c>
    </row>
    <row r="764" spans="1:15" ht="22.5" customHeight="1" x14ac:dyDescent="0.3">
      <c r="A764" s="3">
        <v>5295181</v>
      </c>
      <c r="B764" s="3" t="s">
        <v>3068</v>
      </c>
      <c r="C764" s="3" t="s">
        <v>197</v>
      </c>
      <c r="D764" s="3" t="s">
        <v>198</v>
      </c>
      <c r="E764" s="3" t="s">
        <v>227</v>
      </c>
      <c r="F764" s="3" t="s">
        <v>200</v>
      </c>
      <c r="G764" s="3" t="s">
        <v>3069</v>
      </c>
      <c r="H764" s="3" t="s">
        <v>2512</v>
      </c>
      <c r="I764" s="3" t="s">
        <v>203</v>
      </c>
      <c r="J764" s="3" t="s">
        <v>214</v>
      </c>
      <c r="K764" s="3" t="s">
        <v>1624</v>
      </c>
      <c r="L764" s="3" t="s">
        <v>3070</v>
      </c>
      <c r="M764" s="3" t="s">
        <v>2330</v>
      </c>
      <c r="N764" s="3" t="s">
        <v>208</v>
      </c>
      <c r="O764" s="3" t="s">
        <v>444</v>
      </c>
    </row>
    <row r="765" spans="1:15" ht="22.5" customHeight="1" x14ac:dyDescent="0.3">
      <c r="A765" s="4">
        <v>5300002</v>
      </c>
      <c r="B765" s="4" t="s">
        <v>3071</v>
      </c>
      <c r="C765" s="4" t="s">
        <v>197</v>
      </c>
      <c r="D765" s="4" t="s">
        <v>198</v>
      </c>
      <c r="E765" s="4" t="s">
        <v>227</v>
      </c>
      <c r="F765" s="4" t="s">
        <v>200</v>
      </c>
      <c r="G765" s="4" t="s">
        <v>3072</v>
      </c>
      <c r="H765" s="4" t="s">
        <v>3073</v>
      </c>
      <c r="I765" s="4" t="s">
        <v>203</v>
      </c>
      <c r="J765" s="4" t="s">
        <v>506</v>
      </c>
      <c r="K765" s="4" t="s">
        <v>3074</v>
      </c>
      <c r="L765" s="4" t="s">
        <v>1087</v>
      </c>
      <c r="M765" s="4" t="s">
        <v>245</v>
      </c>
      <c r="N765" s="4" t="s">
        <v>217</v>
      </c>
      <c r="O765" s="4" t="s">
        <v>234</v>
      </c>
    </row>
    <row r="766" spans="1:15" ht="22.5" customHeight="1" x14ac:dyDescent="0.3">
      <c r="A766" s="3">
        <v>5307619</v>
      </c>
      <c r="B766" s="3" t="s">
        <v>3075</v>
      </c>
      <c r="C766" s="3" t="s">
        <v>197</v>
      </c>
      <c r="D766" s="3" t="s">
        <v>198</v>
      </c>
      <c r="E766" s="3" t="s">
        <v>227</v>
      </c>
      <c r="F766" s="3" t="s">
        <v>200</v>
      </c>
      <c r="G766" s="3" t="s">
        <v>1348</v>
      </c>
      <c r="H766" s="3" t="s">
        <v>1349</v>
      </c>
      <c r="I766" s="3" t="s">
        <v>737</v>
      </c>
      <c r="J766" s="3" t="s">
        <v>214</v>
      </c>
      <c r="K766" s="3" t="s">
        <v>2415</v>
      </c>
      <c r="L766" s="3" t="s">
        <v>2914</v>
      </c>
      <c r="M766" s="3" t="s">
        <v>245</v>
      </c>
      <c r="N766" s="3" t="s">
        <v>208</v>
      </c>
      <c r="O766" s="3" t="s">
        <v>444</v>
      </c>
    </row>
    <row r="767" spans="1:15" ht="22.5" customHeight="1" x14ac:dyDescent="0.3">
      <c r="A767" s="4">
        <v>5308046</v>
      </c>
      <c r="B767" s="4" t="s">
        <v>3076</v>
      </c>
      <c r="C767" s="4" t="s">
        <v>197</v>
      </c>
      <c r="D767" s="4" t="s">
        <v>198</v>
      </c>
      <c r="E767" s="4" t="s">
        <v>227</v>
      </c>
      <c r="F767" s="4" t="s">
        <v>200</v>
      </c>
      <c r="G767" s="4" t="s">
        <v>3077</v>
      </c>
      <c r="H767" s="4" t="s">
        <v>3004</v>
      </c>
      <c r="I767" s="4" t="s">
        <v>203</v>
      </c>
      <c r="J767" s="4" t="s">
        <v>506</v>
      </c>
      <c r="K767" s="4" t="s">
        <v>3078</v>
      </c>
      <c r="L767" s="4" t="s">
        <v>3079</v>
      </c>
      <c r="M767" s="4" t="s">
        <v>245</v>
      </c>
      <c r="N767" s="4" t="s">
        <v>217</v>
      </c>
      <c r="O767" s="4" t="s">
        <v>418</v>
      </c>
    </row>
    <row r="768" spans="1:15" ht="22.5" customHeight="1" x14ac:dyDescent="0.3">
      <c r="A768" s="3">
        <v>5308984</v>
      </c>
      <c r="B768" s="3" t="s">
        <v>3080</v>
      </c>
      <c r="C768" s="3" t="s">
        <v>197</v>
      </c>
      <c r="D768" s="3" t="s">
        <v>198</v>
      </c>
      <c r="E768" s="3" t="s">
        <v>227</v>
      </c>
      <c r="F768" s="3" t="s">
        <v>200</v>
      </c>
      <c r="G768" s="3" t="s">
        <v>3081</v>
      </c>
      <c r="H768" s="3" t="s">
        <v>1753</v>
      </c>
      <c r="I768" s="3" t="s">
        <v>203</v>
      </c>
      <c r="J768" s="3" t="s">
        <v>214</v>
      </c>
      <c r="K768" s="3" t="s">
        <v>2455</v>
      </c>
      <c r="L768" s="3" t="s">
        <v>3082</v>
      </c>
      <c r="M768" s="3" t="s">
        <v>207</v>
      </c>
      <c r="N768" s="3" t="s">
        <v>217</v>
      </c>
      <c r="O768" s="3" t="s">
        <v>234</v>
      </c>
    </row>
    <row r="769" spans="1:15" ht="22.5" customHeight="1" x14ac:dyDescent="0.3">
      <c r="A769" s="4">
        <v>5309395</v>
      </c>
      <c r="B769" s="4" t="s">
        <v>3083</v>
      </c>
      <c r="C769" s="4" t="s">
        <v>197</v>
      </c>
      <c r="D769" s="4" t="s">
        <v>198</v>
      </c>
      <c r="E769" s="4" t="s">
        <v>227</v>
      </c>
      <c r="F769" s="4" t="s">
        <v>200</v>
      </c>
      <c r="G769" s="4" t="s">
        <v>3084</v>
      </c>
      <c r="H769" s="4" t="s">
        <v>3085</v>
      </c>
      <c r="I769" s="4" t="s">
        <v>737</v>
      </c>
      <c r="J769" s="4" t="s">
        <v>214</v>
      </c>
      <c r="K769" s="4" t="s">
        <v>1247</v>
      </c>
      <c r="L769" s="4" t="s">
        <v>1087</v>
      </c>
      <c r="M769" s="4" t="s">
        <v>207</v>
      </c>
      <c r="N769" s="4" t="s">
        <v>217</v>
      </c>
      <c r="O769" s="4" t="s">
        <v>234</v>
      </c>
    </row>
    <row r="770" spans="1:15" ht="33.75" customHeight="1" x14ac:dyDescent="0.3">
      <c r="A770" s="3">
        <v>5309409</v>
      </c>
      <c r="B770" s="3" t="s">
        <v>3086</v>
      </c>
      <c r="C770" s="3" t="s">
        <v>197</v>
      </c>
      <c r="D770" s="3" t="s">
        <v>220</v>
      </c>
      <c r="E770" s="3" t="s">
        <v>227</v>
      </c>
      <c r="F770" s="3" t="s">
        <v>200</v>
      </c>
      <c r="G770" s="3" t="s">
        <v>3087</v>
      </c>
      <c r="H770" s="3" t="s">
        <v>1025</v>
      </c>
      <c r="I770" s="3" t="s">
        <v>203</v>
      </c>
      <c r="J770" s="3" t="s">
        <v>323</v>
      </c>
      <c r="K770" s="3" t="s">
        <v>723</v>
      </c>
      <c r="L770" s="3" t="s">
        <v>3088</v>
      </c>
      <c r="M770" s="3" t="s">
        <v>207</v>
      </c>
      <c r="N770" s="3" t="s">
        <v>208</v>
      </c>
      <c r="O770" s="3" t="s">
        <v>433</v>
      </c>
    </row>
    <row r="771" spans="1:15" ht="22.5" customHeight="1" x14ac:dyDescent="0.3">
      <c r="A771" s="4">
        <v>5310601</v>
      </c>
      <c r="B771" s="4" t="s">
        <v>3089</v>
      </c>
      <c r="C771" s="4" t="s">
        <v>197</v>
      </c>
      <c r="D771" s="4" t="s">
        <v>198</v>
      </c>
      <c r="E771" s="4" t="s">
        <v>227</v>
      </c>
      <c r="F771" s="4" t="s">
        <v>200</v>
      </c>
      <c r="G771" s="4" t="s">
        <v>3090</v>
      </c>
      <c r="H771" s="4" t="s">
        <v>650</v>
      </c>
      <c r="I771" s="4" t="s">
        <v>203</v>
      </c>
      <c r="J771" s="4" t="s">
        <v>266</v>
      </c>
      <c r="K771" s="4" t="s">
        <v>3091</v>
      </c>
      <c r="L771" s="4" t="s">
        <v>2827</v>
      </c>
      <c r="M771" s="4" t="s">
        <v>207</v>
      </c>
      <c r="N771" s="4" t="s">
        <v>208</v>
      </c>
      <c r="O771" s="4" t="s">
        <v>444</v>
      </c>
    </row>
    <row r="772" spans="1:15" ht="22.5" customHeight="1" x14ac:dyDescent="0.3">
      <c r="A772" s="3">
        <v>5310741</v>
      </c>
      <c r="B772" s="3" t="s">
        <v>3092</v>
      </c>
      <c r="C772" s="3" t="s">
        <v>197</v>
      </c>
      <c r="D772" s="3" t="s">
        <v>198</v>
      </c>
      <c r="E772" s="3" t="s">
        <v>227</v>
      </c>
      <c r="F772" s="3" t="s">
        <v>200</v>
      </c>
      <c r="G772" s="3" t="s">
        <v>3093</v>
      </c>
      <c r="H772" s="3" t="s">
        <v>3094</v>
      </c>
      <c r="I772" s="3" t="s">
        <v>203</v>
      </c>
      <c r="J772" s="3" t="s">
        <v>204</v>
      </c>
      <c r="K772" s="3" t="s">
        <v>3095</v>
      </c>
      <c r="L772" s="3" t="s">
        <v>3096</v>
      </c>
      <c r="M772" s="3" t="s">
        <v>207</v>
      </c>
      <c r="N772" s="3" t="s">
        <v>208</v>
      </c>
      <c r="O772" s="3" t="s">
        <v>234</v>
      </c>
    </row>
    <row r="773" spans="1:15" ht="22.5" customHeight="1" x14ac:dyDescent="0.3">
      <c r="A773" s="4">
        <v>5312337</v>
      </c>
      <c r="B773" s="4" t="s">
        <v>3097</v>
      </c>
      <c r="C773" s="4" t="s">
        <v>197</v>
      </c>
      <c r="D773" s="4" t="s">
        <v>198</v>
      </c>
      <c r="E773" s="4" t="s">
        <v>227</v>
      </c>
      <c r="F773" s="4" t="s">
        <v>200</v>
      </c>
      <c r="G773" s="4" t="s">
        <v>1400</v>
      </c>
      <c r="H773" s="4" t="s">
        <v>2129</v>
      </c>
      <c r="I773" s="4" t="s">
        <v>203</v>
      </c>
      <c r="J773" s="4" t="s">
        <v>204</v>
      </c>
      <c r="K773" s="4" t="s">
        <v>785</v>
      </c>
      <c r="L773" s="4" t="s">
        <v>2827</v>
      </c>
      <c r="M773" s="4" t="s">
        <v>245</v>
      </c>
      <c r="N773" s="4" t="s">
        <v>208</v>
      </c>
      <c r="O773" s="4" t="s">
        <v>444</v>
      </c>
    </row>
    <row r="774" spans="1:15" ht="22.5" customHeight="1" x14ac:dyDescent="0.3">
      <c r="A774" s="3">
        <v>5313317</v>
      </c>
      <c r="B774" s="3" t="s">
        <v>3098</v>
      </c>
      <c r="C774" s="3" t="s">
        <v>197</v>
      </c>
      <c r="D774" s="3" t="s">
        <v>198</v>
      </c>
      <c r="E774" s="3" t="s">
        <v>227</v>
      </c>
      <c r="F774" s="3" t="s">
        <v>200</v>
      </c>
      <c r="G774" s="3" t="s">
        <v>3099</v>
      </c>
      <c r="H774" s="3" t="s">
        <v>3100</v>
      </c>
      <c r="I774" s="3" t="s">
        <v>203</v>
      </c>
      <c r="J774" s="3" t="s">
        <v>323</v>
      </c>
      <c r="K774" s="3" t="s">
        <v>3101</v>
      </c>
      <c r="L774" s="3" t="s">
        <v>2827</v>
      </c>
      <c r="M774" s="3" t="s">
        <v>207</v>
      </c>
      <c r="N774" s="3" t="s">
        <v>208</v>
      </c>
      <c r="O774" s="3" t="s">
        <v>444</v>
      </c>
    </row>
    <row r="775" spans="1:15" ht="22.5" customHeight="1" x14ac:dyDescent="0.3">
      <c r="A775" s="4">
        <v>5313589</v>
      </c>
      <c r="B775" s="4" t="s">
        <v>3102</v>
      </c>
      <c r="C775" s="4" t="s">
        <v>197</v>
      </c>
      <c r="D775" s="4" t="s">
        <v>198</v>
      </c>
      <c r="E775" s="4" t="s">
        <v>227</v>
      </c>
      <c r="F775" s="4" t="s">
        <v>200</v>
      </c>
      <c r="G775" s="4" t="s">
        <v>3103</v>
      </c>
      <c r="H775" s="4" t="s">
        <v>1937</v>
      </c>
      <c r="I775" s="4" t="s">
        <v>203</v>
      </c>
      <c r="J775" s="4" t="s">
        <v>214</v>
      </c>
      <c r="K775" s="4" t="s">
        <v>3104</v>
      </c>
      <c r="L775" s="4" t="s">
        <v>2469</v>
      </c>
      <c r="M775" s="4" t="s">
        <v>207</v>
      </c>
      <c r="N775" s="4" t="s">
        <v>217</v>
      </c>
      <c r="O775" s="4" t="s">
        <v>234</v>
      </c>
    </row>
    <row r="776" spans="1:15" ht="22.5" customHeight="1" x14ac:dyDescent="0.3">
      <c r="A776" s="3">
        <v>5314267</v>
      </c>
      <c r="B776" s="3" t="s">
        <v>3105</v>
      </c>
      <c r="C776" s="3" t="s">
        <v>197</v>
      </c>
      <c r="D776" s="3" t="s">
        <v>198</v>
      </c>
      <c r="E776" s="3" t="s">
        <v>227</v>
      </c>
      <c r="F776" s="3" t="s">
        <v>200</v>
      </c>
      <c r="G776" s="3" t="s">
        <v>3106</v>
      </c>
      <c r="H776" s="3" t="s">
        <v>3107</v>
      </c>
      <c r="I776" s="3" t="s">
        <v>203</v>
      </c>
      <c r="J776" s="3" t="s">
        <v>323</v>
      </c>
      <c r="K776" s="3" t="s">
        <v>982</v>
      </c>
      <c r="L776" s="3" t="s">
        <v>2452</v>
      </c>
      <c r="M776" s="3" t="s">
        <v>207</v>
      </c>
      <c r="N776" s="3" t="s">
        <v>217</v>
      </c>
      <c r="O776" s="3" t="s">
        <v>234</v>
      </c>
    </row>
    <row r="777" spans="1:15" ht="22.5" customHeight="1" x14ac:dyDescent="0.3">
      <c r="A777" s="4">
        <v>5315670</v>
      </c>
      <c r="B777" s="4" t="s">
        <v>3108</v>
      </c>
      <c r="C777" s="4" t="s">
        <v>197</v>
      </c>
      <c r="D777" s="4" t="s">
        <v>198</v>
      </c>
      <c r="E777" s="4" t="s">
        <v>227</v>
      </c>
      <c r="F777" s="4" t="s">
        <v>200</v>
      </c>
      <c r="G777" s="4" t="s">
        <v>3109</v>
      </c>
      <c r="H777" s="4" t="s">
        <v>1807</v>
      </c>
      <c r="I777" s="4" t="s">
        <v>203</v>
      </c>
      <c r="J777" s="4" t="s">
        <v>329</v>
      </c>
      <c r="K777" s="4" t="s">
        <v>497</v>
      </c>
      <c r="L777" s="4" t="s">
        <v>3110</v>
      </c>
      <c r="M777" s="4" t="s">
        <v>207</v>
      </c>
      <c r="N777" s="4" t="s">
        <v>208</v>
      </c>
      <c r="O777" s="4" t="s">
        <v>234</v>
      </c>
    </row>
    <row r="778" spans="1:15" ht="22.5" customHeight="1" x14ac:dyDescent="0.3">
      <c r="A778" s="3">
        <v>5318076</v>
      </c>
      <c r="B778" s="3" t="s">
        <v>3111</v>
      </c>
      <c r="C778" s="3" t="s">
        <v>197</v>
      </c>
      <c r="D778" s="3" t="s">
        <v>198</v>
      </c>
      <c r="E778" s="3" t="s">
        <v>227</v>
      </c>
      <c r="F778" s="3" t="s">
        <v>200</v>
      </c>
      <c r="G778" s="3" t="s">
        <v>3112</v>
      </c>
      <c r="H778" s="3" t="s">
        <v>3113</v>
      </c>
      <c r="I778" s="3" t="s">
        <v>203</v>
      </c>
      <c r="J778" s="3" t="s">
        <v>214</v>
      </c>
      <c r="K778" s="3" t="s">
        <v>3114</v>
      </c>
      <c r="L778" s="3" t="s">
        <v>2265</v>
      </c>
      <c r="M778" s="3" t="s">
        <v>207</v>
      </c>
      <c r="N778" s="3" t="s">
        <v>208</v>
      </c>
      <c r="O778" s="3" t="s">
        <v>234</v>
      </c>
    </row>
    <row r="779" spans="1:15" ht="22.5" customHeight="1" x14ac:dyDescent="0.3">
      <c r="A779" s="4">
        <v>5319579</v>
      </c>
      <c r="B779" s="4" t="s">
        <v>3115</v>
      </c>
      <c r="C779" s="4" t="s">
        <v>197</v>
      </c>
      <c r="D779" s="4" t="s">
        <v>198</v>
      </c>
      <c r="E779" s="4" t="s">
        <v>227</v>
      </c>
      <c r="F779" s="4" t="s">
        <v>200</v>
      </c>
      <c r="G779" s="4" t="s">
        <v>3116</v>
      </c>
      <c r="H779" s="4" t="s">
        <v>1623</v>
      </c>
      <c r="I779" s="4" t="s">
        <v>203</v>
      </c>
      <c r="J779" s="4" t="s">
        <v>214</v>
      </c>
      <c r="K779" s="4" t="s">
        <v>1624</v>
      </c>
      <c r="L779" s="4" t="s">
        <v>2827</v>
      </c>
      <c r="M779" s="4" t="s">
        <v>245</v>
      </c>
      <c r="N779" s="4" t="s">
        <v>217</v>
      </c>
      <c r="O779" s="4" t="s">
        <v>444</v>
      </c>
    </row>
    <row r="780" spans="1:15" ht="22.5" customHeight="1" x14ac:dyDescent="0.3">
      <c r="A780" s="3">
        <v>5320992</v>
      </c>
      <c r="B780" s="3" t="s">
        <v>3117</v>
      </c>
      <c r="C780" s="3" t="s">
        <v>197</v>
      </c>
      <c r="D780" s="3" t="s">
        <v>198</v>
      </c>
      <c r="E780" s="3" t="s">
        <v>227</v>
      </c>
      <c r="F780" s="3" t="s">
        <v>200</v>
      </c>
      <c r="G780" s="3" t="s">
        <v>3118</v>
      </c>
      <c r="H780" s="3" t="s">
        <v>2150</v>
      </c>
      <c r="I780" s="3" t="s">
        <v>203</v>
      </c>
      <c r="J780" s="3" t="s">
        <v>223</v>
      </c>
      <c r="K780" s="3" t="s">
        <v>3119</v>
      </c>
      <c r="L780" s="3" t="s">
        <v>3110</v>
      </c>
      <c r="M780" s="3" t="s">
        <v>245</v>
      </c>
      <c r="N780" s="3" t="s">
        <v>208</v>
      </c>
      <c r="O780" s="3" t="s">
        <v>234</v>
      </c>
    </row>
    <row r="781" spans="1:15" ht="22.5" customHeight="1" x14ac:dyDescent="0.3">
      <c r="A781" s="4">
        <v>5321131</v>
      </c>
      <c r="B781" s="4" t="s">
        <v>3120</v>
      </c>
      <c r="C781" s="4" t="s">
        <v>197</v>
      </c>
      <c r="D781" s="4" t="s">
        <v>198</v>
      </c>
      <c r="E781" s="4" t="s">
        <v>227</v>
      </c>
      <c r="F781" s="4" t="s">
        <v>200</v>
      </c>
      <c r="G781" s="4" t="s">
        <v>3121</v>
      </c>
      <c r="H781" s="4" t="s">
        <v>3122</v>
      </c>
      <c r="I781" s="4" t="s">
        <v>203</v>
      </c>
      <c r="J781" s="4" t="s">
        <v>204</v>
      </c>
      <c r="K781" s="4" t="s">
        <v>3123</v>
      </c>
      <c r="L781" s="4" t="s">
        <v>1617</v>
      </c>
      <c r="M781" s="4" t="s">
        <v>207</v>
      </c>
      <c r="N781" s="4" t="s">
        <v>208</v>
      </c>
      <c r="O781" s="4" t="s">
        <v>234</v>
      </c>
    </row>
    <row r="782" spans="1:15" ht="22.5" customHeight="1" x14ac:dyDescent="0.3">
      <c r="A782" s="3">
        <v>5322219</v>
      </c>
      <c r="B782" s="3" t="s">
        <v>3124</v>
      </c>
      <c r="C782" s="3" t="s">
        <v>197</v>
      </c>
      <c r="D782" s="3" t="s">
        <v>198</v>
      </c>
      <c r="E782" s="3" t="s">
        <v>227</v>
      </c>
      <c r="F782" s="3" t="s">
        <v>413</v>
      </c>
      <c r="G782" s="3" t="s">
        <v>3125</v>
      </c>
      <c r="H782" s="3" t="s">
        <v>3126</v>
      </c>
      <c r="I782" s="3" t="s">
        <v>203</v>
      </c>
      <c r="J782" s="3" t="s">
        <v>214</v>
      </c>
      <c r="K782" s="3" t="s">
        <v>3127</v>
      </c>
      <c r="L782" s="3" t="s">
        <v>3128</v>
      </c>
      <c r="M782" s="3" t="s">
        <v>245</v>
      </c>
      <c r="N782" s="3" t="s">
        <v>217</v>
      </c>
      <c r="O782" s="3" t="s">
        <v>234</v>
      </c>
    </row>
    <row r="783" spans="1:15" ht="22.5" customHeight="1" x14ac:dyDescent="0.3">
      <c r="A783" s="4">
        <v>5322693</v>
      </c>
      <c r="B783" s="4" t="s">
        <v>3129</v>
      </c>
      <c r="C783" s="4" t="s">
        <v>197</v>
      </c>
      <c r="D783" s="4" t="s">
        <v>198</v>
      </c>
      <c r="E783" s="4" t="s">
        <v>227</v>
      </c>
      <c r="F783" s="4" t="s">
        <v>200</v>
      </c>
      <c r="G783" s="4" t="s">
        <v>3130</v>
      </c>
      <c r="H783" s="4" t="s">
        <v>3131</v>
      </c>
      <c r="I783" s="4" t="s">
        <v>203</v>
      </c>
      <c r="J783" s="4" t="s">
        <v>214</v>
      </c>
      <c r="K783" s="4" t="s">
        <v>526</v>
      </c>
      <c r="L783" s="4" t="s">
        <v>3128</v>
      </c>
      <c r="M783" s="4" t="s">
        <v>233</v>
      </c>
      <c r="N783" s="4" t="s">
        <v>208</v>
      </c>
      <c r="O783" s="4" t="s">
        <v>234</v>
      </c>
    </row>
    <row r="784" spans="1:15" ht="22.5" customHeight="1" x14ac:dyDescent="0.3">
      <c r="A784" s="3">
        <v>5323460</v>
      </c>
      <c r="B784" s="3" t="s">
        <v>3132</v>
      </c>
      <c r="C784" s="3" t="s">
        <v>197</v>
      </c>
      <c r="D784" s="3" t="s">
        <v>198</v>
      </c>
      <c r="E784" s="3" t="s">
        <v>227</v>
      </c>
      <c r="F784" s="3" t="s">
        <v>200</v>
      </c>
      <c r="G784" s="3" t="s">
        <v>3133</v>
      </c>
      <c r="H784" s="3" t="s">
        <v>1941</v>
      </c>
      <c r="I784" s="3" t="s">
        <v>203</v>
      </c>
      <c r="J784" s="3" t="s">
        <v>506</v>
      </c>
      <c r="K784" s="3" t="s">
        <v>2097</v>
      </c>
      <c r="L784" s="3" t="s">
        <v>3128</v>
      </c>
      <c r="M784" s="3" t="s">
        <v>207</v>
      </c>
      <c r="N784" s="3" t="s">
        <v>208</v>
      </c>
      <c r="O784" s="3" t="s">
        <v>234</v>
      </c>
    </row>
    <row r="785" spans="1:15" ht="22.5" customHeight="1" x14ac:dyDescent="0.3">
      <c r="A785" s="4">
        <v>5326583</v>
      </c>
      <c r="B785" s="4" t="s">
        <v>3134</v>
      </c>
      <c r="C785" s="4" t="s">
        <v>197</v>
      </c>
      <c r="D785" s="4" t="s">
        <v>198</v>
      </c>
      <c r="E785" s="4" t="s">
        <v>227</v>
      </c>
      <c r="F785" s="4" t="s">
        <v>200</v>
      </c>
      <c r="G785" s="4" t="s">
        <v>1664</v>
      </c>
      <c r="H785" s="4" t="s">
        <v>1665</v>
      </c>
      <c r="I785" s="4" t="s">
        <v>203</v>
      </c>
      <c r="J785" s="4" t="s">
        <v>506</v>
      </c>
      <c r="K785" s="4" t="s">
        <v>3078</v>
      </c>
      <c r="L785" s="4" t="s">
        <v>3135</v>
      </c>
      <c r="M785" s="4" t="s">
        <v>207</v>
      </c>
      <c r="N785" s="4" t="s">
        <v>217</v>
      </c>
      <c r="O785" s="4" t="s">
        <v>234</v>
      </c>
    </row>
    <row r="786" spans="1:15" ht="57" customHeight="1" x14ac:dyDescent="0.3">
      <c r="A786" s="3">
        <v>5329132</v>
      </c>
      <c r="B786" s="3" t="s">
        <v>3136</v>
      </c>
      <c r="C786" s="3" t="s">
        <v>197</v>
      </c>
      <c r="D786" s="3" t="s">
        <v>1292</v>
      </c>
      <c r="E786" s="3" t="s">
        <v>227</v>
      </c>
      <c r="F786" s="3" t="s">
        <v>200</v>
      </c>
      <c r="G786" s="3" t="s">
        <v>3137</v>
      </c>
      <c r="H786" s="3" t="s">
        <v>3138</v>
      </c>
      <c r="I786" s="3" t="s">
        <v>203</v>
      </c>
      <c r="J786" s="3" t="s">
        <v>323</v>
      </c>
      <c r="K786" s="3" t="s">
        <v>1445</v>
      </c>
      <c r="L786" s="3" t="s">
        <v>3139</v>
      </c>
      <c r="M786" s="3" t="s">
        <v>2330</v>
      </c>
      <c r="N786" s="3" t="s">
        <v>208</v>
      </c>
      <c r="O786" s="3" t="s">
        <v>418</v>
      </c>
    </row>
    <row r="787" spans="1:15" ht="22.5" customHeight="1" x14ac:dyDescent="0.3">
      <c r="A787" s="4">
        <v>5332451</v>
      </c>
      <c r="B787" s="4" t="s">
        <v>3140</v>
      </c>
      <c r="C787" s="4" t="s">
        <v>197</v>
      </c>
      <c r="D787" s="4"/>
      <c r="E787" s="4" t="s">
        <v>227</v>
      </c>
      <c r="F787" s="4" t="s">
        <v>413</v>
      </c>
      <c r="G787" s="4" t="s">
        <v>3141</v>
      </c>
      <c r="H787" s="4" t="s">
        <v>3142</v>
      </c>
      <c r="I787" s="4" t="s">
        <v>203</v>
      </c>
      <c r="J787" s="4" t="s">
        <v>316</v>
      </c>
      <c r="K787" s="4" t="s">
        <v>3143</v>
      </c>
      <c r="L787" s="4" t="s">
        <v>3144</v>
      </c>
      <c r="M787" s="4" t="s">
        <v>245</v>
      </c>
      <c r="N787" s="4" t="s">
        <v>217</v>
      </c>
      <c r="O787" s="4" t="s">
        <v>418</v>
      </c>
    </row>
    <row r="788" spans="1:15" ht="33.75" customHeight="1" x14ac:dyDescent="0.3">
      <c r="A788" s="3">
        <v>5334187</v>
      </c>
      <c r="B788" s="3" t="s">
        <v>3145</v>
      </c>
      <c r="C788" s="3" t="s">
        <v>197</v>
      </c>
      <c r="D788" s="3" t="s">
        <v>220</v>
      </c>
      <c r="E788" s="3" t="s">
        <v>227</v>
      </c>
      <c r="F788" s="3" t="s">
        <v>413</v>
      </c>
      <c r="G788" s="3" t="s">
        <v>3146</v>
      </c>
      <c r="H788" s="3" t="s">
        <v>3147</v>
      </c>
      <c r="I788" s="3" t="s">
        <v>203</v>
      </c>
      <c r="J788" s="3" t="s">
        <v>316</v>
      </c>
      <c r="K788" s="3" t="s">
        <v>2551</v>
      </c>
      <c r="L788" s="3" t="s">
        <v>3148</v>
      </c>
      <c r="M788" s="3" t="s">
        <v>2330</v>
      </c>
      <c r="N788" s="3" t="s">
        <v>208</v>
      </c>
      <c r="O788" s="3" t="s">
        <v>433</v>
      </c>
    </row>
    <row r="789" spans="1:15" ht="22.5" customHeight="1" x14ac:dyDescent="0.3">
      <c r="A789" s="4">
        <v>5334810</v>
      </c>
      <c r="B789" s="4" t="s">
        <v>3149</v>
      </c>
      <c r="C789" s="4" t="s">
        <v>197</v>
      </c>
      <c r="D789" s="4" t="s">
        <v>198</v>
      </c>
      <c r="E789" s="4" t="s">
        <v>227</v>
      </c>
      <c r="F789" s="4" t="s">
        <v>200</v>
      </c>
      <c r="G789" s="4" t="s">
        <v>3150</v>
      </c>
      <c r="H789" s="4" t="s">
        <v>3151</v>
      </c>
      <c r="I789" s="4" t="s">
        <v>203</v>
      </c>
      <c r="J789" s="4" t="s">
        <v>506</v>
      </c>
      <c r="K789" s="4" t="s">
        <v>690</v>
      </c>
      <c r="L789" s="4" t="s">
        <v>3152</v>
      </c>
      <c r="M789" s="4" t="s">
        <v>207</v>
      </c>
      <c r="N789" s="4" t="s">
        <v>208</v>
      </c>
      <c r="O789" s="4" t="s">
        <v>234</v>
      </c>
    </row>
    <row r="790" spans="1:15" ht="22.5" customHeight="1" x14ac:dyDescent="0.3">
      <c r="A790" s="3">
        <v>5335655</v>
      </c>
      <c r="B790" s="3" t="s">
        <v>3153</v>
      </c>
      <c r="C790" s="3" t="s">
        <v>197</v>
      </c>
      <c r="D790" s="3" t="s">
        <v>198</v>
      </c>
      <c r="E790" s="3" t="s">
        <v>227</v>
      </c>
      <c r="F790" s="3" t="s">
        <v>200</v>
      </c>
      <c r="G790" s="3" t="s">
        <v>3154</v>
      </c>
      <c r="H790" s="3" t="s">
        <v>3155</v>
      </c>
      <c r="I790" s="3" t="s">
        <v>203</v>
      </c>
      <c r="J790" s="3" t="s">
        <v>329</v>
      </c>
      <c r="K790" s="3" t="s">
        <v>3156</v>
      </c>
      <c r="L790" s="3" t="s">
        <v>3144</v>
      </c>
      <c r="M790" s="3" t="s">
        <v>245</v>
      </c>
      <c r="N790" s="3" t="s">
        <v>217</v>
      </c>
      <c r="O790" s="3" t="s">
        <v>234</v>
      </c>
    </row>
    <row r="791" spans="1:15" ht="22.5" customHeight="1" x14ac:dyDescent="0.3">
      <c r="A791" s="4">
        <v>5336120</v>
      </c>
      <c r="B791" s="4" t="s">
        <v>3157</v>
      </c>
      <c r="C791" s="4" t="s">
        <v>197</v>
      </c>
      <c r="D791" s="4" t="s">
        <v>198</v>
      </c>
      <c r="E791" s="4" t="s">
        <v>227</v>
      </c>
      <c r="F791" s="4" t="s">
        <v>200</v>
      </c>
      <c r="G791" s="4" t="s">
        <v>3158</v>
      </c>
      <c r="H791" s="4" t="s">
        <v>3159</v>
      </c>
      <c r="I791" s="4" t="s">
        <v>203</v>
      </c>
      <c r="J791" s="4" t="s">
        <v>506</v>
      </c>
      <c r="K791" s="4" t="s">
        <v>1328</v>
      </c>
      <c r="L791" s="4" t="s">
        <v>3139</v>
      </c>
      <c r="M791" s="4" t="s">
        <v>2330</v>
      </c>
      <c r="N791" s="4" t="s">
        <v>217</v>
      </c>
      <c r="O791" s="4" t="s">
        <v>444</v>
      </c>
    </row>
    <row r="792" spans="1:15" ht="22.5" customHeight="1" x14ac:dyDescent="0.3">
      <c r="A792" s="3">
        <v>5336309</v>
      </c>
      <c r="B792" s="3" t="s">
        <v>3160</v>
      </c>
      <c r="C792" s="3" t="s">
        <v>197</v>
      </c>
      <c r="D792" s="3" t="s">
        <v>198</v>
      </c>
      <c r="E792" s="3" t="s">
        <v>227</v>
      </c>
      <c r="F792" s="3" t="s">
        <v>200</v>
      </c>
      <c r="G792" s="3" t="s">
        <v>3161</v>
      </c>
      <c r="H792" s="3" t="s">
        <v>3162</v>
      </c>
      <c r="I792" s="3" t="s">
        <v>203</v>
      </c>
      <c r="J792" s="3" t="s">
        <v>204</v>
      </c>
      <c r="K792" s="3" t="s">
        <v>467</v>
      </c>
      <c r="L792" s="3" t="s">
        <v>3163</v>
      </c>
      <c r="M792" s="3" t="s">
        <v>245</v>
      </c>
      <c r="N792" s="3" t="s">
        <v>208</v>
      </c>
      <c r="O792" s="3" t="s">
        <v>234</v>
      </c>
    </row>
    <row r="793" spans="1:15" ht="33.75" customHeight="1" x14ac:dyDescent="0.3">
      <c r="A793" s="4">
        <v>5339502</v>
      </c>
      <c r="B793" s="4" t="s">
        <v>3164</v>
      </c>
      <c r="C793" s="4" t="s">
        <v>197</v>
      </c>
      <c r="D793" s="4" t="s">
        <v>220</v>
      </c>
      <c r="E793" s="4" t="s">
        <v>608</v>
      </c>
      <c r="F793" s="4" t="s">
        <v>200</v>
      </c>
      <c r="G793" s="4" t="s">
        <v>3165</v>
      </c>
      <c r="H793" s="4" t="s">
        <v>3166</v>
      </c>
      <c r="I793" s="4" t="s">
        <v>203</v>
      </c>
      <c r="J793" s="4" t="s">
        <v>266</v>
      </c>
      <c r="K793" s="4" t="s">
        <v>3167</v>
      </c>
      <c r="L793" s="4" t="s">
        <v>2606</v>
      </c>
      <c r="M793" s="4" t="s">
        <v>245</v>
      </c>
      <c r="N793" s="4" t="s">
        <v>208</v>
      </c>
      <c r="O793" s="4" t="s">
        <v>613</v>
      </c>
    </row>
    <row r="794" spans="1:15" ht="22.5" customHeight="1" x14ac:dyDescent="0.3">
      <c r="A794" s="3">
        <v>5340586</v>
      </c>
      <c r="B794" s="3" t="s">
        <v>3168</v>
      </c>
      <c r="C794" s="3" t="s">
        <v>197</v>
      </c>
      <c r="D794" s="3" t="s">
        <v>862</v>
      </c>
      <c r="E794" s="3" t="s">
        <v>227</v>
      </c>
      <c r="F794" s="3" t="s">
        <v>200</v>
      </c>
      <c r="G794" s="3" t="s">
        <v>3169</v>
      </c>
      <c r="H794" s="3" t="s">
        <v>3170</v>
      </c>
      <c r="I794" s="3" t="s">
        <v>203</v>
      </c>
      <c r="J794" s="3" t="s">
        <v>506</v>
      </c>
      <c r="K794" s="3" t="s">
        <v>2094</v>
      </c>
      <c r="L794" s="3" t="s">
        <v>2606</v>
      </c>
      <c r="M794" s="3" t="s">
        <v>207</v>
      </c>
      <c r="N794" s="3" t="s">
        <v>208</v>
      </c>
      <c r="O794" s="3" t="s">
        <v>418</v>
      </c>
    </row>
    <row r="795" spans="1:15" ht="33.75" customHeight="1" x14ac:dyDescent="0.3">
      <c r="A795" s="4">
        <v>5349222</v>
      </c>
      <c r="B795" s="4" t="s">
        <v>3171</v>
      </c>
      <c r="C795" s="4" t="s">
        <v>197</v>
      </c>
      <c r="D795" s="4" t="s">
        <v>3172</v>
      </c>
      <c r="E795" s="4" t="s">
        <v>227</v>
      </c>
      <c r="F795" s="4" t="s">
        <v>200</v>
      </c>
      <c r="G795" s="4" t="s">
        <v>3173</v>
      </c>
      <c r="H795" s="4" t="s">
        <v>3174</v>
      </c>
      <c r="I795" s="4" t="s">
        <v>203</v>
      </c>
      <c r="J795" s="4" t="s">
        <v>323</v>
      </c>
      <c r="K795" s="4" t="s">
        <v>2013</v>
      </c>
      <c r="L795" s="4" t="s">
        <v>3175</v>
      </c>
      <c r="M795" s="4" t="s">
        <v>207</v>
      </c>
      <c r="N795" s="4" t="s">
        <v>208</v>
      </c>
      <c r="O795" s="4" t="s">
        <v>433</v>
      </c>
    </row>
    <row r="796" spans="1:15" ht="22.5" customHeight="1" x14ac:dyDescent="0.3">
      <c r="A796" s="3">
        <v>5376963</v>
      </c>
      <c r="B796" s="3" t="s">
        <v>3176</v>
      </c>
      <c r="C796" s="3" t="s">
        <v>197</v>
      </c>
      <c r="D796" s="3"/>
      <c r="E796" s="3" t="s">
        <v>227</v>
      </c>
      <c r="F796" s="3" t="s">
        <v>200</v>
      </c>
      <c r="G796" s="3" t="s">
        <v>3177</v>
      </c>
      <c r="H796" s="3" t="s">
        <v>3178</v>
      </c>
      <c r="I796" s="3" t="s">
        <v>203</v>
      </c>
      <c r="J796" s="3" t="s">
        <v>323</v>
      </c>
      <c r="K796" s="3" t="s">
        <v>3179</v>
      </c>
      <c r="L796" s="3" t="s">
        <v>3180</v>
      </c>
      <c r="M796" s="3" t="s">
        <v>2330</v>
      </c>
      <c r="N796" s="3" t="s">
        <v>208</v>
      </c>
      <c r="O796" s="3" t="s">
        <v>418</v>
      </c>
    </row>
    <row r="797" spans="1:15" ht="22.5" customHeight="1" x14ac:dyDescent="0.3">
      <c r="A797" s="4">
        <v>5377749</v>
      </c>
      <c r="B797" s="4" t="s">
        <v>3181</v>
      </c>
      <c r="C797" s="4" t="s">
        <v>197</v>
      </c>
      <c r="D797" s="4" t="s">
        <v>198</v>
      </c>
      <c r="E797" s="4" t="s">
        <v>227</v>
      </c>
      <c r="F797" s="4" t="s">
        <v>200</v>
      </c>
      <c r="G797" s="4" t="s">
        <v>3182</v>
      </c>
      <c r="H797" s="4" t="s">
        <v>3183</v>
      </c>
      <c r="I797" s="4" t="s">
        <v>737</v>
      </c>
      <c r="J797" s="4" t="s">
        <v>214</v>
      </c>
      <c r="K797" s="4" t="s">
        <v>1247</v>
      </c>
      <c r="L797" s="4" t="s">
        <v>3184</v>
      </c>
      <c r="M797" s="4" t="s">
        <v>207</v>
      </c>
      <c r="N797" s="4" t="s">
        <v>208</v>
      </c>
      <c r="O797" s="4" t="s">
        <v>234</v>
      </c>
    </row>
    <row r="798" spans="1:15" ht="22.5" customHeight="1" x14ac:dyDescent="0.3">
      <c r="A798" s="3">
        <v>5389585</v>
      </c>
      <c r="B798" s="3" t="s">
        <v>3185</v>
      </c>
      <c r="C798" s="3" t="s">
        <v>197</v>
      </c>
      <c r="D798" s="3" t="s">
        <v>198</v>
      </c>
      <c r="E798" s="3" t="s">
        <v>227</v>
      </c>
      <c r="F798" s="3" t="s">
        <v>200</v>
      </c>
      <c r="G798" s="3" t="s">
        <v>3186</v>
      </c>
      <c r="H798" s="3" t="s">
        <v>2210</v>
      </c>
      <c r="I798" s="3" t="s">
        <v>203</v>
      </c>
      <c r="J798" s="3" t="s">
        <v>323</v>
      </c>
      <c r="K798" s="3" t="s">
        <v>3187</v>
      </c>
      <c r="L798" s="3" t="s">
        <v>3184</v>
      </c>
      <c r="M798" s="3" t="s">
        <v>207</v>
      </c>
      <c r="N798" s="3" t="s">
        <v>217</v>
      </c>
      <c r="O798" s="3" t="s">
        <v>234</v>
      </c>
    </row>
    <row r="799" spans="1:15" ht="22.5" customHeight="1" x14ac:dyDescent="0.3">
      <c r="A799" s="4">
        <v>5390427</v>
      </c>
      <c r="B799" s="4" t="s">
        <v>3188</v>
      </c>
      <c r="C799" s="4" t="s">
        <v>197</v>
      </c>
      <c r="D799" s="4" t="s">
        <v>198</v>
      </c>
      <c r="E799" s="4" t="s">
        <v>227</v>
      </c>
      <c r="F799" s="4" t="s">
        <v>200</v>
      </c>
      <c r="G799" s="4" t="s">
        <v>3189</v>
      </c>
      <c r="H799" s="4" t="s">
        <v>2282</v>
      </c>
      <c r="I799" s="4" t="s">
        <v>203</v>
      </c>
      <c r="J799" s="4" t="s">
        <v>214</v>
      </c>
      <c r="K799" s="4" t="s">
        <v>2033</v>
      </c>
      <c r="L799" s="4" t="s">
        <v>3184</v>
      </c>
      <c r="M799" s="4" t="s">
        <v>207</v>
      </c>
      <c r="N799" s="4" t="s">
        <v>208</v>
      </c>
      <c r="O799" s="4" t="s">
        <v>418</v>
      </c>
    </row>
    <row r="800" spans="1:15" ht="57" customHeight="1" x14ac:dyDescent="0.3">
      <c r="A800" s="3">
        <v>5391458</v>
      </c>
      <c r="B800" s="3" t="s">
        <v>3190</v>
      </c>
      <c r="C800" s="3" t="s">
        <v>197</v>
      </c>
      <c r="D800" s="3" t="s">
        <v>1797</v>
      </c>
      <c r="E800" s="3" t="s">
        <v>227</v>
      </c>
      <c r="F800" s="3" t="s">
        <v>200</v>
      </c>
      <c r="G800" s="3" t="s">
        <v>3191</v>
      </c>
      <c r="H800" s="3" t="s">
        <v>1699</v>
      </c>
      <c r="I800" s="3" t="s">
        <v>203</v>
      </c>
      <c r="J800" s="3" t="s">
        <v>204</v>
      </c>
      <c r="K800" s="3" t="s">
        <v>2570</v>
      </c>
      <c r="L800" s="3" t="s">
        <v>2053</v>
      </c>
      <c r="M800" s="3" t="s">
        <v>207</v>
      </c>
      <c r="N800" s="3" t="s">
        <v>208</v>
      </c>
      <c r="O800" s="3" t="s">
        <v>234</v>
      </c>
    </row>
    <row r="801" spans="1:15" ht="22.5" customHeight="1" x14ac:dyDescent="0.3">
      <c r="A801" s="4">
        <v>5399335</v>
      </c>
      <c r="B801" s="4" t="s">
        <v>3192</v>
      </c>
      <c r="C801" s="4" t="s">
        <v>197</v>
      </c>
      <c r="D801" s="4" t="s">
        <v>198</v>
      </c>
      <c r="E801" s="4" t="s">
        <v>227</v>
      </c>
      <c r="F801" s="4" t="s">
        <v>200</v>
      </c>
      <c r="G801" s="4" t="s">
        <v>1869</v>
      </c>
      <c r="H801" s="4" t="s">
        <v>1870</v>
      </c>
      <c r="I801" s="4" t="s">
        <v>203</v>
      </c>
      <c r="J801" s="4" t="s">
        <v>323</v>
      </c>
      <c r="K801" s="4" t="s">
        <v>848</v>
      </c>
      <c r="L801" s="4" t="s">
        <v>3027</v>
      </c>
      <c r="M801" s="4" t="s">
        <v>207</v>
      </c>
      <c r="N801" s="4" t="s">
        <v>208</v>
      </c>
      <c r="O801" s="4" t="s">
        <v>433</v>
      </c>
    </row>
    <row r="802" spans="1:15" ht="79.5" customHeight="1" x14ac:dyDescent="0.3">
      <c r="A802" s="3">
        <v>5406420</v>
      </c>
      <c r="B802" s="3" t="s">
        <v>3193</v>
      </c>
      <c r="C802" s="3" t="s">
        <v>197</v>
      </c>
      <c r="D802" s="3" t="s">
        <v>377</v>
      </c>
      <c r="E802" s="3" t="s">
        <v>227</v>
      </c>
      <c r="F802" s="3" t="s">
        <v>200</v>
      </c>
      <c r="G802" s="3" t="s">
        <v>2687</v>
      </c>
      <c r="H802" s="3" t="s">
        <v>1025</v>
      </c>
      <c r="I802" s="3" t="s">
        <v>203</v>
      </c>
      <c r="J802" s="3" t="s">
        <v>323</v>
      </c>
      <c r="K802" s="3" t="s">
        <v>705</v>
      </c>
      <c r="L802" s="3" t="s">
        <v>3061</v>
      </c>
      <c r="M802" s="3" t="s">
        <v>2330</v>
      </c>
      <c r="N802" s="3" t="s">
        <v>208</v>
      </c>
      <c r="O802" s="3" t="s">
        <v>418</v>
      </c>
    </row>
    <row r="803" spans="1:15" ht="33.75" customHeight="1" x14ac:dyDescent="0.3">
      <c r="A803" s="4">
        <v>5414032</v>
      </c>
      <c r="B803" s="4" t="s">
        <v>3194</v>
      </c>
      <c r="C803" s="4" t="s">
        <v>197</v>
      </c>
      <c r="D803" s="4" t="s">
        <v>220</v>
      </c>
      <c r="E803" s="4" t="s">
        <v>227</v>
      </c>
      <c r="F803" s="4" t="s">
        <v>413</v>
      </c>
      <c r="G803" s="4" t="s">
        <v>3195</v>
      </c>
      <c r="H803" s="4" t="s">
        <v>3196</v>
      </c>
      <c r="I803" s="4" t="s">
        <v>203</v>
      </c>
      <c r="J803" s="4" t="s">
        <v>316</v>
      </c>
      <c r="K803" s="4" t="s">
        <v>3197</v>
      </c>
      <c r="L803" s="4" t="s">
        <v>3198</v>
      </c>
      <c r="M803" s="4" t="s">
        <v>245</v>
      </c>
      <c r="N803" s="4" t="s">
        <v>217</v>
      </c>
      <c r="O803" s="4" t="s">
        <v>234</v>
      </c>
    </row>
    <row r="804" spans="1:15" ht="22.5" customHeight="1" x14ac:dyDescent="0.3">
      <c r="A804" s="3">
        <v>5420725</v>
      </c>
      <c r="B804" s="3" t="s">
        <v>3199</v>
      </c>
      <c r="C804" s="3" t="s">
        <v>197</v>
      </c>
      <c r="D804" s="3" t="s">
        <v>198</v>
      </c>
      <c r="E804" s="3" t="s">
        <v>227</v>
      </c>
      <c r="F804" s="3" t="s">
        <v>200</v>
      </c>
      <c r="G804" s="3" t="s">
        <v>3200</v>
      </c>
      <c r="H804" s="3" t="s">
        <v>3201</v>
      </c>
      <c r="I804" s="3" t="s">
        <v>203</v>
      </c>
      <c r="J804" s="3" t="s">
        <v>506</v>
      </c>
      <c r="K804" s="3" t="s">
        <v>1631</v>
      </c>
      <c r="L804" s="3" t="s">
        <v>206</v>
      </c>
      <c r="M804" s="3" t="s">
        <v>207</v>
      </c>
      <c r="N804" s="3" t="s">
        <v>208</v>
      </c>
      <c r="O804" s="3" t="s">
        <v>234</v>
      </c>
    </row>
    <row r="805" spans="1:15" ht="33.75" customHeight="1" x14ac:dyDescent="0.3">
      <c r="A805" s="4">
        <v>5430577</v>
      </c>
      <c r="B805" s="4" t="s">
        <v>3202</v>
      </c>
      <c r="C805" s="4" t="s">
        <v>197</v>
      </c>
      <c r="D805" s="4" t="s">
        <v>1132</v>
      </c>
      <c r="E805" s="4" t="s">
        <v>227</v>
      </c>
      <c r="F805" s="4" t="s">
        <v>413</v>
      </c>
      <c r="G805" s="4" t="s">
        <v>3203</v>
      </c>
      <c r="H805" s="4" t="s">
        <v>3204</v>
      </c>
      <c r="I805" s="4" t="s">
        <v>203</v>
      </c>
      <c r="J805" s="4" t="s">
        <v>298</v>
      </c>
      <c r="K805" s="4" t="s">
        <v>3205</v>
      </c>
      <c r="L805" s="4" t="s">
        <v>2220</v>
      </c>
      <c r="M805" s="4" t="s">
        <v>245</v>
      </c>
      <c r="N805" s="4" t="s">
        <v>208</v>
      </c>
      <c r="O805" s="4" t="s">
        <v>234</v>
      </c>
    </row>
    <row r="806" spans="1:15" ht="57" customHeight="1" x14ac:dyDescent="0.3">
      <c r="A806" s="3">
        <v>5431328</v>
      </c>
      <c r="B806" s="3" t="s">
        <v>3206</v>
      </c>
      <c r="C806" s="3" t="s">
        <v>197</v>
      </c>
      <c r="D806" s="3" t="s">
        <v>342</v>
      </c>
      <c r="E806" s="3" t="s">
        <v>227</v>
      </c>
      <c r="F806" s="3" t="s">
        <v>888</v>
      </c>
      <c r="G806" s="3" t="s">
        <v>3207</v>
      </c>
      <c r="H806" s="3" t="s">
        <v>3208</v>
      </c>
      <c r="I806" s="3" t="s">
        <v>203</v>
      </c>
      <c r="J806" s="3" t="s">
        <v>329</v>
      </c>
      <c r="K806" s="3" t="s">
        <v>3209</v>
      </c>
      <c r="L806" s="3" t="s">
        <v>206</v>
      </c>
      <c r="M806" s="3" t="s">
        <v>233</v>
      </c>
      <c r="N806" s="3" t="s">
        <v>208</v>
      </c>
      <c r="O806" s="3" t="s">
        <v>234</v>
      </c>
    </row>
    <row r="807" spans="1:15" ht="79.5" customHeight="1" x14ac:dyDescent="0.3">
      <c r="A807" s="4">
        <v>5441579</v>
      </c>
      <c r="B807" s="4" t="s">
        <v>3210</v>
      </c>
      <c r="C807" s="4" t="s">
        <v>197</v>
      </c>
      <c r="D807" s="4" t="s">
        <v>2358</v>
      </c>
      <c r="E807" s="4" t="s">
        <v>227</v>
      </c>
      <c r="F807" s="4" t="s">
        <v>200</v>
      </c>
      <c r="G807" s="4" t="s">
        <v>3211</v>
      </c>
      <c r="H807" s="4" t="s">
        <v>1057</v>
      </c>
      <c r="I807" s="4" t="s">
        <v>203</v>
      </c>
      <c r="J807" s="4" t="s">
        <v>323</v>
      </c>
      <c r="K807" s="4" t="s">
        <v>1445</v>
      </c>
      <c r="L807" s="4" t="s">
        <v>1899</v>
      </c>
      <c r="M807" s="4" t="s">
        <v>245</v>
      </c>
      <c r="N807" s="4" t="s">
        <v>208</v>
      </c>
      <c r="O807" s="4" t="s">
        <v>418</v>
      </c>
    </row>
    <row r="808" spans="1:15" ht="22.5" customHeight="1" x14ac:dyDescent="0.3">
      <c r="A808" s="3">
        <v>5448255</v>
      </c>
      <c r="B808" s="3" t="s">
        <v>3212</v>
      </c>
      <c r="C808" s="3" t="s">
        <v>197</v>
      </c>
      <c r="D808" s="3" t="s">
        <v>862</v>
      </c>
      <c r="E808" s="3" t="s">
        <v>227</v>
      </c>
      <c r="F808" s="3" t="s">
        <v>200</v>
      </c>
      <c r="G808" s="3" t="s">
        <v>3213</v>
      </c>
      <c r="H808" s="3" t="s">
        <v>3214</v>
      </c>
      <c r="I808" s="3" t="s">
        <v>203</v>
      </c>
      <c r="J808" s="3" t="s">
        <v>506</v>
      </c>
      <c r="K808" s="3" t="s">
        <v>1328</v>
      </c>
      <c r="L808" s="3" t="s">
        <v>3215</v>
      </c>
      <c r="M808" s="3" t="s">
        <v>207</v>
      </c>
      <c r="N808" s="3" t="s">
        <v>208</v>
      </c>
      <c r="O808" s="3" t="s">
        <v>234</v>
      </c>
    </row>
    <row r="809" spans="1:15" ht="22.5" customHeight="1" x14ac:dyDescent="0.3">
      <c r="A809" s="4">
        <v>5449510</v>
      </c>
      <c r="B809" s="4" t="s">
        <v>3216</v>
      </c>
      <c r="C809" s="4" t="s">
        <v>197</v>
      </c>
      <c r="D809" s="4" t="s">
        <v>198</v>
      </c>
      <c r="E809" s="4" t="s">
        <v>227</v>
      </c>
      <c r="F809" s="4" t="s">
        <v>200</v>
      </c>
      <c r="G809" s="4" t="s">
        <v>1654</v>
      </c>
      <c r="H809" s="4" t="s">
        <v>1655</v>
      </c>
      <c r="I809" s="4" t="s">
        <v>203</v>
      </c>
      <c r="J809" s="4" t="s">
        <v>253</v>
      </c>
      <c r="K809" s="4" t="s">
        <v>3217</v>
      </c>
      <c r="L809" s="4" t="s">
        <v>3218</v>
      </c>
      <c r="M809" s="4" t="s">
        <v>245</v>
      </c>
      <c r="N809" s="4" t="s">
        <v>208</v>
      </c>
      <c r="O809" s="4" t="s">
        <v>433</v>
      </c>
    </row>
    <row r="810" spans="1:15" ht="22.5" customHeight="1" x14ac:dyDescent="0.3">
      <c r="A810" s="3">
        <v>5453100</v>
      </c>
      <c r="B810" s="3" t="s">
        <v>3219</v>
      </c>
      <c r="C810" s="3" t="s">
        <v>197</v>
      </c>
      <c r="D810" s="3" t="s">
        <v>198</v>
      </c>
      <c r="E810" s="3" t="s">
        <v>227</v>
      </c>
      <c r="F810" s="3" t="s">
        <v>200</v>
      </c>
      <c r="G810" s="3" t="s">
        <v>3220</v>
      </c>
      <c r="H810" s="3" t="s">
        <v>505</v>
      </c>
      <c r="I810" s="3" t="s">
        <v>203</v>
      </c>
      <c r="J810" s="3" t="s">
        <v>506</v>
      </c>
      <c r="K810" s="3" t="s">
        <v>3078</v>
      </c>
      <c r="L810" s="3" t="s">
        <v>3221</v>
      </c>
      <c r="M810" s="3" t="s">
        <v>207</v>
      </c>
      <c r="N810" s="3" t="s">
        <v>208</v>
      </c>
      <c r="O810" s="3" t="s">
        <v>234</v>
      </c>
    </row>
    <row r="811" spans="1:15" ht="57" customHeight="1" x14ac:dyDescent="0.3">
      <c r="A811" s="4">
        <v>5454506</v>
      </c>
      <c r="B811" s="4" t="s">
        <v>3222</v>
      </c>
      <c r="C811" s="4" t="s">
        <v>197</v>
      </c>
      <c r="D811" s="4" t="s">
        <v>2344</v>
      </c>
      <c r="E811" s="4" t="s">
        <v>227</v>
      </c>
      <c r="F811" s="4" t="s">
        <v>200</v>
      </c>
      <c r="G811" s="4" t="s">
        <v>3223</v>
      </c>
      <c r="H811" s="4" t="s">
        <v>3224</v>
      </c>
      <c r="I811" s="4" t="s">
        <v>203</v>
      </c>
      <c r="J811" s="4" t="s">
        <v>204</v>
      </c>
      <c r="K811" s="4" t="s">
        <v>1369</v>
      </c>
      <c r="L811" s="4" t="s">
        <v>3225</v>
      </c>
      <c r="M811" s="4" t="s">
        <v>2330</v>
      </c>
      <c r="N811" s="4" t="s">
        <v>217</v>
      </c>
      <c r="O811" s="4" t="s">
        <v>418</v>
      </c>
    </row>
    <row r="812" spans="1:15" ht="22.5" customHeight="1" x14ac:dyDescent="0.3">
      <c r="A812" s="3">
        <v>5455383</v>
      </c>
      <c r="B812" s="3" t="s">
        <v>3226</v>
      </c>
      <c r="C812" s="3" t="s">
        <v>197</v>
      </c>
      <c r="D812" s="3" t="s">
        <v>198</v>
      </c>
      <c r="E812" s="3" t="s">
        <v>227</v>
      </c>
      <c r="F812" s="3" t="s">
        <v>200</v>
      </c>
      <c r="G812" s="3" t="s">
        <v>3227</v>
      </c>
      <c r="H812" s="3" t="s">
        <v>3228</v>
      </c>
      <c r="I812" s="3" t="s">
        <v>203</v>
      </c>
      <c r="J812" s="3" t="s">
        <v>298</v>
      </c>
      <c r="K812" s="3" t="s">
        <v>3229</v>
      </c>
      <c r="L812" s="3" t="s">
        <v>1899</v>
      </c>
      <c r="M812" s="3" t="s">
        <v>207</v>
      </c>
      <c r="N812" s="3" t="s">
        <v>217</v>
      </c>
      <c r="O812" s="3" t="s">
        <v>234</v>
      </c>
    </row>
    <row r="813" spans="1:15" ht="57" customHeight="1" x14ac:dyDescent="0.3">
      <c r="A813" s="4">
        <v>5458870</v>
      </c>
      <c r="B813" s="4" t="s">
        <v>3230</v>
      </c>
      <c r="C813" s="4" t="s">
        <v>197</v>
      </c>
      <c r="D813" s="4" t="s">
        <v>845</v>
      </c>
      <c r="E813" s="4" t="s">
        <v>227</v>
      </c>
      <c r="F813" s="4" t="s">
        <v>200</v>
      </c>
      <c r="G813" s="4" t="s">
        <v>3231</v>
      </c>
      <c r="H813" s="4" t="s">
        <v>3232</v>
      </c>
      <c r="I813" s="4" t="s">
        <v>203</v>
      </c>
      <c r="J813" s="4" t="s">
        <v>323</v>
      </c>
      <c r="K813" s="4" t="s">
        <v>848</v>
      </c>
      <c r="L813" s="4" t="s">
        <v>3233</v>
      </c>
      <c r="M813" s="4" t="s">
        <v>245</v>
      </c>
      <c r="N813" s="4" t="s">
        <v>208</v>
      </c>
      <c r="O813" s="4" t="s">
        <v>418</v>
      </c>
    </row>
    <row r="814" spans="1:15" ht="57" customHeight="1" x14ac:dyDescent="0.3">
      <c r="A814" s="3">
        <v>5459192</v>
      </c>
      <c r="B814" s="3" t="s">
        <v>3234</v>
      </c>
      <c r="C814" s="3" t="s">
        <v>197</v>
      </c>
      <c r="D814" s="3" t="s">
        <v>2344</v>
      </c>
      <c r="E814" s="3" t="s">
        <v>227</v>
      </c>
      <c r="F814" s="3" t="s">
        <v>200</v>
      </c>
      <c r="G814" s="3" t="s">
        <v>3235</v>
      </c>
      <c r="H814" s="3" t="s">
        <v>2609</v>
      </c>
      <c r="I814" s="3" t="s">
        <v>203</v>
      </c>
      <c r="J814" s="3" t="s">
        <v>323</v>
      </c>
      <c r="K814" s="3" t="s">
        <v>2610</v>
      </c>
      <c r="L814" s="3" t="s">
        <v>3135</v>
      </c>
      <c r="M814" s="3" t="s">
        <v>207</v>
      </c>
      <c r="N814" s="3" t="s">
        <v>217</v>
      </c>
      <c r="O814" s="3" t="s">
        <v>234</v>
      </c>
    </row>
    <row r="815" spans="1:15" ht="22.5" customHeight="1" x14ac:dyDescent="0.3">
      <c r="A815" s="4">
        <v>5461030</v>
      </c>
      <c r="B815" s="4" t="s">
        <v>3236</v>
      </c>
      <c r="C815" s="4" t="s">
        <v>197</v>
      </c>
      <c r="D815" s="4" t="s">
        <v>198</v>
      </c>
      <c r="E815" s="4" t="s">
        <v>227</v>
      </c>
      <c r="F815" s="4" t="s">
        <v>200</v>
      </c>
      <c r="G815" s="4" t="s">
        <v>3237</v>
      </c>
      <c r="H815" s="4" t="s">
        <v>3238</v>
      </c>
      <c r="I815" s="4" t="s">
        <v>203</v>
      </c>
      <c r="J815" s="4" t="s">
        <v>323</v>
      </c>
      <c r="K815" s="4" t="s">
        <v>1203</v>
      </c>
      <c r="L815" s="4" t="s">
        <v>3221</v>
      </c>
      <c r="M815" s="4" t="s">
        <v>207</v>
      </c>
      <c r="N815" s="4" t="s">
        <v>208</v>
      </c>
      <c r="O815" s="4" t="s">
        <v>234</v>
      </c>
    </row>
    <row r="816" spans="1:15" ht="22.5" customHeight="1" x14ac:dyDescent="0.3">
      <c r="A816" s="3">
        <v>5464692</v>
      </c>
      <c r="B816" s="3" t="s">
        <v>3239</v>
      </c>
      <c r="C816" s="3" t="s">
        <v>197</v>
      </c>
      <c r="D816" s="3" t="s">
        <v>198</v>
      </c>
      <c r="E816" s="3" t="s">
        <v>227</v>
      </c>
      <c r="F816" s="3" t="s">
        <v>200</v>
      </c>
      <c r="G816" s="3" t="s">
        <v>3240</v>
      </c>
      <c r="H816" s="3" t="s">
        <v>3241</v>
      </c>
      <c r="I816" s="3" t="s">
        <v>203</v>
      </c>
      <c r="J816" s="3" t="s">
        <v>323</v>
      </c>
      <c r="K816" s="3" t="s">
        <v>3242</v>
      </c>
      <c r="L816" s="3" t="s">
        <v>3243</v>
      </c>
      <c r="M816" s="3" t="s">
        <v>207</v>
      </c>
      <c r="N816" s="3" t="s">
        <v>217</v>
      </c>
      <c r="O816" s="3" t="s">
        <v>234</v>
      </c>
    </row>
    <row r="817" spans="1:15" ht="57" customHeight="1" x14ac:dyDescent="0.3">
      <c r="A817" s="4">
        <v>5464900</v>
      </c>
      <c r="B817" s="4" t="s">
        <v>3244</v>
      </c>
      <c r="C817" s="4" t="s">
        <v>197</v>
      </c>
      <c r="D817" s="4" t="s">
        <v>755</v>
      </c>
      <c r="E817" s="4" t="s">
        <v>227</v>
      </c>
      <c r="F817" s="4" t="s">
        <v>200</v>
      </c>
      <c r="G817" s="4" t="s">
        <v>3245</v>
      </c>
      <c r="H817" s="4" t="s">
        <v>3246</v>
      </c>
      <c r="I817" s="4" t="s">
        <v>203</v>
      </c>
      <c r="J817" s="4" t="s">
        <v>323</v>
      </c>
      <c r="K817" s="4" t="s">
        <v>2677</v>
      </c>
      <c r="L817" s="4" t="s">
        <v>3247</v>
      </c>
      <c r="M817" s="4" t="s">
        <v>207</v>
      </c>
      <c r="N817" s="4" t="s">
        <v>208</v>
      </c>
      <c r="O817" s="4" t="s">
        <v>234</v>
      </c>
    </row>
    <row r="818" spans="1:15" ht="22.5" customHeight="1" x14ac:dyDescent="0.3">
      <c r="A818" s="3">
        <v>5474426</v>
      </c>
      <c r="B818" s="3" t="s">
        <v>3248</v>
      </c>
      <c r="C818" s="3" t="s">
        <v>197</v>
      </c>
      <c r="D818" s="3"/>
      <c r="E818" s="3" t="s">
        <v>227</v>
      </c>
      <c r="F818" s="3" t="s">
        <v>200</v>
      </c>
      <c r="G818" s="3" t="s">
        <v>2471</v>
      </c>
      <c r="H818" s="3" t="s">
        <v>2472</v>
      </c>
      <c r="I818" s="3" t="s">
        <v>203</v>
      </c>
      <c r="J818" s="3" t="s">
        <v>506</v>
      </c>
      <c r="K818" s="3" t="s">
        <v>1666</v>
      </c>
      <c r="L818" s="3" t="s">
        <v>3225</v>
      </c>
      <c r="M818" s="3" t="s">
        <v>245</v>
      </c>
      <c r="N818" s="3" t="s">
        <v>217</v>
      </c>
      <c r="O818" s="3" t="s">
        <v>418</v>
      </c>
    </row>
    <row r="819" spans="1:15" ht="22.5" customHeight="1" x14ac:dyDescent="0.3">
      <c r="A819" s="4">
        <v>5476038</v>
      </c>
      <c r="B819" s="4" t="s">
        <v>3249</v>
      </c>
      <c r="C819" s="4" t="s">
        <v>197</v>
      </c>
      <c r="D819" s="4" t="s">
        <v>198</v>
      </c>
      <c r="E819" s="4" t="s">
        <v>227</v>
      </c>
      <c r="F819" s="4" t="s">
        <v>200</v>
      </c>
      <c r="G819" s="4" t="s">
        <v>3250</v>
      </c>
      <c r="H819" s="4" t="s">
        <v>3251</v>
      </c>
      <c r="I819" s="4" t="s">
        <v>203</v>
      </c>
      <c r="J819" s="4" t="s">
        <v>316</v>
      </c>
      <c r="K819" s="4" t="s">
        <v>3252</v>
      </c>
      <c r="L819" s="4" t="s">
        <v>3079</v>
      </c>
      <c r="M819" s="4" t="s">
        <v>245</v>
      </c>
      <c r="N819" s="4" t="s">
        <v>208</v>
      </c>
      <c r="O819" s="4" t="s">
        <v>418</v>
      </c>
    </row>
    <row r="820" spans="1:15" ht="22.5" customHeight="1" x14ac:dyDescent="0.3">
      <c r="A820" s="3">
        <v>5478960</v>
      </c>
      <c r="B820" s="3" t="s">
        <v>3253</v>
      </c>
      <c r="C820" s="3" t="s">
        <v>197</v>
      </c>
      <c r="D820" s="3" t="s">
        <v>198</v>
      </c>
      <c r="E820" s="3" t="s">
        <v>227</v>
      </c>
      <c r="F820" s="3" t="s">
        <v>200</v>
      </c>
      <c r="G820" s="3" t="s">
        <v>3254</v>
      </c>
      <c r="H820" s="3" t="s">
        <v>981</v>
      </c>
      <c r="I820" s="3" t="s">
        <v>203</v>
      </c>
      <c r="J820" s="3" t="s">
        <v>323</v>
      </c>
      <c r="K820" s="3" t="s">
        <v>848</v>
      </c>
      <c r="L820" s="3" t="s">
        <v>3255</v>
      </c>
      <c r="M820" s="3" t="s">
        <v>245</v>
      </c>
      <c r="N820" s="3" t="s">
        <v>208</v>
      </c>
      <c r="O820" s="3" t="s">
        <v>444</v>
      </c>
    </row>
    <row r="821" spans="1:15" ht="22.5" customHeight="1" x14ac:dyDescent="0.3">
      <c r="A821" s="4">
        <v>5485924</v>
      </c>
      <c r="B821" s="4" t="s">
        <v>3256</v>
      </c>
      <c r="C821" s="4" t="s">
        <v>197</v>
      </c>
      <c r="D821" s="4" t="s">
        <v>862</v>
      </c>
      <c r="E821" s="4" t="s">
        <v>227</v>
      </c>
      <c r="F821" s="4" t="s">
        <v>200</v>
      </c>
      <c r="G821" s="4" t="s">
        <v>3257</v>
      </c>
      <c r="H821" s="4" t="s">
        <v>3258</v>
      </c>
      <c r="I821" s="4" t="s">
        <v>203</v>
      </c>
      <c r="J821" s="4" t="s">
        <v>266</v>
      </c>
      <c r="K821" s="4" t="s">
        <v>3259</v>
      </c>
      <c r="L821" s="4" t="s">
        <v>3255</v>
      </c>
      <c r="M821" s="4" t="s">
        <v>245</v>
      </c>
      <c r="N821" s="4" t="s">
        <v>217</v>
      </c>
      <c r="O821" s="4" t="s">
        <v>234</v>
      </c>
    </row>
    <row r="822" spans="1:15" ht="22.5" customHeight="1" x14ac:dyDescent="0.3">
      <c r="A822" s="3">
        <v>5491363</v>
      </c>
      <c r="B822" s="3" t="s">
        <v>3260</v>
      </c>
      <c r="C822" s="3" t="s">
        <v>197</v>
      </c>
      <c r="D822" s="3" t="s">
        <v>198</v>
      </c>
      <c r="E822" s="3" t="s">
        <v>227</v>
      </c>
      <c r="F822" s="3" t="s">
        <v>200</v>
      </c>
      <c r="G822" s="3" t="s">
        <v>1174</v>
      </c>
      <c r="H822" s="3" t="s">
        <v>1175</v>
      </c>
      <c r="I822" s="3" t="s">
        <v>203</v>
      </c>
      <c r="J822" s="3" t="s">
        <v>599</v>
      </c>
      <c r="K822" s="3" t="s">
        <v>1176</v>
      </c>
      <c r="L822" s="3" t="s">
        <v>3261</v>
      </c>
      <c r="M822" s="3" t="s">
        <v>245</v>
      </c>
      <c r="N822" s="3" t="s">
        <v>208</v>
      </c>
      <c r="O822" s="3" t="s">
        <v>234</v>
      </c>
    </row>
    <row r="823" spans="1:15" ht="57" customHeight="1" x14ac:dyDescent="0.3">
      <c r="A823" s="4">
        <v>5498783</v>
      </c>
      <c r="B823" s="4" t="s">
        <v>3262</v>
      </c>
      <c r="C823" s="4" t="s">
        <v>197</v>
      </c>
      <c r="D823" s="4" t="s">
        <v>2344</v>
      </c>
      <c r="E823" s="4" t="s">
        <v>227</v>
      </c>
      <c r="F823" s="4" t="s">
        <v>200</v>
      </c>
      <c r="G823" s="4" t="s">
        <v>3263</v>
      </c>
      <c r="H823" s="4" t="s">
        <v>3178</v>
      </c>
      <c r="I823" s="4" t="s">
        <v>203</v>
      </c>
      <c r="J823" s="4" t="s">
        <v>323</v>
      </c>
      <c r="K823" s="4" t="s">
        <v>1203</v>
      </c>
      <c r="L823" s="4" t="s">
        <v>3061</v>
      </c>
      <c r="M823" s="4" t="s">
        <v>207</v>
      </c>
      <c r="N823" s="4" t="s">
        <v>217</v>
      </c>
      <c r="O823" s="4" t="s">
        <v>418</v>
      </c>
    </row>
    <row r="824" spans="1:15" ht="22.5" customHeight="1" x14ac:dyDescent="0.3">
      <c r="A824" s="3">
        <v>5500591</v>
      </c>
      <c r="B824" s="3" t="s">
        <v>3264</v>
      </c>
      <c r="C824" s="3" t="s">
        <v>197</v>
      </c>
      <c r="D824" s="3"/>
      <c r="E824" s="3" t="s">
        <v>227</v>
      </c>
      <c r="F824" s="3" t="s">
        <v>200</v>
      </c>
      <c r="G824" s="3" t="s">
        <v>3265</v>
      </c>
      <c r="H824" s="3" t="s">
        <v>3266</v>
      </c>
      <c r="I824" s="3" t="s">
        <v>203</v>
      </c>
      <c r="J824" s="3" t="s">
        <v>204</v>
      </c>
      <c r="K824" s="3" t="s">
        <v>870</v>
      </c>
      <c r="L824" s="3" t="s">
        <v>3267</v>
      </c>
      <c r="M824" s="3" t="s">
        <v>233</v>
      </c>
      <c r="N824" s="3" t="s">
        <v>217</v>
      </c>
      <c r="O824" s="3" t="s">
        <v>444</v>
      </c>
    </row>
    <row r="825" spans="1:15" ht="33.75" customHeight="1" x14ac:dyDescent="0.3">
      <c r="A825" s="4">
        <v>5506549</v>
      </c>
      <c r="B825" s="4" t="s">
        <v>3268</v>
      </c>
      <c r="C825" s="4" t="s">
        <v>197</v>
      </c>
      <c r="D825" s="4" t="s">
        <v>220</v>
      </c>
      <c r="E825" s="4" t="s">
        <v>227</v>
      </c>
      <c r="F825" s="4" t="s">
        <v>200</v>
      </c>
      <c r="G825" s="4" t="s">
        <v>3269</v>
      </c>
      <c r="H825" s="4" t="s">
        <v>3270</v>
      </c>
      <c r="I825" s="4" t="s">
        <v>203</v>
      </c>
      <c r="J825" s="4" t="s">
        <v>214</v>
      </c>
      <c r="K825" s="4" t="s">
        <v>2040</v>
      </c>
      <c r="L825" s="4" t="s">
        <v>3061</v>
      </c>
      <c r="M825" s="4" t="s">
        <v>207</v>
      </c>
      <c r="N825" s="4" t="s">
        <v>208</v>
      </c>
      <c r="O825" s="4" t="s">
        <v>234</v>
      </c>
    </row>
    <row r="826" spans="1:15" ht="79.5" customHeight="1" x14ac:dyDescent="0.3">
      <c r="A826" s="3">
        <v>5527066</v>
      </c>
      <c r="B826" s="3" t="s">
        <v>3271</v>
      </c>
      <c r="C826" s="3" t="s">
        <v>197</v>
      </c>
      <c r="D826" s="3" t="s">
        <v>3272</v>
      </c>
      <c r="E826" s="3" t="s">
        <v>227</v>
      </c>
      <c r="F826" s="3" t="s">
        <v>200</v>
      </c>
      <c r="G826" s="3" t="s">
        <v>2541</v>
      </c>
      <c r="H826" s="3" t="s">
        <v>2538</v>
      </c>
      <c r="I826" s="3" t="s">
        <v>203</v>
      </c>
      <c r="J826" s="3" t="s">
        <v>223</v>
      </c>
      <c r="K826" s="3" t="s">
        <v>2539</v>
      </c>
      <c r="L826" s="3" t="s">
        <v>3273</v>
      </c>
      <c r="M826" s="3" t="s">
        <v>245</v>
      </c>
      <c r="N826" s="3" t="s">
        <v>217</v>
      </c>
      <c r="O826" s="3" t="s">
        <v>444</v>
      </c>
    </row>
    <row r="827" spans="1:15" ht="22.5" customHeight="1" x14ac:dyDescent="0.3">
      <c r="A827" s="4">
        <v>5530253</v>
      </c>
      <c r="B827" s="4" t="s">
        <v>3274</v>
      </c>
      <c r="C827" s="4" t="s">
        <v>197</v>
      </c>
      <c r="D827" s="4" t="s">
        <v>862</v>
      </c>
      <c r="E827" s="4" t="s">
        <v>227</v>
      </c>
      <c r="F827" s="4" t="s">
        <v>200</v>
      </c>
      <c r="G827" s="4" t="s">
        <v>3275</v>
      </c>
      <c r="H827" s="4" t="s">
        <v>1918</v>
      </c>
      <c r="I827" s="4" t="s">
        <v>203</v>
      </c>
      <c r="J827" s="4" t="s">
        <v>323</v>
      </c>
      <c r="K827" s="4" t="s">
        <v>1445</v>
      </c>
      <c r="L827" s="4" t="s">
        <v>3276</v>
      </c>
      <c r="M827" s="4" t="s">
        <v>2330</v>
      </c>
      <c r="N827" s="4" t="s">
        <v>208</v>
      </c>
      <c r="O827" s="4" t="s">
        <v>433</v>
      </c>
    </row>
    <row r="828" spans="1:15" ht="79.5" customHeight="1" x14ac:dyDescent="0.3">
      <c r="A828" s="3">
        <v>5530407</v>
      </c>
      <c r="B828" s="3" t="s">
        <v>3277</v>
      </c>
      <c r="C828" s="3" t="s">
        <v>197</v>
      </c>
      <c r="D828" s="3" t="s">
        <v>377</v>
      </c>
      <c r="E828" s="3" t="s">
        <v>227</v>
      </c>
      <c r="F828" s="3" t="s">
        <v>413</v>
      </c>
      <c r="G828" s="3" t="s">
        <v>3278</v>
      </c>
      <c r="H828" s="3" t="s">
        <v>3279</v>
      </c>
      <c r="I828" s="3" t="s">
        <v>203</v>
      </c>
      <c r="J828" s="3" t="s">
        <v>204</v>
      </c>
      <c r="K828" s="3" t="s">
        <v>2169</v>
      </c>
      <c r="L828" s="3" t="s">
        <v>3276</v>
      </c>
      <c r="M828" s="3" t="s">
        <v>245</v>
      </c>
      <c r="N828" s="3" t="s">
        <v>208</v>
      </c>
      <c r="O828" s="3" t="s">
        <v>418</v>
      </c>
    </row>
    <row r="829" spans="1:15" ht="22.5" customHeight="1" x14ac:dyDescent="0.3">
      <c r="A829" s="4">
        <v>5546745</v>
      </c>
      <c r="B829" s="4" t="s">
        <v>3280</v>
      </c>
      <c r="C829" s="4" t="s">
        <v>197</v>
      </c>
      <c r="D829" s="4" t="s">
        <v>198</v>
      </c>
      <c r="E829" s="4" t="s">
        <v>227</v>
      </c>
      <c r="F829" s="4" t="s">
        <v>200</v>
      </c>
      <c r="G829" s="4" t="s">
        <v>3281</v>
      </c>
      <c r="H829" s="4" t="s">
        <v>2472</v>
      </c>
      <c r="I829" s="4" t="s">
        <v>203</v>
      </c>
      <c r="J829" s="4" t="s">
        <v>506</v>
      </c>
      <c r="K829" s="4" t="s">
        <v>1328</v>
      </c>
      <c r="L829" s="4" t="s">
        <v>3276</v>
      </c>
      <c r="M829" s="4" t="s">
        <v>207</v>
      </c>
      <c r="N829" s="4" t="s">
        <v>217</v>
      </c>
      <c r="O829" s="4" t="s">
        <v>418</v>
      </c>
    </row>
    <row r="830" spans="1:15" ht="33.75" customHeight="1" x14ac:dyDescent="0.3">
      <c r="A830" s="3">
        <v>5546885</v>
      </c>
      <c r="B830" s="3" t="s">
        <v>3282</v>
      </c>
      <c r="C830" s="3" t="s">
        <v>197</v>
      </c>
      <c r="D830" s="3" t="s">
        <v>220</v>
      </c>
      <c r="E830" s="3" t="s">
        <v>227</v>
      </c>
      <c r="F830" s="3" t="s">
        <v>200</v>
      </c>
      <c r="G830" s="3" t="s">
        <v>3283</v>
      </c>
      <c r="H830" s="3" t="s">
        <v>3284</v>
      </c>
      <c r="I830" s="3" t="s">
        <v>203</v>
      </c>
      <c r="J830" s="3" t="s">
        <v>345</v>
      </c>
      <c r="K830" s="3" t="s">
        <v>594</v>
      </c>
      <c r="L830" s="3" t="s">
        <v>3285</v>
      </c>
      <c r="M830" s="3" t="s">
        <v>207</v>
      </c>
      <c r="N830" s="3" t="s">
        <v>208</v>
      </c>
      <c r="O830" s="3" t="s">
        <v>234</v>
      </c>
    </row>
    <row r="831" spans="1:15" ht="33.75" customHeight="1" x14ac:dyDescent="0.3">
      <c r="A831" s="4">
        <v>5559510</v>
      </c>
      <c r="B831" s="4" t="s">
        <v>3286</v>
      </c>
      <c r="C831" s="4" t="s">
        <v>197</v>
      </c>
      <c r="D831" s="4" t="s">
        <v>1132</v>
      </c>
      <c r="E831" s="4" t="s">
        <v>227</v>
      </c>
      <c r="F831" s="4" t="s">
        <v>413</v>
      </c>
      <c r="G831" s="4" t="s">
        <v>3287</v>
      </c>
      <c r="H831" s="4" t="s">
        <v>3288</v>
      </c>
      <c r="I831" s="4" t="s">
        <v>203</v>
      </c>
      <c r="J831" s="4" t="s">
        <v>204</v>
      </c>
      <c r="K831" s="4" t="s">
        <v>3289</v>
      </c>
      <c r="L831" s="4" t="s">
        <v>3290</v>
      </c>
      <c r="M831" s="4" t="s">
        <v>207</v>
      </c>
      <c r="N831" s="4" t="s">
        <v>217</v>
      </c>
      <c r="O831" s="4" t="s">
        <v>234</v>
      </c>
    </row>
    <row r="832" spans="1:15" ht="22.5" customHeight="1" x14ac:dyDescent="0.3">
      <c r="A832" s="3">
        <v>5561922</v>
      </c>
      <c r="B832" s="3" t="s">
        <v>3291</v>
      </c>
      <c r="C832" s="3" t="s">
        <v>197</v>
      </c>
      <c r="D832" s="3" t="s">
        <v>198</v>
      </c>
      <c r="E832" s="3" t="s">
        <v>227</v>
      </c>
      <c r="F832" s="3" t="s">
        <v>200</v>
      </c>
      <c r="G832" s="3" t="s">
        <v>2851</v>
      </c>
      <c r="H832" s="3" t="s">
        <v>2852</v>
      </c>
      <c r="I832" s="3" t="s">
        <v>203</v>
      </c>
      <c r="J832" s="3" t="s">
        <v>323</v>
      </c>
      <c r="K832" s="3" t="s">
        <v>3292</v>
      </c>
      <c r="L832" s="3" t="s">
        <v>3293</v>
      </c>
      <c r="M832" s="3" t="s">
        <v>207</v>
      </c>
      <c r="N832" s="3" t="s">
        <v>208</v>
      </c>
      <c r="O832" s="3" t="s">
        <v>234</v>
      </c>
    </row>
    <row r="833" spans="1:15" ht="22.5" customHeight="1" x14ac:dyDescent="0.3">
      <c r="A833" s="4">
        <v>5574404</v>
      </c>
      <c r="B833" s="4" t="s">
        <v>3294</v>
      </c>
      <c r="C833" s="4" t="s">
        <v>197</v>
      </c>
      <c r="D833" s="4" t="s">
        <v>1351</v>
      </c>
      <c r="E833" s="4" t="s">
        <v>227</v>
      </c>
      <c r="F833" s="4" t="s">
        <v>578</v>
      </c>
      <c r="G833" s="4" t="s">
        <v>3295</v>
      </c>
      <c r="H833" s="4" t="s">
        <v>3296</v>
      </c>
      <c r="I833" s="4" t="s">
        <v>203</v>
      </c>
      <c r="J833" s="4" t="s">
        <v>204</v>
      </c>
      <c r="K833" s="4" t="s">
        <v>452</v>
      </c>
      <c r="L833" s="4" t="s">
        <v>3297</v>
      </c>
      <c r="M833" s="4" t="s">
        <v>207</v>
      </c>
      <c r="N833" s="4" t="s">
        <v>217</v>
      </c>
      <c r="O833" s="4" t="s">
        <v>234</v>
      </c>
    </row>
    <row r="834" spans="1:15" ht="22.5" customHeight="1" x14ac:dyDescent="0.3">
      <c r="A834" s="3">
        <v>5581613</v>
      </c>
      <c r="B834" s="3" t="s">
        <v>3298</v>
      </c>
      <c r="C834" s="3" t="s">
        <v>197</v>
      </c>
      <c r="D834" s="3" t="s">
        <v>198</v>
      </c>
      <c r="E834" s="3" t="s">
        <v>227</v>
      </c>
      <c r="F834" s="3" t="s">
        <v>200</v>
      </c>
      <c r="G834" s="3" t="s">
        <v>1348</v>
      </c>
      <c r="H834" s="3" t="s">
        <v>1349</v>
      </c>
      <c r="I834" s="3" t="s">
        <v>737</v>
      </c>
      <c r="J834" s="3" t="s">
        <v>214</v>
      </c>
      <c r="K834" s="3" t="s">
        <v>2415</v>
      </c>
      <c r="L834" s="3" t="s">
        <v>2914</v>
      </c>
      <c r="M834" s="3" t="s">
        <v>245</v>
      </c>
      <c r="N834" s="3" t="s">
        <v>208</v>
      </c>
      <c r="O834" s="3" t="s">
        <v>444</v>
      </c>
    </row>
    <row r="835" spans="1:15" ht="22.5" customHeight="1" x14ac:dyDescent="0.3">
      <c r="A835" s="4">
        <v>5585023</v>
      </c>
      <c r="B835" s="4" t="s">
        <v>3299</v>
      </c>
      <c r="C835" s="4" t="s">
        <v>197</v>
      </c>
      <c r="D835" s="4"/>
      <c r="E835" s="4" t="s">
        <v>227</v>
      </c>
      <c r="F835" s="4" t="s">
        <v>578</v>
      </c>
      <c r="G835" s="4" t="s">
        <v>3300</v>
      </c>
      <c r="H835" s="4" t="s">
        <v>3301</v>
      </c>
      <c r="I835" s="4" t="s">
        <v>203</v>
      </c>
      <c r="J835" s="4" t="s">
        <v>506</v>
      </c>
      <c r="K835" s="4" t="s">
        <v>1574</v>
      </c>
      <c r="L835" s="4" t="s">
        <v>3302</v>
      </c>
      <c r="M835" s="4" t="s">
        <v>2330</v>
      </c>
      <c r="N835" s="4" t="s">
        <v>208</v>
      </c>
      <c r="O835" s="4" t="s">
        <v>234</v>
      </c>
    </row>
    <row r="836" spans="1:15" ht="33.75" customHeight="1" x14ac:dyDescent="0.3">
      <c r="A836" s="3">
        <v>5590949</v>
      </c>
      <c r="B836" s="3" t="s">
        <v>3303</v>
      </c>
      <c r="C836" s="3" t="s">
        <v>197</v>
      </c>
      <c r="D836" s="3" t="s">
        <v>220</v>
      </c>
      <c r="E836" s="3" t="s">
        <v>227</v>
      </c>
      <c r="F836" s="3" t="s">
        <v>413</v>
      </c>
      <c r="G836" s="3" t="s">
        <v>3304</v>
      </c>
      <c r="H836" s="3" t="s">
        <v>3305</v>
      </c>
      <c r="I836" s="3" t="s">
        <v>203</v>
      </c>
      <c r="J836" s="3" t="s">
        <v>204</v>
      </c>
      <c r="K836" s="3" t="s">
        <v>437</v>
      </c>
      <c r="L836" s="3" t="s">
        <v>2914</v>
      </c>
      <c r="M836" s="3" t="s">
        <v>245</v>
      </c>
      <c r="N836" s="3" t="s">
        <v>208</v>
      </c>
      <c r="O836" s="3" t="s">
        <v>234</v>
      </c>
    </row>
    <row r="837" spans="1:15" ht="57" customHeight="1" x14ac:dyDescent="0.3">
      <c r="A837" s="4">
        <v>5597900</v>
      </c>
      <c r="B837" s="4" t="s">
        <v>3306</v>
      </c>
      <c r="C837" s="4" t="s">
        <v>197</v>
      </c>
      <c r="D837" s="4" t="s">
        <v>2344</v>
      </c>
      <c r="E837" s="4" t="s">
        <v>227</v>
      </c>
      <c r="F837" s="4" t="s">
        <v>200</v>
      </c>
      <c r="G837" s="4" t="s">
        <v>3211</v>
      </c>
      <c r="H837" s="4" t="s">
        <v>1057</v>
      </c>
      <c r="I837" s="4" t="s">
        <v>203</v>
      </c>
      <c r="J837" s="4" t="s">
        <v>323</v>
      </c>
      <c r="K837" s="4" t="s">
        <v>1445</v>
      </c>
      <c r="L837" s="4" t="s">
        <v>3307</v>
      </c>
      <c r="M837" s="4" t="s">
        <v>207</v>
      </c>
      <c r="N837" s="4" t="s">
        <v>208</v>
      </c>
      <c r="O837" s="4" t="s">
        <v>234</v>
      </c>
    </row>
    <row r="838" spans="1:15" ht="22.5" customHeight="1" x14ac:dyDescent="0.3">
      <c r="A838" s="3">
        <v>5603935</v>
      </c>
      <c r="B838" s="3" t="s">
        <v>3308</v>
      </c>
      <c r="C838" s="3" t="s">
        <v>197</v>
      </c>
      <c r="D838" s="3" t="s">
        <v>198</v>
      </c>
      <c r="E838" s="3" t="s">
        <v>227</v>
      </c>
      <c r="F838" s="3" t="s">
        <v>200</v>
      </c>
      <c r="G838" s="3" t="s">
        <v>3309</v>
      </c>
      <c r="H838" s="3" t="s">
        <v>3310</v>
      </c>
      <c r="I838" s="3" t="s">
        <v>203</v>
      </c>
      <c r="J838" s="3" t="s">
        <v>506</v>
      </c>
      <c r="K838" s="3" t="s">
        <v>1328</v>
      </c>
      <c r="L838" s="3" t="s">
        <v>3311</v>
      </c>
      <c r="M838" s="3" t="s">
        <v>2330</v>
      </c>
      <c r="N838" s="3" t="s">
        <v>208</v>
      </c>
      <c r="O838" s="3" t="s">
        <v>433</v>
      </c>
    </row>
    <row r="839" spans="1:15" ht="33.75" customHeight="1" x14ac:dyDescent="0.3">
      <c r="A839" s="4">
        <v>5604389</v>
      </c>
      <c r="B839" s="4" t="s">
        <v>3312</v>
      </c>
      <c r="C839" s="4" t="s">
        <v>197</v>
      </c>
      <c r="D839" s="4" t="s">
        <v>494</v>
      </c>
      <c r="E839" s="4" t="s">
        <v>227</v>
      </c>
      <c r="F839" s="4" t="s">
        <v>200</v>
      </c>
      <c r="G839" s="4" t="s">
        <v>3313</v>
      </c>
      <c r="H839" s="4" t="s">
        <v>3314</v>
      </c>
      <c r="I839" s="4" t="s">
        <v>203</v>
      </c>
      <c r="J839" s="4" t="s">
        <v>506</v>
      </c>
      <c r="K839" s="4" t="s">
        <v>1328</v>
      </c>
      <c r="L839" s="4" t="s">
        <v>3311</v>
      </c>
      <c r="M839" s="4" t="s">
        <v>2330</v>
      </c>
      <c r="N839" s="4" t="s">
        <v>208</v>
      </c>
      <c r="O839" s="4" t="s">
        <v>234</v>
      </c>
    </row>
    <row r="840" spans="1:15" ht="22.5" customHeight="1" x14ac:dyDescent="0.3">
      <c r="A840" s="3">
        <v>5610486</v>
      </c>
      <c r="B840" s="3" t="s">
        <v>3315</v>
      </c>
      <c r="C840" s="3" t="s">
        <v>197</v>
      </c>
      <c r="D840" s="3" t="s">
        <v>198</v>
      </c>
      <c r="E840" s="3" t="s">
        <v>227</v>
      </c>
      <c r="F840" s="3" t="s">
        <v>200</v>
      </c>
      <c r="G840" s="3" t="s">
        <v>3316</v>
      </c>
      <c r="H840" s="3" t="s">
        <v>2609</v>
      </c>
      <c r="I840" s="3" t="s">
        <v>203</v>
      </c>
      <c r="J840" s="3" t="s">
        <v>323</v>
      </c>
      <c r="K840" s="3" t="s">
        <v>3317</v>
      </c>
      <c r="L840" s="3" t="s">
        <v>3318</v>
      </c>
      <c r="M840" s="3" t="s">
        <v>2330</v>
      </c>
      <c r="N840" s="3" t="s">
        <v>208</v>
      </c>
      <c r="O840" s="3" t="s">
        <v>234</v>
      </c>
    </row>
    <row r="841" spans="1:15" ht="22.5" customHeight="1" x14ac:dyDescent="0.3">
      <c r="A841" s="4">
        <v>5612217</v>
      </c>
      <c r="B841" s="4" t="s">
        <v>3319</v>
      </c>
      <c r="C841" s="4" t="s">
        <v>197</v>
      </c>
      <c r="D841" s="4" t="s">
        <v>862</v>
      </c>
      <c r="E841" s="4" t="s">
        <v>227</v>
      </c>
      <c r="F841" s="4" t="s">
        <v>200</v>
      </c>
      <c r="G841" s="4" t="s">
        <v>3320</v>
      </c>
      <c r="H841" s="4" t="s">
        <v>3138</v>
      </c>
      <c r="I841" s="4" t="s">
        <v>203</v>
      </c>
      <c r="J841" s="4" t="s">
        <v>323</v>
      </c>
      <c r="K841" s="4" t="s">
        <v>1203</v>
      </c>
      <c r="L841" s="4" t="s">
        <v>3321</v>
      </c>
      <c r="M841" s="4" t="s">
        <v>233</v>
      </c>
      <c r="N841" s="4" t="s">
        <v>217</v>
      </c>
      <c r="O841" s="4" t="s">
        <v>433</v>
      </c>
    </row>
    <row r="842" spans="1:15" ht="33.75" customHeight="1" x14ac:dyDescent="0.3">
      <c r="A842" s="3">
        <v>5619289</v>
      </c>
      <c r="B842" s="3" t="s">
        <v>3322</v>
      </c>
      <c r="C842" s="3" t="s">
        <v>197</v>
      </c>
      <c r="D842" s="3" t="s">
        <v>3172</v>
      </c>
      <c r="E842" s="3" t="s">
        <v>227</v>
      </c>
      <c r="F842" s="3" t="s">
        <v>200</v>
      </c>
      <c r="G842" s="3" t="s">
        <v>3323</v>
      </c>
      <c r="H842" s="3" t="s">
        <v>3324</v>
      </c>
      <c r="I842" s="3" t="s">
        <v>203</v>
      </c>
      <c r="J842" s="3" t="s">
        <v>323</v>
      </c>
      <c r="K842" s="3" t="s">
        <v>1203</v>
      </c>
      <c r="L842" s="3" t="s">
        <v>3325</v>
      </c>
      <c r="M842" s="3" t="s">
        <v>2330</v>
      </c>
      <c r="N842" s="3" t="s">
        <v>208</v>
      </c>
      <c r="O842" s="3" t="s">
        <v>234</v>
      </c>
    </row>
    <row r="843" spans="1:15" ht="33.75" customHeight="1" x14ac:dyDescent="0.3">
      <c r="A843" s="4">
        <v>5623405</v>
      </c>
      <c r="B843" s="4" t="s">
        <v>3326</v>
      </c>
      <c r="C843" s="4" t="s">
        <v>197</v>
      </c>
      <c r="D843" s="4" t="s">
        <v>1132</v>
      </c>
      <c r="E843" s="4" t="s">
        <v>227</v>
      </c>
      <c r="F843" s="4" t="s">
        <v>413</v>
      </c>
      <c r="G843" s="4" t="s">
        <v>3327</v>
      </c>
      <c r="H843" s="4" t="s">
        <v>2184</v>
      </c>
      <c r="I843" s="4" t="s">
        <v>203</v>
      </c>
      <c r="J843" s="4" t="s">
        <v>506</v>
      </c>
      <c r="K843" s="4" t="s">
        <v>1328</v>
      </c>
      <c r="L843" s="4" t="s">
        <v>3328</v>
      </c>
      <c r="M843" s="4" t="s">
        <v>207</v>
      </c>
      <c r="N843" s="4" t="s">
        <v>217</v>
      </c>
      <c r="O843" s="4" t="s">
        <v>418</v>
      </c>
    </row>
    <row r="844" spans="1:15" ht="57" customHeight="1" x14ac:dyDescent="0.3">
      <c r="A844" s="3">
        <v>5645840</v>
      </c>
      <c r="B844" s="3" t="s">
        <v>3329</v>
      </c>
      <c r="C844" s="3" t="s">
        <v>197</v>
      </c>
      <c r="D844" s="3" t="s">
        <v>755</v>
      </c>
      <c r="E844" s="3" t="s">
        <v>227</v>
      </c>
      <c r="F844" s="3" t="s">
        <v>200</v>
      </c>
      <c r="G844" s="3" t="s">
        <v>3330</v>
      </c>
      <c r="H844" s="3" t="s">
        <v>3331</v>
      </c>
      <c r="I844" s="3" t="s">
        <v>203</v>
      </c>
      <c r="J844" s="3" t="s">
        <v>323</v>
      </c>
      <c r="K844" s="3" t="s">
        <v>3179</v>
      </c>
      <c r="L844" s="3" t="s">
        <v>3332</v>
      </c>
      <c r="M844" s="3" t="s">
        <v>207</v>
      </c>
      <c r="N844" s="3" t="s">
        <v>208</v>
      </c>
      <c r="O844" s="3" t="s">
        <v>234</v>
      </c>
    </row>
    <row r="845" spans="1:15" ht="33.75" customHeight="1" x14ac:dyDescent="0.3">
      <c r="A845" s="4">
        <v>5685974</v>
      </c>
      <c r="B845" s="4" t="s">
        <v>3333</v>
      </c>
      <c r="C845" s="4" t="s">
        <v>197</v>
      </c>
      <c r="D845" s="4" t="s">
        <v>220</v>
      </c>
      <c r="E845" s="4" t="s">
        <v>227</v>
      </c>
      <c r="F845" s="4" t="s">
        <v>200</v>
      </c>
      <c r="G845" s="4" t="s">
        <v>3334</v>
      </c>
      <c r="H845" s="4" t="s">
        <v>884</v>
      </c>
      <c r="I845" s="4" t="s">
        <v>203</v>
      </c>
      <c r="J845" s="4" t="s">
        <v>223</v>
      </c>
      <c r="K845" s="4" t="s">
        <v>3335</v>
      </c>
      <c r="L845" s="4" t="s">
        <v>3336</v>
      </c>
      <c r="M845" s="4" t="s">
        <v>245</v>
      </c>
      <c r="N845" s="4" t="s">
        <v>217</v>
      </c>
      <c r="O845" s="4" t="s">
        <v>418</v>
      </c>
    </row>
    <row r="846" spans="1:15" ht="22.5" customHeight="1" x14ac:dyDescent="0.3">
      <c r="A846" s="3">
        <v>7405006</v>
      </c>
      <c r="B846" s="3" t="s">
        <v>3337</v>
      </c>
      <c r="C846" s="3" t="s">
        <v>197</v>
      </c>
      <c r="D846" s="3" t="s">
        <v>198</v>
      </c>
      <c r="E846" s="3" t="s">
        <v>227</v>
      </c>
      <c r="F846" s="3" t="s">
        <v>200</v>
      </c>
      <c r="G846" s="3" t="s">
        <v>2863</v>
      </c>
      <c r="H846" s="3" t="s">
        <v>3338</v>
      </c>
      <c r="I846" s="3" t="s">
        <v>203</v>
      </c>
      <c r="J846" s="3" t="s">
        <v>214</v>
      </c>
      <c r="K846" s="3" t="s">
        <v>3339</v>
      </c>
      <c r="L846" s="3" t="s">
        <v>3340</v>
      </c>
      <c r="M846" s="3" t="s">
        <v>207</v>
      </c>
      <c r="N846" s="3" t="s">
        <v>217</v>
      </c>
      <c r="O846" s="3" t="s">
        <v>433</v>
      </c>
    </row>
    <row r="847" spans="1:15" ht="22.5" customHeight="1" x14ac:dyDescent="0.3">
      <c r="A847" s="4">
        <v>7500262</v>
      </c>
      <c r="B847" s="4" t="s">
        <v>3341</v>
      </c>
      <c r="C847" s="4" t="s">
        <v>197</v>
      </c>
      <c r="D847" s="4" t="s">
        <v>198</v>
      </c>
      <c r="E847" s="4" t="s">
        <v>227</v>
      </c>
      <c r="F847" s="4" t="s">
        <v>200</v>
      </c>
      <c r="G847" s="4" t="s">
        <v>592</v>
      </c>
      <c r="H847" s="4" t="s">
        <v>593</v>
      </c>
      <c r="I847" s="4" t="s">
        <v>203</v>
      </c>
      <c r="J847" s="4" t="s">
        <v>345</v>
      </c>
      <c r="K847" s="4" t="s">
        <v>3342</v>
      </c>
      <c r="L847" s="4" t="s">
        <v>1161</v>
      </c>
      <c r="M847" s="4" t="s">
        <v>245</v>
      </c>
      <c r="N847" s="4" t="s">
        <v>217</v>
      </c>
      <c r="O847" s="4" t="s">
        <v>234</v>
      </c>
    </row>
    <row r="848" spans="1:15" ht="22.5" customHeight="1" x14ac:dyDescent="0.3">
      <c r="A848" s="3">
        <v>7500696</v>
      </c>
      <c r="B848" s="3" t="s">
        <v>3343</v>
      </c>
      <c r="C848" s="3" t="s">
        <v>197</v>
      </c>
      <c r="D848" s="3" t="s">
        <v>198</v>
      </c>
      <c r="E848" s="3" t="s">
        <v>227</v>
      </c>
      <c r="F848" s="3" t="s">
        <v>200</v>
      </c>
      <c r="G848" s="3" t="s">
        <v>3344</v>
      </c>
      <c r="H848" s="3" t="s">
        <v>1536</v>
      </c>
      <c r="I848" s="3" t="s">
        <v>203</v>
      </c>
      <c r="J848" s="3" t="s">
        <v>214</v>
      </c>
      <c r="K848" s="3" t="s">
        <v>2033</v>
      </c>
      <c r="L848" s="3" t="s">
        <v>601</v>
      </c>
      <c r="M848" s="3" t="s">
        <v>245</v>
      </c>
      <c r="N848" s="3" t="s">
        <v>217</v>
      </c>
      <c r="O848" s="3" t="s">
        <v>234</v>
      </c>
    </row>
    <row r="849" spans="1:15" ht="22.5" customHeight="1" x14ac:dyDescent="0.3">
      <c r="A849" s="4">
        <v>7526059</v>
      </c>
      <c r="B849" s="4" t="s">
        <v>3345</v>
      </c>
      <c r="C849" s="4" t="s">
        <v>197</v>
      </c>
      <c r="D849" s="4" t="s">
        <v>198</v>
      </c>
      <c r="E849" s="4" t="s">
        <v>227</v>
      </c>
      <c r="F849" s="4" t="s">
        <v>200</v>
      </c>
      <c r="G849" s="4" t="s">
        <v>3346</v>
      </c>
      <c r="H849" s="4" t="s">
        <v>1886</v>
      </c>
      <c r="I849" s="4" t="s">
        <v>737</v>
      </c>
      <c r="J849" s="4" t="s">
        <v>214</v>
      </c>
      <c r="K849" s="4" t="s">
        <v>2063</v>
      </c>
      <c r="L849" s="4" t="s">
        <v>1287</v>
      </c>
      <c r="M849" s="4" t="s">
        <v>245</v>
      </c>
      <c r="N849" s="4" t="s">
        <v>217</v>
      </c>
      <c r="O849" s="4" t="s">
        <v>234</v>
      </c>
    </row>
    <row r="850" spans="1:15" ht="22.5" customHeight="1" x14ac:dyDescent="0.3">
      <c r="A850" s="3">
        <v>7541015</v>
      </c>
      <c r="B850" s="3" t="s">
        <v>3347</v>
      </c>
      <c r="C850" s="3" t="s">
        <v>197</v>
      </c>
      <c r="D850" s="3" t="s">
        <v>198</v>
      </c>
      <c r="E850" s="3" t="s">
        <v>227</v>
      </c>
      <c r="F850" s="3" t="s">
        <v>200</v>
      </c>
      <c r="G850" s="3" t="s">
        <v>3348</v>
      </c>
      <c r="H850" s="3" t="s">
        <v>3349</v>
      </c>
      <c r="I850" s="3" t="s">
        <v>203</v>
      </c>
      <c r="J850" s="3" t="s">
        <v>323</v>
      </c>
      <c r="K850" s="3" t="s">
        <v>982</v>
      </c>
      <c r="L850" s="3" t="s">
        <v>3350</v>
      </c>
      <c r="M850" s="3" t="s">
        <v>245</v>
      </c>
      <c r="N850" s="3" t="s">
        <v>208</v>
      </c>
      <c r="O850" s="3" t="s">
        <v>234</v>
      </c>
    </row>
    <row r="851" spans="1:15" ht="22.5" customHeight="1" x14ac:dyDescent="0.3">
      <c r="A851" s="4">
        <v>7547463</v>
      </c>
      <c r="B851" s="4" t="s">
        <v>3351</v>
      </c>
      <c r="C851" s="4" t="s">
        <v>197</v>
      </c>
      <c r="D851" s="4" t="s">
        <v>198</v>
      </c>
      <c r="E851" s="4" t="s">
        <v>227</v>
      </c>
      <c r="F851" s="4" t="s">
        <v>200</v>
      </c>
      <c r="G851" s="4" t="s">
        <v>3352</v>
      </c>
      <c r="H851" s="4" t="s">
        <v>3353</v>
      </c>
      <c r="I851" s="4" t="s">
        <v>203</v>
      </c>
      <c r="J851" s="4" t="s">
        <v>214</v>
      </c>
      <c r="K851" s="4" t="s">
        <v>747</v>
      </c>
      <c r="L851" s="4" t="s">
        <v>1300</v>
      </c>
      <c r="M851" s="4" t="s">
        <v>245</v>
      </c>
      <c r="N851" s="4" t="s">
        <v>208</v>
      </c>
      <c r="O851" s="4" t="s">
        <v>234</v>
      </c>
    </row>
    <row r="852" spans="1:15" ht="57" customHeight="1" x14ac:dyDescent="0.3">
      <c r="A852" s="3">
        <v>7552343</v>
      </c>
      <c r="B852" s="3" t="s">
        <v>3354</v>
      </c>
      <c r="C852" s="3" t="s">
        <v>197</v>
      </c>
      <c r="D852" s="3" t="s">
        <v>572</v>
      </c>
      <c r="E852" s="3" t="s">
        <v>227</v>
      </c>
      <c r="F852" s="3" t="s">
        <v>200</v>
      </c>
      <c r="G852" s="3" t="s">
        <v>3355</v>
      </c>
      <c r="H852" s="3" t="s">
        <v>568</v>
      </c>
      <c r="I852" s="3" t="s">
        <v>203</v>
      </c>
      <c r="J852" s="3" t="s">
        <v>214</v>
      </c>
      <c r="K852" s="3" t="s">
        <v>1234</v>
      </c>
      <c r="L852" s="3" t="s">
        <v>380</v>
      </c>
      <c r="M852" s="3" t="s">
        <v>207</v>
      </c>
      <c r="N852" s="3" t="s">
        <v>217</v>
      </c>
      <c r="O852" s="3" t="s">
        <v>444</v>
      </c>
    </row>
    <row r="853" spans="1:15" ht="22.5" customHeight="1" x14ac:dyDescent="0.3">
      <c r="A853" s="4">
        <v>7552793</v>
      </c>
      <c r="B853" s="4" t="s">
        <v>3356</v>
      </c>
      <c r="C853" s="4" t="s">
        <v>197</v>
      </c>
      <c r="D853" s="4" t="s">
        <v>198</v>
      </c>
      <c r="E853" s="4" t="s">
        <v>227</v>
      </c>
      <c r="F853" s="4" t="s">
        <v>200</v>
      </c>
      <c r="G853" s="4" t="s">
        <v>3357</v>
      </c>
      <c r="H853" s="4" t="s">
        <v>3358</v>
      </c>
      <c r="I853" s="4" t="s">
        <v>203</v>
      </c>
      <c r="J853" s="4" t="s">
        <v>323</v>
      </c>
      <c r="K853" s="4" t="s">
        <v>3359</v>
      </c>
      <c r="L853" s="4" t="s">
        <v>3360</v>
      </c>
      <c r="M853" s="4" t="s">
        <v>207</v>
      </c>
      <c r="N853" s="4" t="s">
        <v>217</v>
      </c>
      <c r="O853" s="4" t="s">
        <v>234</v>
      </c>
    </row>
    <row r="854" spans="1:15" ht="33.75" customHeight="1" x14ac:dyDescent="0.3">
      <c r="A854" s="3">
        <v>7577524</v>
      </c>
      <c r="B854" s="3" t="s">
        <v>3361</v>
      </c>
      <c r="C854" s="3" t="s">
        <v>197</v>
      </c>
      <c r="D854" s="3" t="s">
        <v>220</v>
      </c>
      <c r="E854" s="3" t="s">
        <v>227</v>
      </c>
      <c r="F854" s="3" t="s">
        <v>200</v>
      </c>
      <c r="G854" s="3" t="s">
        <v>3362</v>
      </c>
      <c r="H854" s="3" t="s">
        <v>3363</v>
      </c>
      <c r="I854" s="3" t="s">
        <v>203</v>
      </c>
      <c r="J854" s="3" t="s">
        <v>214</v>
      </c>
      <c r="K854" s="3" t="s">
        <v>635</v>
      </c>
      <c r="L854" s="3" t="s">
        <v>1032</v>
      </c>
      <c r="M854" s="3" t="s">
        <v>207</v>
      </c>
      <c r="N854" s="3" t="s">
        <v>208</v>
      </c>
      <c r="O854" s="3" t="s">
        <v>418</v>
      </c>
    </row>
    <row r="855" spans="1:15" ht="33.75" customHeight="1" x14ac:dyDescent="0.3">
      <c r="A855" s="4">
        <v>8020797</v>
      </c>
      <c r="B855" s="4" t="s">
        <v>3364</v>
      </c>
      <c r="C855" s="4" t="s">
        <v>197</v>
      </c>
      <c r="D855" s="4" t="s">
        <v>198</v>
      </c>
      <c r="E855" s="4" t="s">
        <v>227</v>
      </c>
      <c r="F855" s="4" t="s">
        <v>888</v>
      </c>
      <c r="G855" s="4" t="s">
        <v>3365</v>
      </c>
      <c r="H855" s="4" t="s">
        <v>2340</v>
      </c>
      <c r="I855" s="4" t="s">
        <v>203</v>
      </c>
      <c r="J855" s="4" t="s">
        <v>298</v>
      </c>
      <c r="K855" s="4" t="s">
        <v>3366</v>
      </c>
      <c r="L855" s="4" t="s">
        <v>3367</v>
      </c>
      <c r="M855" s="4" t="s">
        <v>233</v>
      </c>
      <c r="N855" s="4" t="s">
        <v>217</v>
      </c>
      <c r="O855" s="4" t="s">
        <v>418</v>
      </c>
    </row>
    <row r="856" spans="1:15" ht="33.75" customHeight="1" x14ac:dyDescent="0.3">
      <c r="A856" s="3">
        <v>5697565</v>
      </c>
      <c r="B856" s="3" t="s">
        <v>3368</v>
      </c>
      <c r="C856" s="3" t="s">
        <v>197</v>
      </c>
      <c r="D856" s="3" t="s">
        <v>220</v>
      </c>
      <c r="E856" s="3" t="s">
        <v>227</v>
      </c>
      <c r="F856" s="3" t="s">
        <v>200</v>
      </c>
      <c r="G856" s="3" t="s">
        <v>3369</v>
      </c>
      <c r="H856" s="3" t="s">
        <v>3100</v>
      </c>
      <c r="I856" s="3" t="s">
        <v>203</v>
      </c>
      <c r="J856" s="3" t="s">
        <v>323</v>
      </c>
      <c r="K856" s="3" t="s">
        <v>3370</v>
      </c>
      <c r="L856" s="3" t="s">
        <v>3371</v>
      </c>
      <c r="M856" s="3" t="s">
        <v>233</v>
      </c>
      <c r="N856" s="3" t="s">
        <v>208</v>
      </c>
      <c r="O856" s="3" t="s">
        <v>433</v>
      </c>
    </row>
    <row r="857" spans="1:15" ht="22.5" customHeight="1" x14ac:dyDescent="0.3">
      <c r="A857" s="4">
        <v>8870687</v>
      </c>
      <c r="B857" s="4" t="s">
        <v>3372</v>
      </c>
      <c r="C857" s="4" t="s">
        <v>197</v>
      </c>
      <c r="D857" s="4" t="s">
        <v>3373</v>
      </c>
      <c r="E857" s="4" t="s">
        <v>227</v>
      </c>
      <c r="F857" s="4" t="s">
        <v>200</v>
      </c>
      <c r="G857" s="4" t="s">
        <v>3374</v>
      </c>
      <c r="H857" s="4" t="s">
        <v>3151</v>
      </c>
      <c r="I857" s="4" t="s">
        <v>203</v>
      </c>
      <c r="J857" s="4" t="s">
        <v>506</v>
      </c>
      <c r="K857" s="4" t="s">
        <v>1328</v>
      </c>
      <c r="L857" s="4" t="s">
        <v>3375</v>
      </c>
      <c r="M857" s="4" t="s">
        <v>2330</v>
      </c>
      <c r="N857" s="4" t="s">
        <v>217</v>
      </c>
      <c r="O857" s="4" t="s">
        <v>418</v>
      </c>
    </row>
    <row r="858" spans="1:15" ht="22.5" customHeight="1" x14ac:dyDescent="0.3">
      <c r="A858" s="3">
        <v>8870688</v>
      </c>
      <c r="B858" s="3" t="s">
        <v>3376</v>
      </c>
      <c r="C858" s="3" t="s">
        <v>197</v>
      </c>
      <c r="D858" s="3" t="s">
        <v>3373</v>
      </c>
      <c r="E858" s="3" t="s">
        <v>227</v>
      </c>
      <c r="F858" s="3" t="s">
        <v>200</v>
      </c>
      <c r="G858" s="3" t="s">
        <v>3377</v>
      </c>
      <c r="H858" s="3" t="s">
        <v>3378</v>
      </c>
      <c r="I858" s="3" t="s">
        <v>203</v>
      </c>
      <c r="J858" s="3" t="s">
        <v>506</v>
      </c>
      <c r="K858" s="3" t="s">
        <v>1328</v>
      </c>
      <c r="L858" s="3" t="s">
        <v>3375</v>
      </c>
      <c r="M858" s="3" t="s">
        <v>2330</v>
      </c>
      <c r="N858" s="3" t="s">
        <v>217</v>
      </c>
      <c r="O858" s="3" t="s">
        <v>234</v>
      </c>
    </row>
    <row r="859" spans="1:15" ht="22.5" customHeight="1" x14ac:dyDescent="0.3">
      <c r="A859" s="4">
        <v>8870709</v>
      </c>
      <c r="B859" s="4" t="s">
        <v>3379</v>
      </c>
      <c r="C859" s="4" t="s">
        <v>197</v>
      </c>
      <c r="D859" s="4" t="s">
        <v>3373</v>
      </c>
      <c r="E859" s="4" t="s">
        <v>227</v>
      </c>
      <c r="F859" s="4" t="s">
        <v>200</v>
      </c>
      <c r="G859" s="4" t="s">
        <v>3380</v>
      </c>
      <c r="H859" s="4" t="s">
        <v>2818</v>
      </c>
      <c r="I859" s="4" t="s">
        <v>203</v>
      </c>
      <c r="J859" s="4" t="s">
        <v>506</v>
      </c>
      <c r="K859" s="4" t="s">
        <v>690</v>
      </c>
      <c r="L859" s="4" t="s">
        <v>3375</v>
      </c>
      <c r="M859" s="4" t="s">
        <v>2330</v>
      </c>
      <c r="N859" s="4" t="s">
        <v>208</v>
      </c>
      <c r="O859" s="4" t="s">
        <v>234</v>
      </c>
    </row>
    <row r="860" spans="1:15" ht="22.5" customHeight="1" x14ac:dyDescent="0.3">
      <c r="A860" s="3">
        <v>8870735</v>
      </c>
      <c r="B860" s="3" t="s">
        <v>3381</v>
      </c>
      <c r="C860" s="3" t="s">
        <v>197</v>
      </c>
      <c r="D860" s="3" t="s">
        <v>3373</v>
      </c>
      <c r="E860" s="3" t="s">
        <v>227</v>
      </c>
      <c r="F860" s="3" t="s">
        <v>200</v>
      </c>
      <c r="G860" s="3" t="s">
        <v>3382</v>
      </c>
      <c r="H860" s="3" t="s">
        <v>1647</v>
      </c>
      <c r="I860" s="3" t="s">
        <v>203</v>
      </c>
      <c r="J860" s="3" t="s">
        <v>506</v>
      </c>
      <c r="K860" s="3" t="s">
        <v>1328</v>
      </c>
      <c r="L860" s="3" t="s">
        <v>3375</v>
      </c>
      <c r="M860" s="3" t="s">
        <v>2330</v>
      </c>
      <c r="N860" s="3" t="s">
        <v>208</v>
      </c>
      <c r="O860" s="3" t="s">
        <v>418</v>
      </c>
    </row>
    <row r="861" spans="1:15" ht="57" customHeight="1" x14ac:dyDescent="0.3">
      <c r="A861" s="4">
        <v>8870766</v>
      </c>
      <c r="B861" s="4" t="s">
        <v>3383</v>
      </c>
      <c r="C861" s="4" t="s">
        <v>197</v>
      </c>
      <c r="D861" s="4" t="s">
        <v>2344</v>
      </c>
      <c r="E861" s="4" t="s">
        <v>227</v>
      </c>
      <c r="F861" s="4" t="s">
        <v>578</v>
      </c>
      <c r="G861" s="4" t="s">
        <v>3384</v>
      </c>
      <c r="H861" s="4" t="s">
        <v>3385</v>
      </c>
      <c r="I861" s="4" t="s">
        <v>203</v>
      </c>
      <c r="J861" s="4" t="s">
        <v>506</v>
      </c>
      <c r="K861" s="4" t="s">
        <v>1328</v>
      </c>
      <c r="L861" s="4" t="s">
        <v>3375</v>
      </c>
      <c r="M861" s="4" t="s">
        <v>2330</v>
      </c>
      <c r="N861" s="4" t="s">
        <v>217</v>
      </c>
      <c r="O861" s="4" t="s">
        <v>418</v>
      </c>
    </row>
    <row r="862" spans="1:15" ht="22.5" customHeight="1" x14ac:dyDescent="0.3">
      <c r="A862" s="3">
        <v>8870794</v>
      </c>
      <c r="B862" s="3" t="s">
        <v>3386</v>
      </c>
      <c r="C862" s="3" t="s">
        <v>197</v>
      </c>
      <c r="D862" s="3" t="s">
        <v>3373</v>
      </c>
      <c r="E862" s="3" t="s">
        <v>227</v>
      </c>
      <c r="F862" s="3" t="s">
        <v>200</v>
      </c>
      <c r="G862" s="3" t="s">
        <v>3387</v>
      </c>
      <c r="H862" s="3" t="s">
        <v>3388</v>
      </c>
      <c r="I862" s="3" t="s">
        <v>203</v>
      </c>
      <c r="J862" s="3" t="s">
        <v>323</v>
      </c>
      <c r="K862" s="3" t="s">
        <v>3389</v>
      </c>
      <c r="L862" s="3" t="s">
        <v>3375</v>
      </c>
      <c r="M862" s="3" t="s">
        <v>2330</v>
      </c>
      <c r="N862" s="3" t="s">
        <v>208</v>
      </c>
      <c r="O862" s="3" t="s">
        <v>234</v>
      </c>
    </row>
    <row r="863" spans="1:15" ht="22.5" customHeight="1" x14ac:dyDescent="0.3">
      <c r="A863" s="4">
        <v>8870818</v>
      </c>
      <c r="B863" s="4" t="s">
        <v>3390</v>
      </c>
      <c r="C863" s="4" t="s">
        <v>197</v>
      </c>
      <c r="D863" s="4" t="s">
        <v>3373</v>
      </c>
      <c r="E863" s="4" t="s">
        <v>227</v>
      </c>
      <c r="F863" s="4" t="s">
        <v>578</v>
      </c>
      <c r="G863" s="4" t="s">
        <v>3391</v>
      </c>
      <c r="H863" s="4" t="s">
        <v>3385</v>
      </c>
      <c r="I863" s="4" t="s">
        <v>203</v>
      </c>
      <c r="J863" s="4" t="s">
        <v>506</v>
      </c>
      <c r="K863" s="4" t="s">
        <v>1328</v>
      </c>
      <c r="L863" s="4" t="s">
        <v>3375</v>
      </c>
      <c r="M863" s="4" t="s">
        <v>2330</v>
      </c>
      <c r="N863" s="4" t="s">
        <v>208</v>
      </c>
      <c r="O863" s="4" t="s">
        <v>234</v>
      </c>
    </row>
    <row r="864" spans="1:15" ht="22.5" customHeight="1" x14ac:dyDescent="0.3">
      <c r="A864" s="3">
        <v>8870813</v>
      </c>
      <c r="B864" s="3" t="s">
        <v>3392</v>
      </c>
      <c r="C864" s="3" t="s">
        <v>197</v>
      </c>
      <c r="D864" s="3" t="s">
        <v>3373</v>
      </c>
      <c r="E864" s="3" t="s">
        <v>227</v>
      </c>
      <c r="F864" s="3" t="s">
        <v>200</v>
      </c>
      <c r="G864" s="3" t="s">
        <v>3393</v>
      </c>
      <c r="H864" s="3" t="s">
        <v>2567</v>
      </c>
      <c r="I864" s="3" t="s">
        <v>203</v>
      </c>
      <c r="J864" s="3" t="s">
        <v>214</v>
      </c>
      <c r="K864" s="3" t="s">
        <v>3394</v>
      </c>
      <c r="L864" s="3" t="s">
        <v>3375</v>
      </c>
      <c r="M864" s="3" t="s">
        <v>2330</v>
      </c>
      <c r="N864" s="3" t="s">
        <v>217</v>
      </c>
      <c r="O864" s="3" t="s">
        <v>234</v>
      </c>
    </row>
    <row r="865" spans="1:15" ht="57" customHeight="1" x14ac:dyDescent="0.3">
      <c r="A865" s="4">
        <v>8870816</v>
      </c>
      <c r="B865" s="4" t="s">
        <v>3395</v>
      </c>
      <c r="C865" s="4" t="s">
        <v>197</v>
      </c>
      <c r="D865" s="4" t="s">
        <v>1797</v>
      </c>
      <c r="E865" s="4" t="s">
        <v>227</v>
      </c>
      <c r="F865" s="4" t="s">
        <v>200</v>
      </c>
      <c r="G865" s="4" t="s">
        <v>3396</v>
      </c>
      <c r="H865" s="4" t="s">
        <v>1726</v>
      </c>
      <c r="I865" s="4" t="s">
        <v>203</v>
      </c>
      <c r="J865" s="4" t="s">
        <v>506</v>
      </c>
      <c r="K865" s="4" t="s">
        <v>2459</v>
      </c>
      <c r="L865" s="4" t="s">
        <v>3375</v>
      </c>
      <c r="M865" s="4" t="s">
        <v>2330</v>
      </c>
      <c r="N865" s="4" t="s">
        <v>217</v>
      </c>
      <c r="O865" s="4" t="s">
        <v>234</v>
      </c>
    </row>
    <row r="866" spans="1:15" ht="22.5" customHeight="1" x14ac:dyDescent="0.3">
      <c r="A866" s="3">
        <v>8870827</v>
      </c>
      <c r="B866" s="3" t="s">
        <v>3397</v>
      </c>
      <c r="C866" s="3" t="s">
        <v>197</v>
      </c>
      <c r="D866" s="3" t="s">
        <v>3373</v>
      </c>
      <c r="E866" s="3" t="s">
        <v>227</v>
      </c>
      <c r="F866" s="3" t="s">
        <v>200</v>
      </c>
      <c r="G866" s="3" t="s">
        <v>3398</v>
      </c>
      <c r="H866" s="3" t="s">
        <v>3399</v>
      </c>
      <c r="I866" s="3" t="s">
        <v>203</v>
      </c>
      <c r="J866" s="3" t="s">
        <v>506</v>
      </c>
      <c r="K866" s="3" t="s">
        <v>1328</v>
      </c>
      <c r="L866" s="3" t="s">
        <v>3375</v>
      </c>
      <c r="M866" s="3" t="s">
        <v>2330</v>
      </c>
      <c r="N866" s="3" t="s">
        <v>217</v>
      </c>
      <c r="O866" s="3" t="s">
        <v>234</v>
      </c>
    </row>
    <row r="867" spans="1:15" ht="22.5" customHeight="1" x14ac:dyDescent="0.3">
      <c r="A867" s="4">
        <v>8870860</v>
      </c>
      <c r="B867" s="4" t="s">
        <v>3400</v>
      </c>
      <c r="C867" s="4" t="s">
        <v>197</v>
      </c>
      <c r="D867" s="4" t="s">
        <v>3373</v>
      </c>
      <c r="E867" s="4" t="s">
        <v>227</v>
      </c>
      <c r="F867" s="4" t="s">
        <v>200</v>
      </c>
      <c r="G867" s="4" t="s">
        <v>3401</v>
      </c>
      <c r="H867" s="4" t="s">
        <v>3402</v>
      </c>
      <c r="I867" s="4" t="s">
        <v>203</v>
      </c>
      <c r="J867" s="4" t="s">
        <v>214</v>
      </c>
      <c r="K867" s="4" t="s">
        <v>283</v>
      </c>
      <c r="L867" s="4" t="s">
        <v>3375</v>
      </c>
      <c r="M867" s="4" t="s">
        <v>2330</v>
      </c>
      <c r="N867" s="4" t="s">
        <v>208</v>
      </c>
      <c r="O867" s="4" t="s">
        <v>234</v>
      </c>
    </row>
    <row r="868" spans="1:15" ht="33.75" customHeight="1" x14ac:dyDescent="0.3">
      <c r="A868" s="3">
        <v>5666961</v>
      </c>
      <c r="B868" s="3" t="s">
        <v>3403</v>
      </c>
      <c r="C868" s="3" t="s">
        <v>197</v>
      </c>
      <c r="D868" s="3" t="s">
        <v>1132</v>
      </c>
      <c r="E868" s="3" t="s">
        <v>227</v>
      </c>
      <c r="F868" s="3" t="s">
        <v>200</v>
      </c>
      <c r="G868" s="3" t="s">
        <v>3404</v>
      </c>
      <c r="H868" s="3" t="s">
        <v>3405</v>
      </c>
      <c r="I868" s="3" t="s">
        <v>203</v>
      </c>
      <c r="J868" s="3" t="s">
        <v>323</v>
      </c>
      <c r="K868" s="3" t="s">
        <v>3406</v>
      </c>
      <c r="L868" s="3" t="s">
        <v>3375</v>
      </c>
      <c r="M868" s="3" t="s">
        <v>2330</v>
      </c>
      <c r="N868" s="3" t="s">
        <v>208</v>
      </c>
      <c r="O868" s="3" t="s">
        <v>418</v>
      </c>
    </row>
    <row r="869" spans="1:15" ht="22.5" customHeight="1" x14ac:dyDescent="0.3">
      <c r="A869" s="4">
        <v>8870861</v>
      </c>
      <c r="B869" s="4" t="s">
        <v>3407</v>
      </c>
      <c r="C869" s="4" t="s">
        <v>197</v>
      </c>
      <c r="D869" s="4" t="s">
        <v>3373</v>
      </c>
      <c r="E869" s="4" t="s">
        <v>227</v>
      </c>
      <c r="F869" s="4" t="s">
        <v>200</v>
      </c>
      <c r="G869" s="4" t="s">
        <v>3408</v>
      </c>
      <c r="H869" s="4" t="s">
        <v>3131</v>
      </c>
      <c r="I869" s="4" t="s">
        <v>203</v>
      </c>
      <c r="J869" s="4" t="s">
        <v>214</v>
      </c>
      <c r="K869" s="4" t="s">
        <v>283</v>
      </c>
      <c r="L869" s="4" t="s">
        <v>3375</v>
      </c>
      <c r="M869" s="4" t="s">
        <v>207</v>
      </c>
      <c r="N869" s="4" t="s">
        <v>208</v>
      </c>
      <c r="O869" s="4" t="s">
        <v>418</v>
      </c>
    </row>
    <row r="870" spans="1:15" ht="22.5" customHeight="1" x14ac:dyDescent="0.3">
      <c r="A870" s="3">
        <v>8870913</v>
      </c>
      <c r="B870" s="3" t="s">
        <v>3409</v>
      </c>
      <c r="C870" s="3" t="s">
        <v>197</v>
      </c>
      <c r="D870" s="3" t="s">
        <v>3373</v>
      </c>
      <c r="E870" s="3" t="s">
        <v>608</v>
      </c>
      <c r="F870" s="3" t="s">
        <v>200</v>
      </c>
      <c r="G870" s="3" t="s">
        <v>3410</v>
      </c>
      <c r="H870" s="3" t="s">
        <v>2532</v>
      </c>
      <c r="I870" s="3" t="s">
        <v>203</v>
      </c>
      <c r="J870" s="3" t="s">
        <v>506</v>
      </c>
      <c r="K870" s="3" t="s">
        <v>2459</v>
      </c>
      <c r="L870" s="3" t="s">
        <v>3411</v>
      </c>
      <c r="M870" s="3" t="s">
        <v>207</v>
      </c>
      <c r="N870" s="3" t="s">
        <v>217</v>
      </c>
      <c r="O870" s="3" t="s">
        <v>613</v>
      </c>
    </row>
    <row r="871" spans="1:15" ht="22.5" customHeight="1" x14ac:dyDescent="0.3">
      <c r="A871" s="4">
        <v>8870928</v>
      </c>
      <c r="B871" s="4" t="s">
        <v>3412</v>
      </c>
      <c r="C871" s="4" t="s">
        <v>197</v>
      </c>
      <c r="D871" s="4" t="s">
        <v>3373</v>
      </c>
      <c r="E871" s="4" t="s">
        <v>608</v>
      </c>
      <c r="F871" s="4" t="s">
        <v>200</v>
      </c>
      <c r="G871" s="4" t="s">
        <v>3413</v>
      </c>
      <c r="H871" s="4" t="s">
        <v>3414</v>
      </c>
      <c r="I871" s="4" t="s">
        <v>203</v>
      </c>
      <c r="J871" s="4" t="s">
        <v>323</v>
      </c>
      <c r="K871" s="4" t="s">
        <v>1445</v>
      </c>
      <c r="L871" s="4" t="s">
        <v>3415</v>
      </c>
      <c r="M871" s="4" t="s">
        <v>207</v>
      </c>
      <c r="N871" s="4" t="s">
        <v>217</v>
      </c>
      <c r="O871" s="4" t="s">
        <v>613</v>
      </c>
    </row>
    <row r="872" spans="1:15" ht="125.25" customHeight="1" x14ac:dyDescent="0.3">
      <c r="A872" s="3">
        <v>8871052</v>
      </c>
      <c r="B872" s="3" t="s">
        <v>3416</v>
      </c>
      <c r="C872" s="3" t="s">
        <v>197</v>
      </c>
      <c r="D872" s="3" t="s">
        <v>2080</v>
      </c>
      <c r="E872" s="3" t="s">
        <v>227</v>
      </c>
      <c r="F872" s="3" t="s">
        <v>413</v>
      </c>
      <c r="G872" s="3" t="s">
        <v>1335</v>
      </c>
      <c r="H872" s="3" t="s">
        <v>1521</v>
      </c>
      <c r="I872" s="3" t="s">
        <v>203</v>
      </c>
      <c r="J872" s="3" t="s">
        <v>253</v>
      </c>
      <c r="K872" s="3" t="s">
        <v>1423</v>
      </c>
      <c r="L872" s="3" t="s">
        <v>3417</v>
      </c>
      <c r="M872" s="3" t="s">
        <v>245</v>
      </c>
      <c r="N872" s="3" t="s">
        <v>208</v>
      </c>
      <c r="O872" s="3" t="s">
        <v>418</v>
      </c>
    </row>
    <row r="873" spans="1:15" ht="22.5" customHeight="1" x14ac:dyDescent="0.3">
      <c r="A873" s="4">
        <v>8871829</v>
      </c>
      <c r="B873" s="4" t="s">
        <v>3418</v>
      </c>
      <c r="C873" s="4" t="s">
        <v>197</v>
      </c>
      <c r="D873" s="4" t="s">
        <v>3373</v>
      </c>
      <c r="E873" s="4" t="s">
        <v>227</v>
      </c>
      <c r="F873" s="4" t="s">
        <v>200</v>
      </c>
      <c r="G873" s="4" t="s">
        <v>3419</v>
      </c>
      <c r="H873" s="4" t="s">
        <v>3420</v>
      </c>
      <c r="I873" s="4" t="s">
        <v>203</v>
      </c>
      <c r="J873" s="4" t="s">
        <v>506</v>
      </c>
      <c r="K873" s="4" t="s">
        <v>1328</v>
      </c>
      <c r="L873" s="4" t="s">
        <v>3421</v>
      </c>
      <c r="M873" s="4" t="s">
        <v>2330</v>
      </c>
      <c r="N873" s="4" t="s">
        <v>208</v>
      </c>
      <c r="O873" s="4" t="s">
        <v>234</v>
      </c>
    </row>
    <row r="874" spans="1:15" ht="22.5" customHeight="1" x14ac:dyDescent="0.3">
      <c r="A874" s="3">
        <v>8871842</v>
      </c>
      <c r="B874" s="3" t="s">
        <v>3422</v>
      </c>
      <c r="C874" s="3" t="s">
        <v>197</v>
      </c>
      <c r="D874" s="3" t="s">
        <v>3373</v>
      </c>
      <c r="E874" s="3" t="s">
        <v>227</v>
      </c>
      <c r="F874" s="3" t="s">
        <v>200</v>
      </c>
      <c r="G874" s="3" t="s">
        <v>3423</v>
      </c>
      <c r="H874" s="3" t="s">
        <v>1418</v>
      </c>
      <c r="I874" s="3" t="s">
        <v>203</v>
      </c>
      <c r="J874" s="3" t="s">
        <v>506</v>
      </c>
      <c r="K874" s="3" t="s">
        <v>1328</v>
      </c>
      <c r="L874" s="3" t="s">
        <v>3421</v>
      </c>
      <c r="M874" s="3" t="s">
        <v>2330</v>
      </c>
      <c r="N874" s="3" t="s">
        <v>208</v>
      </c>
      <c r="O874" s="3" t="s">
        <v>234</v>
      </c>
    </row>
    <row r="875" spans="1:15" ht="22.5" customHeight="1" x14ac:dyDescent="0.3">
      <c r="A875" s="4">
        <v>8872041</v>
      </c>
      <c r="B875" s="4" t="s">
        <v>3424</v>
      </c>
      <c r="C875" s="4" t="s">
        <v>197</v>
      </c>
      <c r="D875" s="4" t="s">
        <v>3373</v>
      </c>
      <c r="E875" s="4" t="s">
        <v>227</v>
      </c>
      <c r="F875" s="4" t="s">
        <v>200</v>
      </c>
      <c r="G875" s="4" t="s">
        <v>3106</v>
      </c>
      <c r="H875" s="4" t="s">
        <v>3107</v>
      </c>
      <c r="I875" s="4" t="s">
        <v>203</v>
      </c>
      <c r="J875" s="4" t="s">
        <v>323</v>
      </c>
      <c r="K875" s="4" t="s">
        <v>982</v>
      </c>
      <c r="L875" s="4" t="s">
        <v>3421</v>
      </c>
      <c r="M875" s="4" t="s">
        <v>2330</v>
      </c>
      <c r="N875" s="4" t="s">
        <v>208</v>
      </c>
      <c r="O875" s="4" t="s">
        <v>234</v>
      </c>
    </row>
    <row r="876" spans="1:15" ht="33.75" customHeight="1" x14ac:dyDescent="0.3">
      <c r="A876" s="3">
        <v>8872336</v>
      </c>
      <c r="B876" s="3" t="s">
        <v>3425</v>
      </c>
      <c r="C876" s="3" t="s">
        <v>197</v>
      </c>
      <c r="D876" s="3" t="s">
        <v>220</v>
      </c>
      <c r="E876" s="3" t="s">
        <v>1179</v>
      </c>
      <c r="F876" s="3" t="s">
        <v>200</v>
      </c>
      <c r="G876" s="3" t="s">
        <v>1180</v>
      </c>
      <c r="H876" s="3" t="s">
        <v>1181</v>
      </c>
      <c r="I876" s="3" t="s">
        <v>203</v>
      </c>
      <c r="J876" s="3" t="s">
        <v>323</v>
      </c>
      <c r="K876" s="3" t="s">
        <v>324</v>
      </c>
      <c r="L876" s="3" t="s">
        <v>3426</v>
      </c>
      <c r="M876" s="3" t="s">
        <v>245</v>
      </c>
      <c r="N876" s="3" t="s">
        <v>208</v>
      </c>
      <c r="O876" s="3" t="s">
        <v>1184</v>
      </c>
    </row>
    <row r="877" spans="1:15" ht="33.75" customHeight="1" x14ac:dyDescent="0.3">
      <c r="A877" s="4">
        <v>8872420</v>
      </c>
      <c r="B877" s="4" t="s">
        <v>3427</v>
      </c>
      <c r="C877" s="4" t="s">
        <v>197</v>
      </c>
      <c r="D877" s="4" t="s">
        <v>827</v>
      </c>
      <c r="E877" s="4" t="s">
        <v>227</v>
      </c>
      <c r="F877" s="4" t="s">
        <v>200</v>
      </c>
      <c r="G877" s="4" t="s">
        <v>828</v>
      </c>
      <c r="H877" s="4" t="s">
        <v>2291</v>
      </c>
      <c r="I877" s="4" t="s">
        <v>203</v>
      </c>
      <c r="J877" s="4" t="s">
        <v>204</v>
      </c>
      <c r="K877" s="4" t="s">
        <v>830</v>
      </c>
      <c r="L877" s="4" t="s">
        <v>3428</v>
      </c>
      <c r="M877" s="4" t="s">
        <v>207</v>
      </c>
      <c r="N877" s="4" t="s">
        <v>217</v>
      </c>
      <c r="O877" s="4" t="s">
        <v>418</v>
      </c>
    </row>
    <row r="878" spans="1:15" ht="79.5" customHeight="1" x14ac:dyDescent="0.3">
      <c r="A878" s="3">
        <v>8873444</v>
      </c>
      <c r="B878" s="3" t="s">
        <v>3429</v>
      </c>
      <c r="C878" s="3" t="s">
        <v>197</v>
      </c>
      <c r="D878" s="3" t="s">
        <v>377</v>
      </c>
      <c r="E878" s="3" t="s">
        <v>227</v>
      </c>
      <c r="F878" s="3" t="s">
        <v>413</v>
      </c>
      <c r="G878" s="3" t="s">
        <v>3430</v>
      </c>
      <c r="H878" s="3" t="s">
        <v>3431</v>
      </c>
      <c r="I878" s="3" t="s">
        <v>203</v>
      </c>
      <c r="J878" s="3" t="s">
        <v>323</v>
      </c>
      <c r="K878" s="3" t="s">
        <v>448</v>
      </c>
      <c r="L878" s="3" t="s">
        <v>3432</v>
      </c>
      <c r="M878" s="3" t="s">
        <v>207</v>
      </c>
      <c r="N878" s="3" t="s">
        <v>217</v>
      </c>
      <c r="O878" s="3" t="s">
        <v>418</v>
      </c>
    </row>
    <row r="879" spans="1:15" ht="57" customHeight="1" x14ac:dyDescent="0.3">
      <c r="A879" s="4">
        <v>5382319</v>
      </c>
      <c r="B879" s="4" t="s">
        <v>3433</v>
      </c>
      <c r="C879" s="4" t="s">
        <v>197</v>
      </c>
      <c r="D879" s="4" t="s">
        <v>1292</v>
      </c>
      <c r="E879" s="4" t="s">
        <v>227</v>
      </c>
      <c r="F879" s="4" t="s">
        <v>200</v>
      </c>
      <c r="G879" s="4" t="s">
        <v>3434</v>
      </c>
      <c r="H879" s="4" t="s">
        <v>3435</v>
      </c>
      <c r="I879" s="4" t="s">
        <v>203</v>
      </c>
      <c r="J879" s="4" t="s">
        <v>323</v>
      </c>
      <c r="K879" s="4" t="s">
        <v>1445</v>
      </c>
      <c r="L879" s="4" t="s">
        <v>3436</v>
      </c>
      <c r="M879" s="4" t="s">
        <v>2330</v>
      </c>
      <c r="N879" s="4" t="s">
        <v>208</v>
      </c>
      <c r="O879" s="4" t="s">
        <v>234</v>
      </c>
    </row>
    <row r="880" spans="1:15" ht="22.5" customHeight="1" x14ac:dyDescent="0.3">
      <c r="A880" s="3">
        <v>8874853</v>
      </c>
      <c r="B880" s="3" t="s">
        <v>3437</v>
      </c>
      <c r="C880" s="3" t="s">
        <v>197</v>
      </c>
      <c r="D880" s="3" t="s">
        <v>3373</v>
      </c>
      <c r="E880" s="3" t="s">
        <v>227</v>
      </c>
      <c r="F880" s="3" t="s">
        <v>200</v>
      </c>
      <c r="G880" s="3" t="s">
        <v>3438</v>
      </c>
      <c r="H880" s="3" t="s">
        <v>3439</v>
      </c>
      <c r="I880" s="3" t="s">
        <v>203</v>
      </c>
      <c r="J880" s="3" t="s">
        <v>506</v>
      </c>
      <c r="K880" s="3" t="s">
        <v>1328</v>
      </c>
      <c r="L880" s="3" t="s">
        <v>3440</v>
      </c>
      <c r="M880" s="3" t="s">
        <v>2330</v>
      </c>
      <c r="N880" s="3" t="s">
        <v>208</v>
      </c>
      <c r="O880" s="3" t="s">
        <v>234</v>
      </c>
    </row>
    <row r="881" spans="1:15" ht="57" customHeight="1" x14ac:dyDescent="0.3">
      <c r="A881" s="4">
        <v>3796248</v>
      </c>
      <c r="B881" s="4" t="s">
        <v>3441</v>
      </c>
      <c r="C881" s="4" t="s">
        <v>197</v>
      </c>
      <c r="D881" s="4" t="s">
        <v>572</v>
      </c>
      <c r="E881" s="4" t="s">
        <v>227</v>
      </c>
      <c r="F881" s="4" t="s">
        <v>413</v>
      </c>
      <c r="G881" s="4" t="s">
        <v>2408</v>
      </c>
      <c r="H881" s="4" t="s">
        <v>3442</v>
      </c>
      <c r="I881" s="4" t="s">
        <v>203</v>
      </c>
      <c r="J881" s="4" t="s">
        <v>323</v>
      </c>
      <c r="K881" s="4" t="s">
        <v>2410</v>
      </c>
      <c r="L881" s="4" t="s">
        <v>3443</v>
      </c>
      <c r="M881" s="4" t="s">
        <v>207</v>
      </c>
      <c r="N881" s="4" t="s">
        <v>217</v>
      </c>
      <c r="O881" s="4" t="s">
        <v>234</v>
      </c>
    </row>
    <row r="882" spans="1:15" ht="57" customHeight="1" x14ac:dyDescent="0.3">
      <c r="A882" s="3">
        <v>8875371</v>
      </c>
      <c r="B882" s="3" t="s">
        <v>3444</v>
      </c>
      <c r="C882" s="3" t="s">
        <v>197</v>
      </c>
      <c r="D882" s="3" t="s">
        <v>1797</v>
      </c>
      <c r="E882" s="3" t="s">
        <v>227</v>
      </c>
      <c r="F882" s="3" t="s">
        <v>200</v>
      </c>
      <c r="G882" s="3" t="s">
        <v>3445</v>
      </c>
      <c r="H882" s="3" t="s">
        <v>3446</v>
      </c>
      <c r="I882" s="3" t="s">
        <v>203</v>
      </c>
      <c r="J882" s="3" t="s">
        <v>506</v>
      </c>
      <c r="K882" s="3" t="s">
        <v>1328</v>
      </c>
      <c r="L882" s="3" t="s">
        <v>3447</v>
      </c>
      <c r="M882" s="3" t="s">
        <v>2330</v>
      </c>
      <c r="N882" s="3" t="s">
        <v>208</v>
      </c>
      <c r="O882" s="3" t="s">
        <v>234</v>
      </c>
    </row>
    <row r="883" spans="1:15" ht="22.5" customHeight="1" x14ac:dyDescent="0.3">
      <c r="A883" s="4">
        <v>8875725</v>
      </c>
      <c r="B883" s="4" t="s">
        <v>3448</v>
      </c>
      <c r="C883" s="4" t="s">
        <v>197</v>
      </c>
      <c r="D883" s="4"/>
      <c r="E883" s="4" t="s">
        <v>227</v>
      </c>
      <c r="F883" s="4" t="s">
        <v>200</v>
      </c>
      <c r="G883" s="4" t="s">
        <v>3449</v>
      </c>
      <c r="H883" s="4" t="s">
        <v>3450</v>
      </c>
      <c r="I883" s="4" t="s">
        <v>203</v>
      </c>
      <c r="J883" s="4" t="s">
        <v>506</v>
      </c>
      <c r="K883" s="4" t="s">
        <v>1328</v>
      </c>
      <c r="L883" s="4" t="s">
        <v>3451</v>
      </c>
      <c r="M883" s="4" t="s">
        <v>2330</v>
      </c>
      <c r="N883" s="4" t="s">
        <v>208</v>
      </c>
      <c r="O883" s="4" t="s">
        <v>418</v>
      </c>
    </row>
    <row r="884" spans="1:15" ht="22.5" customHeight="1" x14ac:dyDescent="0.3">
      <c r="A884" s="3">
        <v>8875752</v>
      </c>
      <c r="B884" s="3" t="s">
        <v>3452</v>
      </c>
      <c r="C884" s="3" t="s">
        <v>197</v>
      </c>
      <c r="D884" s="3" t="s">
        <v>3373</v>
      </c>
      <c r="E884" s="3" t="s">
        <v>227</v>
      </c>
      <c r="F884" s="3" t="s">
        <v>200</v>
      </c>
      <c r="G884" s="3" t="s">
        <v>3453</v>
      </c>
      <c r="H884" s="3" t="s">
        <v>3454</v>
      </c>
      <c r="I884" s="3" t="s">
        <v>203</v>
      </c>
      <c r="J884" s="3" t="s">
        <v>506</v>
      </c>
      <c r="K884" s="3" t="s">
        <v>1328</v>
      </c>
      <c r="L884" s="3" t="s">
        <v>3451</v>
      </c>
      <c r="M884" s="3" t="s">
        <v>2330</v>
      </c>
      <c r="N884" s="3" t="s">
        <v>208</v>
      </c>
      <c r="O884" s="3" t="s">
        <v>418</v>
      </c>
    </row>
    <row r="885" spans="1:15" ht="33.75" customHeight="1" x14ac:dyDescent="0.3">
      <c r="A885" s="4">
        <v>5667151</v>
      </c>
      <c r="B885" s="4" t="s">
        <v>3455</v>
      </c>
      <c r="C885" s="4" t="s">
        <v>197</v>
      </c>
      <c r="D885" s="4" t="s">
        <v>716</v>
      </c>
      <c r="E885" s="4" t="s">
        <v>227</v>
      </c>
      <c r="F885" s="4" t="s">
        <v>200</v>
      </c>
      <c r="G885" s="4" t="s">
        <v>3456</v>
      </c>
      <c r="H885" s="4" t="s">
        <v>3450</v>
      </c>
      <c r="I885" s="4" t="s">
        <v>203</v>
      </c>
      <c r="J885" s="4" t="s">
        <v>506</v>
      </c>
      <c r="K885" s="4" t="s">
        <v>1328</v>
      </c>
      <c r="L885" s="4" t="s">
        <v>3451</v>
      </c>
      <c r="M885" s="4" t="s">
        <v>2330</v>
      </c>
      <c r="N885" s="4" t="s">
        <v>217</v>
      </c>
      <c r="O885" s="4" t="s">
        <v>433</v>
      </c>
    </row>
    <row r="886" spans="1:15" ht="79.5" customHeight="1" x14ac:dyDescent="0.3">
      <c r="A886" s="3">
        <v>8876053</v>
      </c>
      <c r="B886" s="3" t="s">
        <v>3457</v>
      </c>
      <c r="C886" s="3" t="s">
        <v>197</v>
      </c>
      <c r="D886" s="3" t="s">
        <v>320</v>
      </c>
      <c r="E886" s="3" t="s">
        <v>227</v>
      </c>
      <c r="F886" s="3" t="s">
        <v>200</v>
      </c>
      <c r="G886" s="3" t="s">
        <v>3458</v>
      </c>
      <c r="H886" s="3" t="s">
        <v>784</v>
      </c>
      <c r="I886" s="3" t="s">
        <v>203</v>
      </c>
      <c r="J886" s="3" t="s">
        <v>204</v>
      </c>
      <c r="K886" s="3" t="s">
        <v>2169</v>
      </c>
      <c r="L886" s="3" t="s">
        <v>3459</v>
      </c>
      <c r="M886" s="3" t="s">
        <v>207</v>
      </c>
      <c r="N886" s="3" t="s">
        <v>217</v>
      </c>
      <c r="O886" s="3" t="s">
        <v>234</v>
      </c>
    </row>
    <row r="887" spans="1:15" ht="33.75" customHeight="1" x14ac:dyDescent="0.3">
      <c r="A887" s="4">
        <v>8876185</v>
      </c>
      <c r="B887" s="4" t="s">
        <v>3460</v>
      </c>
      <c r="C887" s="4" t="s">
        <v>197</v>
      </c>
      <c r="D887" s="4" t="s">
        <v>716</v>
      </c>
      <c r="E887" s="4" t="s">
        <v>227</v>
      </c>
      <c r="F887" s="4" t="s">
        <v>200</v>
      </c>
      <c r="G887" s="4" t="s">
        <v>3461</v>
      </c>
      <c r="H887" s="4" t="s">
        <v>2478</v>
      </c>
      <c r="I887" s="4" t="s">
        <v>203</v>
      </c>
      <c r="J887" s="4" t="s">
        <v>506</v>
      </c>
      <c r="K887" s="4" t="s">
        <v>1328</v>
      </c>
      <c r="L887" s="4" t="s">
        <v>3451</v>
      </c>
      <c r="M887" s="4" t="s">
        <v>2330</v>
      </c>
      <c r="N887" s="4" t="s">
        <v>208</v>
      </c>
      <c r="O887" s="4" t="s">
        <v>433</v>
      </c>
    </row>
    <row r="888" spans="1:15" ht="57" customHeight="1" x14ac:dyDescent="0.3">
      <c r="A888" s="3">
        <v>8876191</v>
      </c>
      <c r="B888" s="3" t="s">
        <v>3462</v>
      </c>
      <c r="C888" s="3" t="s">
        <v>197</v>
      </c>
      <c r="D888" s="3" t="s">
        <v>845</v>
      </c>
      <c r="E888" s="3" t="s">
        <v>227</v>
      </c>
      <c r="F888" s="3" t="s">
        <v>200</v>
      </c>
      <c r="G888" s="3" t="s">
        <v>558</v>
      </c>
      <c r="H888" s="3" t="s">
        <v>559</v>
      </c>
      <c r="I888" s="3" t="s">
        <v>203</v>
      </c>
      <c r="J888" s="3" t="s">
        <v>323</v>
      </c>
      <c r="K888" s="3" t="s">
        <v>3463</v>
      </c>
      <c r="L888" s="3" t="s">
        <v>3464</v>
      </c>
      <c r="M888" s="3" t="s">
        <v>245</v>
      </c>
      <c r="N888" s="3" t="s">
        <v>208</v>
      </c>
      <c r="O888" s="3" t="s">
        <v>444</v>
      </c>
    </row>
    <row r="889" spans="1:15" ht="79.5" customHeight="1" x14ac:dyDescent="0.3">
      <c r="A889" s="4">
        <v>8876184</v>
      </c>
      <c r="B889" s="4" t="s">
        <v>3465</v>
      </c>
      <c r="C889" s="4" t="s">
        <v>197</v>
      </c>
      <c r="D889" s="4" t="s">
        <v>548</v>
      </c>
      <c r="E889" s="4" t="s">
        <v>227</v>
      </c>
      <c r="F889" s="4" t="s">
        <v>200</v>
      </c>
      <c r="G889" s="4" t="s">
        <v>1201</v>
      </c>
      <c r="H889" s="4" t="s">
        <v>1202</v>
      </c>
      <c r="I889" s="4" t="s">
        <v>203</v>
      </c>
      <c r="J889" s="4" t="s">
        <v>323</v>
      </c>
      <c r="K889" s="4" t="s">
        <v>1203</v>
      </c>
      <c r="L889" s="4" t="s">
        <v>3451</v>
      </c>
      <c r="M889" s="4" t="s">
        <v>2330</v>
      </c>
      <c r="N889" s="4" t="s">
        <v>217</v>
      </c>
      <c r="O889" s="4" t="s">
        <v>234</v>
      </c>
    </row>
    <row r="890" spans="1:15" ht="57" customHeight="1" x14ac:dyDescent="0.3">
      <c r="A890" s="3">
        <v>8876243</v>
      </c>
      <c r="B890" s="3" t="s">
        <v>3466</v>
      </c>
      <c r="C890" s="3" t="s">
        <v>197</v>
      </c>
      <c r="D890" s="3" t="s">
        <v>572</v>
      </c>
      <c r="E890" s="3" t="s">
        <v>227</v>
      </c>
      <c r="F890" s="3" t="s">
        <v>200</v>
      </c>
      <c r="G890" s="3" t="s">
        <v>3467</v>
      </c>
      <c r="H890" s="3" t="s">
        <v>784</v>
      </c>
      <c r="I890" s="3" t="s">
        <v>203</v>
      </c>
      <c r="J890" s="3" t="s">
        <v>204</v>
      </c>
      <c r="K890" s="3" t="s">
        <v>1067</v>
      </c>
      <c r="L890" s="3" t="s">
        <v>3459</v>
      </c>
      <c r="M890" s="3" t="s">
        <v>245</v>
      </c>
      <c r="N890" s="3" t="s">
        <v>217</v>
      </c>
      <c r="O890" s="3" t="s">
        <v>234</v>
      </c>
    </row>
    <row r="891" spans="1:15" ht="22.5" customHeight="1" x14ac:dyDescent="0.3">
      <c r="A891" s="4">
        <v>8876417</v>
      </c>
      <c r="B891" s="4" t="s">
        <v>3468</v>
      </c>
      <c r="C891" s="4" t="s">
        <v>197</v>
      </c>
      <c r="D891" s="4" t="s">
        <v>3373</v>
      </c>
      <c r="E891" s="4" t="s">
        <v>227</v>
      </c>
      <c r="F891" s="4" t="s">
        <v>200</v>
      </c>
      <c r="G891" s="4" t="s">
        <v>3469</v>
      </c>
      <c r="H891" s="4" t="s">
        <v>2704</v>
      </c>
      <c r="I891" s="4" t="s">
        <v>203</v>
      </c>
      <c r="J891" s="4" t="s">
        <v>323</v>
      </c>
      <c r="K891" s="4" t="s">
        <v>1203</v>
      </c>
      <c r="L891" s="4" t="s">
        <v>3451</v>
      </c>
      <c r="M891" s="4" t="s">
        <v>2330</v>
      </c>
      <c r="N891" s="4" t="s">
        <v>208</v>
      </c>
      <c r="O891" s="4" t="s">
        <v>418</v>
      </c>
    </row>
    <row r="892" spans="1:15" ht="57" customHeight="1" x14ac:dyDescent="0.3">
      <c r="A892" s="3">
        <v>8876444</v>
      </c>
      <c r="B892" s="3" t="s">
        <v>3470</v>
      </c>
      <c r="C892" s="3" t="s">
        <v>197</v>
      </c>
      <c r="D892" s="3" t="s">
        <v>572</v>
      </c>
      <c r="E892" s="3" t="s">
        <v>227</v>
      </c>
      <c r="F892" s="3" t="s">
        <v>200</v>
      </c>
      <c r="G892" s="3" t="s">
        <v>3471</v>
      </c>
      <c r="H892" s="3" t="s">
        <v>2478</v>
      </c>
      <c r="I892" s="3" t="s">
        <v>203</v>
      </c>
      <c r="J892" s="3" t="s">
        <v>506</v>
      </c>
      <c r="K892" s="3" t="s">
        <v>1328</v>
      </c>
      <c r="L892" s="3" t="s">
        <v>3451</v>
      </c>
      <c r="M892" s="3" t="s">
        <v>2330</v>
      </c>
      <c r="N892" s="3" t="s">
        <v>217</v>
      </c>
      <c r="O892" s="3" t="s">
        <v>418</v>
      </c>
    </row>
    <row r="893" spans="1:15" ht="22.5" customHeight="1" x14ac:dyDescent="0.3">
      <c r="A893" s="4">
        <v>8876703</v>
      </c>
      <c r="B893" s="4" t="s">
        <v>3472</v>
      </c>
      <c r="C893" s="4" t="s">
        <v>197</v>
      </c>
      <c r="D893" s="4" t="s">
        <v>3373</v>
      </c>
      <c r="E893" s="4" t="s">
        <v>227</v>
      </c>
      <c r="F893" s="4" t="s">
        <v>200</v>
      </c>
      <c r="G893" s="4" t="s">
        <v>3473</v>
      </c>
      <c r="H893" s="4" t="s">
        <v>3474</v>
      </c>
      <c r="I893" s="4" t="s">
        <v>203</v>
      </c>
      <c r="J893" s="4" t="s">
        <v>266</v>
      </c>
      <c r="K893" s="4" t="s">
        <v>3475</v>
      </c>
      <c r="L893" s="4" t="s">
        <v>3451</v>
      </c>
      <c r="M893" s="4" t="s">
        <v>2330</v>
      </c>
      <c r="N893" s="4" t="s">
        <v>217</v>
      </c>
      <c r="O893" s="4" t="s">
        <v>234</v>
      </c>
    </row>
    <row r="894" spans="1:15" ht="57" customHeight="1" x14ac:dyDescent="0.3">
      <c r="A894" s="3">
        <v>8876734</v>
      </c>
      <c r="B894" s="3" t="s">
        <v>3476</v>
      </c>
      <c r="C894" s="3" t="s">
        <v>197</v>
      </c>
      <c r="D894" s="3" t="s">
        <v>2344</v>
      </c>
      <c r="E894" s="3" t="s">
        <v>227</v>
      </c>
      <c r="F894" s="3" t="s">
        <v>200</v>
      </c>
      <c r="G894" s="3" t="s">
        <v>1572</v>
      </c>
      <c r="H894" s="3" t="s">
        <v>1573</v>
      </c>
      <c r="I894" s="3" t="s">
        <v>203</v>
      </c>
      <c r="J894" s="3" t="s">
        <v>506</v>
      </c>
      <c r="K894" s="3" t="s">
        <v>1328</v>
      </c>
      <c r="L894" s="3" t="s">
        <v>3451</v>
      </c>
      <c r="M894" s="3" t="s">
        <v>2330</v>
      </c>
      <c r="N894" s="3" t="s">
        <v>208</v>
      </c>
      <c r="O894" s="3" t="s">
        <v>234</v>
      </c>
    </row>
    <row r="895" spans="1:15" ht="22.5" customHeight="1" x14ac:dyDescent="0.3">
      <c r="A895" s="4">
        <v>8876748</v>
      </c>
      <c r="B895" s="4" t="s">
        <v>3477</v>
      </c>
      <c r="C895" s="4" t="s">
        <v>197</v>
      </c>
      <c r="D895" s="4" t="s">
        <v>3373</v>
      </c>
      <c r="E895" s="4" t="s">
        <v>227</v>
      </c>
      <c r="F895" s="4" t="s">
        <v>200</v>
      </c>
      <c r="G895" s="4" t="s">
        <v>3478</v>
      </c>
      <c r="H895" s="4" t="s">
        <v>3479</v>
      </c>
      <c r="I895" s="4" t="s">
        <v>203</v>
      </c>
      <c r="J895" s="4" t="s">
        <v>323</v>
      </c>
      <c r="K895" s="4" t="s">
        <v>3179</v>
      </c>
      <c r="L895" s="4" t="s">
        <v>3451</v>
      </c>
      <c r="M895" s="4" t="s">
        <v>2330</v>
      </c>
      <c r="N895" s="4" t="s">
        <v>208</v>
      </c>
      <c r="O895" s="4" t="s">
        <v>234</v>
      </c>
    </row>
    <row r="896" spans="1:15" ht="22.5" customHeight="1" x14ac:dyDescent="0.3">
      <c r="A896" s="3">
        <v>8876746</v>
      </c>
      <c r="B896" s="3" t="s">
        <v>3480</v>
      </c>
      <c r="C896" s="3" t="s">
        <v>197</v>
      </c>
      <c r="D896" s="3" t="s">
        <v>3373</v>
      </c>
      <c r="E896" s="3" t="s">
        <v>227</v>
      </c>
      <c r="F896" s="3" t="s">
        <v>200</v>
      </c>
      <c r="G896" s="3" t="s">
        <v>3223</v>
      </c>
      <c r="H896" s="3" t="s">
        <v>3224</v>
      </c>
      <c r="I896" s="3" t="s">
        <v>203</v>
      </c>
      <c r="J896" s="3" t="s">
        <v>204</v>
      </c>
      <c r="K896" s="3" t="s">
        <v>1369</v>
      </c>
      <c r="L896" s="3" t="s">
        <v>3451</v>
      </c>
      <c r="M896" s="3" t="s">
        <v>2330</v>
      </c>
      <c r="N896" s="3" t="s">
        <v>208</v>
      </c>
      <c r="O896" s="3" t="s">
        <v>418</v>
      </c>
    </row>
    <row r="897" spans="1:15" ht="79.5" customHeight="1" x14ac:dyDescent="0.3">
      <c r="A897" s="4">
        <v>8876776</v>
      </c>
      <c r="B897" s="4" t="s">
        <v>3481</v>
      </c>
      <c r="C897" s="4" t="s">
        <v>197</v>
      </c>
      <c r="D897" s="4" t="s">
        <v>2358</v>
      </c>
      <c r="E897" s="4" t="s">
        <v>227</v>
      </c>
      <c r="F897" s="4" t="s">
        <v>200</v>
      </c>
      <c r="G897" s="4" t="s">
        <v>3482</v>
      </c>
      <c r="H897" s="4" t="s">
        <v>3483</v>
      </c>
      <c r="I897" s="4" t="s">
        <v>203</v>
      </c>
      <c r="J897" s="4" t="s">
        <v>506</v>
      </c>
      <c r="K897" s="4" t="s">
        <v>1328</v>
      </c>
      <c r="L897" s="4" t="s">
        <v>3451</v>
      </c>
      <c r="M897" s="4" t="s">
        <v>2330</v>
      </c>
      <c r="N897" s="4" t="s">
        <v>208</v>
      </c>
      <c r="O897" s="4" t="s">
        <v>433</v>
      </c>
    </row>
    <row r="898" spans="1:15" ht="22.5" customHeight="1" x14ac:dyDescent="0.3">
      <c r="A898" s="3">
        <v>8876892</v>
      </c>
      <c r="B898" s="3" t="s">
        <v>3484</v>
      </c>
      <c r="C898" s="3" t="s">
        <v>197</v>
      </c>
      <c r="D898" s="3" t="s">
        <v>3373</v>
      </c>
      <c r="E898" s="3" t="s">
        <v>227</v>
      </c>
      <c r="F898" s="3" t="s">
        <v>200</v>
      </c>
      <c r="G898" s="3" t="s">
        <v>3485</v>
      </c>
      <c r="H898" s="3" t="s">
        <v>3399</v>
      </c>
      <c r="I898" s="3" t="s">
        <v>203</v>
      </c>
      <c r="J898" s="3" t="s">
        <v>506</v>
      </c>
      <c r="K898" s="3" t="s">
        <v>1328</v>
      </c>
      <c r="L898" s="3" t="s">
        <v>3451</v>
      </c>
      <c r="M898" s="3" t="s">
        <v>2330</v>
      </c>
      <c r="N898" s="3" t="s">
        <v>208</v>
      </c>
      <c r="O898" s="3" t="s">
        <v>234</v>
      </c>
    </row>
    <row r="899" spans="1:15" ht="22.5" customHeight="1" x14ac:dyDescent="0.3">
      <c r="A899" s="4">
        <v>8876925</v>
      </c>
      <c r="B899" s="4" t="s">
        <v>3486</v>
      </c>
      <c r="C899" s="4" t="s">
        <v>197</v>
      </c>
      <c r="D899" s="4" t="s">
        <v>3373</v>
      </c>
      <c r="E899" s="4" t="s">
        <v>227</v>
      </c>
      <c r="F899" s="4" t="s">
        <v>200</v>
      </c>
      <c r="G899" s="4" t="s">
        <v>3487</v>
      </c>
      <c r="H899" s="4" t="s">
        <v>3488</v>
      </c>
      <c r="I899" s="4" t="s">
        <v>203</v>
      </c>
      <c r="J899" s="4" t="s">
        <v>323</v>
      </c>
      <c r="K899" s="4" t="s">
        <v>2708</v>
      </c>
      <c r="L899" s="4" t="s">
        <v>3451</v>
      </c>
      <c r="M899" s="4" t="s">
        <v>2330</v>
      </c>
      <c r="N899" s="4" t="s">
        <v>217</v>
      </c>
      <c r="O899" s="4" t="s">
        <v>234</v>
      </c>
    </row>
    <row r="900" spans="1:15" ht="22.5" customHeight="1" x14ac:dyDescent="0.3">
      <c r="A900" s="3">
        <v>8876931</v>
      </c>
      <c r="B900" s="3" t="s">
        <v>3489</v>
      </c>
      <c r="C900" s="3" t="s">
        <v>197</v>
      </c>
      <c r="D900" s="3" t="s">
        <v>3373</v>
      </c>
      <c r="E900" s="3" t="s">
        <v>227</v>
      </c>
      <c r="F900" s="3" t="s">
        <v>200</v>
      </c>
      <c r="G900" s="3" t="s">
        <v>3490</v>
      </c>
      <c r="H900" s="3" t="s">
        <v>819</v>
      </c>
      <c r="I900" s="3" t="s">
        <v>203</v>
      </c>
      <c r="J900" s="3" t="s">
        <v>506</v>
      </c>
      <c r="K900" s="3" t="s">
        <v>2459</v>
      </c>
      <c r="L900" s="3" t="s">
        <v>3491</v>
      </c>
      <c r="M900" s="3" t="s">
        <v>2330</v>
      </c>
      <c r="N900" s="3" t="s">
        <v>217</v>
      </c>
      <c r="O900" s="3" t="s">
        <v>234</v>
      </c>
    </row>
    <row r="901" spans="1:15" ht="33.75" customHeight="1" x14ac:dyDescent="0.3">
      <c r="A901" s="4">
        <v>5469368</v>
      </c>
      <c r="B901" s="4" t="s">
        <v>3492</v>
      </c>
      <c r="C901" s="4" t="s">
        <v>197</v>
      </c>
      <c r="D901" s="4" t="s">
        <v>494</v>
      </c>
      <c r="E901" s="4" t="s">
        <v>227</v>
      </c>
      <c r="F901" s="4" t="s">
        <v>200</v>
      </c>
      <c r="G901" s="4" t="s">
        <v>3493</v>
      </c>
      <c r="H901" s="4" t="s">
        <v>3446</v>
      </c>
      <c r="I901" s="4" t="s">
        <v>203</v>
      </c>
      <c r="J901" s="4" t="s">
        <v>506</v>
      </c>
      <c r="K901" s="4" t="s">
        <v>3494</v>
      </c>
      <c r="L901" s="4" t="s">
        <v>3451</v>
      </c>
      <c r="M901" s="4" t="s">
        <v>2330</v>
      </c>
      <c r="N901" s="4" t="s">
        <v>208</v>
      </c>
      <c r="O901" s="4" t="s">
        <v>234</v>
      </c>
    </row>
    <row r="902" spans="1:15" ht="22.5" customHeight="1" x14ac:dyDescent="0.3">
      <c r="A902" s="3">
        <v>8876968</v>
      </c>
      <c r="B902" s="3" t="s">
        <v>3495</v>
      </c>
      <c r="C902" s="3" t="s">
        <v>197</v>
      </c>
      <c r="D902" s="3" t="s">
        <v>3373</v>
      </c>
      <c r="E902" s="3" t="s">
        <v>227</v>
      </c>
      <c r="F902" s="3" t="s">
        <v>200</v>
      </c>
      <c r="G902" s="3" t="s">
        <v>3496</v>
      </c>
      <c r="H902" s="3" t="s">
        <v>3497</v>
      </c>
      <c r="I902" s="3" t="s">
        <v>203</v>
      </c>
      <c r="J902" s="3" t="s">
        <v>506</v>
      </c>
      <c r="K902" s="3" t="s">
        <v>690</v>
      </c>
      <c r="L902" s="3" t="s">
        <v>3451</v>
      </c>
      <c r="M902" s="3" t="s">
        <v>2330</v>
      </c>
      <c r="N902" s="3" t="s">
        <v>208</v>
      </c>
      <c r="O902" s="3" t="s">
        <v>234</v>
      </c>
    </row>
    <row r="903" spans="1:15" ht="22.5" customHeight="1" x14ac:dyDescent="0.3">
      <c r="A903" s="4">
        <v>8876985</v>
      </c>
      <c r="B903" s="4" t="s">
        <v>3498</v>
      </c>
      <c r="C903" s="4" t="s">
        <v>197</v>
      </c>
      <c r="D903" s="4" t="s">
        <v>3373</v>
      </c>
      <c r="E903" s="4" t="s">
        <v>227</v>
      </c>
      <c r="F903" s="4" t="s">
        <v>200</v>
      </c>
      <c r="G903" s="4" t="s">
        <v>3223</v>
      </c>
      <c r="H903" s="4" t="s">
        <v>3224</v>
      </c>
      <c r="I903" s="4" t="s">
        <v>203</v>
      </c>
      <c r="J903" s="4" t="s">
        <v>204</v>
      </c>
      <c r="K903" s="4" t="s">
        <v>1369</v>
      </c>
      <c r="L903" s="4" t="s">
        <v>3451</v>
      </c>
      <c r="M903" s="4" t="s">
        <v>2330</v>
      </c>
      <c r="N903" s="4" t="s">
        <v>208</v>
      </c>
      <c r="O903" s="4" t="s">
        <v>418</v>
      </c>
    </row>
    <row r="904" spans="1:15" ht="22.5" customHeight="1" x14ac:dyDescent="0.3">
      <c r="A904" s="3">
        <v>8877028</v>
      </c>
      <c r="B904" s="3" t="s">
        <v>3499</v>
      </c>
      <c r="C904" s="3" t="s">
        <v>197</v>
      </c>
      <c r="D904" s="3" t="s">
        <v>862</v>
      </c>
      <c r="E904" s="3" t="s">
        <v>227</v>
      </c>
      <c r="F904" s="3" t="s">
        <v>200</v>
      </c>
      <c r="G904" s="3" t="s">
        <v>3500</v>
      </c>
      <c r="H904" s="3" t="s">
        <v>3501</v>
      </c>
      <c r="I904" s="3" t="s">
        <v>203</v>
      </c>
      <c r="J904" s="3" t="s">
        <v>204</v>
      </c>
      <c r="K904" s="3" t="s">
        <v>3502</v>
      </c>
      <c r="L904" s="3" t="s">
        <v>3451</v>
      </c>
      <c r="M904" s="3" t="s">
        <v>2330</v>
      </c>
      <c r="N904" s="3" t="s">
        <v>208</v>
      </c>
      <c r="O904" s="3" t="s">
        <v>234</v>
      </c>
    </row>
    <row r="905" spans="1:15" ht="22.5" customHeight="1" x14ac:dyDescent="0.3">
      <c r="A905" s="4">
        <v>8877102</v>
      </c>
      <c r="B905" s="4" t="s">
        <v>3503</v>
      </c>
      <c r="C905" s="4" t="s">
        <v>197</v>
      </c>
      <c r="D905" s="4" t="s">
        <v>1351</v>
      </c>
      <c r="E905" s="4" t="s">
        <v>227</v>
      </c>
      <c r="F905" s="4" t="s">
        <v>200</v>
      </c>
      <c r="G905" s="4" t="s">
        <v>3504</v>
      </c>
      <c r="H905" s="4" t="s">
        <v>2681</v>
      </c>
      <c r="I905" s="4" t="s">
        <v>203</v>
      </c>
      <c r="J905" s="4" t="s">
        <v>298</v>
      </c>
      <c r="K905" s="4" t="s">
        <v>3505</v>
      </c>
      <c r="L905" s="4" t="s">
        <v>3451</v>
      </c>
      <c r="M905" s="4" t="s">
        <v>2330</v>
      </c>
      <c r="N905" s="4" t="s">
        <v>217</v>
      </c>
      <c r="O905" s="4" t="s">
        <v>234</v>
      </c>
    </row>
    <row r="906" spans="1:15" ht="22.5" customHeight="1" x14ac:dyDescent="0.3">
      <c r="A906" s="3">
        <v>8877127</v>
      </c>
      <c r="B906" s="3" t="s">
        <v>3506</v>
      </c>
      <c r="C906" s="3" t="s">
        <v>197</v>
      </c>
      <c r="D906" s="3" t="s">
        <v>3373</v>
      </c>
      <c r="E906" s="3" t="s">
        <v>227</v>
      </c>
      <c r="F906" s="3" t="s">
        <v>200</v>
      </c>
      <c r="G906" s="3" t="s">
        <v>3507</v>
      </c>
      <c r="H906" s="3" t="s">
        <v>3310</v>
      </c>
      <c r="I906" s="3" t="s">
        <v>203</v>
      </c>
      <c r="J906" s="3" t="s">
        <v>506</v>
      </c>
      <c r="K906" s="3" t="s">
        <v>1328</v>
      </c>
      <c r="L906" s="3" t="s">
        <v>3451</v>
      </c>
      <c r="M906" s="3" t="s">
        <v>2330</v>
      </c>
      <c r="N906" s="3" t="s">
        <v>208</v>
      </c>
      <c r="O906" s="3" t="s">
        <v>234</v>
      </c>
    </row>
    <row r="907" spans="1:15" ht="22.5" customHeight="1" x14ac:dyDescent="0.3">
      <c r="A907" s="4">
        <v>8877126</v>
      </c>
      <c r="B907" s="4" t="s">
        <v>3508</v>
      </c>
      <c r="C907" s="4" t="s">
        <v>197</v>
      </c>
      <c r="D907" s="4" t="s">
        <v>3373</v>
      </c>
      <c r="E907" s="4" t="s">
        <v>227</v>
      </c>
      <c r="F907" s="4" t="s">
        <v>200</v>
      </c>
      <c r="G907" s="4" t="s">
        <v>2544</v>
      </c>
      <c r="H907" s="4" t="s">
        <v>1368</v>
      </c>
      <c r="I907" s="4" t="s">
        <v>203</v>
      </c>
      <c r="J907" s="4" t="s">
        <v>204</v>
      </c>
      <c r="K907" s="4" t="s">
        <v>1369</v>
      </c>
      <c r="L907" s="4" t="s">
        <v>3451</v>
      </c>
      <c r="M907" s="4" t="s">
        <v>2330</v>
      </c>
      <c r="N907" s="4" t="s">
        <v>217</v>
      </c>
      <c r="O907" s="4" t="s">
        <v>234</v>
      </c>
    </row>
    <row r="908" spans="1:15" ht="22.5" customHeight="1" x14ac:dyDescent="0.3">
      <c r="A908" s="3">
        <v>8877271</v>
      </c>
      <c r="B908" s="3" t="s">
        <v>3509</v>
      </c>
      <c r="C908" s="3" t="s">
        <v>197</v>
      </c>
      <c r="D908" s="3" t="s">
        <v>3373</v>
      </c>
      <c r="E908" s="3" t="s">
        <v>227</v>
      </c>
      <c r="F908" s="3" t="s">
        <v>200</v>
      </c>
      <c r="G908" s="3" t="s">
        <v>3393</v>
      </c>
      <c r="H908" s="3" t="s">
        <v>2567</v>
      </c>
      <c r="I908" s="3" t="s">
        <v>203</v>
      </c>
      <c r="J908" s="3" t="s">
        <v>214</v>
      </c>
      <c r="K908" s="3" t="s">
        <v>3394</v>
      </c>
      <c r="L908" s="3" t="s">
        <v>3464</v>
      </c>
      <c r="M908" s="3" t="s">
        <v>2330</v>
      </c>
      <c r="N908" s="3" t="s">
        <v>217</v>
      </c>
      <c r="O908" s="3" t="s">
        <v>234</v>
      </c>
    </row>
    <row r="909" spans="1:15" ht="22.5" customHeight="1" x14ac:dyDescent="0.3">
      <c r="A909" s="4">
        <v>8877296</v>
      </c>
      <c r="B909" s="4" t="s">
        <v>3510</v>
      </c>
      <c r="C909" s="4" t="s">
        <v>197</v>
      </c>
      <c r="D909" s="4" t="s">
        <v>3373</v>
      </c>
      <c r="E909" s="4" t="s">
        <v>227</v>
      </c>
      <c r="F909" s="4" t="s">
        <v>200</v>
      </c>
      <c r="G909" s="4" t="s">
        <v>3511</v>
      </c>
      <c r="H909" s="4" t="s">
        <v>3512</v>
      </c>
      <c r="I909" s="4" t="s">
        <v>203</v>
      </c>
      <c r="J909" s="4" t="s">
        <v>506</v>
      </c>
      <c r="K909" s="4" t="s">
        <v>690</v>
      </c>
      <c r="L909" s="4" t="s">
        <v>3451</v>
      </c>
      <c r="M909" s="4" t="s">
        <v>2330</v>
      </c>
      <c r="N909" s="4" t="s">
        <v>208</v>
      </c>
      <c r="O909" s="4" t="s">
        <v>234</v>
      </c>
    </row>
    <row r="910" spans="1:15" ht="22.5" customHeight="1" x14ac:dyDescent="0.3">
      <c r="A910" s="3">
        <v>8877384</v>
      </c>
      <c r="B910" s="3" t="s">
        <v>3513</v>
      </c>
      <c r="C910" s="3" t="s">
        <v>197</v>
      </c>
      <c r="D910" s="3" t="s">
        <v>3373</v>
      </c>
      <c r="E910" s="3" t="s">
        <v>227</v>
      </c>
      <c r="F910" s="3" t="s">
        <v>200</v>
      </c>
      <c r="G910" s="3" t="s">
        <v>3514</v>
      </c>
      <c r="H910" s="3" t="s">
        <v>3515</v>
      </c>
      <c r="I910" s="3" t="s">
        <v>203</v>
      </c>
      <c r="J910" s="3" t="s">
        <v>506</v>
      </c>
      <c r="K910" s="3" t="s">
        <v>2459</v>
      </c>
      <c r="L910" s="3" t="s">
        <v>3451</v>
      </c>
      <c r="M910" s="3" t="s">
        <v>2330</v>
      </c>
      <c r="N910" s="3" t="s">
        <v>208</v>
      </c>
      <c r="O910" s="3" t="s">
        <v>444</v>
      </c>
    </row>
    <row r="911" spans="1:15" ht="22.5" customHeight="1" x14ac:dyDescent="0.3">
      <c r="A911" s="4">
        <v>8877419</v>
      </c>
      <c r="B911" s="4" t="s">
        <v>3516</v>
      </c>
      <c r="C911" s="4" t="s">
        <v>197</v>
      </c>
      <c r="D911" s="4" t="s">
        <v>3373</v>
      </c>
      <c r="E911" s="4" t="s">
        <v>227</v>
      </c>
      <c r="F911" s="4" t="s">
        <v>200</v>
      </c>
      <c r="G911" s="4" t="s">
        <v>3517</v>
      </c>
      <c r="H911" s="4" t="s">
        <v>2298</v>
      </c>
      <c r="I911" s="4" t="s">
        <v>203</v>
      </c>
      <c r="J911" s="4" t="s">
        <v>204</v>
      </c>
      <c r="K911" s="4" t="s">
        <v>2264</v>
      </c>
      <c r="L911" s="4" t="s">
        <v>3451</v>
      </c>
      <c r="M911" s="4" t="s">
        <v>2330</v>
      </c>
      <c r="N911" s="4" t="s">
        <v>208</v>
      </c>
      <c r="O911" s="4" t="s">
        <v>234</v>
      </c>
    </row>
    <row r="912" spans="1:15" ht="22.5" customHeight="1" x14ac:dyDescent="0.3">
      <c r="A912" s="3">
        <v>8877431</v>
      </c>
      <c r="B912" s="3" t="s">
        <v>3518</v>
      </c>
      <c r="C912" s="3" t="s">
        <v>197</v>
      </c>
      <c r="D912" s="3" t="s">
        <v>3373</v>
      </c>
      <c r="E912" s="3" t="s">
        <v>227</v>
      </c>
      <c r="F912" s="3" t="s">
        <v>200</v>
      </c>
      <c r="G912" s="3" t="s">
        <v>2797</v>
      </c>
      <c r="H912" s="3" t="s">
        <v>2798</v>
      </c>
      <c r="I912" s="3" t="s">
        <v>203</v>
      </c>
      <c r="J912" s="3" t="s">
        <v>506</v>
      </c>
      <c r="K912" s="3" t="s">
        <v>1328</v>
      </c>
      <c r="L912" s="3" t="s">
        <v>3451</v>
      </c>
      <c r="M912" s="3" t="s">
        <v>2330</v>
      </c>
      <c r="N912" s="3" t="s">
        <v>208</v>
      </c>
      <c r="O912" s="3" t="s">
        <v>234</v>
      </c>
    </row>
    <row r="913" spans="1:15" ht="22.5" customHeight="1" x14ac:dyDescent="0.3">
      <c r="A913" s="4">
        <v>8877523</v>
      </c>
      <c r="B913" s="4" t="s">
        <v>3519</v>
      </c>
      <c r="C913" s="4" t="s">
        <v>197</v>
      </c>
      <c r="D913" s="4" t="s">
        <v>3373</v>
      </c>
      <c r="E913" s="4" t="s">
        <v>227</v>
      </c>
      <c r="F913" s="4" t="s">
        <v>200</v>
      </c>
      <c r="G913" s="4" t="s">
        <v>3520</v>
      </c>
      <c r="H913" s="4" t="s">
        <v>3159</v>
      </c>
      <c r="I913" s="4" t="s">
        <v>203</v>
      </c>
      <c r="J913" s="4" t="s">
        <v>506</v>
      </c>
      <c r="K913" s="4" t="s">
        <v>1328</v>
      </c>
      <c r="L913" s="4" t="s">
        <v>3451</v>
      </c>
      <c r="M913" s="4" t="s">
        <v>2330</v>
      </c>
      <c r="N913" s="4" t="s">
        <v>217</v>
      </c>
      <c r="O913" s="4" t="s">
        <v>234</v>
      </c>
    </row>
    <row r="914" spans="1:15" ht="22.5" customHeight="1" x14ac:dyDescent="0.3">
      <c r="A914" s="3">
        <v>8877584</v>
      </c>
      <c r="B914" s="3" t="s">
        <v>3521</v>
      </c>
      <c r="C914" s="3" t="s">
        <v>197</v>
      </c>
      <c r="D914" s="3" t="s">
        <v>3373</v>
      </c>
      <c r="E914" s="3" t="s">
        <v>227</v>
      </c>
      <c r="F914" s="3" t="s">
        <v>200</v>
      </c>
      <c r="G914" s="3" t="s">
        <v>3522</v>
      </c>
      <c r="H914" s="3" t="s">
        <v>3523</v>
      </c>
      <c r="I914" s="3" t="s">
        <v>203</v>
      </c>
      <c r="J914" s="3" t="s">
        <v>204</v>
      </c>
      <c r="K914" s="3" t="s">
        <v>1369</v>
      </c>
      <c r="L914" s="3" t="s">
        <v>3451</v>
      </c>
      <c r="M914" s="3" t="s">
        <v>2330</v>
      </c>
      <c r="N914" s="3" t="s">
        <v>217</v>
      </c>
      <c r="O914" s="3" t="s">
        <v>234</v>
      </c>
    </row>
    <row r="915" spans="1:15" ht="22.5" customHeight="1" x14ac:dyDescent="0.3">
      <c r="A915" s="4">
        <v>8877646</v>
      </c>
      <c r="B915" s="4" t="s">
        <v>3524</v>
      </c>
      <c r="C915" s="4" t="s">
        <v>197</v>
      </c>
      <c r="D915" s="4" t="s">
        <v>862</v>
      </c>
      <c r="E915" s="4" t="s">
        <v>227</v>
      </c>
      <c r="F915" s="4" t="s">
        <v>200</v>
      </c>
      <c r="G915" s="4" t="s">
        <v>2457</v>
      </c>
      <c r="H915" s="4" t="s">
        <v>2458</v>
      </c>
      <c r="I915" s="4" t="s">
        <v>203</v>
      </c>
      <c r="J915" s="4" t="s">
        <v>506</v>
      </c>
      <c r="K915" s="4" t="s">
        <v>3525</v>
      </c>
      <c r="L915" s="4" t="s">
        <v>3451</v>
      </c>
      <c r="M915" s="4" t="s">
        <v>2330</v>
      </c>
      <c r="N915" s="4" t="s">
        <v>208</v>
      </c>
      <c r="O915" s="4" t="s">
        <v>234</v>
      </c>
    </row>
    <row r="916" spans="1:15" ht="33.75" customHeight="1" x14ac:dyDescent="0.3">
      <c r="A916" s="3">
        <v>8877632</v>
      </c>
      <c r="B916" s="3" t="s">
        <v>3526</v>
      </c>
      <c r="C916" s="3" t="s">
        <v>197</v>
      </c>
      <c r="D916" s="3" t="s">
        <v>716</v>
      </c>
      <c r="E916" s="3" t="s">
        <v>227</v>
      </c>
      <c r="F916" s="3" t="s">
        <v>200</v>
      </c>
      <c r="G916" s="3" t="s">
        <v>3527</v>
      </c>
      <c r="H916" s="3" t="s">
        <v>3224</v>
      </c>
      <c r="I916" s="3" t="s">
        <v>203</v>
      </c>
      <c r="J916" s="3" t="s">
        <v>204</v>
      </c>
      <c r="K916" s="3" t="s">
        <v>1369</v>
      </c>
      <c r="L916" s="3" t="s">
        <v>3451</v>
      </c>
      <c r="M916" s="3" t="s">
        <v>2330</v>
      </c>
      <c r="N916" s="3" t="s">
        <v>217</v>
      </c>
      <c r="O916" s="3" t="s">
        <v>234</v>
      </c>
    </row>
    <row r="917" spans="1:15" ht="22.5" customHeight="1" x14ac:dyDescent="0.3">
      <c r="A917" s="4">
        <v>8877705</v>
      </c>
      <c r="B917" s="4" t="s">
        <v>3528</v>
      </c>
      <c r="C917" s="4" t="s">
        <v>197</v>
      </c>
      <c r="D917" s="4" t="s">
        <v>3373</v>
      </c>
      <c r="E917" s="4" t="s">
        <v>227</v>
      </c>
      <c r="F917" s="4" t="s">
        <v>200</v>
      </c>
      <c r="G917" s="4" t="s">
        <v>3529</v>
      </c>
      <c r="H917" s="4" t="s">
        <v>3530</v>
      </c>
      <c r="I917" s="4" t="s">
        <v>203</v>
      </c>
      <c r="J917" s="4" t="s">
        <v>266</v>
      </c>
      <c r="K917" s="4" t="s">
        <v>3475</v>
      </c>
      <c r="L917" s="4" t="s">
        <v>3451</v>
      </c>
      <c r="M917" s="4" t="s">
        <v>2330</v>
      </c>
      <c r="N917" s="4" t="s">
        <v>208</v>
      </c>
      <c r="O917" s="4" t="s">
        <v>234</v>
      </c>
    </row>
    <row r="918" spans="1:15" ht="57" customHeight="1" x14ac:dyDescent="0.3">
      <c r="A918" s="3">
        <v>8877693</v>
      </c>
      <c r="B918" s="3" t="s">
        <v>3531</v>
      </c>
      <c r="C918" s="3" t="s">
        <v>197</v>
      </c>
      <c r="D918" s="3" t="s">
        <v>1797</v>
      </c>
      <c r="E918" s="3" t="s">
        <v>227</v>
      </c>
      <c r="F918" s="3" t="s">
        <v>200</v>
      </c>
      <c r="G918" s="3" t="s">
        <v>3438</v>
      </c>
      <c r="H918" s="3" t="s">
        <v>3439</v>
      </c>
      <c r="I918" s="3" t="s">
        <v>203</v>
      </c>
      <c r="J918" s="3" t="s">
        <v>506</v>
      </c>
      <c r="K918" s="3" t="s">
        <v>1328</v>
      </c>
      <c r="L918" s="3" t="s">
        <v>3451</v>
      </c>
      <c r="M918" s="3" t="s">
        <v>2330</v>
      </c>
      <c r="N918" s="3" t="s">
        <v>208</v>
      </c>
      <c r="O918" s="3" t="s">
        <v>234</v>
      </c>
    </row>
    <row r="919" spans="1:15" ht="22.5" customHeight="1" x14ac:dyDescent="0.3">
      <c r="A919" s="4">
        <v>8877793</v>
      </c>
      <c r="B919" s="4" t="s">
        <v>3532</v>
      </c>
      <c r="C919" s="4" t="s">
        <v>197</v>
      </c>
      <c r="D919" s="4" t="s">
        <v>3373</v>
      </c>
      <c r="E919" s="4" t="s">
        <v>227</v>
      </c>
      <c r="F919" s="4" t="s">
        <v>200</v>
      </c>
      <c r="G919" s="4" t="s">
        <v>3533</v>
      </c>
      <c r="H919" s="4" t="s">
        <v>3534</v>
      </c>
      <c r="I919" s="4" t="s">
        <v>203</v>
      </c>
      <c r="J919" s="4" t="s">
        <v>266</v>
      </c>
      <c r="K919" s="4" t="s">
        <v>1031</v>
      </c>
      <c r="L919" s="4" t="s">
        <v>3451</v>
      </c>
      <c r="M919" s="4" t="s">
        <v>2330</v>
      </c>
      <c r="N919" s="4" t="s">
        <v>208</v>
      </c>
      <c r="O919" s="4" t="s">
        <v>418</v>
      </c>
    </row>
    <row r="920" spans="1:15" ht="57" customHeight="1" x14ac:dyDescent="0.3">
      <c r="A920" s="3">
        <v>8877829</v>
      </c>
      <c r="B920" s="3" t="s">
        <v>3535</v>
      </c>
      <c r="C920" s="3" t="s">
        <v>197</v>
      </c>
      <c r="D920" s="3" t="s">
        <v>3034</v>
      </c>
      <c r="E920" s="3" t="s">
        <v>227</v>
      </c>
      <c r="F920" s="3" t="s">
        <v>200</v>
      </c>
      <c r="G920" s="3" t="s">
        <v>3536</v>
      </c>
      <c r="H920" s="3" t="s">
        <v>2282</v>
      </c>
      <c r="I920" s="3" t="s">
        <v>203</v>
      </c>
      <c r="J920" s="3" t="s">
        <v>506</v>
      </c>
      <c r="K920" s="3" t="s">
        <v>1328</v>
      </c>
      <c r="L920" s="3" t="s">
        <v>3451</v>
      </c>
      <c r="M920" s="3" t="s">
        <v>2330</v>
      </c>
      <c r="N920" s="3" t="s">
        <v>217</v>
      </c>
      <c r="O920" s="3" t="s">
        <v>234</v>
      </c>
    </row>
    <row r="921" spans="1:15" ht="22.5" customHeight="1" x14ac:dyDescent="0.3">
      <c r="A921" s="4">
        <v>8877848</v>
      </c>
      <c r="B921" s="4" t="s">
        <v>3537</v>
      </c>
      <c r="C921" s="4" t="s">
        <v>197</v>
      </c>
      <c r="D921" s="4" t="s">
        <v>3373</v>
      </c>
      <c r="E921" s="4" t="s">
        <v>227</v>
      </c>
      <c r="F921" s="4" t="s">
        <v>200</v>
      </c>
      <c r="G921" s="4" t="s">
        <v>2457</v>
      </c>
      <c r="H921" s="4" t="s">
        <v>2458</v>
      </c>
      <c r="I921" s="4" t="s">
        <v>203</v>
      </c>
      <c r="J921" s="4" t="s">
        <v>506</v>
      </c>
      <c r="K921" s="4" t="s">
        <v>3525</v>
      </c>
      <c r="L921" s="4" t="s">
        <v>3451</v>
      </c>
      <c r="M921" s="4" t="s">
        <v>2330</v>
      </c>
      <c r="N921" s="4" t="s">
        <v>208</v>
      </c>
      <c r="O921" s="4" t="s">
        <v>433</v>
      </c>
    </row>
    <row r="922" spans="1:15" ht="102" customHeight="1" x14ac:dyDescent="0.3">
      <c r="A922" s="3">
        <v>8878931</v>
      </c>
      <c r="B922" s="3" t="s">
        <v>3538</v>
      </c>
      <c r="C922" s="3" t="s">
        <v>197</v>
      </c>
      <c r="D922" s="3" t="s">
        <v>280</v>
      </c>
      <c r="E922" s="3" t="s">
        <v>199</v>
      </c>
      <c r="F922" s="3" t="s">
        <v>200</v>
      </c>
      <c r="G922" s="3" t="s">
        <v>3539</v>
      </c>
      <c r="H922" s="3" t="s">
        <v>3540</v>
      </c>
      <c r="I922" s="3" t="s">
        <v>203</v>
      </c>
      <c r="J922" s="3" t="s">
        <v>506</v>
      </c>
      <c r="K922" s="3" t="s">
        <v>1574</v>
      </c>
      <c r="L922" s="3" t="s">
        <v>3541</v>
      </c>
      <c r="M922" s="3" t="s">
        <v>2330</v>
      </c>
      <c r="N922" s="3" t="s">
        <v>217</v>
      </c>
      <c r="O922" s="3" t="s">
        <v>209</v>
      </c>
    </row>
    <row r="923" spans="1:15" ht="22.5" customHeight="1" x14ac:dyDescent="0.3">
      <c r="A923" s="4">
        <v>8879012</v>
      </c>
      <c r="B923" s="4" t="s">
        <v>3542</v>
      </c>
      <c r="C923" s="4" t="s">
        <v>197</v>
      </c>
      <c r="D923" s="4" t="s">
        <v>3373</v>
      </c>
      <c r="E923" s="4" t="s">
        <v>227</v>
      </c>
      <c r="F923" s="4" t="s">
        <v>200</v>
      </c>
      <c r="G923" s="4" t="s">
        <v>3543</v>
      </c>
      <c r="H923" s="4" t="s">
        <v>2818</v>
      </c>
      <c r="I923" s="4" t="s">
        <v>203</v>
      </c>
      <c r="J923" s="4" t="s">
        <v>323</v>
      </c>
      <c r="K923" s="4" t="s">
        <v>1203</v>
      </c>
      <c r="L923" s="4" t="s">
        <v>3544</v>
      </c>
      <c r="M923" s="4" t="s">
        <v>2330</v>
      </c>
      <c r="N923" s="4" t="s">
        <v>208</v>
      </c>
      <c r="O923" s="4" t="s">
        <v>433</v>
      </c>
    </row>
    <row r="924" spans="1:15" ht="57" customHeight="1" x14ac:dyDescent="0.3">
      <c r="A924" s="3">
        <v>8879429</v>
      </c>
      <c r="B924" s="3" t="s">
        <v>3545</v>
      </c>
      <c r="C924" s="3" t="s">
        <v>197</v>
      </c>
      <c r="D924" s="3" t="s">
        <v>1292</v>
      </c>
      <c r="E924" s="3" t="s">
        <v>227</v>
      </c>
      <c r="F924" s="3" t="s">
        <v>200</v>
      </c>
      <c r="G924" s="3" t="s">
        <v>3546</v>
      </c>
      <c r="H924" s="3" t="s">
        <v>2818</v>
      </c>
      <c r="I924" s="3" t="s">
        <v>203</v>
      </c>
      <c r="J924" s="3" t="s">
        <v>506</v>
      </c>
      <c r="K924" s="3" t="s">
        <v>1328</v>
      </c>
      <c r="L924" s="3" t="s">
        <v>3547</v>
      </c>
      <c r="M924" s="3" t="s">
        <v>2330</v>
      </c>
      <c r="N924" s="3" t="s">
        <v>208</v>
      </c>
      <c r="O924" s="3" t="s">
        <v>418</v>
      </c>
    </row>
    <row r="925" spans="1:15" ht="33.75" customHeight="1" x14ac:dyDescent="0.3">
      <c r="A925" s="4">
        <v>3119351</v>
      </c>
      <c r="B925" s="4" t="s">
        <v>3548</v>
      </c>
      <c r="C925" s="4" t="s">
        <v>197</v>
      </c>
      <c r="D925" s="4" t="s">
        <v>796</v>
      </c>
      <c r="E925" s="4" t="s">
        <v>227</v>
      </c>
      <c r="F925" s="4" t="s">
        <v>413</v>
      </c>
      <c r="G925" s="4" t="s">
        <v>3549</v>
      </c>
      <c r="H925" s="4" t="s">
        <v>3550</v>
      </c>
      <c r="I925" s="4" t="s">
        <v>203</v>
      </c>
      <c r="J925" s="4" t="s">
        <v>266</v>
      </c>
      <c r="K925" s="4" t="s">
        <v>3551</v>
      </c>
      <c r="L925" s="4" t="s">
        <v>3552</v>
      </c>
      <c r="M925" s="4" t="s">
        <v>245</v>
      </c>
      <c r="N925" s="4" t="s">
        <v>217</v>
      </c>
      <c r="O925" s="4" t="s">
        <v>433</v>
      </c>
    </row>
    <row r="926" spans="1:15" ht="79.5" customHeight="1" x14ac:dyDescent="0.3">
      <c r="A926" s="3">
        <v>8880133</v>
      </c>
      <c r="B926" s="3" t="s">
        <v>3553</v>
      </c>
      <c r="C926" s="3" t="s">
        <v>197</v>
      </c>
      <c r="D926" s="3" t="s">
        <v>2358</v>
      </c>
      <c r="E926" s="3" t="s">
        <v>227</v>
      </c>
      <c r="F926" s="3" t="s">
        <v>200</v>
      </c>
      <c r="G926" s="3" t="s">
        <v>3554</v>
      </c>
      <c r="H926" s="3" t="s">
        <v>3555</v>
      </c>
      <c r="I926" s="3" t="s">
        <v>203</v>
      </c>
      <c r="J926" s="3" t="s">
        <v>204</v>
      </c>
      <c r="K926" s="3" t="s">
        <v>1369</v>
      </c>
      <c r="L926" s="3" t="s">
        <v>3556</v>
      </c>
      <c r="M926" s="3" t="s">
        <v>207</v>
      </c>
      <c r="N926" s="3" t="s">
        <v>208</v>
      </c>
      <c r="O926" s="3" t="s">
        <v>418</v>
      </c>
    </row>
    <row r="927" spans="1:15" ht="33.75" customHeight="1" x14ac:dyDescent="0.3">
      <c r="A927" s="4">
        <v>8880649</v>
      </c>
      <c r="B927" s="4" t="s">
        <v>3557</v>
      </c>
      <c r="C927" s="4" t="s">
        <v>197</v>
      </c>
      <c r="D927" s="4" t="s">
        <v>1132</v>
      </c>
      <c r="E927" s="4" t="s">
        <v>608</v>
      </c>
      <c r="F927" s="4" t="s">
        <v>200</v>
      </c>
      <c r="G927" s="4" t="s">
        <v>3558</v>
      </c>
      <c r="H927" s="4" t="s">
        <v>610</v>
      </c>
      <c r="I927" s="4" t="s">
        <v>203</v>
      </c>
      <c r="J927" s="4" t="s">
        <v>329</v>
      </c>
      <c r="K927" s="4" t="s">
        <v>330</v>
      </c>
      <c r="L927" s="4" t="s">
        <v>3556</v>
      </c>
      <c r="M927" s="4" t="s">
        <v>207</v>
      </c>
      <c r="N927" s="4" t="s">
        <v>217</v>
      </c>
      <c r="O927" s="4" t="s">
        <v>613</v>
      </c>
    </row>
    <row r="928" spans="1:15" ht="33.75" customHeight="1" x14ac:dyDescent="0.3">
      <c r="A928" s="3">
        <v>8881063</v>
      </c>
      <c r="B928" s="3" t="s">
        <v>3559</v>
      </c>
      <c r="C928" s="3" t="s">
        <v>197</v>
      </c>
      <c r="D928" s="3" t="s">
        <v>1132</v>
      </c>
      <c r="E928" s="3" t="s">
        <v>227</v>
      </c>
      <c r="F928" s="3" t="s">
        <v>200</v>
      </c>
      <c r="G928" s="3" t="s">
        <v>3560</v>
      </c>
      <c r="H928" s="3" t="s">
        <v>3561</v>
      </c>
      <c r="I928" s="3" t="s">
        <v>203</v>
      </c>
      <c r="J928" s="3" t="s">
        <v>323</v>
      </c>
      <c r="K928" s="3" t="s">
        <v>1203</v>
      </c>
      <c r="L928" s="3" t="s">
        <v>3562</v>
      </c>
      <c r="M928" s="3" t="s">
        <v>2330</v>
      </c>
      <c r="N928" s="3" t="s">
        <v>217</v>
      </c>
      <c r="O928" s="3" t="s">
        <v>234</v>
      </c>
    </row>
    <row r="929" spans="1:15" ht="22.5" customHeight="1" x14ac:dyDescent="0.3">
      <c r="A929" s="4">
        <v>2281961</v>
      </c>
      <c r="B929" s="4" t="s">
        <v>3563</v>
      </c>
      <c r="C929" s="4" t="s">
        <v>197</v>
      </c>
      <c r="D929" s="4" t="s">
        <v>354</v>
      </c>
      <c r="E929" s="4" t="s">
        <v>227</v>
      </c>
      <c r="F929" s="4" t="s">
        <v>200</v>
      </c>
      <c r="G929" s="4" t="s">
        <v>1686</v>
      </c>
      <c r="H929" s="4" t="s">
        <v>1687</v>
      </c>
      <c r="I929" s="4" t="s">
        <v>203</v>
      </c>
      <c r="J929" s="4" t="s">
        <v>323</v>
      </c>
      <c r="K929" s="4" t="s">
        <v>324</v>
      </c>
      <c r="L929" s="4" t="s">
        <v>3564</v>
      </c>
      <c r="M929" s="4" t="s">
        <v>233</v>
      </c>
      <c r="N929" s="4" t="s">
        <v>217</v>
      </c>
      <c r="O929" s="4" t="s">
        <v>444</v>
      </c>
    </row>
    <row r="930" spans="1:15" ht="22.5" customHeight="1" x14ac:dyDescent="0.3">
      <c r="A930" s="3">
        <v>1935275</v>
      </c>
      <c r="B930" s="3"/>
      <c r="C930" s="3" t="s">
        <v>197</v>
      </c>
      <c r="D930" s="3" t="s">
        <v>354</v>
      </c>
      <c r="E930" s="3" t="s">
        <v>227</v>
      </c>
      <c r="F930" s="3" t="s">
        <v>200</v>
      </c>
      <c r="G930" s="3" t="s">
        <v>679</v>
      </c>
      <c r="H930" s="3" t="s">
        <v>3565</v>
      </c>
      <c r="I930" s="3"/>
      <c r="J930" s="3" t="s">
        <v>323</v>
      </c>
      <c r="K930" s="3" t="s">
        <v>1835</v>
      </c>
      <c r="L930" s="3" t="s">
        <v>3566</v>
      </c>
      <c r="M930" s="3" t="s">
        <v>654</v>
      </c>
      <c r="N930" s="3" t="s">
        <v>208</v>
      </c>
      <c r="O930" s="3" t="s">
        <v>433</v>
      </c>
    </row>
    <row r="931" spans="1:15" ht="33.75" customHeight="1" x14ac:dyDescent="0.3">
      <c r="A931" s="4">
        <v>8885986</v>
      </c>
      <c r="B931" s="4"/>
      <c r="C931" s="4" t="s">
        <v>197</v>
      </c>
      <c r="D931" s="4" t="s">
        <v>3172</v>
      </c>
      <c r="E931" s="4" t="s">
        <v>227</v>
      </c>
      <c r="F931" s="4" t="s">
        <v>413</v>
      </c>
      <c r="G931" s="4" t="s">
        <v>3567</v>
      </c>
      <c r="H931" s="4" t="s">
        <v>550</v>
      </c>
      <c r="I931" s="4"/>
      <c r="J931" s="4" t="s">
        <v>506</v>
      </c>
      <c r="K931" s="4" t="s">
        <v>1574</v>
      </c>
      <c r="L931" s="4" t="s">
        <v>3568</v>
      </c>
      <c r="M931" s="4" t="s">
        <v>3569</v>
      </c>
      <c r="N931" s="4"/>
      <c r="O931" s="4"/>
    </row>
  </sheetData>
  <autoFilter ref="A3:O3" xr:uid="{00000000-0009-0000-0000-000002000000}"/>
  <mergeCells count="2">
    <mergeCell ref="A1:T1"/>
    <mergeCell ref="A2:T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AF748"/>
  <sheetViews>
    <sheetView topLeftCell="H1" zoomScaleNormal="100" workbookViewId="0">
      <pane ySplit="3" topLeftCell="A4" activePane="bottomLeft" state="frozen"/>
      <selection activeCell="H1" sqref="H1"/>
      <selection pane="bottomLeft"/>
    </sheetView>
  </sheetViews>
  <sheetFormatPr defaultColWidth="8.6640625" defaultRowHeight="14.4" x14ac:dyDescent="0.3"/>
  <cols>
    <col min="1" max="32" width="18" customWidth="1"/>
  </cols>
  <sheetData>
    <row r="1" spans="1:32" ht="31.5" customHeight="1" x14ac:dyDescent="0.3">
      <c r="A1" s="85" t="s">
        <v>3570</v>
      </c>
      <c r="B1" s="82"/>
      <c r="C1" s="82"/>
      <c r="D1" s="82"/>
      <c r="E1" s="82"/>
      <c r="F1" s="82"/>
      <c r="G1" s="82"/>
      <c r="H1" s="82"/>
      <c r="I1" s="82"/>
      <c r="J1" s="82"/>
      <c r="K1" s="82"/>
      <c r="L1" s="82"/>
      <c r="M1" s="82"/>
      <c r="N1" s="82"/>
      <c r="O1" s="82"/>
      <c r="P1" s="82"/>
      <c r="Q1" s="82"/>
      <c r="R1" s="82"/>
      <c r="S1" s="82"/>
      <c r="T1" s="82"/>
    </row>
    <row r="2" spans="1:32" ht="18" customHeight="1" x14ac:dyDescent="0.3">
      <c r="A2" s="86" t="s">
        <v>181</v>
      </c>
      <c r="B2" s="82"/>
      <c r="C2" s="82"/>
      <c r="D2" s="82"/>
      <c r="E2" s="82"/>
      <c r="F2" s="82"/>
      <c r="G2" s="82"/>
      <c r="H2" s="82"/>
      <c r="I2" s="82"/>
      <c r="J2" s="82"/>
      <c r="K2" s="82"/>
      <c r="L2" s="82"/>
      <c r="M2" s="82"/>
      <c r="N2" s="82"/>
      <c r="O2" s="82"/>
      <c r="P2" s="82"/>
      <c r="Q2" s="82"/>
      <c r="R2" s="82"/>
      <c r="S2" s="82"/>
      <c r="T2" s="82"/>
    </row>
    <row r="3" spans="1:32" ht="24" customHeight="1" x14ac:dyDescent="0.3">
      <c r="A3" s="2" t="s">
        <v>3571</v>
      </c>
      <c r="B3" s="2" t="s">
        <v>3572</v>
      </c>
      <c r="C3" s="2" t="s">
        <v>3573</v>
      </c>
      <c r="D3" s="2" t="s">
        <v>3574</v>
      </c>
      <c r="E3" s="2" t="s">
        <v>3575</v>
      </c>
      <c r="F3" s="2" t="s">
        <v>3576</v>
      </c>
      <c r="G3" s="2" t="s">
        <v>3577</v>
      </c>
      <c r="H3" s="2" t="s">
        <v>3578</v>
      </c>
      <c r="I3" s="2" t="s">
        <v>3579</v>
      </c>
      <c r="J3" s="2" t="s">
        <v>3580</v>
      </c>
      <c r="K3" s="2" t="s">
        <v>3581</v>
      </c>
      <c r="L3" s="2" t="s">
        <v>3582</v>
      </c>
      <c r="M3" s="2" t="s">
        <v>3583</v>
      </c>
      <c r="N3" s="2" t="s">
        <v>3584</v>
      </c>
      <c r="O3" s="2" t="s">
        <v>3585</v>
      </c>
      <c r="P3" s="2" t="s">
        <v>3586</v>
      </c>
      <c r="Q3" s="2" t="s">
        <v>3587</v>
      </c>
      <c r="R3" s="2" t="s">
        <v>3588</v>
      </c>
      <c r="S3" s="2" t="s">
        <v>3589</v>
      </c>
      <c r="T3" s="2" t="s">
        <v>3590</v>
      </c>
      <c r="U3" s="2" t="s">
        <v>3591</v>
      </c>
      <c r="V3" s="2" t="s">
        <v>3592</v>
      </c>
      <c r="W3" s="2" t="s">
        <v>3593</v>
      </c>
      <c r="X3" s="2" t="s">
        <v>3594</v>
      </c>
      <c r="Y3" s="2" t="s">
        <v>3595</v>
      </c>
      <c r="Z3" s="2" t="s">
        <v>3596</v>
      </c>
      <c r="AA3" s="2" t="s">
        <v>3597</v>
      </c>
      <c r="AB3" s="2" t="s">
        <v>3598</v>
      </c>
      <c r="AC3" s="2" t="s">
        <v>3599</v>
      </c>
      <c r="AD3" s="2" t="s">
        <v>162</v>
      </c>
      <c r="AE3" s="2" t="s">
        <v>163</v>
      </c>
      <c r="AF3" s="2" t="s">
        <v>3600</v>
      </c>
    </row>
    <row r="4" spans="1:32" ht="111.75" customHeight="1" x14ac:dyDescent="0.3">
      <c r="A4" s="5">
        <v>3246388</v>
      </c>
      <c r="B4" s="5" t="s">
        <v>295</v>
      </c>
      <c r="C4" s="5" t="s">
        <v>3601</v>
      </c>
      <c r="D4" s="5" t="s">
        <v>354</v>
      </c>
      <c r="E4" s="5" t="s">
        <v>203</v>
      </c>
      <c r="F4" s="5"/>
      <c r="G4" s="5" t="s">
        <v>217</v>
      </c>
      <c r="H4" s="5" t="s">
        <v>245</v>
      </c>
      <c r="I4" s="5" t="s">
        <v>296</v>
      </c>
      <c r="J4" s="5" t="s">
        <v>211</v>
      </c>
      <c r="K4" s="5" t="s">
        <v>200</v>
      </c>
      <c r="L4" s="5" t="s">
        <v>297</v>
      </c>
      <c r="M4" s="5" t="s">
        <v>299</v>
      </c>
      <c r="N4" s="5" t="s">
        <v>3602</v>
      </c>
      <c r="O4" s="5" t="s">
        <v>3603</v>
      </c>
      <c r="P4" s="5">
        <v>3509672</v>
      </c>
      <c r="Q4" s="5" t="s">
        <v>3604</v>
      </c>
      <c r="R4" s="5" t="s">
        <v>203</v>
      </c>
      <c r="S4" s="5" t="s">
        <v>218</v>
      </c>
      <c r="T4" s="5" t="s">
        <v>217</v>
      </c>
      <c r="U4" s="5" t="s">
        <v>207</v>
      </c>
      <c r="V4" s="5" t="s">
        <v>3605</v>
      </c>
      <c r="W4" s="5" t="s">
        <v>211</v>
      </c>
      <c r="X4" s="5" t="s">
        <v>200</v>
      </c>
      <c r="Y4" s="5" t="s">
        <v>3606</v>
      </c>
      <c r="Z4" s="5" t="s">
        <v>3607</v>
      </c>
      <c r="AA4" s="5" t="s">
        <v>3608</v>
      </c>
      <c r="AB4" s="5" t="s">
        <v>3609</v>
      </c>
      <c r="AC4" s="5" t="s">
        <v>3610</v>
      </c>
      <c r="AD4" s="6">
        <v>45170</v>
      </c>
      <c r="AE4" s="6">
        <v>45351</v>
      </c>
      <c r="AF4" s="5" t="s">
        <v>3611</v>
      </c>
    </row>
    <row r="5" spans="1:32" ht="30" customHeight="1" x14ac:dyDescent="0.3">
      <c r="A5" s="7">
        <v>5495989</v>
      </c>
      <c r="B5" s="7" t="s">
        <v>210</v>
      </c>
      <c r="C5" s="7"/>
      <c r="D5" s="7" t="s">
        <v>198</v>
      </c>
      <c r="E5" s="7" t="s">
        <v>203</v>
      </c>
      <c r="F5" s="7" t="s">
        <v>218</v>
      </c>
      <c r="G5" s="7" t="s">
        <v>217</v>
      </c>
      <c r="H5" s="7" t="s">
        <v>207</v>
      </c>
      <c r="I5" s="7" t="s">
        <v>212</v>
      </c>
      <c r="J5" s="7" t="s">
        <v>211</v>
      </c>
      <c r="K5" s="7" t="s">
        <v>200</v>
      </c>
      <c r="L5" s="7" t="s">
        <v>213</v>
      </c>
      <c r="M5" s="7" t="s">
        <v>215</v>
      </c>
      <c r="N5" s="7" t="s">
        <v>3612</v>
      </c>
      <c r="O5" s="7" t="s">
        <v>3613</v>
      </c>
      <c r="P5" s="7">
        <v>5549248</v>
      </c>
      <c r="Q5" s="7" t="s">
        <v>3614</v>
      </c>
      <c r="R5" s="7" t="s">
        <v>203</v>
      </c>
      <c r="S5" s="7" t="s">
        <v>218</v>
      </c>
      <c r="T5" s="7" t="s">
        <v>217</v>
      </c>
      <c r="U5" s="7" t="s">
        <v>207</v>
      </c>
      <c r="V5" s="7" t="s">
        <v>3615</v>
      </c>
      <c r="W5" s="7" t="s">
        <v>211</v>
      </c>
      <c r="X5" s="7" t="s">
        <v>200</v>
      </c>
      <c r="Y5" s="7" t="s">
        <v>3616</v>
      </c>
      <c r="Z5" s="7" t="s">
        <v>3607</v>
      </c>
      <c r="AA5" s="7" t="s">
        <v>3617</v>
      </c>
      <c r="AB5" s="7" t="s">
        <v>3609</v>
      </c>
      <c r="AC5" s="7" t="s">
        <v>3618</v>
      </c>
      <c r="AD5" s="8">
        <v>45125</v>
      </c>
      <c r="AE5" s="7"/>
      <c r="AF5" s="7"/>
    </row>
    <row r="6" spans="1:32" ht="132" customHeight="1" x14ac:dyDescent="0.3">
      <c r="A6" s="5">
        <v>3246388</v>
      </c>
      <c r="B6" s="5" t="s">
        <v>295</v>
      </c>
      <c r="C6" s="5"/>
      <c r="D6" s="5" t="s">
        <v>198</v>
      </c>
      <c r="E6" s="5" t="s">
        <v>203</v>
      </c>
      <c r="F6" s="5"/>
      <c r="G6" s="5" t="s">
        <v>217</v>
      </c>
      <c r="H6" s="5" t="s">
        <v>245</v>
      </c>
      <c r="I6" s="5" t="s">
        <v>296</v>
      </c>
      <c r="J6" s="5" t="s">
        <v>211</v>
      </c>
      <c r="K6" s="5" t="s">
        <v>200</v>
      </c>
      <c r="L6" s="5" t="s">
        <v>297</v>
      </c>
      <c r="M6" s="5" t="s">
        <v>299</v>
      </c>
      <c r="N6" s="5" t="s">
        <v>3602</v>
      </c>
      <c r="O6" s="5" t="s">
        <v>3603</v>
      </c>
      <c r="P6" s="5">
        <v>5599199</v>
      </c>
      <c r="Q6" s="5" t="s">
        <v>3619</v>
      </c>
      <c r="R6" s="5"/>
      <c r="S6" s="5"/>
      <c r="T6" s="5" t="s">
        <v>217</v>
      </c>
      <c r="U6" s="5" t="s">
        <v>2330</v>
      </c>
      <c r="V6" s="5"/>
      <c r="W6" s="5" t="s">
        <v>211</v>
      </c>
      <c r="X6" s="5"/>
      <c r="Y6" s="5"/>
      <c r="Z6" s="5"/>
      <c r="AA6" s="5" t="s">
        <v>3617</v>
      </c>
      <c r="AB6" s="5"/>
      <c r="AC6" s="5" t="s">
        <v>3620</v>
      </c>
      <c r="AD6" s="6">
        <v>45139</v>
      </c>
      <c r="AE6" s="6">
        <v>45351</v>
      </c>
      <c r="AF6" s="5" t="s">
        <v>3611</v>
      </c>
    </row>
    <row r="7" spans="1:32" ht="51" customHeight="1" x14ac:dyDescent="0.3">
      <c r="A7" s="7">
        <v>3244121</v>
      </c>
      <c r="B7" s="7" t="s">
        <v>3621</v>
      </c>
      <c r="C7" s="7" t="s">
        <v>3622</v>
      </c>
      <c r="D7" s="7" t="s">
        <v>198</v>
      </c>
      <c r="E7" s="7"/>
      <c r="F7" s="7"/>
      <c r="G7" s="7" t="s">
        <v>217</v>
      </c>
      <c r="H7" s="7" t="s">
        <v>233</v>
      </c>
      <c r="I7" s="7"/>
      <c r="J7" s="7" t="s">
        <v>211</v>
      </c>
      <c r="K7" s="7"/>
      <c r="L7" s="7"/>
      <c r="M7" s="7"/>
      <c r="N7" s="7" t="s">
        <v>3623</v>
      </c>
      <c r="O7" s="7"/>
      <c r="P7" s="7">
        <v>5389836</v>
      </c>
      <c r="Q7" s="7" t="s">
        <v>3624</v>
      </c>
      <c r="R7" s="7" t="s">
        <v>203</v>
      </c>
      <c r="S7" s="7" t="s">
        <v>218</v>
      </c>
      <c r="T7" s="7" t="s">
        <v>208</v>
      </c>
      <c r="U7" s="7" t="s">
        <v>207</v>
      </c>
      <c r="V7" s="7" t="s">
        <v>3625</v>
      </c>
      <c r="W7" s="7" t="s">
        <v>211</v>
      </c>
      <c r="X7" s="7" t="s">
        <v>200</v>
      </c>
      <c r="Y7" s="7" t="s">
        <v>3626</v>
      </c>
      <c r="Z7" s="7" t="s">
        <v>3475</v>
      </c>
      <c r="AA7" s="7" t="s">
        <v>3612</v>
      </c>
      <c r="AB7" s="7" t="s">
        <v>3627</v>
      </c>
      <c r="AC7" s="7" t="s">
        <v>3628</v>
      </c>
      <c r="AD7" s="8">
        <v>44835</v>
      </c>
      <c r="AE7" s="8">
        <v>45199</v>
      </c>
      <c r="AF7" s="7"/>
    </row>
    <row r="8" spans="1:32" ht="111.75" customHeight="1" x14ac:dyDescent="0.3">
      <c r="A8" s="5">
        <v>5066220</v>
      </c>
      <c r="B8" s="5" t="s">
        <v>326</v>
      </c>
      <c r="C8" s="5" t="s">
        <v>3629</v>
      </c>
      <c r="D8" s="5" t="s">
        <v>198</v>
      </c>
      <c r="E8" s="5" t="s">
        <v>203</v>
      </c>
      <c r="F8" s="5" t="s">
        <v>218</v>
      </c>
      <c r="G8" s="5" t="s">
        <v>208</v>
      </c>
      <c r="H8" s="5" t="s">
        <v>245</v>
      </c>
      <c r="I8" s="5" t="s">
        <v>327</v>
      </c>
      <c r="J8" s="5" t="s">
        <v>211</v>
      </c>
      <c r="K8" s="5" t="s">
        <v>200</v>
      </c>
      <c r="L8" s="5" t="s">
        <v>328</v>
      </c>
      <c r="M8" s="5" t="s">
        <v>330</v>
      </c>
      <c r="N8" s="5" t="s">
        <v>3623</v>
      </c>
      <c r="O8" s="5" t="s">
        <v>3630</v>
      </c>
      <c r="P8" s="5">
        <v>5124387</v>
      </c>
      <c r="Q8" s="5" t="s">
        <v>3631</v>
      </c>
      <c r="R8" s="5" t="s">
        <v>203</v>
      </c>
      <c r="S8" s="5"/>
      <c r="T8" s="5" t="s">
        <v>217</v>
      </c>
      <c r="U8" s="5" t="s">
        <v>207</v>
      </c>
      <c r="V8" s="5" t="s">
        <v>3632</v>
      </c>
      <c r="W8" s="5" t="s">
        <v>211</v>
      </c>
      <c r="X8" s="5" t="s">
        <v>200</v>
      </c>
      <c r="Y8" s="5" t="s">
        <v>3633</v>
      </c>
      <c r="Z8" s="5" t="s">
        <v>3634</v>
      </c>
      <c r="AA8" s="5" t="s">
        <v>3623</v>
      </c>
      <c r="AB8" s="5" t="s">
        <v>3635</v>
      </c>
      <c r="AC8" s="5" t="s">
        <v>3636</v>
      </c>
      <c r="AD8" s="6">
        <v>44927</v>
      </c>
      <c r="AE8" s="6">
        <v>45657</v>
      </c>
      <c r="AF8" s="5"/>
    </row>
    <row r="9" spans="1:32" ht="153" customHeight="1" x14ac:dyDescent="0.3">
      <c r="A9" s="7">
        <v>3246388</v>
      </c>
      <c r="B9" s="7" t="s">
        <v>295</v>
      </c>
      <c r="C9" s="7" t="s">
        <v>3637</v>
      </c>
      <c r="D9" s="7" t="s">
        <v>198</v>
      </c>
      <c r="E9" s="7" t="s">
        <v>203</v>
      </c>
      <c r="F9" s="7"/>
      <c r="G9" s="7" t="s">
        <v>217</v>
      </c>
      <c r="H9" s="7" t="s">
        <v>245</v>
      </c>
      <c r="I9" s="7" t="s">
        <v>296</v>
      </c>
      <c r="J9" s="7" t="s">
        <v>211</v>
      </c>
      <c r="K9" s="7" t="s">
        <v>200</v>
      </c>
      <c r="L9" s="7" t="s">
        <v>297</v>
      </c>
      <c r="M9" s="7" t="s">
        <v>299</v>
      </c>
      <c r="N9" s="7" t="s">
        <v>3602</v>
      </c>
      <c r="O9" s="7" t="s">
        <v>3603</v>
      </c>
      <c r="P9" s="7">
        <v>5179564</v>
      </c>
      <c r="Q9" s="7" t="s">
        <v>3638</v>
      </c>
      <c r="R9" s="7" t="s">
        <v>203</v>
      </c>
      <c r="S9" s="7"/>
      <c r="T9" s="7" t="s">
        <v>217</v>
      </c>
      <c r="U9" s="7" t="s">
        <v>207</v>
      </c>
      <c r="V9" s="7" t="s">
        <v>3639</v>
      </c>
      <c r="W9" s="7" t="s">
        <v>211</v>
      </c>
      <c r="X9" s="7" t="s">
        <v>200</v>
      </c>
      <c r="Y9" s="7" t="s">
        <v>395</v>
      </c>
      <c r="Z9" s="7" t="s">
        <v>1904</v>
      </c>
      <c r="AA9" s="7" t="s">
        <v>3623</v>
      </c>
      <c r="AB9" s="7" t="s">
        <v>3613</v>
      </c>
      <c r="AC9" s="7" t="s">
        <v>3640</v>
      </c>
      <c r="AD9" s="8">
        <v>45170</v>
      </c>
      <c r="AE9" s="8">
        <v>45351</v>
      </c>
      <c r="AF9" s="7" t="s">
        <v>3641</v>
      </c>
    </row>
    <row r="10" spans="1:32" ht="30" customHeight="1" x14ac:dyDescent="0.3">
      <c r="A10" s="5">
        <v>5495989</v>
      </c>
      <c r="B10" s="5" t="s">
        <v>210</v>
      </c>
      <c r="C10" s="5" t="s">
        <v>3642</v>
      </c>
      <c r="D10" s="5" t="s">
        <v>198</v>
      </c>
      <c r="E10" s="5" t="s">
        <v>203</v>
      </c>
      <c r="F10" s="5" t="s">
        <v>218</v>
      </c>
      <c r="G10" s="5" t="s">
        <v>217</v>
      </c>
      <c r="H10" s="5" t="s">
        <v>207</v>
      </c>
      <c r="I10" s="5" t="s">
        <v>212</v>
      </c>
      <c r="J10" s="5" t="s">
        <v>211</v>
      </c>
      <c r="K10" s="5" t="s">
        <v>200</v>
      </c>
      <c r="L10" s="5" t="s">
        <v>213</v>
      </c>
      <c r="M10" s="5" t="s">
        <v>215</v>
      </c>
      <c r="N10" s="5" t="s">
        <v>3612</v>
      </c>
      <c r="O10" s="5" t="s">
        <v>3613</v>
      </c>
      <c r="P10" s="5">
        <v>4773829</v>
      </c>
      <c r="Q10" s="5" t="s">
        <v>3643</v>
      </c>
      <c r="R10" s="5" t="s">
        <v>203</v>
      </c>
      <c r="S10" s="5"/>
      <c r="T10" s="5" t="s">
        <v>208</v>
      </c>
      <c r="U10" s="5" t="s">
        <v>207</v>
      </c>
      <c r="V10" s="5" t="s">
        <v>3644</v>
      </c>
      <c r="W10" s="5" t="s">
        <v>211</v>
      </c>
      <c r="X10" s="5" t="s">
        <v>200</v>
      </c>
      <c r="Y10" s="5" t="s">
        <v>3645</v>
      </c>
      <c r="Z10" s="5" t="s">
        <v>3114</v>
      </c>
      <c r="AA10" s="5" t="s">
        <v>3623</v>
      </c>
      <c r="AB10" s="5" t="s">
        <v>3646</v>
      </c>
      <c r="AC10" s="5" t="s">
        <v>3647</v>
      </c>
      <c r="AD10" s="6">
        <v>45205</v>
      </c>
      <c r="AE10" s="6">
        <v>45260</v>
      </c>
      <c r="AF10" s="5"/>
    </row>
    <row r="11" spans="1:32" ht="111.75" customHeight="1" x14ac:dyDescent="0.3">
      <c r="A11" s="7">
        <v>3246388</v>
      </c>
      <c r="B11" s="7" t="s">
        <v>295</v>
      </c>
      <c r="C11" s="7"/>
      <c r="D11" s="7" t="s">
        <v>354</v>
      </c>
      <c r="E11" s="7" t="s">
        <v>203</v>
      </c>
      <c r="F11" s="7"/>
      <c r="G11" s="7" t="s">
        <v>217</v>
      </c>
      <c r="H11" s="7" t="s">
        <v>245</v>
      </c>
      <c r="I11" s="7" t="s">
        <v>296</v>
      </c>
      <c r="J11" s="7" t="s">
        <v>211</v>
      </c>
      <c r="K11" s="7" t="s">
        <v>200</v>
      </c>
      <c r="L11" s="7" t="s">
        <v>297</v>
      </c>
      <c r="M11" s="7" t="s">
        <v>299</v>
      </c>
      <c r="N11" s="7" t="s">
        <v>3602</v>
      </c>
      <c r="O11" s="7" t="s">
        <v>3603</v>
      </c>
      <c r="P11" s="7">
        <v>2700069</v>
      </c>
      <c r="Q11" s="7" t="s">
        <v>3648</v>
      </c>
      <c r="R11" s="7" t="s">
        <v>203</v>
      </c>
      <c r="S11" s="7"/>
      <c r="T11" s="7" t="s">
        <v>217</v>
      </c>
      <c r="U11" s="7" t="s">
        <v>233</v>
      </c>
      <c r="V11" s="7" t="s">
        <v>3649</v>
      </c>
      <c r="W11" s="7" t="s">
        <v>211</v>
      </c>
      <c r="X11" s="7" t="s">
        <v>200</v>
      </c>
      <c r="Y11" s="7" t="s">
        <v>3650</v>
      </c>
      <c r="Z11" s="7" t="s">
        <v>3651</v>
      </c>
      <c r="AA11" s="7" t="s">
        <v>3652</v>
      </c>
      <c r="AB11" s="7" t="s">
        <v>3646</v>
      </c>
      <c r="AC11" s="7" t="s">
        <v>3653</v>
      </c>
      <c r="AD11" s="8">
        <v>45170</v>
      </c>
      <c r="AE11" s="8">
        <v>45351</v>
      </c>
      <c r="AF11" s="7" t="s">
        <v>3611</v>
      </c>
    </row>
    <row r="12" spans="1:32" ht="111.75" customHeight="1" x14ac:dyDescent="0.3">
      <c r="A12" s="5">
        <v>3246388</v>
      </c>
      <c r="B12" s="5" t="s">
        <v>295</v>
      </c>
      <c r="C12" s="5"/>
      <c r="D12" s="5" t="s">
        <v>198</v>
      </c>
      <c r="E12" s="5" t="s">
        <v>203</v>
      </c>
      <c r="F12" s="5"/>
      <c r="G12" s="5" t="s">
        <v>217</v>
      </c>
      <c r="H12" s="5" t="s">
        <v>245</v>
      </c>
      <c r="I12" s="5" t="s">
        <v>296</v>
      </c>
      <c r="J12" s="5" t="s">
        <v>211</v>
      </c>
      <c r="K12" s="5" t="s">
        <v>200</v>
      </c>
      <c r="L12" s="5" t="s">
        <v>297</v>
      </c>
      <c r="M12" s="5" t="s">
        <v>299</v>
      </c>
      <c r="N12" s="5" t="s">
        <v>3602</v>
      </c>
      <c r="O12" s="5" t="s">
        <v>3603</v>
      </c>
      <c r="P12" s="5">
        <v>5042070</v>
      </c>
      <c r="Q12" s="5" t="s">
        <v>3654</v>
      </c>
      <c r="R12" s="5" t="s">
        <v>203</v>
      </c>
      <c r="S12" s="5" t="s">
        <v>3655</v>
      </c>
      <c r="T12" s="5" t="s">
        <v>217</v>
      </c>
      <c r="U12" s="5" t="s">
        <v>245</v>
      </c>
      <c r="V12" s="5" t="s">
        <v>3656</v>
      </c>
      <c r="W12" s="5" t="s">
        <v>211</v>
      </c>
      <c r="X12" s="5" t="s">
        <v>200</v>
      </c>
      <c r="Y12" s="5" t="s">
        <v>3657</v>
      </c>
      <c r="Z12" s="5" t="s">
        <v>1511</v>
      </c>
      <c r="AA12" s="5" t="s">
        <v>3623</v>
      </c>
      <c r="AB12" s="5" t="s">
        <v>3609</v>
      </c>
      <c r="AC12" s="5" t="s">
        <v>3658</v>
      </c>
      <c r="AD12" s="6">
        <v>45170</v>
      </c>
      <c r="AE12" s="6">
        <v>45351</v>
      </c>
      <c r="AF12" s="5" t="s">
        <v>3611</v>
      </c>
    </row>
    <row r="13" spans="1:32" ht="71.25" customHeight="1" x14ac:dyDescent="0.3">
      <c r="A13" s="7">
        <v>3246388</v>
      </c>
      <c r="B13" s="7" t="s">
        <v>295</v>
      </c>
      <c r="C13" s="7"/>
      <c r="D13" s="7" t="s">
        <v>3373</v>
      </c>
      <c r="E13" s="7" t="s">
        <v>203</v>
      </c>
      <c r="F13" s="7"/>
      <c r="G13" s="7" t="s">
        <v>217</v>
      </c>
      <c r="H13" s="7" t="s">
        <v>245</v>
      </c>
      <c r="I13" s="7" t="s">
        <v>296</v>
      </c>
      <c r="J13" s="7" t="s">
        <v>211</v>
      </c>
      <c r="K13" s="7" t="s">
        <v>200</v>
      </c>
      <c r="L13" s="7" t="s">
        <v>297</v>
      </c>
      <c r="M13" s="7" t="s">
        <v>299</v>
      </c>
      <c r="N13" s="7" t="s">
        <v>3602</v>
      </c>
      <c r="O13" s="7" t="s">
        <v>3603</v>
      </c>
      <c r="P13" s="7">
        <v>4773829</v>
      </c>
      <c r="Q13" s="7" t="s">
        <v>3643</v>
      </c>
      <c r="R13" s="7" t="s">
        <v>203</v>
      </c>
      <c r="S13" s="7"/>
      <c r="T13" s="7" t="s">
        <v>208</v>
      </c>
      <c r="U13" s="7" t="s">
        <v>207</v>
      </c>
      <c r="V13" s="7" t="s">
        <v>3644</v>
      </c>
      <c r="W13" s="7" t="s">
        <v>211</v>
      </c>
      <c r="X13" s="7" t="s">
        <v>200</v>
      </c>
      <c r="Y13" s="7" t="s">
        <v>3645</v>
      </c>
      <c r="Z13" s="7" t="s">
        <v>3114</v>
      </c>
      <c r="AA13" s="7" t="s">
        <v>3623</v>
      </c>
      <c r="AB13" s="7" t="s">
        <v>3646</v>
      </c>
      <c r="AC13" s="7" t="s">
        <v>3659</v>
      </c>
      <c r="AD13" s="8">
        <v>45230</v>
      </c>
      <c r="AE13" s="8">
        <v>45260</v>
      </c>
      <c r="AF13" s="7" t="s">
        <v>3611</v>
      </c>
    </row>
    <row r="14" spans="1:32" ht="71.25" customHeight="1" x14ac:dyDescent="0.3">
      <c r="A14" s="5">
        <v>3246388</v>
      </c>
      <c r="B14" s="5" t="s">
        <v>295</v>
      </c>
      <c r="C14" s="5" t="s">
        <v>3660</v>
      </c>
      <c r="D14" s="5" t="s">
        <v>354</v>
      </c>
      <c r="E14" s="5" t="s">
        <v>203</v>
      </c>
      <c r="F14" s="5"/>
      <c r="G14" s="5" t="s">
        <v>217</v>
      </c>
      <c r="H14" s="5" t="s">
        <v>245</v>
      </c>
      <c r="I14" s="5" t="s">
        <v>296</v>
      </c>
      <c r="J14" s="5" t="s">
        <v>211</v>
      </c>
      <c r="K14" s="5" t="s">
        <v>200</v>
      </c>
      <c r="L14" s="5" t="s">
        <v>297</v>
      </c>
      <c r="M14" s="5" t="s">
        <v>299</v>
      </c>
      <c r="N14" s="5" t="s">
        <v>3602</v>
      </c>
      <c r="O14" s="5" t="s">
        <v>3603</v>
      </c>
      <c r="P14" s="5">
        <v>3506878</v>
      </c>
      <c r="Q14" s="5" t="s">
        <v>3661</v>
      </c>
      <c r="R14" s="5" t="s">
        <v>203</v>
      </c>
      <c r="S14" s="5"/>
      <c r="T14" s="5" t="s">
        <v>217</v>
      </c>
      <c r="U14" s="5" t="s">
        <v>207</v>
      </c>
      <c r="V14" s="5" t="s">
        <v>3662</v>
      </c>
      <c r="W14" s="5" t="s">
        <v>211</v>
      </c>
      <c r="X14" s="5" t="s">
        <v>200</v>
      </c>
      <c r="Y14" s="5" t="s">
        <v>3663</v>
      </c>
      <c r="Z14" s="5" t="s">
        <v>747</v>
      </c>
      <c r="AA14" s="5" t="s">
        <v>3602</v>
      </c>
      <c r="AB14" s="5" t="s">
        <v>3613</v>
      </c>
      <c r="AC14" s="5" t="s">
        <v>3664</v>
      </c>
      <c r="AD14" s="6">
        <v>45170</v>
      </c>
      <c r="AE14" s="6">
        <v>45351</v>
      </c>
      <c r="AF14" s="5" t="s">
        <v>3611</v>
      </c>
    </row>
    <row r="15" spans="1:32" ht="71.25" customHeight="1" x14ac:dyDescent="0.3">
      <c r="A15" s="7">
        <v>3246388</v>
      </c>
      <c r="B15" s="7" t="s">
        <v>295</v>
      </c>
      <c r="C15" s="7" t="s">
        <v>3665</v>
      </c>
      <c r="D15" s="7" t="s">
        <v>198</v>
      </c>
      <c r="E15" s="7" t="s">
        <v>203</v>
      </c>
      <c r="F15" s="7"/>
      <c r="G15" s="7" t="s">
        <v>217</v>
      </c>
      <c r="H15" s="7" t="s">
        <v>245</v>
      </c>
      <c r="I15" s="7" t="s">
        <v>296</v>
      </c>
      <c r="J15" s="7" t="s">
        <v>211</v>
      </c>
      <c r="K15" s="7" t="s">
        <v>200</v>
      </c>
      <c r="L15" s="7" t="s">
        <v>297</v>
      </c>
      <c r="M15" s="7" t="s">
        <v>299</v>
      </c>
      <c r="N15" s="7" t="s">
        <v>3602</v>
      </c>
      <c r="O15" s="7" t="s">
        <v>3603</v>
      </c>
      <c r="P15" s="7">
        <v>5000181</v>
      </c>
      <c r="Q15" s="7" t="s">
        <v>3666</v>
      </c>
      <c r="R15" s="7" t="s">
        <v>203</v>
      </c>
      <c r="S15" s="7" t="s">
        <v>218</v>
      </c>
      <c r="T15" s="7" t="s">
        <v>217</v>
      </c>
      <c r="U15" s="7" t="s">
        <v>245</v>
      </c>
      <c r="V15" s="7" t="s">
        <v>3667</v>
      </c>
      <c r="W15" s="7" t="s">
        <v>211</v>
      </c>
      <c r="X15" s="7" t="s">
        <v>200</v>
      </c>
      <c r="Y15" s="7" t="s">
        <v>3668</v>
      </c>
      <c r="Z15" s="7" t="s">
        <v>215</v>
      </c>
      <c r="AA15" s="7" t="s">
        <v>3623</v>
      </c>
      <c r="AB15" s="7" t="s">
        <v>3613</v>
      </c>
      <c r="AC15" s="7" t="s">
        <v>3669</v>
      </c>
      <c r="AD15" s="8">
        <v>45170</v>
      </c>
      <c r="AE15" s="8">
        <v>45351</v>
      </c>
      <c r="AF15" s="7" t="s">
        <v>3611</v>
      </c>
    </row>
    <row r="16" spans="1:32" ht="71.25" customHeight="1" x14ac:dyDescent="0.3">
      <c r="A16" s="5">
        <v>3246388</v>
      </c>
      <c r="B16" s="5" t="s">
        <v>295</v>
      </c>
      <c r="C16" s="5"/>
      <c r="D16" s="5" t="s">
        <v>354</v>
      </c>
      <c r="E16" s="5" t="s">
        <v>203</v>
      </c>
      <c r="F16" s="5"/>
      <c r="G16" s="5" t="s">
        <v>217</v>
      </c>
      <c r="H16" s="5" t="s">
        <v>245</v>
      </c>
      <c r="I16" s="5" t="s">
        <v>296</v>
      </c>
      <c r="J16" s="5" t="s">
        <v>211</v>
      </c>
      <c r="K16" s="5" t="s">
        <v>200</v>
      </c>
      <c r="L16" s="5" t="s">
        <v>297</v>
      </c>
      <c r="M16" s="5" t="s">
        <v>299</v>
      </c>
      <c r="N16" s="5" t="s">
        <v>3602</v>
      </c>
      <c r="O16" s="5" t="s">
        <v>3603</v>
      </c>
      <c r="P16" s="5">
        <v>3245489</v>
      </c>
      <c r="Q16" s="5" t="s">
        <v>3670</v>
      </c>
      <c r="R16" s="5" t="s">
        <v>203</v>
      </c>
      <c r="S16" s="5" t="s">
        <v>218</v>
      </c>
      <c r="T16" s="5" t="s">
        <v>217</v>
      </c>
      <c r="U16" s="5" t="s">
        <v>245</v>
      </c>
      <c r="V16" s="5" t="s">
        <v>264</v>
      </c>
      <c r="W16" s="5" t="s">
        <v>211</v>
      </c>
      <c r="X16" s="5" t="s">
        <v>200</v>
      </c>
      <c r="Y16" s="5" t="s">
        <v>3671</v>
      </c>
      <c r="Z16" s="5" t="s">
        <v>3634</v>
      </c>
      <c r="AA16" s="5" t="s">
        <v>3602</v>
      </c>
      <c r="AB16" s="5" t="s">
        <v>3635</v>
      </c>
      <c r="AC16" s="5" t="s">
        <v>3672</v>
      </c>
      <c r="AD16" s="6">
        <v>45173</v>
      </c>
      <c r="AE16" s="6">
        <v>45565</v>
      </c>
      <c r="AF16" s="5" t="s">
        <v>3611</v>
      </c>
    </row>
    <row r="17" spans="1:32" ht="51" customHeight="1" x14ac:dyDescent="0.3">
      <c r="A17" s="7">
        <v>2815966</v>
      </c>
      <c r="B17" s="7" t="s">
        <v>389</v>
      </c>
      <c r="C17" s="7" t="s">
        <v>3673</v>
      </c>
      <c r="D17" s="7" t="s">
        <v>198</v>
      </c>
      <c r="E17" s="7" t="s">
        <v>203</v>
      </c>
      <c r="F17" s="7"/>
      <c r="G17" s="7" t="s">
        <v>217</v>
      </c>
      <c r="H17" s="7" t="s">
        <v>245</v>
      </c>
      <c r="I17" s="7" t="s">
        <v>390</v>
      </c>
      <c r="J17" s="7" t="s">
        <v>211</v>
      </c>
      <c r="K17" s="7" t="s">
        <v>200</v>
      </c>
      <c r="L17" s="7" t="s">
        <v>391</v>
      </c>
      <c r="M17" s="7" t="s">
        <v>238</v>
      </c>
      <c r="N17" s="7" t="s">
        <v>3652</v>
      </c>
      <c r="O17" s="7" t="s">
        <v>3635</v>
      </c>
      <c r="P17" s="7">
        <v>5598613</v>
      </c>
      <c r="Q17" s="7" t="s">
        <v>3674</v>
      </c>
      <c r="R17" s="7" t="s">
        <v>203</v>
      </c>
      <c r="S17" s="7" t="s">
        <v>218</v>
      </c>
      <c r="T17" s="7" t="s">
        <v>217</v>
      </c>
      <c r="U17" s="7" t="s">
        <v>2330</v>
      </c>
      <c r="V17" s="7" t="s">
        <v>3615</v>
      </c>
      <c r="W17" s="7" t="s">
        <v>211</v>
      </c>
      <c r="X17" s="7" t="s">
        <v>200</v>
      </c>
      <c r="Y17" s="7" t="s">
        <v>3616</v>
      </c>
      <c r="Z17" s="7" t="s">
        <v>215</v>
      </c>
      <c r="AA17" s="7" t="s">
        <v>3617</v>
      </c>
      <c r="AB17" s="7" t="s">
        <v>3613</v>
      </c>
      <c r="AC17" s="7" t="s">
        <v>3675</v>
      </c>
      <c r="AD17" s="8">
        <v>45166</v>
      </c>
      <c r="AE17" s="7"/>
      <c r="AF17" s="7"/>
    </row>
    <row r="18" spans="1:32" ht="91.5" customHeight="1" x14ac:dyDescent="0.3">
      <c r="A18" s="5">
        <v>3246388</v>
      </c>
      <c r="B18" s="5" t="s">
        <v>295</v>
      </c>
      <c r="C18" s="5"/>
      <c r="D18" s="5" t="s">
        <v>198</v>
      </c>
      <c r="E18" s="5" t="s">
        <v>203</v>
      </c>
      <c r="F18" s="5"/>
      <c r="G18" s="5" t="s">
        <v>217</v>
      </c>
      <c r="H18" s="5" t="s">
        <v>245</v>
      </c>
      <c r="I18" s="5" t="s">
        <v>296</v>
      </c>
      <c r="J18" s="5" t="s">
        <v>211</v>
      </c>
      <c r="K18" s="5" t="s">
        <v>200</v>
      </c>
      <c r="L18" s="5" t="s">
        <v>297</v>
      </c>
      <c r="M18" s="5" t="s">
        <v>299</v>
      </c>
      <c r="N18" s="5" t="s">
        <v>3602</v>
      </c>
      <c r="O18" s="5" t="s">
        <v>3603</v>
      </c>
      <c r="P18" s="5">
        <v>4972279</v>
      </c>
      <c r="Q18" s="5" t="s">
        <v>3676</v>
      </c>
      <c r="R18" s="5"/>
      <c r="S18" s="5"/>
      <c r="T18" s="5" t="s">
        <v>208</v>
      </c>
      <c r="U18" s="5" t="s">
        <v>207</v>
      </c>
      <c r="V18" s="5"/>
      <c r="W18" s="5" t="s">
        <v>211</v>
      </c>
      <c r="X18" s="5"/>
      <c r="Y18" s="5"/>
      <c r="Z18" s="5"/>
      <c r="AA18" s="5" t="s">
        <v>3612</v>
      </c>
      <c r="AB18" s="5"/>
      <c r="AC18" s="5" t="s">
        <v>3677</v>
      </c>
      <c r="AD18" s="6">
        <v>45170</v>
      </c>
      <c r="AE18" s="6">
        <v>45351</v>
      </c>
      <c r="AF18" s="5" t="s">
        <v>3678</v>
      </c>
    </row>
    <row r="19" spans="1:32" ht="71.25" customHeight="1" x14ac:dyDescent="0.3">
      <c r="A19" s="7">
        <v>3246388</v>
      </c>
      <c r="B19" s="7" t="s">
        <v>295</v>
      </c>
      <c r="C19" s="7"/>
      <c r="D19" s="7" t="s">
        <v>354</v>
      </c>
      <c r="E19" s="7" t="s">
        <v>203</v>
      </c>
      <c r="F19" s="7"/>
      <c r="G19" s="7" t="s">
        <v>217</v>
      </c>
      <c r="H19" s="7" t="s">
        <v>245</v>
      </c>
      <c r="I19" s="7" t="s">
        <v>296</v>
      </c>
      <c r="J19" s="7" t="s">
        <v>211</v>
      </c>
      <c r="K19" s="7" t="s">
        <v>200</v>
      </c>
      <c r="L19" s="7" t="s">
        <v>297</v>
      </c>
      <c r="M19" s="7" t="s">
        <v>299</v>
      </c>
      <c r="N19" s="7" t="s">
        <v>3602</v>
      </c>
      <c r="O19" s="7" t="s">
        <v>3603</v>
      </c>
      <c r="P19" s="7">
        <v>3243990</v>
      </c>
      <c r="Q19" s="7" t="s">
        <v>3679</v>
      </c>
      <c r="R19" s="7" t="s">
        <v>203</v>
      </c>
      <c r="S19" s="7"/>
      <c r="T19" s="7" t="s">
        <v>217</v>
      </c>
      <c r="U19" s="7" t="s">
        <v>245</v>
      </c>
      <c r="V19" s="7" t="s">
        <v>3680</v>
      </c>
      <c r="W19" s="7" t="s">
        <v>211</v>
      </c>
      <c r="X19" s="7" t="s">
        <v>200</v>
      </c>
      <c r="Y19" s="7" t="s">
        <v>3681</v>
      </c>
      <c r="Z19" s="7" t="s">
        <v>339</v>
      </c>
      <c r="AA19" s="7" t="s">
        <v>3602</v>
      </c>
      <c r="AB19" s="7" t="s">
        <v>3609</v>
      </c>
      <c r="AC19" s="7" t="s">
        <v>3682</v>
      </c>
      <c r="AD19" s="8">
        <v>45170</v>
      </c>
      <c r="AE19" s="8">
        <v>45351</v>
      </c>
      <c r="AF19" s="7" t="s">
        <v>3611</v>
      </c>
    </row>
    <row r="20" spans="1:32" ht="71.25" customHeight="1" x14ac:dyDescent="0.3">
      <c r="A20" s="5">
        <v>3246388</v>
      </c>
      <c r="B20" s="5" t="s">
        <v>295</v>
      </c>
      <c r="C20" s="5"/>
      <c r="D20" s="5" t="s">
        <v>198</v>
      </c>
      <c r="E20" s="5" t="s">
        <v>203</v>
      </c>
      <c r="F20" s="5"/>
      <c r="G20" s="5" t="s">
        <v>217</v>
      </c>
      <c r="H20" s="5" t="s">
        <v>245</v>
      </c>
      <c r="I20" s="5" t="s">
        <v>296</v>
      </c>
      <c r="J20" s="5" t="s">
        <v>211</v>
      </c>
      <c r="K20" s="5" t="s">
        <v>200</v>
      </c>
      <c r="L20" s="5" t="s">
        <v>297</v>
      </c>
      <c r="M20" s="5" t="s">
        <v>299</v>
      </c>
      <c r="N20" s="5" t="s">
        <v>3602</v>
      </c>
      <c r="O20" s="5" t="s">
        <v>3603</v>
      </c>
      <c r="P20" s="5">
        <v>5367891</v>
      </c>
      <c r="Q20" s="5" t="s">
        <v>3683</v>
      </c>
      <c r="R20" s="5" t="s">
        <v>203</v>
      </c>
      <c r="S20" s="5"/>
      <c r="T20" s="5" t="s">
        <v>208</v>
      </c>
      <c r="U20" s="5" t="s">
        <v>207</v>
      </c>
      <c r="V20" s="5" t="s">
        <v>3684</v>
      </c>
      <c r="W20" s="5" t="s">
        <v>211</v>
      </c>
      <c r="X20" s="5" t="s">
        <v>200</v>
      </c>
      <c r="Y20" s="5" t="s">
        <v>3681</v>
      </c>
      <c r="Z20" s="5" t="s">
        <v>1904</v>
      </c>
      <c r="AA20" s="5" t="s">
        <v>3612</v>
      </c>
      <c r="AB20" s="5" t="s">
        <v>3613</v>
      </c>
      <c r="AC20" s="5" t="s">
        <v>3685</v>
      </c>
      <c r="AD20" s="6">
        <v>45170</v>
      </c>
      <c r="AE20" s="6">
        <v>45351</v>
      </c>
      <c r="AF20" s="5" t="s">
        <v>3611</v>
      </c>
    </row>
    <row r="21" spans="1:32" ht="71.25" customHeight="1" x14ac:dyDescent="0.3">
      <c r="A21" s="7">
        <v>3246388</v>
      </c>
      <c r="B21" s="7" t="s">
        <v>295</v>
      </c>
      <c r="C21" s="7"/>
      <c r="D21" s="7" t="s">
        <v>354</v>
      </c>
      <c r="E21" s="7" t="s">
        <v>203</v>
      </c>
      <c r="F21" s="7"/>
      <c r="G21" s="7" t="s">
        <v>217</v>
      </c>
      <c r="H21" s="7" t="s">
        <v>245</v>
      </c>
      <c r="I21" s="7" t="s">
        <v>296</v>
      </c>
      <c r="J21" s="7" t="s">
        <v>211</v>
      </c>
      <c r="K21" s="7" t="s">
        <v>200</v>
      </c>
      <c r="L21" s="7" t="s">
        <v>297</v>
      </c>
      <c r="M21" s="7" t="s">
        <v>299</v>
      </c>
      <c r="N21" s="7" t="s">
        <v>3602</v>
      </c>
      <c r="O21" s="7" t="s">
        <v>3603</v>
      </c>
      <c r="P21" s="7">
        <v>3505766</v>
      </c>
      <c r="Q21" s="7" t="s">
        <v>3686</v>
      </c>
      <c r="R21" s="7" t="s">
        <v>203</v>
      </c>
      <c r="S21" s="7"/>
      <c r="T21" s="7" t="s">
        <v>217</v>
      </c>
      <c r="U21" s="7" t="s">
        <v>245</v>
      </c>
      <c r="V21" s="7" t="s">
        <v>3684</v>
      </c>
      <c r="W21" s="7" t="s">
        <v>211</v>
      </c>
      <c r="X21" s="7" t="s">
        <v>200</v>
      </c>
      <c r="Y21" s="7" t="s">
        <v>3681</v>
      </c>
      <c r="Z21" s="7" t="s">
        <v>1511</v>
      </c>
      <c r="AA21" s="7" t="s">
        <v>3602</v>
      </c>
      <c r="AB21" s="7" t="s">
        <v>3609</v>
      </c>
      <c r="AC21" s="7" t="s">
        <v>3687</v>
      </c>
      <c r="AD21" s="8">
        <v>45170</v>
      </c>
      <c r="AE21" s="8">
        <v>45351</v>
      </c>
      <c r="AF21" s="7" t="s">
        <v>3611</v>
      </c>
    </row>
    <row r="22" spans="1:32" ht="30" customHeight="1" x14ac:dyDescent="0.3">
      <c r="A22" s="5">
        <v>3330370</v>
      </c>
      <c r="B22" s="5" t="s">
        <v>301</v>
      </c>
      <c r="C22" s="5" t="s">
        <v>3688</v>
      </c>
      <c r="D22" s="5" t="s">
        <v>354</v>
      </c>
      <c r="E22" s="5" t="s">
        <v>203</v>
      </c>
      <c r="F22" s="5" t="s">
        <v>262</v>
      </c>
      <c r="G22" s="5" t="s">
        <v>217</v>
      </c>
      <c r="H22" s="5" t="s">
        <v>207</v>
      </c>
      <c r="I22" s="5" t="s">
        <v>302</v>
      </c>
      <c r="J22" s="5" t="s">
        <v>257</v>
      </c>
      <c r="K22" s="5" t="s">
        <v>200</v>
      </c>
      <c r="L22" s="5" t="s">
        <v>303</v>
      </c>
      <c r="M22" s="5" t="s">
        <v>293</v>
      </c>
      <c r="N22" s="5" t="s">
        <v>3602</v>
      </c>
      <c r="O22" s="5" t="s">
        <v>3609</v>
      </c>
      <c r="P22" s="5">
        <v>3869865</v>
      </c>
      <c r="Q22" s="5" t="s">
        <v>3689</v>
      </c>
      <c r="R22" s="5" t="s">
        <v>203</v>
      </c>
      <c r="S22" s="5" t="s">
        <v>262</v>
      </c>
      <c r="T22" s="5" t="s">
        <v>217</v>
      </c>
      <c r="U22" s="5" t="s">
        <v>207</v>
      </c>
      <c r="V22" s="5" t="s">
        <v>3690</v>
      </c>
      <c r="W22" s="5" t="s">
        <v>257</v>
      </c>
      <c r="X22" s="5" t="s">
        <v>200</v>
      </c>
      <c r="Y22" s="5" t="s">
        <v>3691</v>
      </c>
      <c r="Z22" s="5" t="s">
        <v>3692</v>
      </c>
      <c r="AA22" s="5" t="s">
        <v>3608</v>
      </c>
      <c r="AB22" s="5" t="s">
        <v>3613</v>
      </c>
      <c r="AC22" s="5" t="s">
        <v>3693</v>
      </c>
      <c r="AD22" s="6">
        <v>45170</v>
      </c>
      <c r="AE22" s="6">
        <v>45566</v>
      </c>
      <c r="AF22" s="5"/>
    </row>
    <row r="23" spans="1:32" ht="40.5" customHeight="1" x14ac:dyDescent="0.3">
      <c r="A23" s="7">
        <v>4946073</v>
      </c>
      <c r="B23" s="7" t="s">
        <v>235</v>
      </c>
      <c r="C23" s="7" t="s">
        <v>3694</v>
      </c>
      <c r="D23" s="7" t="s">
        <v>198</v>
      </c>
      <c r="E23" s="7" t="s">
        <v>203</v>
      </c>
      <c r="F23" s="7" t="s">
        <v>218</v>
      </c>
      <c r="G23" s="7" t="s">
        <v>208</v>
      </c>
      <c r="H23" s="7" t="s">
        <v>207</v>
      </c>
      <c r="I23" s="7" t="s">
        <v>236</v>
      </c>
      <c r="J23" s="7" t="s">
        <v>211</v>
      </c>
      <c r="K23" s="7" t="s">
        <v>200</v>
      </c>
      <c r="L23" s="7" t="s">
        <v>237</v>
      </c>
      <c r="M23" s="7" t="s">
        <v>238</v>
      </c>
      <c r="N23" s="7" t="s">
        <v>3617</v>
      </c>
      <c r="O23" s="7" t="s">
        <v>3635</v>
      </c>
      <c r="P23" s="7">
        <v>5598613</v>
      </c>
      <c r="Q23" s="7" t="s">
        <v>3674</v>
      </c>
      <c r="R23" s="7" t="s">
        <v>203</v>
      </c>
      <c r="S23" s="7" t="s">
        <v>218</v>
      </c>
      <c r="T23" s="7" t="s">
        <v>217</v>
      </c>
      <c r="U23" s="7" t="s">
        <v>2330</v>
      </c>
      <c r="V23" s="7" t="s">
        <v>3615</v>
      </c>
      <c r="W23" s="7" t="s">
        <v>211</v>
      </c>
      <c r="X23" s="7" t="s">
        <v>200</v>
      </c>
      <c r="Y23" s="7" t="s">
        <v>3616</v>
      </c>
      <c r="Z23" s="7" t="s">
        <v>215</v>
      </c>
      <c r="AA23" s="7" t="s">
        <v>3617</v>
      </c>
      <c r="AB23" s="7" t="s">
        <v>3613</v>
      </c>
      <c r="AC23" s="7" t="s">
        <v>3695</v>
      </c>
      <c r="AD23" s="8">
        <v>45175</v>
      </c>
      <c r="AE23" s="8">
        <v>45175</v>
      </c>
      <c r="AF23" s="7"/>
    </row>
    <row r="24" spans="1:32" ht="40.5" customHeight="1" x14ac:dyDescent="0.3">
      <c r="A24" s="5">
        <v>4778561</v>
      </c>
      <c r="B24" s="5" t="s">
        <v>364</v>
      </c>
      <c r="C24" s="5"/>
      <c r="D24" s="5" t="s">
        <v>354</v>
      </c>
      <c r="E24" s="5" t="s">
        <v>203</v>
      </c>
      <c r="F24" s="5"/>
      <c r="G24" s="5" t="s">
        <v>208</v>
      </c>
      <c r="H24" s="5" t="s">
        <v>207</v>
      </c>
      <c r="I24" s="5" t="s">
        <v>365</v>
      </c>
      <c r="J24" s="5" t="s">
        <v>199</v>
      </c>
      <c r="K24" s="5" t="s">
        <v>200</v>
      </c>
      <c r="L24" s="5" t="s">
        <v>338</v>
      </c>
      <c r="M24" s="5" t="s">
        <v>293</v>
      </c>
      <c r="N24" s="5" t="s">
        <v>3608</v>
      </c>
      <c r="O24" s="5" t="s">
        <v>3609</v>
      </c>
      <c r="P24" s="5">
        <v>5173353</v>
      </c>
      <c r="Q24" s="5" t="s">
        <v>3696</v>
      </c>
      <c r="R24" s="5"/>
      <c r="S24" s="5"/>
      <c r="T24" s="5" t="s">
        <v>217</v>
      </c>
      <c r="U24" s="5" t="s">
        <v>207</v>
      </c>
      <c r="V24" s="5"/>
      <c r="W24" s="5" t="s">
        <v>199</v>
      </c>
      <c r="X24" s="5"/>
      <c r="Y24" s="5"/>
      <c r="Z24" s="5"/>
      <c r="AA24" s="5" t="s">
        <v>3612</v>
      </c>
      <c r="AB24" s="5"/>
      <c r="AC24" s="5" t="s">
        <v>3697</v>
      </c>
      <c r="AD24" s="6">
        <v>45236</v>
      </c>
      <c r="AE24" s="6">
        <v>45249</v>
      </c>
      <c r="AF24" s="5"/>
    </row>
    <row r="25" spans="1:32" ht="40.5" customHeight="1" x14ac:dyDescent="0.3">
      <c r="A25" s="7">
        <v>3511480</v>
      </c>
      <c r="B25" s="7" t="s">
        <v>3698</v>
      </c>
      <c r="C25" s="7" t="s">
        <v>3699</v>
      </c>
      <c r="D25" s="7" t="s">
        <v>198</v>
      </c>
      <c r="E25" s="7"/>
      <c r="F25" s="7" t="s">
        <v>218</v>
      </c>
      <c r="G25" s="7" t="s">
        <v>208</v>
      </c>
      <c r="H25" s="7" t="s">
        <v>233</v>
      </c>
      <c r="I25" s="7"/>
      <c r="J25" s="7" t="s">
        <v>211</v>
      </c>
      <c r="K25" s="7"/>
      <c r="L25" s="7"/>
      <c r="M25" s="7"/>
      <c r="N25" s="7" t="s">
        <v>3608</v>
      </c>
      <c r="O25" s="7"/>
      <c r="P25" s="7">
        <v>5595541</v>
      </c>
      <c r="Q25" s="7" t="s">
        <v>3700</v>
      </c>
      <c r="R25" s="7" t="s">
        <v>651</v>
      </c>
      <c r="S25" s="7" t="s">
        <v>218</v>
      </c>
      <c r="T25" s="7" t="s">
        <v>217</v>
      </c>
      <c r="U25" s="7" t="s">
        <v>207</v>
      </c>
      <c r="V25" s="7" t="s">
        <v>270</v>
      </c>
      <c r="W25" s="7" t="s">
        <v>211</v>
      </c>
      <c r="X25" s="7" t="s">
        <v>200</v>
      </c>
      <c r="Y25" s="7" t="s">
        <v>3701</v>
      </c>
      <c r="Z25" s="7" t="s">
        <v>205</v>
      </c>
      <c r="AA25" s="7" t="s">
        <v>3612</v>
      </c>
      <c r="AB25" s="7" t="s">
        <v>3702</v>
      </c>
      <c r="AC25" s="7" t="s">
        <v>3703</v>
      </c>
      <c r="AD25" s="8">
        <v>44937</v>
      </c>
      <c r="AE25" s="8">
        <v>44937</v>
      </c>
      <c r="AF25" s="7"/>
    </row>
    <row r="26" spans="1:32" ht="71.25" customHeight="1" x14ac:dyDescent="0.3">
      <c r="A26" s="5">
        <v>5084725</v>
      </c>
      <c r="B26" s="5" t="s">
        <v>2689</v>
      </c>
      <c r="C26" s="5" t="s">
        <v>3704</v>
      </c>
      <c r="D26" s="5" t="s">
        <v>198</v>
      </c>
      <c r="E26" s="5" t="s">
        <v>203</v>
      </c>
      <c r="F26" s="5" t="s">
        <v>234</v>
      </c>
      <c r="G26" s="5" t="s">
        <v>208</v>
      </c>
      <c r="H26" s="5" t="s">
        <v>207</v>
      </c>
      <c r="I26" s="5" t="s">
        <v>2690</v>
      </c>
      <c r="J26" s="5" t="s">
        <v>227</v>
      </c>
      <c r="K26" s="5" t="s">
        <v>200</v>
      </c>
      <c r="L26" s="5" t="s">
        <v>1963</v>
      </c>
      <c r="M26" s="5" t="s">
        <v>1445</v>
      </c>
      <c r="N26" s="5" t="s">
        <v>3623</v>
      </c>
      <c r="O26" s="5" t="s">
        <v>3705</v>
      </c>
      <c r="P26" s="5">
        <v>5309697</v>
      </c>
      <c r="Q26" s="5" t="s">
        <v>3706</v>
      </c>
      <c r="R26" s="5" t="s">
        <v>203</v>
      </c>
      <c r="S26" s="5" t="s">
        <v>234</v>
      </c>
      <c r="T26" s="5" t="s">
        <v>208</v>
      </c>
      <c r="U26" s="5" t="s">
        <v>207</v>
      </c>
      <c r="V26" s="5" t="s">
        <v>3707</v>
      </c>
      <c r="W26" s="5" t="s">
        <v>227</v>
      </c>
      <c r="X26" s="5" t="s">
        <v>200</v>
      </c>
      <c r="Y26" s="5" t="s">
        <v>1937</v>
      </c>
      <c r="Z26" s="5" t="s">
        <v>3104</v>
      </c>
      <c r="AA26" s="5" t="s">
        <v>3623</v>
      </c>
      <c r="AB26" s="5" t="s">
        <v>3635</v>
      </c>
      <c r="AC26" s="5" t="s">
        <v>3708</v>
      </c>
      <c r="AD26" s="6">
        <v>44935</v>
      </c>
      <c r="AE26" s="6">
        <v>45443</v>
      </c>
      <c r="AF26" s="5" t="s">
        <v>3709</v>
      </c>
    </row>
    <row r="27" spans="1:32" ht="102" customHeight="1" x14ac:dyDescent="0.3">
      <c r="A27" s="7">
        <v>7552793</v>
      </c>
      <c r="B27" s="7" t="s">
        <v>3356</v>
      </c>
      <c r="C27" s="7" t="s">
        <v>3710</v>
      </c>
      <c r="D27" s="7" t="s">
        <v>198</v>
      </c>
      <c r="E27" s="7" t="s">
        <v>203</v>
      </c>
      <c r="F27" s="7" t="s">
        <v>234</v>
      </c>
      <c r="G27" s="7" t="s">
        <v>217</v>
      </c>
      <c r="H27" s="7" t="s">
        <v>207</v>
      </c>
      <c r="I27" s="7" t="s">
        <v>3357</v>
      </c>
      <c r="J27" s="7" t="s">
        <v>227</v>
      </c>
      <c r="K27" s="7" t="s">
        <v>200</v>
      </c>
      <c r="L27" s="7" t="s">
        <v>3358</v>
      </c>
      <c r="M27" s="7" t="s">
        <v>3359</v>
      </c>
      <c r="N27" s="7" t="s">
        <v>3612</v>
      </c>
      <c r="O27" s="7" t="s">
        <v>3711</v>
      </c>
      <c r="P27" s="7">
        <v>5238730</v>
      </c>
      <c r="Q27" s="7" t="s">
        <v>3712</v>
      </c>
      <c r="R27" s="7"/>
      <c r="S27" s="7" t="s">
        <v>234</v>
      </c>
      <c r="T27" s="7" t="s">
        <v>208</v>
      </c>
      <c r="U27" s="7" t="s">
        <v>207</v>
      </c>
      <c r="V27" s="7"/>
      <c r="W27" s="7" t="s">
        <v>227</v>
      </c>
      <c r="X27" s="7"/>
      <c r="Y27" s="7"/>
      <c r="Z27" s="7"/>
      <c r="AA27" s="7" t="s">
        <v>3612</v>
      </c>
      <c r="AB27" s="7"/>
      <c r="AC27" s="7" t="s">
        <v>3713</v>
      </c>
      <c r="AD27" s="8">
        <v>45047</v>
      </c>
      <c r="AE27" s="8">
        <v>45412</v>
      </c>
      <c r="AF27" s="7"/>
    </row>
    <row r="28" spans="1:32" ht="397.5" customHeight="1" x14ac:dyDescent="0.3">
      <c r="A28" s="5">
        <v>4942027</v>
      </c>
      <c r="B28" s="5" t="s">
        <v>2479</v>
      </c>
      <c r="C28" s="5" t="s">
        <v>3714</v>
      </c>
      <c r="D28" s="5" t="s">
        <v>198</v>
      </c>
      <c r="E28" s="5" t="s">
        <v>203</v>
      </c>
      <c r="F28" s="5" t="s">
        <v>418</v>
      </c>
      <c r="G28" s="5" t="s">
        <v>217</v>
      </c>
      <c r="H28" s="5" t="s">
        <v>245</v>
      </c>
      <c r="I28" s="5" t="s">
        <v>1359</v>
      </c>
      <c r="J28" s="5" t="s">
        <v>227</v>
      </c>
      <c r="K28" s="5" t="s">
        <v>200</v>
      </c>
      <c r="L28" s="5" t="s">
        <v>784</v>
      </c>
      <c r="M28" s="5" t="s">
        <v>785</v>
      </c>
      <c r="N28" s="5" t="s">
        <v>3623</v>
      </c>
      <c r="O28" s="5" t="s">
        <v>3715</v>
      </c>
      <c r="P28" s="5">
        <v>4860098</v>
      </c>
      <c r="Q28" s="5" t="s">
        <v>3716</v>
      </c>
      <c r="R28" s="5" t="s">
        <v>203</v>
      </c>
      <c r="S28" s="5" t="s">
        <v>444</v>
      </c>
      <c r="T28" s="5" t="s">
        <v>217</v>
      </c>
      <c r="U28" s="5" t="s">
        <v>207</v>
      </c>
      <c r="V28" s="5" t="s">
        <v>3717</v>
      </c>
      <c r="W28" s="5" t="s">
        <v>227</v>
      </c>
      <c r="X28" s="5" t="s">
        <v>200</v>
      </c>
      <c r="Y28" s="5" t="s">
        <v>3718</v>
      </c>
      <c r="Z28" s="5" t="s">
        <v>3719</v>
      </c>
      <c r="AA28" s="5" t="s">
        <v>3608</v>
      </c>
      <c r="AB28" s="5" t="s">
        <v>3702</v>
      </c>
      <c r="AC28" s="5" t="s">
        <v>3720</v>
      </c>
      <c r="AD28" s="6">
        <v>45156</v>
      </c>
      <c r="AE28" s="6">
        <v>45351</v>
      </c>
      <c r="AF28" s="5"/>
    </row>
    <row r="29" spans="1:32" ht="71.25" customHeight="1" x14ac:dyDescent="0.3">
      <c r="A29" s="7">
        <v>5266106</v>
      </c>
      <c r="B29" s="7" t="s">
        <v>3032</v>
      </c>
      <c r="C29" s="7" t="s">
        <v>3721</v>
      </c>
      <c r="D29" s="7" t="s">
        <v>198</v>
      </c>
      <c r="E29" s="7" t="s">
        <v>203</v>
      </c>
      <c r="F29" s="7" t="s">
        <v>444</v>
      </c>
      <c r="G29" s="7" t="s">
        <v>217</v>
      </c>
      <c r="H29" s="7" t="s">
        <v>233</v>
      </c>
      <c r="I29" s="7" t="s">
        <v>994</v>
      </c>
      <c r="J29" s="7" t="s">
        <v>227</v>
      </c>
      <c r="K29" s="7" t="s">
        <v>200</v>
      </c>
      <c r="L29" s="7" t="s">
        <v>2067</v>
      </c>
      <c r="M29" s="7" t="s">
        <v>1015</v>
      </c>
      <c r="N29" s="7" t="s">
        <v>3623</v>
      </c>
      <c r="O29" s="7" t="s">
        <v>3630</v>
      </c>
      <c r="P29" s="7">
        <v>5183855</v>
      </c>
      <c r="Q29" s="7" t="s">
        <v>3722</v>
      </c>
      <c r="R29" s="7" t="s">
        <v>203</v>
      </c>
      <c r="S29" s="7" t="s">
        <v>234</v>
      </c>
      <c r="T29" s="7" t="s">
        <v>217</v>
      </c>
      <c r="U29" s="7" t="s">
        <v>2330</v>
      </c>
      <c r="V29" s="7" t="s">
        <v>3723</v>
      </c>
      <c r="W29" s="7" t="s">
        <v>227</v>
      </c>
      <c r="X29" s="7" t="s">
        <v>200</v>
      </c>
      <c r="Y29" s="7" t="s">
        <v>3724</v>
      </c>
      <c r="Z29" s="7" t="s">
        <v>982</v>
      </c>
      <c r="AA29" s="7" t="s">
        <v>3623</v>
      </c>
      <c r="AB29" s="7" t="s">
        <v>3725</v>
      </c>
      <c r="AC29" s="7" t="s">
        <v>3726</v>
      </c>
      <c r="AD29" s="8">
        <v>44971</v>
      </c>
      <c r="AE29" s="8">
        <v>45639</v>
      </c>
      <c r="AF29" s="7"/>
    </row>
    <row r="30" spans="1:32" ht="40.5" customHeight="1" x14ac:dyDescent="0.3">
      <c r="A30" s="5">
        <v>2285681</v>
      </c>
      <c r="B30" s="5" t="s">
        <v>950</v>
      </c>
      <c r="C30" s="5"/>
      <c r="D30" s="5" t="s">
        <v>3373</v>
      </c>
      <c r="E30" s="5" t="s">
        <v>203</v>
      </c>
      <c r="F30" s="5" t="s">
        <v>433</v>
      </c>
      <c r="G30" s="5" t="s">
        <v>208</v>
      </c>
      <c r="H30" s="5" t="s">
        <v>233</v>
      </c>
      <c r="I30" s="5" t="s">
        <v>951</v>
      </c>
      <c r="J30" s="5" t="s">
        <v>227</v>
      </c>
      <c r="K30" s="5" t="s">
        <v>200</v>
      </c>
      <c r="L30" s="5" t="s">
        <v>952</v>
      </c>
      <c r="M30" s="5" t="s">
        <v>953</v>
      </c>
      <c r="N30" s="5" t="s">
        <v>3652</v>
      </c>
      <c r="O30" s="5" t="s">
        <v>3727</v>
      </c>
      <c r="P30" s="5">
        <v>5516307</v>
      </c>
      <c r="Q30" s="5" t="s">
        <v>3728</v>
      </c>
      <c r="R30" s="5"/>
      <c r="S30" s="5" t="s">
        <v>234</v>
      </c>
      <c r="T30" s="5" t="s">
        <v>208</v>
      </c>
      <c r="U30" s="5" t="s">
        <v>207</v>
      </c>
      <c r="V30" s="5"/>
      <c r="W30" s="5" t="s">
        <v>227</v>
      </c>
      <c r="X30" s="5"/>
      <c r="Y30" s="5"/>
      <c r="Z30" s="5"/>
      <c r="AA30" s="5" t="s">
        <v>3729</v>
      </c>
      <c r="AB30" s="5"/>
      <c r="AC30" s="5" t="s">
        <v>3730</v>
      </c>
      <c r="AD30" s="6">
        <v>44855</v>
      </c>
      <c r="AE30" s="5"/>
      <c r="AF30" s="5"/>
    </row>
    <row r="31" spans="1:32" ht="40.5" customHeight="1" x14ac:dyDescent="0.3">
      <c r="A31" s="7">
        <v>5467845</v>
      </c>
      <c r="B31" s="7" t="s">
        <v>3731</v>
      </c>
      <c r="C31" s="7"/>
      <c r="D31" s="7" t="s">
        <v>198</v>
      </c>
      <c r="E31" s="7"/>
      <c r="F31" s="7" t="s">
        <v>234</v>
      </c>
      <c r="G31" s="7" t="s">
        <v>208</v>
      </c>
      <c r="H31" s="7" t="s">
        <v>207</v>
      </c>
      <c r="I31" s="7"/>
      <c r="J31" s="7" t="s">
        <v>227</v>
      </c>
      <c r="K31" s="7"/>
      <c r="L31" s="7"/>
      <c r="M31" s="7"/>
      <c r="N31" s="7" t="s">
        <v>3732</v>
      </c>
      <c r="O31" s="7"/>
      <c r="P31" s="7">
        <v>5573874</v>
      </c>
      <c r="Q31" s="7" t="s">
        <v>3733</v>
      </c>
      <c r="R31" s="7" t="s">
        <v>203</v>
      </c>
      <c r="S31" s="7" t="s">
        <v>234</v>
      </c>
      <c r="T31" s="7" t="s">
        <v>217</v>
      </c>
      <c r="U31" s="7" t="s">
        <v>207</v>
      </c>
      <c r="V31" s="7" t="s">
        <v>3734</v>
      </c>
      <c r="W31" s="7" t="s">
        <v>227</v>
      </c>
      <c r="X31" s="7" t="s">
        <v>200</v>
      </c>
      <c r="Y31" s="7" t="s">
        <v>1937</v>
      </c>
      <c r="Z31" s="7" t="s">
        <v>3104</v>
      </c>
      <c r="AA31" s="7" t="s">
        <v>3612</v>
      </c>
      <c r="AB31" s="7" t="s">
        <v>3635</v>
      </c>
      <c r="AC31" s="7" t="s">
        <v>3735</v>
      </c>
      <c r="AD31" s="8">
        <v>45063</v>
      </c>
      <c r="AE31" s="7"/>
      <c r="AF31" s="7"/>
    </row>
    <row r="32" spans="1:32" ht="30" customHeight="1" x14ac:dyDescent="0.3">
      <c r="A32" s="5">
        <v>2053527</v>
      </c>
      <c r="B32" s="5" t="s">
        <v>659</v>
      </c>
      <c r="C32" s="5"/>
      <c r="D32" s="5" t="s">
        <v>198</v>
      </c>
      <c r="E32" s="5" t="s">
        <v>203</v>
      </c>
      <c r="F32" s="5" t="s">
        <v>444</v>
      </c>
      <c r="G32" s="5" t="s">
        <v>208</v>
      </c>
      <c r="H32" s="5" t="s">
        <v>233</v>
      </c>
      <c r="I32" s="5" t="s">
        <v>660</v>
      </c>
      <c r="J32" s="5" t="s">
        <v>227</v>
      </c>
      <c r="K32" s="5" t="s">
        <v>200</v>
      </c>
      <c r="L32" s="5" t="s">
        <v>661</v>
      </c>
      <c r="M32" s="5" t="s">
        <v>662</v>
      </c>
      <c r="N32" s="5" t="s">
        <v>3652</v>
      </c>
      <c r="O32" s="5" t="s">
        <v>3736</v>
      </c>
      <c r="P32" s="5">
        <v>5114713</v>
      </c>
      <c r="Q32" s="5" t="s">
        <v>3737</v>
      </c>
      <c r="R32" s="5" t="s">
        <v>203</v>
      </c>
      <c r="S32" s="5" t="s">
        <v>418</v>
      </c>
      <c r="T32" s="5" t="s">
        <v>208</v>
      </c>
      <c r="U32" s="5" t="s">
        <v>207</v>
      </c>
      <c r="V32" s="5" t="s">
        <v>3738</v>
      </c>
      <c r="W32" s="5" t="s">
        <v>227</v>
      </c>
      <c r="X32" s="5" t="s">
        <v>200</v>
      </c>
      <c r="Y32" s="5" t="s">
        <v>3739</v>
      </c>
      <c r="Z32" s="5" t="s">
        <v>3740</v>
      </c>
      <c r="AA32" s="5" t="s">
        <v>3729</v>
      </c>
      <c r="AB32" s="5" t="s">
        <v>3741</v>
      </c>
      <c r="AC32" s="5" t="s">
        <v>3742</v>
      </c>
      <c r="AD32" s="6">
        <v>45264</v>
      </c>
      <c r="AE32" s="5"/>
      <c r="AF32" s="5"/>
    </row>
    <row r="33" spans="1:32" ht="30" customHeight="1" x14ac:dyDescent="0.3">
      <c r="A33" s="7">
        <v>5478960</v>
      </c>
      <c r="B33" s="7" t="s">
        <v>3253</v>
      </c>
      <c r="C33" s="7"/>
      <c r="D33" s="7" t="s">
        <v>198</v>
      </c>
      <c r="E33" s="7" t="s">
        <v>203</v>
      </c>
      <c r="F33" s="7" t="s">
        <v>444</v>
      </c>
      <c r="G33" s="7" t="s">
        <v>208</v>
      </c>
      <c r="H33" s="7" t="s">
        <v>245</v>
      </c>
      <c r="I33" s="7" t="s">
        <v>3254</v>
      </c>
      <c r="J33" s="7" t="s">
        <v>227</v>
      </c>
      <c r="K33" s="7" t="s">
        <v>200</v>
      </c>
      <c r="L33" s="7" t="s">
        <v>981</v>
      </c>
      <c r="M33" s="7" t="s">
        <v>848</v>
      </c>
      <c r="N33" s="7" t="s">
        <v>3612</v>
      </c>
      <c r="O33" s="7" t="s">
        <v>3743</v>
      </c>
      <c r="P33" s="7">
        <v>5498783</v>
      </c>
      <c r="Q33" s="7" t="s">
        <v>3262</v>
      </c>
      <c r="R33" s="7" t="s">
        <v>203</v>
      </c>
      <c r="S33" s="7" t="s">
        <v>418</v>
      </c>
      <c r="T33" s="7" t="s">
        <v>217</v>
      </c>
      <c r="U33" s="7" t="s">
        <v>207</v>
      </c>
      <c r="V33" s="7" t="s">
        <v>3263</v>
      </c>
      <c r="W33" s="7" t="s">
        <v>227</v>
      </c>
      <c r="X33" s="7" t="s">
        <v>200</v>
      </c>
      <c r="Y33" s="7" t="s">
        <v>3178</v>
      </c>
      <c r="Z33" s="7" t="s">
        <v>1203</v>
      </c>
      <c r="AA33" s="7" t="s">
        <v>3612</v>
      </c>
      <c r="AB33" s="7" t="s">
        <v>3743</v>
      </c>
      <c r="AC33" s="7" t="s">
        <v>3744</v>
      </c>
      <c r="AD33" s="8">
        <v>44986</v>
      </c>
      <c r="AE33" s="7"/>
      <c r="AF33" s="7"/>
    </row>
    <row r="34" spans="1:32" ht="40.5" customHeight="1" x14ac:dyDescent="0.3">
      <c r="A34" s="5">
        <v>2404028</v>
      </c>
      <c r="B34" s="5" t="s">
        <v>1121</v>
      </c>
      <c r="C34" s="5" t="s">
        <v>3745</v>
      </c>
      <c r="D34" s="5" t="s">
        <v>198</v>
      </c>
      <c r="E34" s="5" t="s">
        <v>203</v>
      </c>
      <c r="F34" s="5" t="s">
        <v>433</v>
      </c>
      <c r="G34" s="5" t="s">
        <v>217</v>
      </c>
      <c r="H34" s="5" t="s">
        <v>233</v>
      </c>
      <c r="I34" s="5" t="s">
        <v>1122</v>
      </c>
      <c r="J34" s="5" t="s">
        <v>227</v>
      </c>
      <c r="K34" s="5" t="s">
        <v>200</v>
      </c>
      <c r="L34" s="5" t="s">
        <v>1123</v>
      </c>
      <c r="M34" s="5" t="s">
        <v>482</v>
      </c>
      <c r="N34" s="5" t="s">
        <v>3652</v>
      </c>
      <c r="O34" s="5" t="s">
        <v>3635</v>
      </c>
      <c r="P34" s="5">
        <v>4793854</v>
      </c>
      <c r="Q34" s="5" t="s">
        <v>3746</v>
      </c>
      <c r="R34" s="5"/>
      <c r="S34" s="5" t="s">
        <v>262</v>
      </c>
      <c r="T34" s="5" t="s">
        <v>208</v>
      </c>
      <c r="U34" s="5" t="s">
        <v>233</v>
      </c>
      <c r="V34" s="5"/>
      <c r="W34" s="5" t="s">
        <v>257</v>
      </c>
      <c r="X34" s="5"/>
      <c r="Y34" s="5"/>
      <c r="Z34" s="5"/>
      <c r="AA34" s="5" t="s">
        <v>3623</v>
      </c>
      <c r="AB34" s="5"/>
      <c r="AC34" s="5" t="s">
        <v>3747</v>
      </c>
      <c r="AD34" s="6">
        <v>45260</v>
      </c>
      <c r="AE34" s="6">
        <v>45535</v>
      </c>
      <c r="AF34" s="5"/>
    </row>
    <row r="35" spans="1:32" ht="40.5" customHeight="1" x14ac:dyDescent="0.3">
      <c r="A35" s="7">
        <v>2010879</v>
      </c>
      <c r="B35" s="7" t="s">
        <v>3748</v>
      </c>
      <c r="C35" s="7"/>
      <c r="D35" s="7" t="s">
        <v>198</v>
      </c>
      <c r="E35" s="7"/>
      <c r="F35" s="7" t="s">
        <v>433</v>
      </c>
      <c r="G35" s="7" t="s">
        <v>208</v>
      </c>
      <c r="H35" s="7" t="s">
        <v>233</v>
      </c>
      <c r="I35" s="7"/>
      <c r="J35" s="7" t="s">
        <v>227</v>
      </c>
      <c r="K35" s="7"/>
      <c r="L35" s="7"/>
      <c r="M35" s="7"/>
      <c r="N35" s="7" t="s">
        <v>3652</v>
      </c>
      <c r="O35" s="7"/>
      <c r="P35" s="7">
        <v>2627388</v>
      </c>
      <c r="Q35" s="7" t="s">
        <v>1092</v>
      </c>
      <c r="R35" s="7" t="s">
        <v>203</v>
      </c>
      <c r="S35" s="7" t="s">
        <v>433</v>
      </c>
      <c r="T35" s="7" t="s">
        <v>208</v>
      </c>
      <c r="U35" s="7" t="s">
        <v>245</v>
      </c>
      <c r="V35" s="7" t="s">
        <v>1093</v>
      </c>
      <c r="W35" s="7" t="s">
        <v>227</v>
      </c>
      <c r="X35" s="7" t="s">
        <v>200</v>
      </c>
      <c r="Y35" s="7" t="s">
        <v>1094</v>
      </c>
      <c r="Z35" s="7" t="s">
        <v>815</v>
      </c>
      <c r="AA35" s="7" t="s">
        <v>3652</v>
      </c>
      <c r="AB35" s="7" t="s">
        <v>3613</v>
      </c>
      <c r="AC35" s="7" t="s">
        <v>3749</v>
      </c>
      <c r="AD35" s="8">
        <v>45108</v>
      </c>
      <c r="AE35" s="8">
        <v>45473</v>
      </c>
      <c r="AF35" s="7"/>
    </row>
    <row r="36" spans="1:32" ht="30" customHeight="1" x14ac:dyDescent="0.3">
      <c r="A36" s="5">
        <v>4610016</v>
      </c>
      <c r="B36" s="5" t="s">
        <v>1853</v>
      </c>
      <c r="C36" s="5" t="s">
        <v>3750</v>
      </c>
      <c r="D36" s="5" t="s">
        <v>198</v>
      </c>
      <c r="E36" s="5" t="s">
        <v>203</v>
      </c>
      <c r="F36" s="5" t="s">
        <v>444</v>
      </c>
      <c r="G36" s="5" t="s">
        <v>208</v>
      </c>
      <c r="H36" s="5" t="s">
        <v>245</v>
      </c>
      <c r="I36" s="5" t="s">
        <v>629</v>
      </c>
      <c r="J36" s="5" t="s">
        <v>227</v>
      </c>
      <c r="K36" s="5" t="s">
        <v>200</v>
      </c>
      <c r="L36" s="5" t="s">
        <v>630</v>
      </c>
      <c r="M36" s="5" t="s">
        <v>555</v>
      </c>
      <c r="N36" s="5" t="s">
        <v>3602</v>
      </c>
      <c r="O36" s="5" t="s">
        <v>3751</v>
      </c>
      <c r="P36" s="5">
        <v>5522633</v>
      </c>
      <c r="Q36" s="5" t="s">
        <v>3752</v>
      </c>
      <c r="R36" s="5" t="s">
        <v>203</v>
      </c>
      <c r="S36" s="5" t="s">
        <v>234</v>
      </c>
      <c r="T36" s="5" t="s">
        <v>217</v>
      </c>
      <c r="U36" s="5" t="s">
        <v>207</v>
      </c>
      <c r="V36" s="5" t="s">
        <v>3753</v>
      </c>
      <c r="W36" s="5" t="s">
        <v>227</v>
      </c>
      <c r="X36" s="5" t="s">
        <v>200</v>
      </c>
      <c r="Y36" s="5" t="s">
        <v>2538</v>
      </c>
      <c r="Z36" s="5" t="s">
        <v>2539</v>
      </c>
      <c r="AA36" s="5" t="s">
        <v>3612</v>
      </c>
      <c r="AB36" s="5" t="s">
        <v>3754</v>
      </c>
      <c r="AC36" s="5" t="s">
        <v>3755</v>
      </c>
      <c r="AD36" s="6">
        <v>45108</v>
      </c>
      <c r="AE36" s="6">
        <v>45474</v>
      </c>
      <c r="AF36" s="5"/>
    </row>
    <row r="37" spans="1:32" ht="40.5" customHeight="1" x14ac:dyDescent="0.3">
      <c r="A37" s="7">
        <v>4792718</v>
      </c>
      <c r="B37" s="7" t="s">
        <v>3756</v>
      </c>
      <c r="C37" s="7"/>
      <c r="D37" s="7" t="s">
        <v>862</v>
      </c>
      <c r="E37" s="7"/>
      <c r="F37" s="7" t="s">
        <v>433</v>
      </c>
      <c r="G37" s="7" t="s">
        <v>208</v>
      </c>
      <c r="H37" s="7" t="s">
        <v>207</v>
      </c>
      <c r="I37" s="7"/>
      <c r="J37" s="7" t="s">
        <v>227</v>
      </c>
      <c r="K37" s="7"/>
      <c r="L37" s="7"/>
      <c r="M37" s="7"/>
      <c r="N37" s="7" t="s">
        <v>3608</v>
      </c>
      <c r="O37" s="7"/>
      <c r="P37" s="7">
        <v>4765745</v>
      </c>
      <c r="Q37" s="7" t="s">
        <v>3757</v>
      </c>
      <c r="R37" s="7"/>
      <c r="S37" s="7" t="s">
        <v>234</v>
      </c>
      <c r="T37" s="7" t="s">
        <v>208</v>
      </c>
      <c r="U37" s="7" t="s">
        <v>207</v>
      </c>
      <c r="V37" s="7"/>
      <c r="W37" s="7" t="s">
        <v>227</v>
      </c>
      <c r="X37" s="7"/>
      <c r="Y37" s="7"/>
      <c r="Z37" s="7"/>
      <c r="AA37" s="7" t="s">
        <v>3608</v>
      </c>
      <c r="AB37" s="7"/>
      <c r="AC37" s="7" t="s">
        <v>3758</v>
      </c>
      <c r="AD37" s="8">
        <v>45231</v>
      </c>
      <c r="AE37" s="8">
        <v>45443</v>
      </c>
      <c r="AF37" s="7"/>
    </row>
    <row r="38" spans="1:32" ht="71.25" customHeight="1" x14ac:dyDescent="0.3">
      <c r="A38" s="5">
        <v>3486850</v>
      </c>
      <c r="B38" s="5" t="s">
        <v>1392</v>
      </c>
      <c r="C38" s="5" t="s">
        <v>3759</v>
      </c>
      <c r="D38" s="5" t="s">
        <v>198</v>
      </c>
      <c r="E38" s="5" t="s">
        <v>203</v>
      </c>
      <c r="F38" s="5" t="s">
        <v>418</v>
      </c>
      <c r="G38" s="5" t="s">
        <v>208</v>
      </c>
      <c r="H38" s="5" t="s">
        <v>245</v>
      </c>
      <c r="I38" s="5" t="s">
        <v>1393</v>
      </c>
      <c r="J38" s="5" t="s">
        <v>227</v>
      </c>
      <c r="K38" s="5" t="s">
        <v>888</v>
      </c>
      <c r="L38" s="5" t="s">
        <v>1394</v>
      </c>
      <c r="M38" s="5" t="s">
        <v>1395</v>
      </c>
      <c r="N38" s="5" t="s">
        <v>3602</v>
      </c>
      <c r="O38" s="5" t="s">
        <v>3727</v>
      </c>
      <c r="P38" s="5">
        <v>3614263</v>
      </c>
      <c r="Q38" s="5" t="s">
        <v>3760</v>
      </c>
      <c r="R38" s="5" t="s">
        <v>203</v>
      </c>
      <c r="S38" s="5" t="s">
        <v>444</v>
      </c>
      <c r="T38" s="5" t="s">
        <v>217</v>
      </c>
      <c r="U38" s="5" t="s">
        <v>207</v>
      </c>
      <c r="V38" s="5" t="s">
        <v>3761</v>
      </c>
      <c r="W38" s="5" t="s">
        <v>227</v>
      </c>
      <c r="X38" s="5" t="s">
        <v>200</v>
      </c>
      <c r="Y38" s="5" t="s">
        <v>3762</v>
      </c>
      <c r="Z38" s="5" t="s">
        <v>1072</v>
      </c>
      <c r="AA38" s="5" t="s">
        <v>3608</v>
      </c>
      <c r="AB38" s="5" t="s">
        <v>3763</v>
      </c>
      <c r="AC38" s="5" t="s">
        <v>3764</v>
      </c>
      <c r="AD38" s="6">
        <v>45244</v>
      </c>
      <c r="AE38" s="6">
        <v>45596</v>
      </c>
      <c r="AF38" s="5"/>
    </row>
    <row r="39" spans="1:32" ht="40.5" customHeight="1" x14ac:dyDescent="0.3">
      <c r="A39" s="7">
        <v>3355268</v>
      </c>
      <c r="B39" s="7" t="s">
        <v>3765</v>
      </c>
      <c r="C39" s="7" t="s">
        <v>3766</v>
      </c>
      <c r="D39" s="7" t="s">
        <v>354</v>
      </c>
      <c r="E39" s="7"/>
      <c r="F39" s="7" t="s">
        <v>234</v>
      </c>
      <c r="G39" s="7" t="s">
        <v>208</v>
      </c>
      <c r="H39" s="7" t="s">
        <v>245</v>
      </c>
      <c r="I39" s="7"/>
      <c r="J39" s="7" t="s">
        <v>227</v>
      </c>
      <c r="K39" s="7"/>
      <c r="L39" s="7"/>
      <c r="M39" s="7"/>
      <c r="N39" s="7" t="s">
        <v>3602</v>
      </c>
      <c r="O39" s="7"/>
      <c r="P39" s="7">
        <v>4788540</v>
      </c>
      <c r="Q39" s="7" t="s">
        <v>3767</v>
      </c>
      <c r="R39" s="7" t="s">
        <v>203</v>
      </c>
      <c r="S39" s="7" t="s">
        <v>234</v>
      </c>
      <c r="T39" s="7" t="s">
        <v>217</v>
      </c>
      <c r="U39" s="7" t="s">
        <v>207</v>
      </c>
      <c r="V39" s="7" t="s">
        <v>3768</v>
      </c>
      <c r="W39" s="7" t="s">
        <v>227</v>
      </c>
      <c r="X39" s="7" t="s">
        <v>200</v>
      </c>
      <c r="Y39" s="7" t="s">
        <v>3769</v>
      </c>
      <c r="Z39" s="7" t="s">
        <v>1110</v>
      </c>
      <c r="AA39" s="7" t="s">
        <v>3608</v>
      </c>
      <c r="AB39" s="7" t="s">
        <v>3702</v>
      </c>
      <c r="AC39" s="7" t="s">
        <v>3770</v>
      </c>
      <c r="AD39" s="8">
        <v>45209</v>
      </c>
      <c r="AE39" s="8">
        <v>45412</v>
      </c>
      <c r="AF39" s="7"/>
    </row>
    <row r="40" spans="1:32" ht="122.25" customHeight="1" x14ac:dyDescent="0.3">
      <c r="A40" s="5">
        <v>5235049</v>
      </c>
      <c r="B40" s="5" t="s">
        <v>2939</v>
      </c>
      <c r="C40" s="5" t="s">
        <v>3771</v>
      </c>
      <c r="D40" s="5" t="s">
        <v>198</v>
      </c>
      <c r="E40" s="5" t="s">
        <v>203</v>
      </c>
      <c r="F40" s="5" t="s">
        <v>234</v>
      </c>
      <c r="G40" s="5" t="s">
        <v>217</v>
      </c>
      <c r="H40" s="5" t="s">
        <v>207</v>
      </c>
      <c r="I40" s="5" t="s">
        <v>1983</v>
      </c>
      <c r="J40" s="5" t="s">
        <v>227</v>
      </c>
      <c r="K40" s="5" t="s">
        <v>200</v>
      </c>
      <c r="L40" s="5" t="s">
        <v>1210</v>
      </c>
      <c r="M40" s="5" t="s">
        <v>1893</v>
      </c>
      <c r="N40" s="5" t="s">
        <v>3623</v>
      </c>
      <c r="O40" s="5" t="s">
        <v>3603</v>
      </c>
      <c r="P40" s="5">
        <v>5246628</v>
      </c>
      <c r="Q40" s="5" t="s">
        <v>3772</v>
      </c>
      <c r="R40" s="5" t="s">
        <v>203</v>
      </c>
      <c r="S40" s="5" t="s">
        <v>234</v>
      </c>
      <c r="T40" s="5" t="s">
        <v>217</v>
      </c>
      <c r="U40" s="5" t="s">
        <v>245</v>
      </c>
      <c r="V40" s="5" t="s">
        <v>3773</v>
      </c>
      <c r="W40" s="5" t="s">
        <v>227</v>
      </c>
      <c r="X40" s="5" t="s">
        <v>200</v>
      </c>
      <c r="Y40" s="5" t="s">
        <v>3774</v>
      </c>
      <c r="Z40" s="5" t="s">
        <v>3016</v>
      </c>
      <c r="AA40" s="5" t="s">
        <v>3608</v>
      </c>
      <c r="AB40" s="5" t="s">
        <v>3775</v>
      </c>
      <c r="AC40" s="5" t="s">
        <v>3776</v>
      </c>
      <c r="AD40" s="6">
        <v>44593</v>
      </c>
      <c r="AE40" s="6">
        <v>45833</v>
      </c>
      <c r="AF40" s="5"/>
    </row>
    <row r="41" spans="1:32" ht="81" customHeight="1" x14ac:dyDescent="0.3">
      <c r="A41" s="7">
        <v>3054829</v>
      </c>
      <c r="B41" s="7" t="s">
        <v>748</v>
      </c>
      <c r="C41" s="7" t="s">
        <v>3777</v>
      </c>
      <c r="D41" s="7" t="s">
        <v>354</v>
      </c>
      <c r="E41" s="7" t="s">
        <v>751</v>
      </c>
      <c r="F41" s="7" t="s">
        <v>444</v>
      </c>
      <c r="G41" s="7" t="s">
        <v>217</v>
      </c>
      <c r="H41" s="7" t="s">
        <v>245</v>
      </c>
      <c r="I41" s="7" t="s">
        <v>749</v>
      </c>
      <c r="J41" s="7" t="s">
        <v>227</v>
      </c>
      <c r="K41" s="7" t="s">
        <v>200</v>
      </c>
      <c r="L41" s="7" t="s">
        <v>750</v>
      </c>
      <c r="M41" s="7" t="s">
        <v>752</v>
      </c>
      <c r="N41" s="7" t="s">
        <v>3652</v>
      </c>
      <c r="O41" s="7" t="s">
        <v>3635</v>
      </c>
      <c r="P41" s="7">
        <v>3054241</v>
      </c>
      <c r="Q41" s="7" t="s">
        <v>3778</v>
      </c>
      <c r="R41" s="7" t="s">
        <v>203</v>
      </c>
      <c r="S41" s="7" t="s">
        <v>444</v>
      </c>
      <c r="T41" s="7" t="s">
        <v>217</v>
      </c>
      <c r="U41" s="7" t="s">
        <v>245</v>
      </c>
      <c r="V41" s="7" t="s">
        <v>3779</v>
      </c>
      <c r="W41" s="7" t="s">
        <v>227</v>
      </c>
      <c r="X41" s="7" t="s">
        <v>200</v>
      </c>
      <c r="Y41" s="7" t="s">
        <v>3780</v>
      </c>
      <c r="Z41" s="7" t="s">
        <v>747</v>
      </c>
      <c r="AA41" s="7" t="s">
        <v>3612</v>
      </c>
      <c r="AB41" s="7" t="s">
        <v>3613</v>
      </c>
      <c r="AC41" s="7" t="s">
        <v>3781</v>
      </c>
      <c r="AD41" s="8">
        <v>45247</v>
      </c>
      <c r="AE41" s="8">
        <v>45291</v>
      </c>
      <c r="AF41" s="7"/>
    </row>
    <row r="42" spans="1:32" ht="40.5" customHeight="1" x14ac:dyDescent="0.3">
      <c r="A42" s="5">
        <v>4873033</v>
      </c>
      <c r="B42" s="5" t="s">
        <v>279</v>
      </c>
      <c r="C42" s="5"/>
      <c r="D42" s="5" t="s">
        <v>354</v>
      </c>
      <c r="E42" s="5" t="s">
        <v>203</v>
      </c>
      <c r="F42" s="5"/>
      <c r="G42" s="5" t="s">
        <v>208</v>
      </c>
      <c r="H42" s="5" t="s">
        <v>207</v>
      </c>
      <c r="I42" s="5" t="s">
        <v>281</v>
      </c>
      <c r="J42" s="5" t="s">
        <v>211</v>
      </c>
      <c r="K42" s="5" t="s">
        <v>200</v>
      </c>
      <c r="L42" s="5" t="s">
        <v>282</v>
      </c>
      <c r="M42" s="5" t="s">
        <v>283</v>
      </c>
      <c r="N42" s="5" t="s">
        <v>3623</v>
      </c>
      <c r="O42" s="5" t="s">
        <v>3646</v>
      </c>
      <c r="P42" s="5">
        <v>5599199</v>
      </c>
      <c r="Q42" s="5" t="s">
        <v>3619</v>
      </c>
      <c r="R42" s="5"/>
      <c r="S42" s="5"/>
      <c r="T42" s="5" t="s">
        <v>217</v>
      </c>
      <c r="U42" s="5" t="s">
        <v>2330</v>
      </c>
      <c r="V42" s="5"/>
      <c r="W42" s="5" t="s">
        <v>211</v>
      </c>
      <c r="X42" s="5"/>
      <c r="Y42" s="5"/>
      <c r="Z42" s="5"/>
      <c r="AA42" s="5" t="s">
        <v>3617</v>
      </c>
      <c r="AB42" s="5"/>
      <c r="AC42" s="5" t="s">
        <v>3782</v>
      </c>
      <c r="AD42" s="6">
        <v>45139</v>
      </c>
      <c r="AE42" s="6">
        <v>45505</v>
      </c>
      <c r="AF42" s="5"/>
    </row>
    <row r="43" spans="1:32" ht="30" customHeight="1" x14ac:dyDescent="0.3">
      <c r="A43" s="7">
        <v>4617444</v>
      </c>
      <c r="B43" s="7" t="s">
        <v>1880</v>
      </c>
      <c r="C43" s="7"/>
      <c r="D43" s="7" t="s">
        <v>198</v>
      </c>
      <c r="E43" s="7" t="s">
        <v>203</v>
      </c>
      <c r="F43" s="7" t="s">
        <v>433</v>
      </c>
      <c r="G43" s="7" t="s">
        <v>217</v>
      </c>
      <c r="H43" s="7" t="s">
        <v>233</v>
      </c>
      <c r="I43" s="7" t="s">
        <v>1881</v>
      </c>
      <c r="J43" s="7" t="s">
        <v>227</v>
      </c>
      <c r="K43" s="7" t="s">
        <v>200</v>
      </c>
      <c r="L43" s="7" t="s">
        <v>1882</v>
      </c>
      <c r="M43" s="7" t="s">
        <v>1883</v>
      </c>
      <c r="N43" s="7" t="s">
        <v>3602</v>
      </c>
      <c r="O43" s="7" t="s">
        <v>3783</v>
      </c>
      <c r="P43" s="7">
        <v>5128218</v>
      </c>
      <c r="Q43" s="7" t="s">
        <v>3784</v>
      </c>
      <c r="R43" s="7" t="s">
        <v>1877</v>
      </c>
      <c r="S43" s="7" t="s">
        <v>433</v>
      </c>
      <c r="T43" s="7" t="s">
        <v>208</v>
      </c>
      <c r="U43" s="7" t="s">
        <v>245</v>
      </c>
      <c r="V43" s="7" t="s">
        <v>3785</v>
      </c>
      <c r="W43" s="7" t="s">
        <v>227</v>
      </c>
      <c r="X43" s="7" t="s">
        <v>200</v>
      </c>
      <c r="Y43" s="7" t="s">
        <v>3786</v>
      </c>
      <c r="Z43" s="7" t="s">
        <v>3787</v>
      </c>
      <c r="AA43" s="7" t="s">
        <v>3623</v>
      </c>
      <c r="AB43" s="7" t="s">
        <v>3783</v>
      </c>
      <c r="AC43" s="7" t="s">
        <v>3788</v>
      </c>
      <c r="AD43" s="8">
        <v>45292</v>
      </c>
      <c r="AE43" s="8">
        <v>45657</v>
      </c>
      <c r="AF43" s="7"/>
    </row>
    <row r="44" spans="1:32" ht="30" customHeight="1" x14ac:dyDescent="0.3">
      <c r="A44" s="5">
        <v>2746573</v>
      </c>
      <c r="B44" s="5" t="s">
        <v>924</v>
      </c>
      <c r="C44" s="5"/>
      <c r="D44" s="5" t="s">
        <v>198</v>
      </c>
      <c r="E44" s="5" t="s">
        <v>203</v>
      </c>
      <c r="F44" s="5" t="s">
        <v>418</v>
      </c>
      <c r="G44" s="5" t="s">
        <v>208</v>
      </c>
      <c r="H44" s="5" t="s">
        <v>245</v>
      </c>
      <c r="I44" s="5" t="s">
        <v>883</v>
      </c>
      <c r="J44" s="5" t="s">
        <v>227</v>
      </c>
      <c r="K44" s="5" t="s">
        <v>200</v>
      </c>
      <c r="L44" s="5" t="s">
        <v>884</v>
      </c>
      <c r="M44" s="5" t="s">
        <v>926</v>
      </c>
      <c r="N44" s="5" t="s">
        <v>3602</v>
      </c>
      <c r="O44" s="5" t="s">
        <v>3763</v>
      </c>
      <c r="P44" s="5">
        <v>5320763</v>
      </c>
      <c r="Q44" s="5" t="s">
        <v>3789</v>
      </c>
      <c r="R44" s="5" t="s">
        <v>203</v>
      </c>
      <c r="S44" s="5" t="s">
        <v>418</v>
      </c>
      <c r="T44" s="5" t="s">
        <v>208</v>
      </c>
      <c r="U44" s="5" t="s">
        <v>207</v>
      </c>
      <c r="V44" s="5" t="s">
        <v>3790</v>
      </c>
      <c r="W44" s="5" t="s">
        <v>227</v>
      </c>
      <c r="X44" s="5" t="s">
        <v>200</v>
      </c>
      <c r="Y44" s="5" t="s">
        <v>3791</v>
      </c>
      <c r="Z44" s="5" t="s">
        <v>3792</v>
      </c>
      <c r="AA44" s="5" t="s">
        <v>3612</v>
      </c>
      <c r="AB44" s="5" t="s">
        <v>3751</v>
      </c>
      <c r="AC44" s="5" t="s">
        <v>3793</v>
      </c>
      <c r="AD44" s="6">
        <v>45266</v>
      </c>
      <c r="AE44" s="6">
        <v>45631</v>
      </c>
      <c r="AF44" s="5"/>
    </row>
    <row r="45" spans="1:32" ht="30" customHeight="1" x14ac:dyDescent="0.3">
      <c r="A45" s="7">
        <v>3818748</v>
      </c>
      <c r="B45" s="7" t="s">
        <v>1673</v>
      </c>
      <c r="C45" s="7"/>
      <c r="D45" s="7" t="s">
        <v>354</v>
      </c>
      <c r="E45" s="7" t="s">
        <v>203</v>
      </c>
      <c r="F45" s="7" t="s">
        <v>234</v>
      </c>
      <c r="G45" s="7" t="s">
        <v>208</v>
      </c>
      <c r="H45" s="7" t="s">
        <v>245</v>
      </c>
      <c r="I45" s="7" t="s">
        <v>538</v>
      </c>
      <c r="J45" s="7" t="s">
        <v>227</v>
      </c>
      <c r="K45" s="7" t="s">
        <v>888</v>
      </c>
      <c r="L45" s="7" t="s">
        <v>1674</v>
      </c>
      <c r="M45" s="7" t="s">
        <v>1675</v>
      </c>
      <c r="N45" s="7" t="s">
        <v>3608</v>
      </c>
      <c r="O45" s="7" t="s">
        <v>3763</v>
      </c>
      <c r="P45" s="7">
        <v>5256984</v>
      </c>
      <c r="Q45" s="7" t="s">
        <v>3009</v>
      </c>
      <c r="R45" s="7" t="s">
        <v>203</v>
      </c>
      <c r="S45" s="7" t="s">
        <v>234</v>
      </c>
      <c r="T45" s="7" t="s">
        <v>208</v>
      </c>
      <c r="U45" s="7" t="s">
        <v>207</v>
      </c>
      <c r="V45" s="7" t="s">
        <v>3010</v>
      </c>
      <c r="W45" s="7" t="s">
        <v>227</v>
      </c>
      <c r="X45" s="7" t="s">
        <v>200</v>
      </c>
      <c r="Y45" s="7" t="s">
        <v>966</v>
      </c>
      <c r="Z45" s="7" t="s">
        <v>3011</v>
      </c>
      <c r="AA45" s="7" t="s">
        <v>3623</v>
      </c>
      <c r="AB45" s="7" t="s">
        <v>3711</v>
      </c>
      <c r="AC45" s="7" t="s">
        <v>3794</v>
      </c>
      <c r="AD45" s="8">
        <v>45244</v>
      </c>
      <c r="AE45" s="7"/>
      <c r="AF45" s="7"/>
    </row>
    <row r="46" spans="1:32" ht="91.5" customHeight="1" x14ac:dyDescent="0.3">
      <c r="A46" s="5">
        <v>5004608</v>
      </c>
      <c r="B46" s="5" t="s">
        <v>353</v>
      </c>
      <c r="C46" s="5"/>
      <c r="D46" s="5" t="s">
        <v>354</v>
      </c>
      <c r="E46" s="5" t="s">
        <v>203</v>
      </c>
      <c r="F46" s="5" t="s">
        <v>262</v>
      </c>
      <c r="G46" s="5" t="s">
        <v>217</v>
      </c>
      <c r="H46" s="5" t="s">
        <v>207</v>
      </c>
      <c r="I46" s="5" t="s">
        <v>355</v>
      </c>
      <c r="J46" s="5" t="s">
        <v>257</v>
      </c>
      <c r="K46" s="5" t="s">
        <v>200</v>
      </c>
      <c r="L46" s="5" t="s">
        <v>356</v>
      </c>
      <c r="M46" s="5" t="s">
        <v>357</v>
      </c>
      <c r="N46" s="5" t="s">
        <v>3623</v>
      </c>
      <c r="O46" s="5" t="s">
        <v>3763</v>
      </c>
      <c r="P46" s="5">
        <v>5365732</v>
      </c>
      <c r="Q46" s="5" t="s">
        <v>3795</v>
      </c>
      <c r="R46" s="5" t="s">
        <v>203</v>
      </c>
      <c r="S46" s="5"/>
      <c r="T46" s="5" t="s">
        <v>217</v>
      </c>
      <c r="U46" s="5" t="s">
        <v>2330</v>
      </c>
      <c r="V46" s="5" t="s">
        <v>3796</v>
      </c>
      <c r="W46" s="5" t="s">
        <v>257</v>
      </c>
      <c r="X46" s="5" t="s">
        <v>200</v>
      </c>
      <c r="Y46" s="5" t="s">
        <v>3797</v>
      </c>
      <c r="Z46" s="5" t="s">
        <v>3798</v>
      </c>
      <c r="AA46" s="5" t="s">
        <v>3612</v>
      </c>
      <c r="AB46" s="5" t="s">
        <v>3799</v>
      </c>
      <c r="AC46" s="5" t="s">
        <v>3800</v>
      </c>
      <c r="AD46" s="6">
        <v>45139</v>
      </c>
      <c r="AE46" s="6">
        <v>45443</v>
      </c>
      <c r="AF46" s="5" t="s">
        <v>3709</v>
      </c>
    </row>
    <row r="47" spans="1:32" ht="91.5" customHeight="1" x14ac:dyDescent="0.3">
      <c r="A47" s="7">
        <v>5087112</v>
      </c>
      <c r="B47" s="7" t="s">
        <v>2694</v>
      </c>
      <c r="C47" s="7" t="s">
        <v>3801</v>
      </c>
      <c r="D47" s="7" t="s">
        <v>862</v>
      </c>
      <c r="E47" s="7" t="s">
        <v>203</v>
      </c>
      <c r="F47" s="7" t="s">
        <v>234</v>
      </c>
      <c r="G47" s="7" t="s">
        <v>217</v>
      </c>
      <c r="H47" s="7" t="s">
        <v>245</v>
      </c>
      <c r="I47" s="7" t="s">
        <v>2695</v>
      </c>
      <c r="J47" s="7" t="s">
        <v>227</v>
      </c>
      <c r="K47" s="7" t="s">
        <v>200</v>
      </c>
      <c r="L47" s="7" t="s">
        <v>2696</v>
      </c>
      <c r="M47" s="7" t="s">
        <v>2697</v>
      </c>
      <c r="N47" s="7" t="s">
        <v>3623</v>
      </c>
      <c r="O47" s="7" t="s">
        <v>3635</v>
      </c>
      <c r="P47" s="7">
        <v>4632893</v>
      </c>
      <c r="Q47" s="7" t="s">
        <v>3802</v>
      </c>
      <c r="R47" s="7" t="s">
        <v>203</v>
      </c>
      <c r="S47" s="7"/>
      <c r="T47" s="7" t="s">
        <v>208</v>
      </c>
      <c r="U47" s="7" t="s">
        <v>207</v>
      </c>
      <c r="V47" s="7" t="s">
        <v>201</v>
      </c>
      <c r="W47" s="7" t="s">
        <v>199</v>
      </c>
      <c r="X47" s="7" t="s">
        <v>200</v>
      </c>
      <c r="Y47" s="7" t="s">
        <v>202</v>
      </c>
      <c r="Z47" s="7" t="s">
        <v>205</v>
      </c>
      <c r="AA47" s="7" t="s">
        <v>3608</v>
      </c>
      <c r="AB47" s="7" t="s">
        <v>3702</v>
      </c>
      <c r="AC47" s="7" t="s">
        <v>3803</v>
      </c>
      <c r="AD47" s="8">
        <v>45294</v>
      </c>
      <c r="AE47" s="8">
        <v>45310</v>
      </c>
      <c r="AF47" s="7"/>
    </row>
    <row r="48" spans="1:32" ht="162.75" customHeight="1" x14ac:dyDescent="0.3">
      <c r="A48" s="5">
        <v>7538677</v>
      </c>
      <c r="B48" s="5" t="s">
        <v>3804</v>
      </c>
      <c r="C48" s="5" t="s">
        <v>3805</v>
      </c>
      <c r="D48" s="5" t="s">
        <v>198</v>
      </c>
      <c r="E48" s="5"/>
      <c r="F48" s="5" t="s">
        <v>234</v>
      </c>
      <c r="G48" s="5" t="s">
        <v>217</v>
      </c>
      <c r="H48" s="5" t="s">
        <v>207</v>
      </c>
      <c r="I48" s="5"/>
      <c r="J48" s="5" t="s">
        <v>227</v>
      </c>
      <c r="K48" s="5"/>
      <c r="L48" s="5"/>
      <c r="M48" s="5"/>
      <c r="N48" s="5" t="s">
        <v>3602</v>
      </c>
      <c r="O48" s="5"/>
      <c r="P48" s="5">
        <v>3426416</v>
      </c>
      <c r="Q48" s="5" t="s">
        <v>3806</v>
      </c>
      <c r="R48" s="5" t="s">
        <v>737</v>
      </c>
      <c r="S48" s="5" t="s">
        <v>234</v>
      </c>
      <c r="T48" s="5" t="s">
        <v>208</v>
      </c>
      <c r="U48" s="5" t="s">
        <v>207</v>
      </c>
      <c r="V48" s="5" t="s">
        <v>3807</v>
      </c>
      <c r="W48" s="5" t="s">
        <v>227</v>
      </c>
      <c r="X48" s="5" t="s">
        <v>200</v>
      </c>
      <c r="Y48" s="5" t="s">
        <v>3808</v>
      </c>
      <c r="Z48" s="5" t="s">
        <v>1247</v>
      </c>
      <c r="AA48" s="5" t="s">
        <v>3602</v>
      </c>
      <c r="AB48" s="5" t="s">
        <v>3646</v>
      </c>
      <c r="AC48" s="5" t="s">
        <v>3809</v>
      </c>
      <c r="AD48" s="6">
        <v>45257</v>
      </c>
      <c r="AE48" s="6">
        <v>45656</v>
      </c>
      <c r="AF48" s="5" t="s">
        <v>3641</v>
      </c>
    </row>
    <row r="49" spans="1:32" ht="40.5" customHeight="1" x14ac:dyDescent="0.3">
      <c r="A49" s="7">
        <v>1989413</v>
      </c>
      <c r="B49" s="7" t="s">
        <v>3810</v>
      </c>
      <c r="C49" s="7" t="s">
        <v>3811</v>
      </c>
      <c r="D49" s="7" t="s">
        <v>354</v>
      </c>
      <c r="E49" s="7"/>
      <c r="F49" s="7" t="s">
        <v>444</v>
      </c>
      <c r="G49" s="7" t="s">
        <v>217</v>
      </c>
      <c r="H49" s="7" t="s">
        <v>654</v>
      </c>
      <c r="I49" s="7"/>
      <c r="J49" s="7" t="s">
        <v>227</v>
      </c>
      <c r="K49" s="7"/>
      <c r="L49" s="7"/>
      <c r="M49" s="7"/>
      <c r="N49" s="7" t="s">
        <v>3608</v>
      </c>
      <c r="O49" s="7"/>
      <c r="P49" s="7">
        <v>2475960</v>
      </c>
      <c r="Q49" s="7" t="s">
        <v>3812</v>
      </c>
      <c r="R49" s="7" t="s">
        <v>203</v>
      </c>
      <c r="S49" s="7" t="s">
        <v>433</v>
      </c>
      <c r="T49" s="7" t="s">
        <v>217</v>
      </c>
      <c r="U49" s="7" t="s">
        <v>233</v>
      </c>
      <c r="V49" s="7" t="s">
        <v>3813</v>
      </c>
      <c r="W49" s="7" t="s">
        <v>227</v>
      </c>
      <c r="X49" s="7" t="s">
        <v>200</v>
      </c>
      <c r="Y49" s="7" t="s">
        <v>3814</v>
      </c>
      <c r="Z49" s="7" t="s">
        <v>477</v>
      </c>
      <c r="AA49" s="7" t="s">
        <v>3652</v>
      </c>
      <c r="AB49" s="7" t="s">
        <v>3702</v>
      </c>
      <c r="AC49" s="7" t="s">
        <v>3815</v>
      </c>
      <c r="AD49" s="8">
        <v>45258</v>
      </c>
      <c r="AE49" s="8">
        <v>45624</v>
      </c>
      <c r="AF49" s="7"/>
    </row>
    <row r="50" spans="1:32" ht="30" customHeight="1" x14ac:dyDescent="0.3">
      <c r="A50" s="5">
        <v>4878922</v>
      </c>
      <c r="B50" s="5" t="s">
        <v>2368</v>
      </c>
      <c r="C50" s="5"/>
      <c r="D50" s="5" t="s">
        <v>198</v>
      </c>
      <c r="E50" s="5" t="s">
        <v>203</v>
      </c>
      <c r="F50" s="5" t="s">
        <v>234</v>
      </c>
      <c r="G50" s="5" t="s">
        <v>217</v>
      </c>
      <c r="H50" s="5" t="s">
        <v>207</v>
      </c>
      <c r="I50" s="5" t="s">
        <v>2369</v>
      </c>
      <c r="J50" s="5" t="s">
        <v>227</v>
      </c>
      <c r="K50" s="5" t="s">
        <v>200</v>
      </c>
      <c r="L50" s="5" t="s">
        <v>2370</v>
      </c>
      <c r="M50" s="5" t="s">
        <v>941</v>
      </c>
      <c r="N50" s="5" t="s">
        <v>3623</v>
      </c>
      <c r="O50" s="5" t="s">
        <v>3635</v>
      </c>
      <c r="P50" s="5">
        <v>4912233</v>
      </c>
      <c r="Q50" s="5" t="s">
        <v>3816</v>
      </c>
      <c r="R50" s="5" t="s">
        <v>737</v>
      </c>
      <c r="S50" s="5" t="s">
        <v>234</v>
      </c>
      <c r="T50" s="5" t="s">
        <v>217</v>
      </c>
      <c r="U50" s="5" t="s">
        <v>207</v>
      </c>
      <c r="V50" s="5" t="s">
        <v>3817</v>
      </c>
      <c r="W50" s="5" t="s">
        <v>227</v>
      </c>
      <c r="X50" s="5" t="s">
        <v>200</v>
      </c>
      <c r="Y50" s="5" t="s">
        <v>3818</v>
      </c>
      <c r="Z50" s="5" t="s">
        <v>1247</v>
      </c>
      <c r="AA50" s="5" t="s">
        <v>3612</v>
      </c>
      <c r="AB50" s="5" t="s">
        <v>3646</v>
      </c>
      <c r="AC50" s="5" t="s">
        <v>3819</v>
      </c>
      <c r="AD50" s="6">
        <v>45253</v>
      </c>
      <c r="AE50" s="6">
        <v>45412</v>
      </c>
      <c r="AF50" s="5"/>
    </row>
    <row r="51" spans="1:32" ht="30" customHeight="1" x14ac:dyDescent="0.3">
      <c r="A51" s="7">
        <v>4633369</v>
      </c>
      <c r="B51" s="7" t="s">
        <v>290</v>
      </c>
      <c r="C51" s="7"/>
      <c r="D51" s="7" t="s">
        <v>198</v>
      </c>
      <c r="E51" s="7" t="s">
        <v>203</v>
      </c>
      <c r="F51" s="7"/>
      <c r="G51" s="7" t="s">
        <v>217</v>
      </c>
      <c r="H51" s="7" t="s">
        <v>207</v>
      </c>
      <c r="I51" s="7" t="s">
        <v>291</v>
      </c>
      <c r="J51" s="7" t="s">
        <v>199</v>
      </c>
      <c r="K51" s="7" t="s">
        <v>200</v>
      </c>
      <c r="L51" s="7" t="s">
        <v>292</v>
      </c>
      <c r="M51" s="7" t="s">
        <v>293</v>
      </c>
      <c r="N51" s="7" t="s">
        <v>3608</v>
      </c>
      <c r="O51" s="7" t="s">
        <v>3609</v>
      </c>
      <c r="P51" s="7">
        <v>4931181</v>
      </c>
      <c r="Q51" s="7" t="s">
        <v>3820</v>
      </c>
      <c r="R51" s="7" t="s">
        <v>203</v>
      </c>
      <c r="S51" s="7"/>
      <c r="T51" s="7" t="s">
        <v>208</v>
      </c>
      <c r="U51" s="7" t="s">
        <v>207</v>
      </c>
      <c r="V51" s="7" t="s">
        <v>3821</v>
      </c>
      <c r="W51" s="7" t="s">
        <v>199</v>
      </c>
      <c r="X51" s="7" t="s">
        <v>200</v>
      </c>
      <c r="Y51" s="7" t="s">
        <v>3822</v>
      </c>
      <c r="Z51" s="7" t="s">
        <v>375</v>
      </c>
      <c r="AA51" s="7" t="s">
        <v>3623</v>
      </c>
      <c r="AB51" s="7" t="s">
        <v>3702</v>
      </c>
      <c r="AC51" s="7" t="s">
        <v>3823</v>
      </c>
      <c r="AD51" s="8">
        <v>45257</v>
      </c>
      <c r="AE51" s="8">
        <v>45657</v>
      </c>
      <c r="AF51" s="7"/>
    </row>
    <row r="52" spans="1:32" ht="40.5" customHeight="1" x14ac:dyDescent="0.3">
      <c r="A52" s="5">
        <v>4535286</v>
      </c>
      <c r="B52" s="5" t="s">
        <v>1837</v>
      </c>
      <c r="C52" s="5"/>
      <c r="D52" s="5" t="s">
        <v>3373</v>
      </c>
      <c r="E52" s="5" t="s">
        <v>203</v>
      </c>
      <c r="F52" s="5" t="s">
        <v>433</v>
      </c>
      <c r="G52" s="5" t="s">
        <v>217</v>
      </c>
      <c r="H52" s="5" t="s">
        <v>233</v>
      </c>
      <c r="I52" s="5" t="s">
        <v>1838</v>
      </c>
      <c r="J52" s="5" t="s">
        <v>227</v>
      </c>
      <c r="K52" s="5" t="s">
        <v>200</v>
      </c>
      <c r="L52" s="5" t="s">
        <v>684</v>
      </c>
      <c r="M52" s="5" t="s">
        <v>1839</v>
      </c>
      <c r="N52" s="5" t="s">
        <v>3608</v>
      </c>
      <c r="O52" s="5" t="s">
        <v>3824</v>
      </c>
      <c r="P52" s="5">
        <v>3678482</v>
      </c>
      <c r="Q52" s="5" t="s">
        <v>1571</v>
      </c>
      <c r="R52" s="5" t="s">
        <v>203</v>
      </c>
      <c r="S52" s="5" t="s">
        <v>444</v>
      </c>
      <c r="T52" s="5" t="s">
        <v>208</v>
      </c>
      <c r="U52" s="5" t="s">
        <v>207</v>
      </c>
      <c r="V52" s="5" t="s">
        <v>1572</v>
      </c>
      <c r="W52" s="5" t="s">
        <v>227</v>
      </c>
      <c r="X52" s="5" t="s">
        <v>200</v>
      </c>
      <c r="Y52" s="5" t="s">
        <v>1573</v>
      </c>
      <c r="Z52" s="5" t="s">
        <v>1574</v>
      </c>
      <c r="AA52" s="5" t="s">
        <v>3608</v>
      </c>
      <c r="AB52" s="5" t="s">
        <v>3824</v>
      </c>
      <c r="AC52" s="5" t="s">
        <v>3825</v>
      </c>
      <c r="AD52" s="6">
        <v>44888</v>
      </c>
      <c r="AE52" s="5"/>
      <c r="AF52" s="5"/>
    </row>
    <row r="53" spans="1:32" ht="30" customHeight="1" x14ac:dyDescent="0.3">
      <c r="A53" s="7">
        <v>2860538</v>
      </c>
      <c r="B53" s="7" t="s">
        <v>1074</v>
      </c>
      <c r="C53" s="7" t="s">
        <v>3826</v>
      </c>
      <c r="D53" s="7" t="s">
        <v>354</v>
      </c>
      <c r="E53" s="7" t="s">
        <v>203</v>
      </c>
      <c r="F53" s="7" t="s">
        <v>433</v>
      </c>
      <c r="G53" s="7" t="s">
        <v>217</v>
      </c>
      <c r="H53" s="7" t="s">
        <v>245</v>
      </c>
      <c r="I53" s="7" t="s">
        <v>1075</v>
      </c>
      <c r="J53" s="7" t="s">
        <v>227</v>
      </c>
      <c r="K53" s="7" t="s">
        <v>200</v>
      </c>
      <c r="L53" s="7" t="s">
        <v>1076</v>
      </c>
      <c r="M53" s="7" t="s">
        <v>375</v>
      </c>
      <c r="N53" s="7" t="s">
        <v>3652</v>
      </c>
      <c r="O53" s="7" t="s">
        <v>3702</v>
      </c>
      <c r="P53" s="7">
        <v>3719138</v>
      </c>
      <c r="Q53" s="7" t="s">
        <v>3827</v>
      </c>
      <c r="R53" s="7" t="s">
        <v>203</v>
      </c>
      <c r="S53" s="7" t="s">
        <v>234</v>
      </c>
      <c r="T53" s="7" t="s">
        <v>217</v>
      </c>
      <c r="U53" s="7" t="s">
        <v>207</v>
      </c>
      <c r="V53" s="7" t="s">
        <v>1020</v>
      </c>
      <c r="W53" s="7" t="s">
        <v>227</v>
      </c>
      <c r="X53" s="7" t="s">
        <v>200</v>
      </c>
      <c r="Y53" s="7" t="s">
        <v>3828</v>
      </c>
      <c r="Z53" s="7" t="s">
        <v>482</v>
      </c>
      <c r="AA53" s="7" t="s">
        <v>3608</v>
      </c>
      <c r="AB53" s="7" t="s">
        <v>3635</v>
      </c>
      <c r="AC53" s="7" t="s">
        <v>3829</v>
      </c>
      <c r="AD53" s="8">
        <v>45293</v>
      </c>
      <c r="AE53" s="8">
        <v>45626</v>
      </c>
      <c r="AF53" s="7"/>
    </row>
    <row r="54" spans="1:32" ht="30" customHeight="1" x14ac:dyDescent="0.3">
      <c r="A54" s="5">
        <v>4878922</v>
      </c>
      <c r="B54" s="5" t="s">
        <v>2368</v>
      </c>
      <c r="C54" s="5" t="s">
        <v>3830</v>
      </c>
      <c r="D54" s="5" t="s">
        <v>354</v>
      </c>
      <c r="E54" s="5" t="s">
        <v>203</v>
      </c>
      <c r="F54" s="5" t="s">
        <v>234</v>
      </c>
      <c r="G54" s="5" t="s">
        <v>217</v>
      </c>
      <c r="H54" s="5" t="s">
        <v>207</v>
      </c>
      <c r="I54" s="5" t="s">
        <v>2369</v>
      </c>
      <c r="J54" s="5" t="s">
        <v>227</v>
      </c>
      <c r="K54" s="5" t="s">
        <v>200</v>
      </c>
      <c r="L54" s="5" t="s">
        <v>2370</v>
      </c>
      <c r="M54" s="5" t="s">
        <v>941</v>
      </c>
      <c r="N54" s="5" t="s">
        <v>3623</v>
      </c>
      <c r="O54" s="5" t="s">
        <v>3635</v>
      </c>
      <c r="P54" s="5">
        <v>4912233</v>
      </c>
      <c r="Q54" s="5" t="s">
        <v>3816</v>
      </c>
      <c r="R54" s="5" t="s">
        <v>737</v>
      </c>
      <c r="S54" s="5" t="s">
        <v>234</v>
      </c>
      <c r="T54" s="5" t="s">
        <v>217</v>
      </c>
      <c r="U54" s="5" t="s">
        <v>207</v>
      </c>
      <c r="V54" s="5" t="s">
        <v>3817</v>
      </c>
      <c r="W54" s="5" t="s">
        <v>227</v>
      </c>
      <c r="X54" s="5" t="s">
        <v>200</v>
      </c>
      <c r="Y54" s="5" t="s">
        <v>3818</v>
      </c>
      <c r="Z54" s="5" t="s">
        <v>1247</v>
      </c>
      <c r="AA54" s="5" t="s">
        <v>3612</v>
      </c>
      <c r="AB54" s="5" t="s">
        <v>3646</v>
      </c>
      <c r="AC54" s="5" t="s">
        <v>3819</v>
      </c>
      <c r="AD54" s="6">
        <v>45253</v>
      </c>
      <c r="AE54" s="6">
        <v>45412</v>
      </c>
      <c r="AF54" s="5"/>
    </row>
    <row r="55" spans="1:32" ht="30" customHeight="1" x14ac:dyDescent="0.3">
      <c r="A55" s="7">
        <v>3384292</v>
      </c>
      <c r="B55" s="7" t="s">
        <v>1264</v>
      </c>
      <c r="C55" s="7"/>
      <c r="D55" s="7" t="s">
        <v>354</v>
      </c>
      <c r="E55" s="7" t="s">
        <v>203</v>
      </c>
      <c r="F55" s="7" t="s">
        <v>613</v>
      </c>
      <c r="G55" s="7" t="s">
        <v>217</v>
      </c>
      <c r="H55" s="7" t="s">
        <v>233</v>
      </c>
      <c r="I55" s="7" t="s">
        <v>1261</v>
      </c>
      <c r="J55" s="7" t="s">
        <v>608</v>
      </c>
      <c r="K55" s="7" t="s">
        <v>200</v>
      </c>
      <c r="L55" s="7" t="s">
        <v>610</v>
      </c>
      <c r="M55" s="7" t="s">
        <v>789</v>
      </c>
      <c r="N55" s="7" t="s">
        <v>3608</v>
      </c>
      <c r="O55" s="7" t="s">
        <v>3727</v>
      </c>
      <c r="P55" s="7">
        <v>3388115</v>
      </c>
      <c r="Q55" s="7" t="s">
        <v>3831</v>
      </c>
      <c r="R55" s="7" t="s">
        <v>203</v>
      </c>
      <c r="S55" s="7" t="s">
        <v>613</v>
      </c>
      <c r="T55" s="7" t="s">
        <v>217</v>
      </c>
      <c r="U55" s="7" t="s">
        <v>207</v>
      </c>
      <c r="V55" s="7" t="s">
        <v>3832</v>
      </c>
      <c r="W55" s="7" t="s">
        <v>608</v>
      </c>
      <c r="X55" s="7" t="s">
        <v>200</v>
      </c>
      <c r="Y55" s="7" t="s">
        <v>3833</v>
      </c>
      <c r="Z55" s="7" t="s">
        <v>3834</v>
      </c>
      <c r="AA55" s="7" t="s">
        <v>3608</v>
      </c>
      <c r="AB55" s="7" t="s">
        <v>3635</v>
      </c>
      <c r="AC55" s="7" t="s">
        <v>3835</v>
      </c>
      <c r="AD55" s="8">
        <v>45252</v>
      </c>
      <c r="AE55" s="8">
        <v>45473</v>
      </c>
      <c r="AF55" s="7"/>
    </row>
    <row r="56" spans="1:32" ht="60.75" customHeight="1" x14ac:dyDescent="0.3">
      <c r="A56" s="5">
        <v>3377326</v>
      </c>
      <c r="B56" s="5" t="s">
        <v>1256</v>
      </c>
      <c r="C56" s="5" t="s">
        <v>3836</v>
      </c>
      <c r="D56" s="5" t="s">
        <v>198</v>
      </c>
      <c r="E56" s="5" t="s">
        <v>203</v>
      </c>
      <c r="F56" s="5" t="s">
        <v>613</v>
      </c>
      <c r="G56" s="5" t="s">
        <v>217</v>
      </c>
      <c r="H56" s="5" t="s">
        <v>233</v>
      </c>
      <c r="I56" s="5" t="s">
        <v>1257</v>
      </c>
      <c r="J56" s="5" t="s">
        <v>608</v>
      </c>
      <c r="K56" s="5" t="s">
        <v>200</v>
      </c>
      <c r="L56" s="5" t="s">
        <v>1258</v>
      </c>
      <c r="M56" s="5" t="s">
        <v>855</v>
      </c>
      <c r="N56" s="5" t="s">
        <v>3623</v>
      </c>
      <c r="O56" s="5" t="s">
        <v>3837</v>
      </c>
      <c r="P56" s="5">
        <v>5071429</v>
      </c>
      <c r="Q56" s="5" t="s">
        <v>3838</v>
      </c>
      <c r="R56" s="5"/>
      <c r="S56" s="5" t="s">
        <v>234</v>
      </c>
      <c r="T56" s="5" t="s">
        <v>217</v>
      </c>
      <c r="U56" s="5" t="s">
        <v>207</v>
      </c>
      <c r="V56" s="5"/>
      <c r="W56" s="5" t="s">
        <v>227</v>
      </c>
      <c r="X56" s="5"/>
      <c r="Y56" s="5"/>
      <c r="Z56" s="5"/>
      <c r="AA56" s="5" t="s">
        <v>3623</v>
      </c>
      <c r="AB56" s="5"/>
      <c r="AC56" s="5" t="s">
        <v>3839</v>
      </c>
      <c r="AD56" s="6">
        <v>45254</v>
      </c>
      <c r="AE56" s="6">
        <v>45618</v>
      </c>
      <c r="AF56" s="5"/>
    </row>
    <row r="57" spans="1:32" ht="30" customHeight="1" x14ac:dyDescent="0.3">
      <c r="A57" s="7">
        <v>3252396</v>
      </c>
      <c r="B57" s="7" t="s">
        <v>464</v>
      </c>
      <c r="C57" s="7"/>
      <c r="D57" s="7" t="s">
        <v>198</v>
      </c>
      <c r="E57" s="7" t="s">
        <v>203</v>
      </c>
      <c r="F57" s="7" t="s">
        <v>418</v>
      </c>
      <c r="G57" s="7" t="s">
        <v>208</v>
      </c>
      <c r="H57" s="7" t="s">
        <v>245</v>
      </c>
      <c r="I57" s="7" t="s">
        <v>465</v>
      </c>
      <c r="J57" s="7" t="s">
        <v>227</v>
      </c>
      <c r="K57" s="7" t="s">
        <v>200</v>
      </c>
      <c r="L57" s="7" t="s">
        <v>466</v>
      </c>
      <c r="M57" s="7" t="s">
        <v>467</v>
      </c>
      <c r="N57" s="7" t="s">
        <v>3608</v>
      </c>
      <c r="O57" s="7" t="s">
        <v>3763</v>
      </c>
      <c r="P57" s="7">
        <v>5463130</v>
      </c>
      <c r="Q57" s="7" t="s">
        <v>3840</v>
      </c>
      <c r="R57" s="7" t="s">
        <v>203</v>
      </c>
      <c r="S57" s="7" t="s">
        <v>418</v>
      </c>
      <c r="T57" s="7" t="s">
        <v>208</v>
      </c>
      <c r="U57" s="7" t="s">
        <v>245</v>
      </c>
      <c r="V57" s="7" t="s">
        <v>3841</v>
      </c>
      <c r="W57" s="7" t="s">
        <v>227</v>
      </c>
      <c r="X57" s="7" t="s">
        <v>200</v>
      </c>
      <c r="Y57" s="7" t="s">
        <v>3842</v>
      </c>
      <c r="Z57" s="7" t="s">
        <v>2459</v>
      </c>
      <c r="AA57" s="7" t="s">
        <v>3612</v>
      </c>
      <c r="AB57" s="7" t="s">
        <v>3843</v>
      </c>
      <c r="AC57" s="7" t="s">
        <v>3844</v>
      </c>
      <c r="AD57" s="8">
        <v>45139</v>
      </c>
      <c r="AE57" s="8">
        <v>45473</v>
      </c>
      <c r="AF57" s="7"/>
    </row>
    <row r="58" spans="1:32" ht="60.75" customHeight="1" x14ac:dyDescent="0.3">
      <c r="A58" s="5">
        <v>2627388</v>
      </c>
      <c r="B58" s="5" t="s">
        <v>1092</v>
      </c>
      <c r="C58" s="5" t="s">
        <v>3845</v>
      </c>
      <c r="D58" s="5" t="s">
        <v>3373</v>
      </c>
      <c r="E58" s="5" t="s">
        <v>203</v>
      </c>
      <c r="F58" s="5" t="s">
        <v>433</v>
      </c>
      <c r="G58" s="5" t="s">
        <v>208</v>
      </c>
      <c r="H58" s="5" t="s">
        <v>245</v>
      </c>
      <c r="I58" s="5" t="s">
        <v>1093</v>
      </c>
      <c r="J58" s="5" t="s">
        <v>227</v>
      </c>
      <c r="K58" s="5" t="s">
        <v>200</v>
      </c>
      <c r="L58" s="5" t="s">
        <v>1094</v>
      </c>
      <c r="M58" s="5" t="s">
        <v>815</v>
      </c>
      <c r="N58" s="5" t="s">
        <v>3652</v>
      </c>
      <c r="O58" s="5" t="s">
        <v>3613</v>
      </c>
      <c r="P58" s="5">
        <v>4856945</v>
      </c>
      <c r="Q58" s="5" t="s">
        <v>3846</v>
      </c>
      <c r="R58" s="5" t="s">
        <v>737</v>
      </c>
      <c r="S58" s="5" t="s">
        <v>234</v>
      </c>
      <c r="T58" s="5" t="s">
        <v>208</v>
      </c>
      <c r="U58" s="5" t="s">
        <v>207</v>
      </c>
      <c r="V58" s="5" t="s">
        <v>3847</v>
      </c>
      <c r="W58" s="5" t="s">
        <v>227</v>
      </c>
      <c r="X58" s="5" t="s">
        <v>200</v>
      </c>
      <c r="Y58" s="5" t="s">
        <v>736</v>
      </c>
      <c r="Z58" s="5" t="s">
        <v>738</v>
      </c>
      <c r="AA58" s="5" t="s">
        <v>3623</v>
      </c>
      <c r="AB58" s="5" t="s">
        <v>3613</v>
      </c>
      <c r="AC58" s="5" t="s">
        <v>3848</v>
      </c>
      <c r="AD58" s="6">
        <v>45307</v>
      </c>
      <c r="AE58" s="6">
        <v>45639</v>
      </c>
      <c r="AF58" s="5"/>
    </row>
    <row r="59" spans="1:32" ht="30" customHeight="1" x14ac:dyDescent="0.3">
      <c r="A59" s="7">
        <v>3377326</v>
      </c>
      <c r="B59" s="7" t="s">
        <v>1256</v>
      </c>
      <c r="C59" s="7"/>
      <c r="D59" s="7" t="s">
        <v>198</v>
      </c>
      <c r="E59" s="7" t="s">
        <v>203</v>
      </c>
      <c r="F59" s="7" t="s">
        <v>613</v>
      </c>
      <c r="G59" s="7" t="s">
        <v>217</v>
      </c>
      <c r="H59" s="7" t="s">
        <v>233</v>
      </c>
      <c r="I59" s="7" t="s">
        <v>1257</v>
      </c>
      <c r="J59" s="7" t="s">
        <v>608</v>
      </c>
      <c r="K59" s="7" t="s">
        <v>200</v>
      </c>
      <c r="L59" s="7" t="s">
        <v>1258</v>
      </c>
      <c r="M59" s="7" t="s">
        <v>855</v>
      </c>
      <c r="N59" s="7" t="s">
        <v>3623</v>
      </c>
      <c r="O59" s="7" t="s">
        <v>3837</v>
      </c>
      <c r="P59" s="7">
        <v>4696549</v>
      </c>
      <c r="Q59" s="7" t="s">
        <v>3849</v>
      </c>
      <c r="R59" s="7" t="s">
        <v>203</v>
      </c>
      <c r="S59" s="7" t="s">
        <v>613</v>
      </c>
      <c r="T59" s="7" t="s">
        <v>217</v>
      </c>
      <c r="U59" s="7" t="s">
        <v>245</v>
      </c>
      <c r="V59" s="7" t="s">
        <v>3850</v>
      </c>
      <c r="W59" s="7" t="s">
        <v>608</v>
      </c>
      <c r="X59" s="7" t="s">
        <v>200</v>
      </c>
      <c r="Y59" s="7" t="s">
        <v>3851</v>
      </c>
      <c r="Z59" s="7" t="s">
        <v>3852</v>
      </c>
      <c r="AA59" s="7" t="s">
        <v>3608</v>
      </c>
      <c r="AB59" s="7" t="s">
        <v>3853</v>
      </c>
      <c r="AC59" s="7" t="s">
        <v>3854</v>
      </c>
      <c r="AD59" s="8">
        <v>45565</v>
      </c>
      <c r="AE59" s="7"/>
      <c r="AF59" s="7"/>
    </row>
    <row r="60" spans="1:32" ht="30" customHeight="1" x14ac:dyDescent="0.3">
      <c r="A60" s="5">
        <v>3803821</v>
      </c>
      <c r="B60" s="5" t="s">
        <v>1670</v>
      </c>
      <c r="C60" s="5"/>
      <c r="D60" s="5" t="s">
        <v>354</v>
      </c>
      <c r="E60" s="5" t="s">
        <v>203</v>
      </c>
      <c r="F60" s="5" t="s">
        <v>234</v>
      </c>
      <c r="G60" s="5" t="s">
        <v>208</v>
      </c>
      <c r="H60" s="5" t="s">
        <v>245</v>
      </c>
      <c r="I60" s="5" t="s">
        <v>1020</v>
      </c>
      <c r="J60" s="5" t="s">
        <v>227</v>
      </c>
      <c r="K60" s="5" t="s">
        <v>200</v>
      </c>
      <c r="L60" s="5" t="s">
        <v>1671</v>
      </c>
      <c r="M60" s="5" t="s">
        <v>482</v>
      </c>
      <c r="N60" s="5" t="s">
        <v>3608</v>
      </c>
      <c r="O60" s="5" t="s">
        <v>3635</v>
      </c>
      <c r="P60" s="5">
        <v>3716333</v>
      </c>
      <c r="Q60" s="5" t="s">
        <v>3855</v>
      </c>
      <c r="R60" s="5" t="s">
        <v>737</v>
      </c>
      <c r="S60" s="5" t="s">
        <v>234</v>
      </c>
      <c r="T60" s="5" t="s">
        <v>217</v>
      </c>
      <c r="U60" s="5" t="s">
        <v>207</v>
      </c>
      <c r="V60" s="5" t="s">
        <v>3856</v>
      </c>
      <c r="W60" s="5" t="s">
        <v>227</v>
      </c>
      <c r="X60" s="5" t="s">
        <v>200</v>
      </c>
      <c r="Y60" s="5" t="s">
        <v>3857</v>
      </c>
      <c r="Z60" s="5" t="s">
        <v>1247</v>
      </c>
      <c r="AA60" s="5" t="s">
        <v>3623</v>
      </c>
      <c r="AB60" s="5" t="s">
        <v>3646</v>
      </c>
      <c r="AC60" s="5" t="s">
        <v>3858</v>
      </c>
      <c r="AD60" s="6">
        <v>45307</v>
      </c>
      <c r="AE60" s="6">
        <v>45650</v>
      </c>
      <c r="AF60" s="5"/>
    </row>
    <row r="61" spans="1:32" ht="40.5" customHeight="1" x14ac:dyDescent="0.3">
      <c r="A61" s="7">
        <v>7527403</v>
      </c>
      <c r="B61" s="7" t="s">
        <v>3859</v>
      </c>
      <c r="C61" s="7" t="s">
        <v>3860</v>
      </c>
      <c r="D61" s="7" t="s">
        <v>198</v>
      </c>
      <c r="E61" s="7"/>
      <c r="F61" s="7" t="s">
        <v>418</v>
      </c>
      <c r="G61" s="7" t="s">
        <v>208</v>
      </c>
      <c r="H61" s="7" t="s">
        <v>207</v>
      </c>
      <c r="I61" s="7"/>
      <c r="J61" s="7" t="s">
        <v>227</v>
      </c>
      <c r="K61" s="7"/>
      <c r="L61" s="7"/>
      <c r="M61" s="7"/>
      <c r="N61" s="7" t="s">
        <v>3608</v>
      </c>
      <c r="O61" s="7"/>
      <c r="P61" s="7">
        <v>3253759</v>
      </c>
      <c r="Q61" s="7" t="s">
        <v>3861</v>
      </c>
      <c r="R61" s="7" t="s">
        <v>203</v>
      </c>
      <c r="S61" s="7" t="s">
        <v>418</v>
      </c>
      <c r="T61" s="7" t="s">
        <v>208</v>
      </c>
      <c r="U61" s="7" t="s">
        <v>245</v>
      </c>
      <c r="V61" s="7" t="s">
        <v>3862</v>
      </c>
      <c r="W61" s="7" t="s">
        <v>227</v>
      </c>
      <c r="X61" s="7" t="s">
        <v>200</v>
      </c>
      <c r="Y61" s="7" t="s">
        <v>2218</v>
      </c>
      <c r="Z61" s="7" t="s">
        <v>3863</v>
      </c>
      <c r="AA61" s="7" t="s">
        <v>3602</v>
      </c>
      <c r="AB61" s="7" t="s">
        <v>3635</v>
      </c>
      <c r="AC61" s="7" t="s">
        <v>3864</v>
      </c>
      <c r="AD61" s="8">
        <v>45266</v>
      </c>
      <c r="AE61" s="8">
        <v>45266</v>
      </c>
      <c r="AF61" s="7"/>
    </row>
    <row r="62" spans="1:32" ht="30" customHeight="1" x14ac:dyDescent="0.3">
      <c r="A62" s="5">
        <v>3902161</v>
      </c>
      <c r="B62" s="5" t="s">
        <v>1755</v>
      </c>
      <c r="C62" s="5" t="s">
        <v>3865</v>
      </c>
      <c r="D62" s="5" t="s">
        <v>1351</v>
      </c>
      <c r="E62" s="5" t="s">
        <v>203</v>
      </c>
      <c r="F62" s="5" t="s">
        <v>433</v>
      </c>
      <c r="G62" s="5" t="s">
        <v>217</v>
      </c>
      <c r="H62" s="5" t="s">
        <v>233</v>
      </c>
      <c r="I62" s="5" t="s">
        <v>1756</v>
      </c>
      <c r="J62" s="5" t="s">
        <v>227</v>
      </c>
      <c r="K62" s="5" t="s">
        <v>200</v>
      </c>
      <c r="L62" s="5" t="s">
        <v>1757</v>
      </c>
      <c r="M62" s="5" t="s">
        <v>1758</v>
      </c>
      <c r="N62" s="5" t="s">
        <v>3608</v>
      </c>
      <c r="O62" s="5" t="s">
        <v>3743</v>
      </c>
      <c r="P62" s="5">
        <v>4921151</v>
      </c>
      <c r="Q62" s="5" t="s">
        <v>2440</v>
      </c>
      <c r="R62" s="5" t="s">
        <v>737</v>
      </c>
      <c r="S62" s="5" t="s">
        <v>234</v>
      </c>
      <c r="T62" s="5" t="s">
        <v>217</v>
      </c>
      <c r="U62" s="5" t="s">
        <v>207</v>
      </c>
      <c r="V62" s="5" t="s">
        <v>2441</v>
      </c>
      <c r="W62" s="5" t="s">
        <v>227</v>
      </c>
      <c r="X62" s="5" t="s">
        <v>200</v>
      </c>
      <c r="Y62" s="5" t="s">
        <v>2442</v>
      </c>
      <c r="Z62" s="5" t="s">
        <v>1247</v>
      </c>
      <c r="AA62" s="5" t="s">
        <v>3623</v>
      </c>
      <c r="AB62" s="5" t="s">
        <v>3646</v>
      </c>
      <c r="AC62" s="5" t="s">
        <v>3866</v>
      </c>
      <c r="AD62" s="6">
        <v>45234</v>
      </c>
      <c r="AE62" s="5"/>
      <c r="AF62" s="5"/>
    </row>
    <row r="63" spans="1:32" ht="40.5" customHeight="1" x14ac:dyDescent="0.3">
      <c r="A63" s="7">
        <v>4878922</v>
      </c>
      <c r="B63" s="7" t="s">
        <v>2368</v>
      </c>
      <c r="C63" s="7"/>
      <c r="D63" s="7" t="s">
        <v>198</v>
      </c>
      <c r="E63" s="7" t="s">
        <v>203</v>
      </c>
      <c r="F63" s="7" t="s">
        <v>234</v>
      </c>
      <c r="G63" s="7" t="s">
        <v>217</v>
      </c>
      <c r="H63" s="7" t="s">
        <v>207</v>
      </c>
      <c r="I63" s="7" t="s">
        <v>2369</v>
      </c>
      <c r="J63" s="7" t="s">
        <v>227</v>
      </c>
      <c r="K63" s="7" t="s">
        <v>200</v>
      </c>
      <c r="L63" s="7" t="s">
        <v>2370</v>
      </c>
      <c r="M63" s="7" t="s">
        <v>941</v>
      </c>
      <c r="N63" s="7" t="s">
        <v>3623</v>
      </c>
      <c r="O63" s="7" t="s">
        <v>3635</v>
      </c>
      <c r="P63" s="7">
        <v>4654641</v>
      </c>
      <c r="Q63" s="7" t="s">
        <v>3867</v>
      </c>
      <c r="R63" s="7"/>
      <c r="S63" s="7" t="s">
        <v>234</v>
      </c>
      <c r="T63" s="7" t="s">
        <v>208</v>
      </c>
      <c r="U63" s="7" t="s">
        <v>207</v>
      </c>
      <c r="V63" s="7"/>
      <c r="W63" s="7" t="s">
        <v>227</v>
      </c>
      <c r="X63" s="7"/>
      <c r="Y63" s="7"/>
      <c r="Z63" s="7"/>
      <c r="AA63" s="7" t="s">
        <v>3729</v>
      </c>
      <c r="AB63" s="7"/>
      <c r="AC63" s="7" t="s">
        <v>3868</v>
      </c>
      <c r="AD63" s="8">
        <v>45323</v>
      </c>
      <c r="AE63" s="8">
        <v>45351</v>
      </c>
      <c r="AF63" s="7"/>
    </row>
    <row r="64" spans="1:32" ht="40.5" customHeight="1" x14ac:dyDescent="0.3">
      <c r="A64" s="5">
        <v>4878922</v>
      </c>
      <c r="B64" s="5" t="s">
        <v>2368</v>
      </c>
      <c r="C64" s="5"/>
      <c r="D64" s="5" t="s">
        <v>354</v>
      </c>
      <c r="E64" s="5" t="s">
        <v>203</v>
      </c>
      <c r="F64" s="5" t="s">
        <v>234</v>
      </c>
      <c r="G64" s="5" t="s">
        <v>217</v>
      </c>
      <c r="H64" s="5" t="s">
        <v>207</v>
      </c>
      <c r="I64" s="5" t="s">
        <v>2369</v>
      </c>
      <c r="J64" s="5" t="s">
        <v>227</v>
      </c>
      <c r="K64" s="5" t="s">
        <v>200</v>
      </c>
      <c r="L64" s="5" t="s">
        <v>2370</v>
      </c>
      <c r="M64" s="5" t="s">
        <v>941</v>
      </c>
      <c r="N64" s="5" t="s">
        <v>3623</v>
      </c>
      <c r="O64" s="5" t="s">
        <v>3635</v>
      </c>
      <c r="P64" s="5">
        <v>3837157</v>
      </c>
      <c r="Q64" s="5" t="s">
        <v>3869</v>
      </c>
      <c r="R64" s="5" t="s">
        <v>737</v>
      </c>
      <c r="S64" s="5" t="s">
        <v>234</v>
      </c>
      <c r="T64" s="5" t="s">
        <v>217</v>
      </c>
      <c r="U64" s="5" t="s">
        <v>245</v>
      </c>
      <c r="V64" s="5" t="s">
        <v>3870</v>
      </c>
      <c r="W64" s="5" t="s">
        <v>227</v>
      </c>
      <c r="X64" s="5" t="s">
        <v>200</v>
      </c>
      <c r="Y64" s="5" t="s">
        <v>3871</v>
      </c>
      <c r="Z64" s="5" t="s">
        <v>1247</v>
      </c>
      <c r="AA64" s="5" t="s">
        <v>3608</v>
      </c>
      <c r="AB64" s="5" t="s">
        <v>3646</v>
      </c>
      <c r="AC64" s="5" t="s">
        <v>3872</v>
      </c>
      <c r="AD64" s="6">
        <v>45323</v>
      </c>
      <c r="AE64" s="6">
        <v>45413</v>
      </c>
      <c r="AF64" s="5"/>
    </row>
    <row r="65" spans="1:32" ht="71.25" customHeight="1" x14ac:dyDescent="0.3">
      <c r="A65" s="7">
        <v>4741617</v>
      </c>
      <c r="B65" s="7" t="s">
        <v>2091</v>
      </c>
      <c r="C65" s="7" t="s">
        <v>3873</v>
      </c>
      <c r="D65" s="7" t="s">
        <v>198</v>
      </c>
      <c r="E65" s="7" t="s">
        <v>203</v>
      </c>
      <c r="F65" s="7" t="s">
        <v>418</v>
      </c>
      <c r="G65" s="7" t="s">
        <v>217</v>
      </c>
      <c r="H65" s="7" t="s">
        <v>207</v>
      </c>
      <c r="I65" s="7" t="s">
        <v>2092</v>
      </c>
      <c r="J65" s="7" t="s">
        <v>227</v>
      </c>
      <c r="K65" s="7" t="s">
        <v>200</v>
      </c>
      <c r="L65" s="7" t="s">
        <v>2093</v>
      </c>
      <c r="M65" s="7" t="s">
        <v>2094</v>
      </c>
      <c r="N65" s="7" t="s">
        <v>3608</v>
      </c>
      <c r="O65" s="7" t="s">
        <v>3843</v>
      </c>
      <c r="P65" s="7">
        <v>5605040</v>
      </c>
      <c r="Q65" s="7" t="s">
        <v>3874</v>
      </c>
      <c r="R65" s="7" t="s">
        <v>203</v>
      </c>
      <c r="S65" s="7" t="s">
        <v>234</v>
      </c>
      <c r="T65" s="7" t="s">
        <v>217</v>
      </c>
      <c r="U65" s="7" t="s">
        <v>2330</v>
      </c>
      <c r="V65" s="7" t="s">
        <v>3875</v>
      </c>
      <c r="W65" s="7" t="s">
        <v>227</v>
      </c>
      <c r="X65" s="7" t="s">
        <v>200</v>
      </c>
      <c r="Y65" s="7" t="s">
        <v>1218</v>
      </c>
      <c r="Z65" s="7" t="s">
        <v>2459</v>
      </c>
      <c r="AA65" s="7" t="s">
        <v>3612</v>
      </c>
      <c r="AB65" s="7" t="s">
        <v>3843</v>
      </c>
      <c r="AC65" s="7" t="s">
        <v>3876</v>
      </c>
      <c r="AD65" s="8">
        <v>45047</v>
      </c>
      <c r="AE65" s="8">
        <v>45299</v>
      </c>
      <c r="AF65" s="7" t="s">
        <v>3641</v>
      </c>
    </row>
    <row r="66" spans="1:32" ht="40.5" customHeight="1" x14ac:dyDescent="0.3">
      <c r="A66" s="5">
        <v>3818748</v>
      </c>
      <c r="B66" s="5" t="s">
        <v>1673</v>
      </c>
      <c r="C66" s="5"/>
      <c r="D66" s="5" t="s">
        <v>354</v>
      </c>
      <c r="E66" s="5" t="s">
        <v>203</v>
      </c>
      <c r="F66" s="5" t="s">
        <v>234</v>
      </c>
      <c r="G66" s="5" t="s">
        <v>208</v>
      </c>
      <c r="H66" s="5" t="s">
        <v>245</v>
      </c>
      <c r="I66" s="5" t="s">
        <v>538</v>
      </c>
      <c r="J66" s="5" t="s">
        <v>227</v>
      </c>
      <c r="K66" s="5" t="s">
        <v>888</v>
      </c>
      <c r="L66" s="5" t="s">
        <v>1674</v>
      </c>
      <c r="M66" s="5" t="s">
        <v>1675</v>
      </c>
      <c r="N66" s="5" t="s">
        <v>3608</v>
      </c>
      <c r="O66" s="5" t="s">
        <v>3763</v>
      </c>
      <c r="P66" s="5">
        <v>5455030</v>
      </c>
      <c r="Q66" s="5" t="s">
        <v>3877</v>
      </c>
      <c r="R66" s="5"/>
      <c r="S66" s="5" t="s">
        <v>234</v>
      </c>
      <c r="T66" s="5" t="s">
        <v>217</v>
      </c>
      <c r="U66" s="5" t="s">
        <v>207</v>
      </c>
      <c r="V66" s="5"/>
      <c r="W66" s="5" t="s">
        <v>227</v>
      </c>
      <c r="X66" s="5"/>
      <c r="Y66" s="5"/>
      <c r="Z66" s="5"/>
      <c r="AA66" s="5" t="s">
        <v>3732</v>
      </c>
      <c r="AB66" s="5"/>
      <c r="AC66" s="5" t="s">
        <v>3878</v>
      </c>
      <c r="AD66" s="6">
        <v>45078</v>
      </c>
      <c r="AE66" s="6">
        <v>45444</v>
      </c>
      <c r="AF66" s="5"/>
    </row>
    <row r="67" spans="1:32" ht="91.5" customHeight="1" x14ac:dyDescent="0.3">
      <c r="A67" s="7">
        <v>4805062</v>
      </c>
      <c r="B67" s="7" t="s">
        <v>2194</v>
      </c>
      <c r="C67" s="7"/>
      <c r="D67" s="7" t="s">
        <v>3373</v>
      </c>
      <c r="E67" s="7" t="s">
        <v>203</v>
      </c>
      <c r="F67" s="7" t="s">
        <v>418</v>
      </c>
      <c r="G67" s="7" t="s">
        <v>208</v>
      </c>
      <c r="H67" s="7" t="s">
        <v>207</v>
      </c>
      <c r="I67" s="7" t="s">
        <v>2195</v>
      </c>
      <c r="J67" s="7" t="s">
        <v>227</v>
      </c>
      <c r="K67" s="7" t="s">
        <v>888</v>
      </c>
      <c r="L67" s="7" t="s">
        <v>2196</v>
      </c>
      <c r="M67" s="7" t="s">
        <v>2197</v>
      </c>
      <c r="N67" s="7" t="s">
        <v>3608</v>
      </c>
      <c r="O67" s="7" t="s">
        <v>3727</v>
      </c>
      <c r="P67" s="7">
        <v>4528204</v>
      </c>
      <c r="Q67" s="7" t="s">
        <v>3879</v>
      </c>
      <c r="R67" s="7"/>
      <c r="S67" s="7" t="s">
        <v>418</v>
      </c>
      <c r="T67" s="7" t="s">
        <v>217</v>
      </c>
      <c r="U67" s="7" t="s">
        <v>233</v>
      </c>
      <c r="V67" s="7"/>
      <c r="W67" s="7" t="s">
        <v>227</v>
      </c>
      <c r="X67" s="7"/>
      <c r="Y67" s="7"/>
      <c r="Z67" s="7"/>
      <c r="AA67" s="7" t="s">
        <v>3602</v>
      </c>
      <c r="AB67" s="7"/>
      <c r="AC67" s="7" t="s">
        <v>3880</v>
      </c>
      <c r="AD67" s="8">
        <v>45267</v>
      </c>
      <c r="AE67" s="8">
        <v>45281</v>
      </c>
      <c r="AF67" s="7" t="s">
        <v>3881</v>
      </c>
    </row>
    <row r="68" spans="1:32" ht="40.5" customHeight="1" x14ac:dyDescent="0.3">
      <c r="A68" s="5">
        <v>7527403</v>
      </c>
      <c r="B68" s="5" t="s">
        <v>3859</v>
      </c>
      <c r="C68" s="5" t="s">
        <v>3882</v>
      </c>
      <c r="D68" s="5" t="s">
        <v>198</v>
      </c>
      <c r="E68" s="5"/>
      <c r="F68" s="5" t="s">
        <v>418</v>
      </c>
      <c r="G68" s="5" t="s">
        <v>208</v>
      </c>
      <c r="H68" s="5" t="s">
        <v>207</v>
      </c>
      <c r="I68" s="5"/>
      <c r="J68" s="5" t="s">
        <v>227</v>
      </c>
      <c r="K68" s="5"/>
      <c r="L68" s="5"/>
      <c r="M68" s="5"/>
      <c r="N68" s="5" t="s">
        <v>3608</v>
      </c>
      <c r="O68" s="5"/>
      <c r="P68" s="5">
        <v>2421143</v>
      </c>
      <c r="Q68" s="5" t="s">
        <v>3883</v>
      </c>
      <c r="R68" s="5" t="s">
        <v>203</v>
      </c>
      <c r="S68" s="5" t="s">
        <v>418</v>
      </c>
      <c r="T68" s="5" t="s">
        <v>208</v>
      </c>
      <c r="U68" s="5" t="s">
        <v>233</v>
      </c>
      <c r="V68" s="5" t="s">
        <v>3862</v>
      </c>
      <c r="W68" s="5" t="s">
        <v>227</v>
      </c>
      <c r="X68" s="5" t="s">
        <v>200</v>
      </c>
      <c r="Y68" s="5" t="s">
        <v>2218</v>
      </c>
      <c r="Z68" s="5" t="s">
        <v>3863</v>
      </c>
      <c r="AA68" s="5" t="s">
        <v>3652</v>
      </c>
      <c r="AB68" s="5" t="s">
        <v>3635</v>
      </c>
      <c r="AC68" s="5" t="s">
        <v>3884</v>
      </c>
      <c r="AD68" s="6">
        <v>45261</v>
      </c>
      <c r="AE68" s="6">
        <v>45412</v>
      </c>
      <c r="AF68" s="5"/>
    </row>
    <row r="69" spans="1:32" ht="30" customHeight="1" x14ac:dyDescent="0.3">
      <c r="A69" s="7">
        <v>4771281</v>
      </c>
      <c r="B69" s="7" t="s">
        <v>2153</v>
      </c>
      <c r="C69" s="7" t="s">
        <v>3885</v>
      </c>
      <c r="D69" s="7" t="s">
        <v>3373</v>
      </c>
      <c r="E69" s="7" t="s">
        <v>203</v>
      </c>
      <c r="F69" s="7" t="s">
        <v>234</v>
      </c>
      <c r="G69" s="7" t="s">
        <v>217</v>
      </c>
      <c r="H69" s="7" t="s">
        <v>245</v>
      </c>
      <c r="I69" s="7" t="s">
        <v>2154</v>
      </c>
      <c r="J69" s="7" t="s">
        <v>227</v>
      </c>
      <c r="K69" s="7" t="s">
        <v>200</v>
      </c>
      <c r="L69" s="7" t="s">
        <v>2155</v>
      </c>
      <c r="M69" s="7" t="s">
        <v>2156</v>
      </c>
      <c r="N69" s="7" t="s">
        <v>3608</v>
      </c>
      <c r="O69" s="7" t="s">
        <v>3886</v>
      </c>
      <c r="P69" s="7">
        <v>4815793</v>
      </c>
      <c r="Q69" s="7" t="s">
        <v>3887</v>
      </c>
      <c r="R69" s="7" t="s">
        <v>203</v>
      </c>
      <c r="S69" s="7" t="s">
        <v>234</v>
      </c>
      <c r="T69" s="7" t="s">
        <v>217</v>
      </c>
      <c r="U69" s="7" t="s">
        <v>207</v>
      </c>
      <c r="V69" s="7" t="s">
        <v>3888</v>
      </c>
      <c r="W69" s="7" t="s">
        <v>227</v>
      </c>
      <c r="X69" s="7" t="s">
        <v>200</v>
      </c>
      <c r="Y69" s="7" t="s">
        <v>3889</v>
      </c>
      <c r="Z69" s="7" t="s">
        <v>2040</v>
      </c>
      <c r="AA69" s="7" t="s">
        <v>3608</v>
      </c>
      <c r="AB69" s="7" t="s">
        <v>3646</v>
      </c>
      <c r="AC69" s="7" t="s">
        <v>3890</v>
      </c>
      <c r="AD69" s="8">
        <v>44835</v>
      </c>
      <c r="AE69" s="8">
        <v>45230</v>
      </c>
      <c r="AF69" s="7"/>
    </row>
    <row r="70" spans="1:32" ht="204" customHeight="1" x14ac:dyDescent="0.3">
      <c r="A70" s="5">
        <v>7527403</v>
      </c>
      <c r="B70" s="5" t="s">
        <v>3859</v>
      </c>
      <c r="C70" s="5" t="s">
        <v>3891</v>
      </c>
      <c r="D70" s="5" t="s">
        <v>354</v>
      </c>
      <c r="E70" s="5"/>
      <c r="F70" s="5" t="s">
        <v>418</v>
      </c>
      <c r="G70" s="5" t="s">
        <v>208</v>
      </c>
      <c r="H70" s="5" t="s">
        <v>207</v>
      </c>
      <c r="I70" s="5"/>
      <c r="J70" s="5" t="s">
        <v>227</v>
      </c>
      <c r="K70" s="5"/>
      <c r="L70" s="5"/>
      <c r="M70" s="5"/>
      <c r="N70" s="5" t="s">
        <v>3608</v>
      </c>
      <c r="O70" s="5"/>
      <c r="P70" s="5">
        <v>3253759</v>
      </c>
      <c r="Q70" s="5" t="s">
        <v>3861</v>
      </c>
      <c r="R70" s="5" t="s">
        <v>203</v>
      </c>
      <c r="S70" s="5" t="s">
        <v>418</v>
      </c>
      <c r="T70" s="5" t="s">
        <v>208</v>
      </c>
      <c r="U70" s="5" t="s">
        <v>245</v>
      </c>
      <c r="V70" s="5" t="s">
        <v>3862</v>
      </c>
      <c r="W70" s="5" t="s">
        <v>227</v>
      </c>
      <c r="X70" s="5" t="s">
        <v>200</v>
      </c>
      <c r="Y70" s="5" t="s">
        <v>2218</v>
      </c>
      <c r="Z70" s="5" t="s">
        <v>3863</v>
      </c>
      <c r="AA70" s="5" t="s">
        <v>3602</v>
      </c>
      <c r="AB70" s="5" t="s">
        <v>3635</v>
      </c>
      <c r="AC70" s="5" t="s">
        <v>3864</v>
      </c>
      <c r="AD70" s="6">
        <v>45266</v>
      </c>
      <c r="AE70" s="6">
        <v>45266</v>
      </c>
      <c r="AF70" s="5"/>
    </row>
    <row r="71" spans="1:32" ht="40.5" customHeight="1" x14ac:dyDescent="0.3">
      <c r="A71" s="7">
        <v>7527403</v>
      </c>
      <c r="B71" s="7" t="s">
        <v>3859</v>
      </c>
      <c r="C71" s="7" t="s">
        <v>3892</v>
      </c>
      <c r="D71" s="7" t="s">
        <v>354</v>
      </c>
      <c r="E71" s="7"/>
      <c r="F71" s="7" t="s">
        <v>418</v>
      </c>
      <c r="G71" s="7" t="s">
        <v>208</v>
      </c>
      <c r="H71" s="7" t="s">
        <v>207</v>
      </c>
      <c r="I71" s="7"/>
      <c r="J71" s="7" t="s">
        <v>227</v>
      </c>
      <c r="K71" s="7"/>
      <c r="L71" s="7"/>
      <c r="M71" s="7"/>
      <c r="N71" s="7" t="s">
        <v>3608</v>
      </c>
      <c r="O71" s="7"/>
      <c r="P71" s="7">
        <v>2421143</v>
      </c>
      <c r="Q71" s="7" t="s">
        <v>3883</v>
      </c>
      <c r="R71" s="7" t="s">
        <v>203</v>
      </c>
      <c r="S71" s="7" t="s">
        <v>418</v>
      </c>
      <c r="T71" s="7" t="s">
        <v>208</v>
      </c>
      <c r="U71" s="7" t="s">
        <v>233</v>
      </c>
      <c r="V71" s="7" t="s">
        <v>3862</v>
      </c>
      <c r="W71" s="7" t="s">
        <v>227</v>
      </c>
      <c r="X71" s="7" t="s">
        <v>200</v>
      </c>
      <c r="Y71" s="7" t="s">
        <v>2218</v>
      </c>
      <c r="Z71" s="7" t="s">
        <v>3863</v>
      </c>
      <c r="AA71" s="7" t="s">
        <v>3652</v>
      </c>
      <c r="AB71" s="7" t="s">
        <v>3635</v>
      </c>
      <c r="AC71" s="7" t="s">
        <v>3884</v>
      </c>
      <c r="AD71" s="8">
        <v>45314</v>
      </c>
      <c r="AE71" s="8">
        <v>45471</v>
      </c>
      <c r="AF71" s="7"/>
    </row>
    <row r="72" spans="1:32" ht="71.25" customHeight="1" x14ac:dyDescent="0.3">
      <c r="A72" s="5">
        <v>3472892</v>
      </c>
      <c r="B72" s="5" t="s">
        <v>1370</v>
      </c>
      <c r="C72" s="5" t="s">
        <v>3893</v>
      </c>
      <c r="D72" s="5" t="s">
        <v>354</v>
      </c>
      <c r="E72" s="5" t="s">
        <v>203</v>
      </c>
      <c r="F72" s="5" t="s">
        <v>234</v>
      </c>
      <c r="G72" s="5" t="s">
        <v>217</v>
      </c>
      <c r="H72" s="5" t="s">
        <v>245</v>
      </c>
      <c r="I72" s="5" t="s">
        <v>360</v>
      </c>
      <c r="J72" s="5" t="s">
        <v>227</v>
      </c>
      <c r="K72" s="5" t="s">
        <v>200</v>
      </c>
      <c r="L72" s="5" t="s">
        <v>1371</v>
      </c>
      <c r="M72" s="5" t="s">
        <v>540</v>
      </c>
      <c r="N72" s="5" t="s">
        <v>3623</v>
      </c>
      <c r="O72" s="5" t="s">
        <v>3894</v>
      </c>
      <c r="P72" s="5">
        <v>5098858</v>
      </c>
      <c r="Q72" s="5" t="s">
        <v>3895</v>
      </c>
      <c r="R72" s="5" t="s">
        <v>203</v>
      </c>
      <c r="S72" s="5" t="s">
        <v>433</v>
      </c>
      <c r="T72" s="5" t="s">
        <v>217</v>
      </c>
      <c r="U72" s="5" t="s">
        <v>207</v>
      </c>
      <c r="V72" s="5" t="s">
        <v>3035</v>
      </c>
      <c r="W72" s="5" t="s">
        <v>227</v>
      </c>
      <c r="X72" s="5" t="s">
        <v>200</v>
      </c>
      <c r="Y72" s="5" t="s">
        <v>3036</v>
      </c>
      <c r="Z72" s="5" t="s">
        <v>870</v>
      </c>
      <c r="AA72" s="5" t="s">
        <v>3623</v>
      </c>
      <c r="AB72" s="5" t="s">
        <v>3715</v>
      </c>
      <c r="AC72" s="5" t="s">
        <v>3896</v>
      </c>
      <c r="AD72" s="6">
        <v>44578</v>
      </c>
      <c r="AE72" s="6">
        <v>44890</v>
      </c>
      <c r="AF72" s="5" t="s">
        <v>3611</v>
      </c>
    </row>
    <row r="73" spans="1:32" ht="40.5" customHeight="1" x14ac:dyDescent="0.3">
      <c r="A73" s="7">
        <v>2423243</v>
      </c>
      <c r="B73" s="7" t="s">
        <v>927</v>
      </c>
      <c r="C73" s="7"/>
      <c r="D73" s="7" t="s">
        <v>354</v>
      </c>
      <c r="E73" s="7" t="s">
        <v>203</v>
      </c>
      <c r="F73" s="7" t="s">
        <v>234</v>
      </c>
      <c r="G73" s="7" t="s">
        <v>217</v>
      </c>
      <c r="H73" s="7" t="s">
        <v>233</v>
      </c>
      <c r="I73" s="7" t="s">
        <v>928</v>
      </c>
      <c r="J73" s="7" t="s">
        <v>227</v>
      </c>
      <c r="K73" s="7" t="s">
        <v>200</v>
      </c>
      <c r="L73" s="7" t="s">
        <v>929</v>
      </c>
      <c r="M73" s="7" t="s">
        <v>930</v>
      </c>
      <c r="N73" s="7" t="s">
        <v>3652</v>
      </c>
      <c r="O73" s="7" t="s">
        <v>3763</v>
      </c>
      <c r="P73" s="7">
        <v>5121159</v>
      </c>
      <c r="Q73" s="7" t="s">
        <v>3897</v>
      </c>
      <c r="R73" s="7"/>
      <c r="S73" s="7" t="s">
        <v>234</v>
      </c>
      <c r="T73" s="7" t="s">
        <v>217</v>
      </c>
      <c r="U73" s="7" t="s">
        <v>207</v>
      </c>
      <c r="V73" s="7"/>
      <c r="W73" s="7" t="s">
        <v>227</v>
      </c>
      <c r="X73" s="7"/>
      <c r="Y73" s="7"/>
      <c r="Z73" s="7"/>
      <c r="AA73" s="7" t="s">
        <v>3623</v>
      </c>
      <c r="AB73" s="7"/>
      <c r="AC73" s="7" t="s">
        <v>3898</v>
      </c>
      <c r="AD73" s="8">
        <v>45293</v>
      </c>
      <c r="AE73" s="8">
        <v>45322</v>
      </c>
      <c r="AF73" s="7"/>
    </row>
    <row r="74" spans="1:32" ht="30" customHeight="1" x14ac:dyDescent="0.3">
      <c r="A74" s="5">
        <v>4878922</v>
      </c>
      <c r="B74" s="5" t="s">
        <v>2368</v>
      </c>
      <c r="C74" s="5"/>
      <c r="D74" s="5" t="s">
        <v>198</v>
      </c>
      <c r="E74" s="5" t="s">
        <v>203</v>
      </c>
      <c r="F74" s="5" t="s">
        <v>234</v>
      </c>
      <c r="G74" s="5" t="s">
        <v>217</v>
      </c>
      <c r="H74" s="5" t="s">
        <v>207</v>
      </c>
      <c r="I74" s="5" t="s">
        <v>2369</v>
      </c>
      <c r="J74" s="5" t="s">
        <v>227</v>
      </c>
      <c r="K74" s="5" t="s">
        <v>200</v>
      </c>
      <c r="L74" s="5" t="s">
        <v>2370</v>
      </c>
      <c r="M74" s="5" t="s">
        <v>941</v>
      </c>
      <c r="N74" s="5" t="s">
        <v>3623</v>
      </c>
      <c r="O74" s="5" t="s">
        <v>3635</v>
      </c>
      <c r="P74" s="5">
        <v>4838734</v>
      </c>
      <c r="Q74" s="5" t="s">
        <v>3899</v>
      </c>
      <c r="R74" s="5" t="s">
        <v>203</v>
      </c>
      <c r="S74" s="5" t="s">
        <v>234</v>
      </c>
      <c r="T74" s="5" t="s">
        <v>208</v>
      </c>
      <c r="U74" s="5" t="s">
        <v>207</v>
      </c>
      <c r="V74" s="5" t="s">
        <v>2327</v>
      </c>
      <c r="W74" s="5" t="s">
        <v>227</v>
      </c>
      <c r="X74" s="5" t="s">
        <v>200</v>
      </c>
      <c r="Y74" s="5" t="s">
        <v>3871</v>
      </c>
      <c r="Z74" s="5" t="s">
        <v>747</v>
      </c>
      <c r="AA74" s="5" t="s">
        <v>3608</v>
      </c>
      <c r="AB74" s="5" t="s">
        <v>3613</v>
      </c>
      <c r="AC74" s="5" t="s">
        <v>3900</v>
      </c>
      <c r="AD74" s="6">
        <v>45323</v>
      </c>
      <c r="AE74" s="6">
        <v>45382</v>
      </c>
      <c r="AF74" s="5"/>
    </row>
    <row r="75" spans="1:32" ht="40.5" customHeight="1" x14ac:dyDescent="0.3">
      <c r="A75" s="7">
        <v>4878922</v>
      </c>
      <c r="B75" s="7" t="s">
        <v>2368</v>
      </c>
      <c r="C75" s="7"/>
      <c r="D75" s="7" t="s">
        <v>354</v>
      </c>
      <c r="E75" s="7" t="s">
        <v>203</v>
      </c>
      <c r="F75" s="7" t="s">
        <v>234</v>
      </c>
      <c r="G75" s="7" t="s">
        <v>217</v>
      </c>
      <c r="H75" s="7" t="s">
        <v>207</v>
      </c>
      <c r="I75" s="7" t="s">
        <v>2369</v>
      </c>
      <c r="J75" s="7" t="s">
        <v>227</v>
      </c>
      <c r="K75" s="7" t="s">
        <v>200</v>
      </c>
      <c r="L75" s="7" t="s">
        <v>2370</v>
      </c>
      <c r="M75" s="7" t="s">
        <v>941</v>
      </c>
      <c r="N75" s="7" t="s">
        <v>3623</v>
      </c>
      <c r="O75" s="7" t="s">
        <v>3635</v>
      </c>
      <c r="P75" s="7">
        <v>4868463</v>
      </c>
      <c r="Q75" s="7" t="s">
        <v>3901</v>
      </c>
      <c r="R75" s="7" t="s">
        <v>203</v>
      </c>
      <c r="S75" s="7" t="s">
        <v>234</v>
      </c>
      <c r="T75" s="7" t="s">
        <v>217</v>
      </c>
      <c r="U75" s="7" t="s">
        <v>245</v>
      </c>
      <c r="V75" s="7" t="s">
        <v>2369</v>
      </c>
      <c r="W75" s="7" t="s">
        <v>227</v>
      </c>
      <c r="X75" s="7" t="s">
        <v>200</v>
      </c>
      <c r="Y75" s="7" t="s">
        <v>3871</v>
      </c>
      <c r="Z75" s="7" t="s">
        <v>482</v>
      </c>
      <c r="AA75" s="7" t="s">
        <v>3608</v>
      </c>
      <c r="AB75" s="7" t="s">
        <v>3635</v>
      </c>
      <c r="AC75" s="7" t="s">
        <v>3902</v>
      </c>
      <c r="AD75" s="8">
        <v>45292</v>
      </c>
      <c r="AE75" s="8">
        <v>45535</v>
      </c>
      <c r="AF75" s="7"/>
    </row>
    <row r="76" spans="1:32" ht="40.5" customHeight="1" x14ac:dyDescent="0.3">
      <c r="A76" s="5">
        <v>7552793</v>
      </c>
      <c r="B76" s="5" t="s">
        <v>3356</v>
      </c>
      <c r="C76" s="5"/>
      <c r="D76" s="5" t="s">
        <v>354</v>
      </c>
      <c r="E76" s="5" t="s">
        <v>203</v>
      </c>
      <c r="F76" s="5" t="s">
        <v>234</v>
      </c>
      <c r="G76" s="5" t="s">
        <v>217</v>
      </c>
      <c r="H76" s="5" t="s">
        <v>207</v>
      </c>
      <c r="I76" s="5" t="s">
        <v>3357</v>
      </c>
      <c r="J76" s="5" t="s">
        <v>227</v>
      </c>
      <c r="K76" s="5" t="s">
        <v>200</v>
      </c>
      <c r="L76" s="5" t="s">
        <v>3358</v>
      </c>
      <c r="M76" s="5" t="s">
        <v>3359</v>
      </c>
      <c r="N76" s="5" t="s">
        <v>3612</v>
      </c>
      <c r="O76" s="5" t="s">
        <v>3711</v>
      </c>
      <c r="P76" s="5">
        <v>4692497</v>
      </c>
      <c r="Q76" s="5" t="s">
        <v>3903</v>
      </c>
      <c r="R76" s="5" t="s">
        <v>203</v>
      </c>
      <c r="S76" s="5" t="s">
        <v>234</v>
      </c>
      <c r="T76" s="5" t="s">
        <v>217</v>
      </c>
      <c r="U76" s="5" t="s">
        <v>207</v>
      </c>
      <c r="V76" s="5" t="s">
        <v>3904</v>
      </c>
      <c r="W76" s="5" t="s">
        <v>227</v>
      </c>
      <c r="X76" s="5" t="s">
        <v>200</v>
      </c>
      <c r="Y76" s="5" t="s">
        <v>3905</v>
      </c>
      <c r="Z76" s="5" t="s">
        <v>1243</v>
      </c>
      <c r="AA76" s="5" t="s">
        <v>3608</v>
      </c>
      <c r="AB76" s="5" t="s">
        <v>3609</v>
      </c>
      <c r="AC76" s="5" t="s">
        <v>3906</v>
      </c>
      <c r="AD76" s="6">
        <v>45269</v>
      </c>
      <c r="AE76" s="6">
        <v>45382</v>
      </c>
      <c r="AF76" s="5"/>
    </row>
    <row r="77" spans="1:32" ht="30" customHeight="1" x14ac:dyDescent="0.3">
      <c r="A77" s="7">
        <v>2746573</v>
      </c>
      <c r="B77" s="7" t="s">
        <v>924</v>
      </c>
      <c r="C77" s="7" t="s">
        <v>3907</v>
      </c>
      <c r="D77" s="7" t="s">
        <v>693</v>
      </c>
      <c r="E77" s="7" t="s">
        <v>203</v>
      </c>
      <c r="F77" s="7" t="s">
        <v>418</v>
      </c>
      <c r="G77" s="7" t="s">
        <v>208</v>
      </c>
      <c r="H77" s="7" t="s">
        <v>245</v>
      </c>
      <c r="I77" s="7" t="s">
        <v>883</v>
      </c>
      <c r="J77" s="7" t="s">
        <v>227</v>
      </c>
      <c r="K77" s="7" t="s">
        <v>200</v>
      </c>
      <c r="L77" s="7" t="s">
        <v>884</v>
      </c>
      <c r="M77" s="7" t="s">
        <v>926</v>
      </c>
      <c r="N77" s="7" t="s">
        <v>3602</v>
      </c>
      <c r="O77" s="7" t="s">
        <v>3763</v>
      </c>
      <c r="P77" s="7">
        <v>5608627</v>
      </c>
      <c r="Q77" s="7" t="s">
        <v>3908</v>
      </c>
      <c r="R77" s="7" t="s">
        <v>203</v>
      </c>
      <c r="S77" s="7" t="s">
        <v>234</v>
      </c>
      <c r="T77" s="7" t="s">
        <v>217</v>
      </c>
      <c r="U77" s="7" t="s">
        <v>2330</v>
      </c>
      <c r="V77" s="7" t="s">
        <v>3909</v>
      </c>
      <c r="W77" s="7" t="s">
        <v>227</v>
      </c>
      <c r="X77" s="7" t="s">
        <v>200</v>
      </c>
      <c r="Y77" s="7" t="s">
        <v>3910</v>
      </c>
      <c r="Z77" s="7" t="s">
        <v>1328</v>
      </c>
      <c r="AA77" s="7" t="s">
        <v>3612</v>
      </c>
      <c r="AB77" s="7" t="s">
        <v>3894</v>
      </c>
      <c r="AC77" s="7" t="s">
        <v>3911</v>
      </c>
      <c r="AD77" s="8">
        <v>45139</v>
      </c>
      <c r="AE77" s="8">
        <v>45535</v>
      </c>
      <c r="AF77" s="7"/>
    </row>
    <row r="78" spans="1:32" ht="30" customHeight="1" x14ac:dyDescent="0.3">
      <c r="A78" s="5">
        <v>3477428</v>
      </c>
      <c r="B78" s="5" t="s">
        <v>1372</v>
      </c>
      <c r="C78" s="5"/>
      <c r="D78" s="5" t="s">
        <v>354</v>
      </c>
      <c r="E78" s="5" t="s">
        <v>203</v>
      </c>
      <c r="F78" s="5" t="s">
        <v>234</v>
      </c>
      <c r="G78" s="5" t="s">
        <v>217</v>
      </c>
      <c r="H78" s="5" t="s">
        <v>245</v>
      </c>
      <c r="I78" s="5" t="s">
        <v>1373</v>
      </c>
      <c r="J78" s="5" t="s">
        <v>227</v>
      </c>
      <c r="K78" s="5" t="s">
        <v>200</v>
      </c>
      <c r="L78" s="5" t="s">
        <v>604</v>
      </c>
      <c r="M78" s="5" t="s">
        <v>1374</v>
      </c>
      <c r="N78" s="5" t="s">
        <v>3602</v>
      </c>
      <c r="O78" s="5" t="s">
        <v>3912</v>
      </c>
      <c r="P78" s="5">
        <v>7547463</v>
      </c>
      <c r="Q78" s="5" t="s">
        <v>3351</v>
      </c>
      <c r="R78" s="5" t="s">
        <v>203</v>
      </c>
      <c r="S78" s="5" t="s">
        <v>234</v>
      </c>
      <c r="T78" s="5" t="s">
        <v>208</v>
      </c>
      <c r="U78" s="5" t="s">
        <v>245</v>
      </c>
      <c r="V78" s="5" t="s">
        <v>3352</v>
      </c>
      <c r="W78" s="5" t="s">
        <v>227</v>
      </c>
      <c r="X78" s="5" t="s">
        <v>200</v>
      </c>
      <c r="Y78" s="5" t="s">
        <v>3353</v>
      </c>
      <c r="Z78" s="5" t="s">
        <v>747</v>
      </c>
      <c r="AA78" s="5" t="s">
        <v>3602</v>
      </c>
      <c r="AB78" s="5" t="s">
        <v>3613</v>
      </c>
      <c r="AC78" s="5" t="s">
        <v>3913</v>
      </c>
      <c r="AD78" s="6">
        <v>45272</v>
      </c>
      <c r="AE78" s="6">
        <v>45272</v>
      </c>
      <c r="AF78" s="5"/>
    </row>
    <row r="79" spans="1:32" ht="91.5" customHeight="1" x14ac:dyDescent="0.3">
      <c r="A79" s="7">
        <v>3082644</v>
      </c>
      <c r="B79" s="7" t="s">
        <v>523</v>
      </c>
      <c r="C79" s="7" t="s">
        <v>3914</v>
      </c>
      <c r="D79" s="7" t="s">
        <v>198</v>
      </c>
      <c r="E79" s="7" t="s">
        <v>203</v>
      </c>
      <c r="F79" s="7" t="s">
        <v>234</v>
      </c>
      <c r="G79" s="7" t="s">
        <v>217</v>
      </c>
      <c r="H79" s="7" t="s">
        <v>245</v>
      </c>
      <c r="I79" s="7" t="s">
        <v>524</v>
      </c>
      <c r="J79" s="7" t="s">
        <v>227</v>
      </c>
      <c r="K79" s="7" t="s">
        <v>200</v>
      </c>
      <c r="L79" s="7" t="s">
        <v>525</v>
      </c>
      <c r="M79" s="7" t="s">
        <v>526</v>
      </c>
      <c r="N79" s="7" t="s">
        <v>3608</v>
      </c>
      <c r="O79" s="7" t="s">
        <v>3635</v>
      </c>
      <c r="P79" s="7">
        <v>3862674</v>
      </c>
      <c r="Q79" s="7" t="s">
        <v>3915</v>
      </c>
      <c r="R79" s="7" t="s">
        <v>203</v>
      </c>
      <c r="S79" s="7" t="s">
        <v>234</v>
      </c>
      <c r="T79" s="7" t="s">
        <v>217</v>
      </c>
      <c r="U79" s="7" t="s">
        <v>207</v>
      </c>
      <c r="V79" s="7" t="s">
        <v>3916</v>
      </c>
      <c r="W79" s="7" t="s">
        <v>227</v>
      </c>
      <c r="X79" s="7" t="s">
        <v>200</v>
      </c>
      <c r="Y79" s="7" t="s">
        <v>525</v>
      </c>
      <c r="Z79" s="7" t="s">
        <v>283</v>
      </c>
      <c r="AA79" s="7" t="s">
        <v>3608</v>
      </c>
      <c r="AB79" s="7" t="s">
        <v>3646</v>
      </c>
      <c r="AC79" s="7" t="s">
        <v>3917</v>
      </c>
      <c r="AD79" s="8">
        <v>45313</v>
      </c>
      <c r="AE79" s="8">
        <v>45471</v>
      </c>
      <c r="AF79" s="7"/>
    </row>
    <row r="80" spans="1:32" ht="30" customHeight="1" x14ac:dyDescent="0.3">
      <c r="A80" s="5">
        <v>7500262</v>
      </c>
      <c r="B80" s="5" t="s">
        <v>3341</v>
      </c>
      <c r="C80" s="5" t="s">
        <v>3918</v>
      </c>
      <c r="D80" s="5" t="s">
        <v>198</v>
      </c>
      <c r="E80" s="5" t="s">
        <v>203</v>
      </c>
      <c r="F80" s="5" t="s">
        <v>234</v>
      </c>
      <c r="G80" s="5" t="s">
        <v>217</v>
      </c>
      <c r="H80" s="5" t="s">
        <v>245</v>
      </c>
      <c r="I80" s="5" t="s">
        <v>592</v>
      </c>
      <c r="J80" s="5" t="s">
        <v>227</v>
      </c>
      <c r="K80" s="5" t="s">
        <v>200</v>
      </c>
      <c r="L80" s="5" t="s">
        <v>593</v>
      </c>
      <c r="M80" s="5" t="s">
        <v>3342</v>
      </c>
      <c r="N80" s="5" t="s">
        <v>3602</v>
      </c>
      <c r="O80" s="5" t="s">
        <v>3919</v>
      </c>
      <c r="P80" s="5">
        <v>5110092</v>
      </c>
      <c r="Q80" s="5" t="s">
        <v>3920</v>
      </c>
      <c r="R80" s="5" t="s">
        <v>203</v>
      </c>
      <c r="S80" s="5" t="s">
        <v>234</v>
      </c>
      <c r="T80" s="5" t="s">
        <v>208</v>
      </c>
      <c r="U80" s="5" t="s">
        <v>207</v>
      </c>
      <c r="V80" s="5" t="s">
        <v>3921</v>
      </c>
      <c r="W80" s="5" t="s">
        <v>227</v>
      </c>
      <c r="X80" s="5" t="s">
        <v>200</v>
      </c>
      <c r="Y80" s="5" t="s">
        <v>3922</v>
      </c>
      <c r="Z80" s="5" t="s">
        <v>1243</v>
      </c>
      <c r="AA80" s="5" t="s">
        <v>3623</v>
      </c>
      <c r="AB80" s="5" t="s">
        <v>3609</v>
      </c>
      <c r="AC80" s="5" t="s">
        <v>3923</v>
      </c>
      <c r="AD80" s="6">
        <v>45272</v>
      </c>
      <c r="AE80" s="6">
        <v>45272</v>
      </c>
      <c r="AF80" s="5"/>
    </row>
    <row r="81" spans="1:32" ht="40.5" customHeight="1" x14ac:dyDescent="0.3">
      <c r="A81" s="7">
        <v>3773531</v>
      </c>
      <c r="B81" s="7" t="s">
        <v>1629</v>
      </c>
      <c r="C81" s="7" t="s">
        <v>3907</v>
      </c>
      <c r="D81" s="7" t="s">
        <v>693</v>
      </c>
      <c r="E81" s="7" t="s">
        <v>203</v>
      </c>
      <c r="F81" s="7" t="s">
        <v>433</v>
      </c>
      <c r="G81" s="7" t="s">
        <v>217</v>
      </c>
      <c r="H81" s="7" t="s">
        <v>207</v>
      </c>
      <c r="I81" s="7" t="s">
        <v>1630</v>
      </c>
      <c r="J81" s="7" t="s">
        <v>227</v>
      </c>
      <c r="K81" s="7" t="s">
        <v>200</v>
      </c>
      <c r="L81" s="7" t="s">
        <v>568</v>
      </c>
      <c r="M81" s="7" t="s">
        <v>1631</v>
      </c>
      <c r="N81" s="7" t="s">
        <v>3608</v>
      </c>
      <c r="O81" s="7" t="s">
        <v>3894</v>
      </c>
      <c r="P81" s="7">
        <v>5617391</v>
      </c>
      <c r="Q81" s="7" t="s">
        <v>3924</v>
      </c>
      <c r="R81" s="7" t="s">
        <v>203</v>
      </c>
      <c r="S81" s="7" t="s">
        <v>418</v>
      </c>
      <c r="T81" s="7" t="s">
        <v>217</v>
      </c>
      <c r="U81" s="7" t="s">
        <v>2330</v>
      </c>
      <c r="V81" s="7" t="s">
        <v>3925</v>
      </c>
      <c r="W81" s="7" t="s">
        <v>227</v>
      </c>
      <c r="X81" s="7" t="s">
        <v>888</v>
      </c>
      <c r="Y81" s="7" t="s">
        <v>3926</v>
      </c>
      <c r="Z81" s="7" t="s">
        <v>3927</v>
      </c>
      <c r="AA81" s="7" t="s">
        <v>3612</v>
      </c>
      <c r="AB81" s="7" t="s">
        <v>3928</v>
      </c>
      <c r="AC81" s="7" t="s">
        <v>3929</v>
      </c>
      <c r="AD81" s="8">
        <v>45139</v>
      </c>
      <c r="AE81" s="8">
        <v>45535</v>
      </c>
      <c r="AF81" s="7"/>
    </row>
    <row r="82" spans="1:32" ht="40.5" customHeight="1" x14ac:dyDescent="0.3">
      <c r="A82" s="5">
        <v>3795446</v>
      </c>
      <c r="B82" s="5" t="s">
        <v>1649</v>
      </c>
      <c r="C82" s="5" t="s">
        <v>3907</v>
      </c>
      <c r="D82" s="5" t="s">
        <v>693</v>
      </c>
      <c r="E82" s="5" t="s">
        <v>203</v>
      </c>
      <c r="F82" s="5" t="s">
        <v>433</v>
      </c>
      <c r="G82" s="5" t="s">
        <v>208</v>
      </c>
      <c r="H82" s="5" t="s">
        <v>207</v>
      </c>
      <c r="I82" s="5" t="s">
        <v>1650</v>
      </c>
      <c r="J82" s="5" t="s">
        <v>227</v>
      </c>
      <c r="K82" s="5" t="s">
        <v>888</v>
      </c>
      <c r="L82" s="5" t="s">
        <v>1651</v>
      </c>
      <c r="M82" s="5" t="s">
        <v>1652</v>
      </c>
      <c r="N82" s="5" t="s">
        <v>3608</v>
      </c>
      <c r="O82" s="5" t="s">
        <v>3930</v>
      </c>
      <c r="P82" s="5">
        <v>5611474</v>
      </c>
      <c r="Q82" s="5" t="s">
        <v>3931</v>
      </c>
      <c r="R82" s="5"/>
      <c r="S82" s="5" t="s">
        <v>433</v>
      </c>
      <c r="T82" s="5" t="s">
        <v>208</v>
      </c>
      <c r="U82" s="5" t="s">
        <v>2330</v>
      </c>
      <c r="V82" s="5"/>
      <c r="W82" s="5" t="s">
        <v>227</v>
      </c>
      <c r="X82" s="5"/>
      <c r="Y82" s="5"/>
      <c r="Z82" s="5"/>
      <c r="AA82" s="5" t="s">
        <v>3732</v>
      </c>
      <c r="AB82" s="5"/>
      <c r="AC82" s="5" t="s">
        <v>3932</v>
      </c>
      <c r="AD82" s="6">
        <v>45139</v>
      </c>
      <c r="AE82" s="6">
        <v>45535</v>
      </c>
      <c r="AF82" s="5"/>
    </row>
    <row r="83" spans="1:32" ht="40.5" customHeight="1" x14ac:dyDescent="0.3">
      <c r="A83" s="7">
        <v>4762762</v>
      </c>
      <c r="B83" s="7" t="s">
        <v>2134</v>
      </c>
      <c r="C83" s="7" t="s">
        <v>3907</v>
      </c>
      <c r="D83" s="7" t="s">
        <v>693</v>
      </c>
      <c r="E83" s="7" t="s">
        <v>203</v>
      </c>
      <c r="F83" s="7" t="s">
        <v>418</v>
      </c>
      <c r="G83" s="7" t="s">
        <v>208</v>
      </c>
      <c r="H83" s="7" t="s">
        <v>245</v>
      </c>
      <c r="I83" s="7" t="s">
        <v>2135</v>
      </c>
      <c r="J83" s="7" t="s">
        <v>227</v>
      </c>
      <c r="K83" s="7" t="s">
        <v>888</v>
      </c>
      <c r="L83" s="7" t="s">
        <v>2136</v>
      </c>
      <c r="M83" s="7" t="s">
        <v>2137</v>
      </c>
      <c r="N83" s="7" t="s">
        <v>3608</v>
      </c>
      <c r="O83" s="7" t="s">
        <v>3933</v>
      </c>
      <c r="P83" s="7">
        <v>5605911</v>
      </c>
      <c r="Q83" s="7" t="s">
        <v>3934</v>
      </c>
      <c r="R83" s="7"/>
      <c r="S83" s="7" t="s">
        <v>418</v>
      </c>
      <c r="T83" s="7" t="s">
        <v>208</v>
      </c>
      <c r="U83" s="7" t="s">
        <v>2330</v>
      </c>
      <c r="V83" s="7"/>
      <c r="W83" s="7" t="s">
        <v>227</v>
      </c>
      <c r="X83" s="7"/>
      <c r="Y83" s="7"/>
      <c r="Z83" s="7"/>
      <c r="AA83" s="7" t="s">
        <v>3732</v>
      </c>
      <c r="AB83" s="7"/>
      <c r="AC83" s="7" t="s">
        <v>3935</v>
      </c>
      <c r="AD83" s="8">
        <v>45139</v>
      </c>
      <c r="AE83" s="8">
        <v>45535</v>
      </c>
      <c r="AF83" s="7"/>
    </row>
    <row r="84" spans="1:32" ht="30" customHeight="1" x14ac:dyDescent="0.3">
      <c r="A84" s="5">
        <v>5277264</v>
      </c>
      <c r="B84" s="5" t="s">
        <v>3049</v>
      </c>
      <c r="C84" s="5" t="s">
        <v>3936</v>
      </c>
      <c r="D84" s="5" t="s">
        <v>198</v>
      </c>
      <c r="E84" s="5" t="s">
        <v>737</v>
      </c>
      <c r="F84" s="5" t="s">
        <v>234</v>
      </c>
      <c r="G84" s="5" t="s">
        <v>208</v>
      </c>
      <c r="H84" s="5" t="s">
        <v>207</v>
      </c>
      <c r="I84" s="5" t="s">
        <v>3050</v>
      </c>
      <c r="J84" s="5" t="s">
        <v>227</v>
      </c>
      <c r="K84" s="5" t="s">
        <v>200</v>
      </c>
      <c r="L84" s="5" t="s">
        <v>3051</v>
      </c>
      <c r="M84" s="5" t="s">
        <v>1247</v>
      </c>
      <c r="N84" s="5" t="s">
        <v>3623</v>
      </c>
      <c r="O84" s="5" t="s">
        <v>3646</v>
      </c>
      <c r="P84" s="5">
        <v>5489091</v>
      </c>
      <c r="Q84" s="5" t="s">
        <v>3937</v>
      </c>
      <c r="R84" s="5" t="s">
        <v>737</v>
      </c>
      <c r="S84" s="5" t="s">
        <v>234</v>
      </c>
      <c r="T84" s="5" t="s">
        <v>208</v>
      </c>
      <c r="U84" s="5" t="s">
        <v>2330</v>
      </c>
      <c r="V84" s="5" t="s">
        <v>3050</v>
      </c>
      <c r="W84" s="5" t="s">
        <v>227</v>
      </c>
      <c r="X84" s="5" t="s">
        <v>200</v>
      </c>
      <c r="Y84" s="5" t="s">
        <v>3051</v>
      </c>
      <c r="Z84" s="5" t="s">
        <v>1247</v>
      </c>
      <c r="AA84" s="5" t="s">
        <v>3732</v>
      </c>
      <c r="AB84" s="5" t="s">
        <v>3646</v>
      </c>
      <c r="AC84" s="5" t="s">
        <v>3938</v>
      </c>
      <c r="AD84" s="6">
        <v>45272</v>
      </c>
      <c r="AE84" s="6">
        <v>45455</v>
      </c>
      <c r="AF84" s="5"/>
    </row>
    <row r="85" spans="1:32" ht="40.5" customHeight="1" x14ac:dyDescent="0.3">
      <c r="A85" s="7">
        <v>3835057</v>
      </c>
      <c r="B85" s="7" t="s">
        <v>3939</v>
      </c>
      <c r="C85" s="7"/>
      <c r="D85" s="7" t="s">
        <v>862</v>
      </c>
      <c r="E85" s="7"/>
      <c r="F85" s="7" t="s">
        <v>234</v>
      </c>
      <c r="G85" s="7" t="s">
        <v>208</v>
      </c>
      <c r="H85" s="7" t="s">
        <v>207</v>
      </c>
      <c r="I85" s="7"/>
      <c r="J85" s="7" t="s">
        <v>227</v>
      </c>
      <c r="K85" s="7"/>
      <c r="L85" s="7"/>
      <c r="M85" s="7"/>
      <c r="N85" s="7" t="s">
        <v>3608</v>
      </c>
      <c r="O85" s="7"/>
      <c r="P85" s="7">
        <v>5300312</v>
      </c>
      <c r="Q85" s="7" t="s">
        <v>3940</v>
      </c>
      <c r="R85" s="7" t="s">
        <v>737</v>
      </c>
      <c r="S85" s="7" t="s">
        <v>234</v>
      </c>
      <c r="T85" s="7" t="s">
        <v>208</v>
      </c>
      <c r="U85" s="7" t="s">
        <v>207</v>
      </c>
      <c r="V85" s="7" t="s">
        <v>3941</v>
      </c>
      <c r="W85" s="7" t="s">
        <v>227</v>
      </c>
      <c r="X85" s="7" t="s">
        <v>200</v>
      </c>
      <c r="Y85" s="7" t="s">
        <v>3942</v>
      </c>
      <c r="Z85" s="7" t="s">
        <v>1247</v>
      </c>
      <c r="AA85" s="7" t="s">
        <v>3623</v>
      </c>
      <c r="AB85" s="7" t="s">
        <v>3646</v>
      </c>
      <c r="AC85" s="7" t="s">
        <v>3943</v>
      </c>
      <c r="AD85" s="8">
        <v>45273</v>
      </c>
      <c r="AE85" s="8">
        <v>45657</v>
      </c>
      <c r="AF85" s="7"/>
    </row>
    <row r="86" spans="1:32" ht="30" customHeight="1" x14ac:dyDescent="0.3">
      <c r="A86" s="5">
        <v>5156270</v>
      </c>
      <c r="B86" s="5" t="s">
        <v>2820</v>
      </c>
      <c r="C86" s="5" t="s">
        <v>3907</v>
      </c>
      <c r="D86" s="5" t="s">
        <v>693</v>
      </c>
      <c r="E86" s="5" t="s">
        <v>203</v>
      </c>
      <c r="F86" s="5" t="s">
        <v>433</v>
      </c>
      <c r="G86" s="5" t="s">
        <v>208</v>
      </c>
      <c r="H86" s="5" t="s">
        <v>207</v>
      </c>
      <c r="I86" s="5" t="s">
        <v>2821</v>
      </c>
      <c r="J86" s="5" t="s">
        <v>227</v>
      </c>
      <c r="K86" s="5" t="s">
        <v>200</v>
      </c>
      <c r="L86" s="5" t="s">
        <v>2822</v>
      </c>
      <c r="M86" s="5" t="s">
        <v>2823</v>
      </c>
      <c r="N86" s="5" t="s">
        <v>3623</v>
      </c>
      <c r="O86" s="5" t="s">
        <v>3944</v>
      </c>
      <c r="P86" s="5">
        <v>5609305</v>
      </c>
      <c r="Q86" s="5" t="s">
        <v>3945</v>
      </c>
      <c r="R86" s="5" t="s">
        <v>203</v>
      </c>
      <c r="S86" s="5" t="s">
        <v>433</v>
      </c>
      <c r="T86" s="5" t="s">
        <v>208</v>
      </c>
      <c r="U86" s="5" t="s">
        <v>2330</v>
      </c>
      <c r="V86" s="5" t="s">
        <v>3946</v>
      </c>
      <c r="W86" s="5" t="s">
        <v>227</v>
      </c>
      <c r="X86" s="5" t="s">
        <v>413</v>
      </c>
      <c r="Y86" s="5" t="s">
        <v>3947</v>
      </c>
      <c r="Z86" s="5" t="s">
        <v>3948</v>
      </c>
      <c r="AA86" s="5" t="s">
        <v>3612</v>
      </c>
      <c r="AB86" s="5" t="s">
        <v>3603</v>
      </c>
      <c r="AC86" s="5" t="s">
        <v>3949</v>
      </c>
      <c r="AD86" s="6">
        <v>45139</v>
      </c>
      <c r="AE86" s="6">
        <v>45535</v>
      </c>
      <c r="AF86" s="5"/>
    </row>
    <row r="87" spans="1:32" ht="40.5" customHeight="1" x14ac:dyDescent="0.3">
      <c r="A87" s="7">
        <v>4643321</v>
      </c>
      <c r="B87" s="7" t="s">
        <v>1911</v>
      </c>
      <c r="C87" s="7" t="s">
        <v>3907</v>
      </c>
      <c r="D87" s="7" t="s">
        <v>693</v>
      </c>
      <c r="E87" s="7" t="s">
        <v>203</v>
      </c>
      <c r="F87" s="7" t="s">
        <v>444</v>
      </c>
      <c r="G87" s="7" t="s">
        <v>208</v>
      </c>
      <c r="H87" s="7" t="s">
        <v>207</v>
      </c>
      <c r="I87" s="7" t="s">
        <v>1912</v>
      </c>
      <c r="J87" s="7" t="s">
        <v>227</v>
      </c>
      <c r="K87" s="7" t="s">
        <v>888</v>
      </c>
      <c r="L87" s="7" t="s">
        <v>1913</v>
      </c>
      <c r="M87" s="7" t="s">
        <v>1914</v>
      </c>
      <c r="N87" s="7" t="s">
        <v>3608</v>
      </c>
      <c r="O87" s="7" t="s">
        <v>3603</v>
      </c>
      <c r="P87" s="7">
        <v>5612144</v>
      </c>
      <c r="Q87" s="7" t="s">
        <v>3950</v>
      </c>
      <c r="R87" s="7"/>
      <c r="S87" s="7" t="s">
        <v>433</v>
      </c>
      <c r="T87" s="7" t="s">
        <v>208</v>
      </c>
      <c r="U87" s="7" t="s">
        <v>2330</v>
      </c>
      <c r="V87" s="7"/>
      <c r="W87" s="7" t="s">
        <v>227</v>
      </c>
      <c r="X87" s="7"/>
      <c r="Y87" s="7"/>
      <c r="Z87" s="7"/>
      <c r="AA87" s="7" t="s">
        <v>3612</v>
      </c>
      <c r="AB87" s="7"/>
      <c r="AC87" s="7" t="s">
        <v>3951</v>
      </c>
      <c r="AD87" s="8">
        <v>45139</v>
      </c>
      <c r="AE87" s="8">
        <v>45535</v>
      </c>
      <c r="AF87" s="7"/>
    </row>
    <row r="88" spans="1:32" ht="30" customHeight="1" x14ac:dyDescent="0.3">
      <c r="A88" s="5">
        <v>5478960</v>
      </c>
      <c r="B88" s="5" t="s">
        <v>3253</v>
      </c>
      <c r="C88" s="5"/>
      <c r="D88" s="5" t="s">
        <v>198</v>
      </c>
      <c r="E88" s="5" t="s">
        <v>203</v>
      </c>
      <c r="F88" s="5" t="s">
        <v>444</v>
      </c>
      <c r="G88" s="5" t="s">
        <v>208</v>
      </c>
      <c r="H88" s="5" t="s">
        <v>245</v>
      </c>
      <c r="I88" s="5" t="s">
        <v>3254</v>
      </c>
      <c r="J88" s="5" t="s">
        <v>227</v>
      </c>
      <c r="K88" s="5" t="s">
        <v>200</v>
      </c>
      <c r="L88" s="5" t="s">
        <v>981</v>
      </c>
      <c r="M88" s="5" t="s">
        <v>848</v>
      </c>
      <c r="N88" s="5" t="s">
        <v>3612</v>
      </c>
      <c r="O88" s="5" t="s">
        <v>3743</v>
      </c>
      <c r="P88" s="5">
        <v>5535093</v>
      </c>
      <c r="Q88" s="5" t="s">
        <v>3952</v>
      </c>
      <c r="R88" s="5" t="s">
        <v>203</v>
      </c>
      <c r="S88" s="5" t="s">
        <v>234</v>
      </c>
      <c r="T88" s="5" t="s">
        <v>217</v>
      </c>
      <c r="U88" s="5" t="s">
        <v>245</v>
      </c>
      <c r="V88" s="5" t="s">
        <v>3554</v>
      </c>
      <c r="W88" s="5" t="s">
        <v>227</v>
      </c>
      <c r="X88" s="5" t="s">
        <v>200</v>
      </c>
      <c r="Y88" s="5" t="s">
        <v>3555</v>
      </c>
      <c r="Z88" s="5" t="s">
        <v>1369</v>
      </c>
      <c r="AA88" s="5" t="s">
        <v>3612</v>
      </c>
      <c r="AB88" s="5" t="s">
        <v>3912</v>
      </c>
      <c r="AC88" s="5" t="s">
        <v>3953</v>
      </c>
      <c r="AD88" s="6">
        <v>45271</v>
      </c>
      <c r="AE88" s="5"/>
      <c r="AF88" s="5"/>
    </row>
    <row r="89" spans="1:32" ht="40.5" customHeight="1" x14ac:dyDescent="0.3">
      <c r="A89" s="7">
        <v>7552793</v>
      </c>
      <c r="B89" s="7" t="s">
        <v>3356</v>
      </c>
      <c r="C89" s="7"/>
      <c r="D89" s="7" t="s">
        <v>198</v>
      </c>
      <c r="E89" s="7" t="s">
        <v>203</v>
      </c>
      <c r="F89" s="7" t="s">
        <v>234</v>
      </c>
      <c r="G89" s="7" t="s">
        <v>217</v>
      </c>
      <c r="H89" s="7" t="s">
        <v>207</v>
      </c>
      <c r="I89" s="7" t="s">
        <v>3357</v>
      </c>
      <c r="J89" s="7" t="s">
        <v>227</v>
      </c>
      <c r="K89" s="7" t="s">
        <v>200</v>
      </c>
      <c r="L89" s="7" t="s">
        <v>3358</v>
      </c>
      <c r="M89" s="7" t="s">
        <v>3359</v>
      </c>
      <c r="N89" s="7" t="s">
        <v>3612</v>
      </c>
      <c r="O89" s="7" t="s">
        <v>3711</v>
      </c>
      <c r="P89" s="7">
        <v>3475697</v>
      </c>
      <c r="Q89" s="7" t="s">
        <v>3954</v>
      </c>
      <c r="R89" s="7" t="s">
        <v>737</v>
      </c>
      <c r="S89" s="7" t="s">
        <v>234</v>
      </c>
      <c r="T89" s="7" t="s">
        <v>217</v>
      </c>
      <c r="U89" s="7" t="s">
        <v>207</v>
      </c>
      <c r="V89" s="7" t="s">
        <v>3955</v>
      </c>
      <c r="W89" s="7" t="s">
        <v>227</v>
      </c>
      <c r="X89" s="7" t="s">
        <v>200</v>
      </c>
      <c r="Y89" s="7" t="s">
        <v>3905</v>
      </c>
      <c r="Z89" s="7" t="s">
        <v>1247</v>
      </c>
      <c r="AA89" s="7" t="s">
        <v>3612</v>
      </c>
      <c r="AB89" s="7" t="s">
        <v>3646</v>
      </c>
      <c r="AC89" s="7" t="s">
        <v>3956</v>
      </c>
      <c r="AD89" s="8">
        <v>45271</v>
      </c>
      <c r="AE89" s="8">
        <v>45382</v>
      </c>
      <c r="AF89" s="7"/>
    </row>
    <row r="90" spans="1:32" ht="40.5" customHeight="1" x14ac:dyDescent="0.3">
      <c r="A90" s="5">
        <v>7552793</v>
      </c>
      <c r="B90" s="5" t="s">
        <v>3356</v>
      </c>
      <c r="C90" s="5"/>
      <c r="D90" s="5" t="s">
        <v>354</v>
      </c>
      <c r="E90" s="5" t="s">
        <v>203</v>
      </c>
      <c r="F90" s="5" t="s">
        <v>234</v>
      </c>
      <c r="G90" s="5" t="s">
        <v>217</v>
      </c>
      <c r="H90" s="5" t="s">
        <v>207</v>
      </c>
      <c r="I90" s="5" t="s">
        <v>3357</v>
      </c>
      <c r="J90" s="5" t="s">
        <v>227</v>
      </c>
      <c r="K90" s="5" t="s">
        <v>200</v>
      </c>
      <c r="L90" s="5" t="s">
        <v>3358</v>
      </c>
      <c r="M90" s="5" t="s">
        <v>3359</v>
      </c>
      <c r="N90" s="5" t="s">
        <v>3612</v>
      </c>
      <c r="O90" s="5" t="s">
        <v>3711</v>
      </c>
      <c r="P90" s="5">
        <v>4844777</v>
      </c>
      <c r="Q90" s="5" t="s">
        <v>3957</v>
      </c>
      <c r="R90" s="5" t="s">
        <v>737</v>
      </c>
      <c r="S90" s="5" t="s">
        <v>234</v>
      </c>
      <c r="T90" s="5" t="s">
        <v>217</v>
      </c>
      <c r="U90" s="5" t="s">
        <v>207</v>
      </c>
      <c r="V90" s="5" t="s">
        <v>3955</v>
      </c>
      <c r="W90" s="5" t="s">
        <v>227</v>
      </c>
      <c r="X90" s="5" t="s">
        <v>200</v>
      </c>
      <c r="Y90" s="5" t="s">
        <v>3905</v>
      </c>
      <c r="Z90" s="5" t="s">
        <v>1247</v>
      </c>
      <c r="AA90" s="5" t="s">
        <v>3608</v>
      </c>
      <c r="AB90" s="5" t="s">
        <v>3646</v>
      </c>
      <c r="AC90" s="5" t="s">
        <v>3958</v>
      </c>
      <c r="AD90" s="6">
        <v>45271</v>
      </c>
      <c r="AE90" s="6">
        <v>45352</v>
      </c>
      <c r="AF90" s="5"/>
    </row>
    <row r="91" spans="1:32" ht="30" customHeight="1" x14ac:dyDescent="0.3">
      <c r="A91" s="7">
        <v>3354423</v>
      </c>
      <c r="B91" s="7" t="s">
        <v>1231</v>
      </c>
      <c r="C91" s="7" t="s">
        <v>3959</v>
      </c>
      <c r="D91" s="7" t="s">
        <v>354</v>
      </c>
      <c r="E91" s="7" t="s">
        <v>203</v>
      </c>
      <c r="F91" s="7" t="s">
        <v>234</v>
      </c>
      <c r="G91" s="7" t="s">
        <v>217</v>
      </c>
      <c r="H91" s="7" t="s">
        <v>245</v>
      </c>
      <c r="I91" s="7" t="s">
        <v>1232</v>
      </c>
      <c r="J91" s="7" t="s">
        <v>227</v>
      </c>
      <c r="K91" s="7" t="s">
        <v>200</v>
      </c>
      <c r="L91" s="7" t="s">
        <v>1233</v>
      </c>
      <c r="M91" s="7" t="s">
        <v>1234</v>
      </c>
      <c r="N91" s="7" t="s">
        <v>3602</v>
      </c>
      <c r="O91" s="7" t="s">
        <v>3960</v>
      </c>
      <c r="P91" s="7">
        <v>7547056</v>
      </c>
      <c r="Q91" s="7" t="s">
        <v>3961</v>
      </c>
      <c r="R91" s="7" t="s">
        <v>203</v>
      </c>
      <c r="S91" s="7" t="s">
        <v>234</v>
      </c>
      <c r="T91" s="7" t="s">
        <v>217</v>
      </c>
      <c r="U91" s="7" t="s">
        <v>245</v>
      </c>
      <c r="V91" s="7" t="s">
        <v>3962</v>
      </c>
      <c r="W91" s="7" t="s">
        <v>227</v>
      </c>
      <c r="X91" s="7" t="s">
        <v>200</v>
      </c>
      <c r="Y91" s="7" t="s">
        <v>3963</v>
      </c>
      <c r="Z91" s="7" t="s">
        <v>1110</v>
      </c>
      <c r="AA91" s="7" t="s">
        <v>3608</v>
      </c>
      <c r="AB91" s="7" t="s">
        <v>3702</v>
      </c>
      <c r="AC91" s="7" t="s">
        <v>3964</v>
      </c>
      <c r="AD91" s="8">
        <v>45272</v>
      </c>
      <c r="AE91" s="8">
        <v>45638</v>
      </c>
      <c r="AF91" s="7"/>
    </row>
    <row r="92" spans="1:32" ht="40.5" customHeight="1" x14ac:dyDescent="0.3">
      <c r="A92" s="5">
        <v>3560643</v>
      </c>
      <c r="B92" s="5" t="s">
        <v>1460</v>
      </c>
      <c r="C92" s="5" t="s">
        <v>3965</v>
      </c>
      <c r="D92" s="5" t="s">
        <v>354</v>
      </c>
      <c r="E92" s="5" t="s">
        <v>203</v>
      </c>
      <c r="F92" s="5" t="s">
        <v>234</v>
      </c>
      <c r="G92" s="5" t="s">
        <v>208</v>
      </c>
      <c r="H92" s="5" t="s">
        <v>245</v>
      </c>
      <c r="I92" s="5" t="s">
        <v>1461</v>
      </c>
      <c r="J92" s="5" t="s">
        <v>227</v>
      </c>
      <c r="K92" s="5" t="s">
        <v>200</v>
      </c>
      <c r="L92" s="5" t="s">
        <v>1462</v>
      </c>
      <c r="M92" s="5" t="s">
        <v>941</v>
      </c>
      <c r="N92" s="5" t="s">
        <v>3602</v>
      </c>
      <c r="O92" s="5" t="s">
        <v>3635</v>
      </c>
      <c r="P92" s="5">
        <v>3556611</v>
      </c>
      <c r="Q92" s="5" t="s">
        <v>3966</v>
      </c>
      <c r="R92" s="5" t="s">
        <v>203</v>
      </c>
      <c r="S92" s="5" t="s">
        <v>234</v>
      </c>
      <c r="T92" s="5" t="s">
        <v>208</v>
      </c>
      <c r="U92" s="5" t="s">
        <v>245</v>
      </c>
      <c r="V92" s="5" t="s">
        <v>1461</v>
      </c>
      <c r="W92" s="5" t="s">
        <v>227</v>
      </c>
      <c r="X92" s="5" t="s">
        <v>200</v>
      </c>
      <c r="Y92" s="5" t="s">
        <v>3967</v>
      </c>
      <c r="Z92" s="5" t="s">
        <v>482</v>
      </c>
      <c r="AA92" s="5" t="s">
        <v>3602</v>
      </c>
      <c r="AB92" s="5" t="s">
        <v>3635</v>
      </c>
      <c r="AC92" s="5" t="s">
        <v>3968</v>
      </c>
      <c r="AD92" s="6">
        <v>45271</v>
      </c>
      <c r="AE92" s="6">
        <v>45565</v>
      </c>
      <c r="AF92" s="5"/>
    </row>
    <row r="93" spans="1:32" ht="51" customHeight="1" x14ac:dyDescent="0.3">
      <c r="A93" s="7">
        <v>3105857</v>
      </c>
      <c r="B93" s="7" t="s">
        <v>771</v>
      </c>
      <c r="C93" s="7" t="s">
        <v>3969</v>
      </c>
      <c r="D93" s="7" t="s">
        <v>198</v>
      </c>
      <c r="E93" s="7" t="s">
        <v>203</v>
      </c>
      <c r="F93" s="7" t="s">
        <v>234</v>
      </c>
      <c r="G93" s="7" t="s">
        <v>217</v>
      </c>
      <c r="H93" s="7" t="s">
        <v>245</v>
      </c>
      <c r="I93" s="7" t="s">
        <v>772</v>
      </c>
      <c r="J93" s="7" t="s">
        <v>227</v>
      </c>
      <c r="K93" s="7" t="s">
        <v>200</v>
      </c>
      <c r="L93" s="7" t="s">
        <v>773</v>
      </c>
      <c r="M93" s="7" t="s">
        <v>375</v>
      </c>
      <c r="N93" s="7" t="s">
        <v>3602</v>
      </c>
      <c r="O93" s="7" t="s">
        <v>3702</v>
      </c>
      <c r="P93" s="7">
        <v>4717082</v>
      </c>
      <c r="Q93" s="7" t="s">
        <v>3970</v>
      </c>
      <c r="R93" s="7" t="s">
        <v>203</v>
      </c>
      <c r="S93" s="7" t="s">
        <v>234</v>
      </c>
      <c r="T93" s="7" t="s">
        <v>217</v>
      </c>
      <c r="U93" s="7" t="s">
        <v>207</v>
      </c>
      <c r="V93" s="7" t="s">
        <v>3971</v>
      </c>
      <c r="W93" s="7" t="s">
        <v>227</v>
      </c>
      <c r="X93" s="7" t="s">
        <v>200</v>
      </c>
      <c r="Y93" s="7" t="s">
        <v>3922</v>
      </c>
      <c r="Z93" s="7" t="s">
        <v>1110</v>
      </c>
      <c r="AA93" s="7" t="s">
        <v>3608</v>
      </c>
      <c r="AB93" s="7" t="s">
        <v>3702</v>
      </c>
      <c r="AC93" s="7" t="s">
        <v>3972</v>
      </c>
      <c r="AD93" s="8">
        <v>45279</v>
      </c>
      <c r="AE93" s="8">
        <v>45645</v>
      </c>
      <c r="AF93" s="7"/>
    </row>
    <row r="94" spans="1:32" ht="30" customHeight="1" x14ac:dyDescent="0.3">
      <c r="A94" s="5">
        <v>2966794</v>
      </c>
      <c r="B94" s="5" t="s">
        <v>937</v>
      </c>
      <c r="C94" s="5"/>
      <c r="D94" s="5" t="s">
        <v>354</v>
      </c>
      <c r="E94" s="5" t="s">
        <v>203</v>
      </c>
      <c r="F94" s="5" t="s">
        <v>418</v>
      </c>
      <c r="G94" s="5" t="s">
        <v>217</v>
      </c>
      <c r="H94" s="5" t="s">
        <v>233</v>
      </c>
      <c r="I94" s="5" t="s">
        <v>939</v>
      </c>
      <c r="J94" s="5" t="s">
        <v>227</v>
      </c>
      <c r="K94" s="5" t="s">
        <v>200</v>
      </c>
      <c r="L94" s="5" t="s">
        <v>940</v>
      </c>
      <c r="M94" s="5" t="s">
        <v>941</v>
      </c>
      <c r="N94" s="5" t="s">
        <v>3652</v>
      </c>
      <c r="O94" s="5" t="s">
        <v>3635</v>
      </c>
      <c r="P94" s="5">
        <v>2221543</v>
      </c>
      <c r="Q94" s="5" t="s">
        <v>3973</v>
      </c>
      <c r="R94" s="5" t="s">
        <v>203</v>
      </c>
      <c r="S94" s="5" t="s">
        <v>418</v>
      </c>
      <c r="T94" s="5" t="s">
        <v>217</v>
      </c>
      <c r="U94" s="5" t="s">
        <v>233</v>
      </c>
      <c r="V94" s="5" t="s">
        <v>1108</v>
      </c>
      <c r="W94" s="5" t="s">
        <v>227</v>
      </c>
      <c r="X94" s="5" t="s">
        <v>200</v>
      </c>
      <c r="Y94" s="5" t="s">
        <v>3974</v>
      </c>
      <c r="Z94" s="5" t="s">
        <v>482</v>
      </c>
      <c r="AA94" s="5" t="s">
        <v>3652</v>
      </c>
      <c r="AB94" s="5" t="s">
        <v>3635</v>
      </c>
      <c r="AC94" s="5" t="s">
        <v>3975</v>
      </c>
      <c r="AD94" s="6">
        <v>45267</v>
      </c>
      <c r="AE94" s="6">
        <v>45267</v>
      </c>
      <c r="AF94" s="5"/>
    </row>
    <row r="95" spans="1:32" ht="30" customHeight="1" x14ac:dyDescent="0.3">
      <c r="A95" s="7">
        <v>3221776</v>
      </c>
      <c r="B95" s="7" t="s">
        <v>1019</v>
      </c>
      <c r="C95" s="7"/>
      <c r="D95" s="7" t="s">
        <v>354</v>
      </c>
      <c r="E95" s="7" t="s">
        <v>203</v>
      </c>
      <c r="F95" s="7" t="s">
        <v>234</v>
      </c>
      <c r="G95" s="7" t="s">
        <v>217</v>
      </c>
      <c r="H95" s="7" t="s">
        <v>245</v>
      </c>
      <c r="I95" s="7" t="s">
        <v>1020</v>
      </c>
      <c r="J95" s="7" t="s">
        <v>227</v>
      </c>
      <c r="K95" s="7" t="s">
        <v>200</v>
      </c>
      <c r="L95" s="7" t="s">
        <v>1021</v>
      </c>
      <c r="M95" s="7" t="s">
        <v>482</v>
      </c>
      <c r="N95" s="7" t="s">
        <v>3602</v>
      </c>
      <c r="O95" s="7" t="s">
        <v>3635</v>
      </c>
      <c r="P95" s="7">
        <v>5393639</v>
      </c>
      <c r="Q95" s="7" t="s">
        <v>3976</v>
      </c>
      <c r="R95" s="7" t="s">
        <v>737</v>
      </c>
      <c r="S95" s="7" t="s">
        <v>234</v>
      </c>
      <c r="T95" s="7" t="s">
        <v>217</v>
      </c>
      <c r="U95" s="7" t="s">
        <v>207</v>
      </c>
      <c r="V95" s="7" t="s">
        <v>3977</v>
      </c>
      <c r="W95" s="7" t="s">
        <v>227</v>
      </c>
      <c r="X95" s="7" t="s">
        <v>200</v>
      </c>
      <c r="Y95" s="7" t="s">
        <v>3978</v>
      </c>
      <c r="Z95" s="7" t="s">
        <v>1247</v>
      </c>
      <c r="AA95" s="7" t="s">
        <v>3612</v>
      </c>
      <c r="AB95" s="7" t="s">
        <v>3646</v>
      </c>
      <c r="AC95" s="7" t="s">
        <v>3979</v>
      </c>
      <c r="AD95" s="8">
        <v>45295</v>
      </c>
      <c r="AE95" s="8">
        <v>45322</v>
      </c>
      <c r="AF95" s="7"/>
    </row>
    <row r="96" spans="1:32" ht="30" customHeight="1" x14ac:dyDescent="0.3">
      <c r="A96" s="5">
        <v>2966794</v>
      </c>
      <c r="B96" s="5" t="s">
        <v>937</v>
      </c>
      <c r="C96" s="5"/>
      <c r="D96" s="5" t="s">
        <v>354</v>
      </c>
      <c r="E96" s="5" t="s">
        <v>203</v>
      </c>
      <c r="F96" s="5" t="s">
        <v>418</v>
      </c>
      <c r="G96" s="5" t="s">
        <v>217</v>
      </c>
      <c r="H96" s="5" t="s">
        <v>233</v>
      </c>
      <c r="I96" s="5" t="s">
        <v>939</v>
      </c>
      <c r="J96" s="5" t="s">
        <v>227</v>
      </c>
      <c r="K96" s="5" t="s">
        <v>200</v>
      </c>
      <c r="L96" s="5" t="s">
        <v>940</v>
      </c>
      <c r="M96" s="5" t="s">
        <v>941</v>
      </c>
      <c r="N96" s="5" t="s">
        <v>3652</v>
      </c>
      <c r="O96" s="5" t="s">
        <v>3635</v>
      </c>
      <c r="P96" s="5">
        <v>3561372</v>
      </c>
      <c r="Q96" s="5" t="s">
        <v>3980</v>
      </c>
      <c r="R96" s="5" t="s">
        <v>203</v>
      </c>
      <c r="S96" s="5" t="s">
        <v>234</v>
      </c>
      <c r="T96" s="5" t="s">
        <v>217</v>
      </c>
      <c r="U96" s="5" t="s">
        <v>207</v>
      </c>
      <c r="V96" s="5" t="s">
        <v>3981</v>
      </c>
      <c r="W96" s="5" t="s">
        <v>227</v>
      </c>
      <c r="X96" s="5" t="s">
        <v>200</v>
      </c>
      <c r="Y96" s="5" t="s">
        <v>3982</v>
      </c>
      <c r="Z96" s="5" t="s">
        <v>1243</v>
      </c>
      <c r="AA96" s="5" t="s">
        <v>3612</v>
      </c>
      <c r="AB96" s="5" t="s">
        <v>3609</v>
      </c>
      <c r="AC96" s="5" t="s">
        <v>3983</v>
      </c>
      <c r="AD96" s="6">
        <v>45322</v>
      </c>
      <c r="AE96" s="6">
        <v>45657</v>
      </c>
      <c r="AF96" s="5"/>
    </row>
    <row r="97" spans="1:32" ht="30" customHeight="1" x14ac:dyDescent="0.3">
      <c r="A97" s="7">
        <v>3418626</v>
      </c>
      <c r="B97" s="7" t="s">
        <v>1274</v>
      </c>
      <c r="C97" s="7" t="s">
        <v>3984</v>
      </c>
      <c r="D97" s="7" t="s">
        <v>354</v>
      </c>
      <c r="E97" s="7" t="s">
        <v>203</v>
      </c>
      <c r="F97" s="7" t="s">
        <v>433</v>
      </c>
      <c r="G97" s="7" t="s">
        <v>208</v>
      </c>
      <c r="H97" s="7" t="s">
        <v>207</v>
      </c>
      <c r="I97" s="7" t="s">
        <v>1275</v>
      </c>
      <c r="J97" s="7" t="s">
        <v>227</v>
      </c>
      <c r="K97" s="7" t="s">
        <v>200</v>
      </c>
      <c r="L97" s="7" t="s">
        <v>1276</v>
      </c>
      <c r="M97" s="7" t="s">
        <v>1277</v>
      </c>
      <c r="N97" s="7" t="s">
        <v>3602</v>
      </c>
      <c r="O97" s="7" t="s">
        <v>3603</v>
      </c>
      <c r="P97" s="7">
        <v>2733994</v>
      </c>
      <c r="Q97" s="7" t="s">
        <v>3985</v>
      </c>
      <c r="R97" s="7" t="s">
        <v>203</v>
      </c>
      <c r="S97" s="7" t="s">
        <v>433</v>
      </c>
      <c r="T97" s="7" t="s">
        <v>217</v>
      </c>
      <c r="U97" s="7" t="s">
        <v>245</v>
      </c>
      <c r="V97" s="7" t="s">
        <v>3856</v>
      </c>
      <c r="W97" s="7" t="s">
        <v>227</v>
      </c>
      <c r="X97" s="7" t="s">
        <v>200</v>
      </c>
      <c r="Y97" s="7" t="s">
        <v>3857</v>
      </c>
      <c r="Z97" s="7" t="s">
        <v>747</v>
      </c>
      <c r="AA97" s="7" t="s">
        <v>3652</v>
      </c>
      <c r="AB97" s="7" t="s">
        <v>3613</v>
      </c>
      <c r="AC97" s="7" t="s">
        <v>3986</v>
      </c>
      <c r="AD97" s="8">
        <v>45292</v>
      </c>
      <c r="AE97" s="8">
        <v>45382</v>
      </c>
      <c r="AF97" s="7"/>
    </row>
    <row r="98" spans="1:32" ht="40.5" customHeight="1" x14ac:dyDescent="0.3">
      <c r="A98" s="5">
        <v>3572323</v>
      </c>
      <c r="B98" s="5" t="s">
        <v>3987</v>
      </c>
      <c r="C98" s="5"/>
      <c r="D98" s="5" t="s">
        <v>354</v>
      </c>
      <c r="E98" s="5"/>
      <c r="F98" s="5" t="s">
        <v>234</v>
      </c>
      <c r="G98" s="5" t="s">
        <v>217</v>
      </c>
      <c r="H98" s="5" t="s">
        <v>207</v>
      </c>
      <c r="I98" s="5"/>
      <c r="J98" s="5" t="s">
        <v>227</v>
      </c>
      <c r="K98" s="5"/>
      <c r="L98" s="5"/>
      <c r="M98" s="5"/>
      <c r="N98" s="5" t="s">
        <v>3623</v>
      </c>
      <c r="O98" s="5"/>
      <c r="P98" s="5">
        <v>5056268</v>
      </c>
      <c r="Q98" s="5" t="s">
        <v>3988</v>
      </c>
      <c r="R98" s="5" t="s">
        <v>737</v>
      </c>
      <c r="S98" s="5" t="s">
        <v>234</v>
      </c>
      <c r="T98" s="5" t="s">
        <v>217</v>
      </c>
      <c r="U98" s="5" t="s">
        <v>207</v>
      </c>
      <c r="V98" s="5" t="s">
        <v>3989</v>
      </c>
      <c r="W98" s="5" t="s">
        <v>227</v>
      </c>
      <c r="X98" s="5" t="s">
        <v>200</v>
      </c>
      <c r="Y98" s="5" t="s">
        <v>3990</v>
      </c>
      <c r="Z98" s="5" t="s">
        <v>1247</v>
      </c>
      <c r="AA98" s="5" t="s">
        <v>3623</v>
      </c>
      <c r="AB98" s="5" t="s">
        <v>3646</v>
      </c>
      <c r="AC98" s="5" t="s">
        <v>3991</v>
      </c>
      <c r="AD98" s="6">
        <v>45308</v>
      </c>
      <c r="AE98" s="5"/>
      <c r="AF98" s="5"/>
    </row>
    <row r="99" spans="1:32" ht="30" customHeight="1" x14ac:dyDescent="0.3">
      <c r="A99" s="7">
        <v>3555933</v>
      </c>
      <c r="B99" s="7" t="s">
        <v>1457</v>
      </c>
      <c r="C99" s="7"/>
      <c r="D99" s="7" t="s">
        <v>354</v>
      </c>
      <c r="E99" s="7" t="s">
        <v>203</v>
      </c>
      <c r="F99" s="7" t="s">
        <v>234</v>
      </c>
      <c r="G99" s="7" t="s">
        <v>208</v>
      </c>
      <c r="H99" s="7" t="s">
        <v>207</v>
      </c>
      <c r="I99" s="7" t="s">
        <v>1458</v>
      </c>
      <c r="J99" s="7" t="s">
        <v>227</v>
      </c>
      <c r="K99" s="7" t="s">
        <v>200</v>
      </c>
      <c r="L99" s="7" t="s">
        <v>1459</v>
      </c>
      <c r="M99" s="7" t="s">
        <v>1110</v>
      </c>
      <c r="N99" s="7" t="s">
        <v>3623</v>
      </c>
      <c r="O99" s="7" t="s">
        <v>3702</v>
      </c>
      <c r="P99" s="7">
        <v>3716422</v>
      </c>
      <c r="Q99" s="7" t="s">
        <v>3992</v>
      </c>
      <c r="R99" s="7" t="s">
        <v>737</v>
      </c>
      <c r="S99" s="7" t="s">
        <v>234</v>
      </c>
      <c r="T99" s="7" t="s">
        <v>208</v>
      </c>
      <c r="U99" s="7" t="s">
        <v>245</v>
      </c>
      <c r="V99" s="7" t="s">
        <v>3993</v>
      </c>
      <c r="W99" s="7" t="s">
        <v>227</v>
      </c>
      <c r="X99" s="7" t="s">
        <v>200</v>
      </c>
      <c r="Y99" s="7" t="s">
        <v>3994</v>
      </c>
      <c r="Z99" s="7" t="s">
        <v>1247</v>
      </c>
      <c r="AA99" s="7" t="s">
        <v>3608</v>
      </c>
      <c r="AB99" s="7" t="s">
        <v>3646</v>
      </c>
      <c r="AC99" s="7" t="s">
        <v>3995</v>
      </c>
      <c r="AD99" s="8">
        <v>45313</v>
      </c>
      <c r="AE99" s="8">
        <v>45639</v>
      </c>
      <c r="AF99" s="7"/>
    </row>
    <row r="100" spans="1:32" ht="30" customHeight="1" x14ac:dyDescent="0.3">
      <c r="A100" s="5">
        <v>2416824</v>
      </c>
      <c r="B100" s="5" t="s">
        <v>850</v>
      </c>
      <c r="C100" s="5"/>
      <c r="D100" s="5" t="s">
        <v>198</v>
      </c>
      <c r="E100" s="5" t="s">
        <v>203</v>
      </c>
      <c r="F100" s="5" t="s">
        <v>234</v>
      </c>
      <c r="G100" s="5" t="s">
        <v>208</v>
      </c>
      <c r="H100" s="5" t="s">
        <v>245</v>
      </c>
      <c r="I100" s="5" t="s">
        <v>810</v>
      </c>
      <c r="J100" s="5" t="s">
        <v>227</v>
      </c>
      <c r="K100" s="5" t="s">
        <v>200</v>
      </c>
      <c r="L100" s="5" t="s">
        <v>811</v>
      </c>
      <c r="M100" s="5" t="s">
        <v>564</v>
      </c>
      <c r="N100" s="5" t="s">
        <v>3652</v>
      </c>
      <c r="O100" s="5" t="s">
        <v>3646</v>
      </c>
      <c r="P100" s="5">
        <v>3769984</v>
      </c>
      <c r="Q100" s="5" t="s">
        <v>3996</v>
      </c>
      <c r="R100" s="5" t="s">
        <v>203</v>
      </c>
      <c r="S100" s="5" t="s">
        <v>234</v>
      </c>
      <c r="T100" s="5" t="s">
        <v>208</v>
      </c>
      <c r="U100" s="5" t="s">
        <v>207</v>
      </c>
      <c r="V100" s="5" t="s">
        <v>3862</v>
      </c>
      <c r="W100" s="5" t="s">
        <v>227</v>
      </c>
      <c r="X100" s="5" t="s">
        <v>200</v>
      </c>
      <c r="Y100" s="5" t="s">
        <v>2218</v>
      </c>
      <c r="Z100" s="5" t="s">
        <v>3863</v>
      </c>
      <c r="AA100" s="5" t="s">
        <v>3608</v>
      </c>
      <c r="AB100" s="5" t="s">
        <v>3635</v>
      </c>
      <c r="AC100" s="5" t="s">
        <v>3997</v>
      </c>
      <c r="AD100" s="6">
        <v>45271</v>
      </c>
      <c r="AE100" s="6">
        <v>45474</v>
      </c>
      <c r="AF100" s="5"/>
    </row>
    <row r="101" spans="1:32" ht="30" customHeight="1" x14ac:dyDescent="0.3">
      <c r="A101" s="7">
        <v>3694119</v>
      </c>
      <c r="B101" s="7" t="s">
        <v>1576</v>
      </c>
      <c r="C101" s="7" t="s">
        <v>3998</v>
      </c>
      <c r="D101" s="7" t="s">
        <v>354</v>
      </c>
      <c r="E101" s="7" t="s">
        <v>203</v>
      </c>
      <c r="F101" s="7" t="s">
        <v>418</v>
      </c>
      <c r="G101" s="7" t="s">
        <v>208</v>
      </c>
      <c r="H101" s="7" t="s">
        <v>207</v>
      </c>
      <c r="I101" s="7" t="s">
        <v>480</v>
      </c>
      <c r="J101" s="7" t="s">
        <v>227</v>
      </c>
      <c r="K101" s="7" t="s">
        <v>200</v>
      </c>
      <c r="L101" s="7" t="s">
        <v>1577</v>
      </c>
      <c r="M101" s="7" t="s">
        <v>941</v>
      </c>
      <c r="N101" s="7" t="s">
        <v>3608</v>
      </c>
      <c r="O101" s="7" t="s">
        <v>3635</v>
      </c>
      <c r="P101" s="7">
        <v>2787237</v>
      </c>
      <c r="Q101" s="7" t="s">
        <v>3999</v>
      </c>
      <c r="R101" s="7" t="s">
        <v>203</v>
      </c>
      <c r="S101" s="7" t="s">
        <v>418</v>
      </c>
      <c r="T101" s="7" t="s">
        <v>217</v>
      </c>
      <c r="U101" s="7" t="s">
        <v>233</v>
      </c>
      <c r="V101" s="7" t="s">
        <v>4000</v>
      </c>
      <c r="W101" s="7" t="s">
        <v>227</v>
      </c>
      <c r="X101" s="7" t="s">
        <v>200</v>
      </c>
      <c r="Y101" s="7" t="s">
        <v>4001</v>
      </c>
      <c r="Z101" s="7" t="s">
        <v>375</v>
      </c>
      <c r="AA101" s="7" t="s">
        <v>3652</v>
      </c>
      <c r="AB101" s="7" t="s">
        <v>3702</v>
      </c>
      <c r="AC101" s="7" t="s">
        <v>4002</v>
      </c>
      <c r="AD101" s="8">
        <v>45139</v>
      </c>
      <c r="AE101" s="8">
        <v>45657</v>
      </c>
      <c r="AF101" s="7"/>
    </row>
    <row r="102" spans="1:32" ht="30" customHeight="1" x14ac:dyDescent="0.3">
      <c r="A102" s="5">
        <v>3465195</v>
      </c>
      <c r="B102" s="5" t="s">
        <v>1355</v>
      </c>
      <c r="C102" s="5" t="s">
        <v>4003</v>
      </c>
      <c r="D102" s="5" t="s">
        <v>354</v>
      </c>
      <c r="E102" s="5" t="s">
        <v>203</v>
      </c>
      <c r="F102" s="5" t="s">
        <v>234</v>
      </c>
      <c r="G102" s="5" t="s">
        <v>208</v>
      </c>
      <c r="H102" s="5" t="s">
        <v>207</v>
      </c>
      <c r="I102" s="5" t="s">
        <v>480</v>
      </c>
      <c r="J102" s="5" t="s">
        <v>227</v>
      </c>
      <c r="K102" s="5" t="s">
        <v>200</v>
      </c>
      <c r="L102" s="5" t="s">
        <v>1356</v>
      </c>
      <c r="M102" s="5" t="s">
        <v>941</v>
      </c>
      <c r="N102" s="5" t="s">
        <v>3608</v>
      </c>
      <c r="O102" s="5" t="s">
        <v>3635</v>
      </c>
      <c r="P102" s="5">
        <v>3015122</v>
      </c>
      <c r="Q102" s="5" t="s">
        <v>4004</v>
      </c>
      <c r="R102" s="5" t="s">
        <v>203</v>
      </c>
      <c r="S102" s="5" t="s">
        <v>418</v>
      </c>
      <c r="T102" s="5" t="s">
        <v>208</v>
      </c>
      <c r="U102" s="5" t="s">
        <v>245</v>
      </c>
      <c r="V102" s="5" t="s">
        <v>4005</v>
      </c>
      <c r="W102" s="5" t="s">
        <v>227</v>
      </c>
      <c r="X102" s="5" t="s">
        <v>200</v>
      </c>
      <c r="Y102" s="5" t="s">
        <v>4006</v>
      </c>
      <c r="Z102" s="5" t="s">
        <v>1110</v>
      </c>
      <c r="AA102" s="5" t="s">
        <v>3652</v>
      </c>
      <c r="AB102" s="5" t="s">
        <v>3702</v>
      </c>
      <c r="AC102" s="5" t="s">
        <v>4007</v>
      </c>
      <c r="AD102" s="6">
        <v>45299</v>
      </c>
      <c r="AE102" s="6">
        <v>45473</v>
      </c>
      <c r="AF102" s="5"/>
    </row>
    <row r="103" spans="1:32" ht="40.5" customHeight="1" x14ac:dyDescent="0.3">
      <c r="A103" s="7">
        <v>2667509</v>
      </c>
      <c r="B103" s="7" t="s">
        <v>591</v>
      </c>
      <c r="C103" s="7"/>
      <c r="D103" s="7" t="s">
        <v>354</v>
      </c>
      <c r="E103" s="7" t="s">
        <v>203</v>
      </c>
      <c r="F103" s="7" t="s">
        <v>433</v>
      </c>
      <c r="G103" s="7" t="s">
        <v>217</v>
      </c>
      <c r="H103" s="7" t="s">
        <v>245</v>
      </c>
      <c r="I103" s="7" t="s">
        <v>592</v>
      </c>
      <c r="J103" s="7" t="s">
        <v>227</v>
      </c>
      <c r="K103" s="7" t="s">
        <v>200</v>
      </c>
      <c r="L103" s="7" t="s">
        <v>593</v>
      </c>
      <c r="M103" s="7" t="s">
        <v>594</v>
      </c>
      <c r="N103" s="7" t="s">
        <v>3608</v>
      </c>
      <c r="O103" s="7" t="s">
        <v>3919</v>
      </c>
      <c r="P103" s="7">
        <v>3264920</v>
      </c>
      <c r="Q103" s="7" t="s">
        <v>4008</v>
      </c>
      <c r="R103" s="7"/>
      <c r="S103" s="7" t="s">
        <v>234</v>
      </c>
      <c r="T103" s="7" t="s">
        <v>217</v>
      </c>
      <c r="U103" s="7" t="s">
        <v>245</v>
      </c>
      <c r="V103" s="7"/>
      <c r="W103" s="7" t="s">
        <v>227</v>
      </c>
      <c r="X103" s="7"/>
      <c r="Y103" s="7"/>
      <c r="Z103" s="7"/>
      <c r="AA103" s="7" t="s">
        <v>3602</v>
      </c>
      <c r="AB103" s="7"/>
      <c r="AC103" s="7" t="s">
        <v>4009</v>
      </c>
      <c r="AD103" s="8">
        <v>45274</v>
      </c>
      <c r="AE103" s="8">
        <v>45473</v>
      </c>
      <c r="AF103" s="7"/>
    </row>
    <row r="104" spans="1:32" ht="30" customHeight="1" x14ac:dyDescent="0.3">
      <c r="A104" s="5">
        <v>4989171</v>
      </c>
      <c r="B104" s="5" t="s">
        <v>263</v>
      </c>
      <c r="C104" s="5" t="s">
        <v>4010</v>
      </c>
      <c r="D104" s="5" t="s">
        <v>198</v>
      </c>
      <c r="E104" s="5" t="s">
        <v>203</v>
      </c>
      <c r="F104" s="5" t="s">
        <v>218</v>
      </c>
      <c r="G104" s="5" t="s">
        <v>217</v>
      </c>
      <c r="H104" s="5" t="s">
        <v>207</v>
      </c>
      <c r="I104" s="5" t="s">
        <v>264</v>
      </c>
      <c r="J104" s="5" t="s">
        <v>211</v>
      </c>
      <c r="K104" s="5" t="s">
        <v>200</v>
      </c>
      <c r="L104" s="5" t="s">
        <v>265</v>
      </c>
      <c r="M104" s="5" t="s">
        <v>267</v>
      </c>
      <c r="N104" s="5" t="s">
        <v>3623</v>
      </c>
      <c r="O104" s="5" t="s">
        <v>4011</v>
      </c>
      <c r="P104" s="5">
        <v>5013046</v>
      </c>
      <c r="Q104" s="5" t="s">
        <v>4012</v>
      </c>
      <c r="R104" s="5" t="s">
        <v>203</v>
      </c>
      <c r="S104" s="5" t="s">
        <v>218</v>
      </c>
      <c r="T104" s="5" t="s">
        <v>217</v>
      </c>
      <c r="U104" s="5" t="s">
        <v>207</v>
      </c>
      <c r="V104" s="5" t="s">
        <v>3680</v>
      </c>
      <c r="W104" s="5" t="s">
        <v>211</v>
      </c>
      <c r="X104" s="5" t="s">
        <v>200</v>
      </c>
      <c r="Y104" s="5" t="s">
        <v>3681</v>
      </c>
      <c r="Z104" s="5" t="s">
        <v>3607</v>
      </c>
      <c r="AA104" s="5" t="s">
        <v>3623</v>
      </c>
      <c r="AB104" s="5" t="s">
        <v>3609</v>
      </c>
      <c r="AC104" s="5" t="s">
        <v>4013</v>
      </c>
      <c r="AD104" s="6">
        <v>45383</v>
      </c>
      <c r="AE104" s="6">
        <v>45575</v>
      </c>
      <c r="AF104" s="5"/>
    </row>
    <row r="105" spans="1:32" ht="40.5" customHeight="1" x14ac:dyDescent="0.3">
      <c r="A105" s="7">
        <v>3572323</v>
      </c>
      <c r="B105" s="7" t="s">
        <v>3987</v>
      </c>
      <c r="C105" s="7" t="s">
        <v>4014</v>
      </c>
      <c r="D105" s="7" t="s">
        <v>354</v>
      </c>
      <c r="E105" s="7"/>
      <c r="F105" s="7" t="s">
        <v>234</v>
      </c>
      <c r="G105" s="7" t="s">
        <v>217</v>
      </c>
      <c r="H105" s="7" t="s">
        <v>207</v>
      </c>
      <c r="I105" s="7"/>
      <c r="J105" s="7" t="s">
        <v>227</v>
      </c>
      <c r="K105" s="7"/>
      <c r="L105" s="7"/>
      <c r="M105" s="7"/>
      <c r="N105" s="7" t="s">
        <v>3623</v>
      </c>
      <c r="O105" s="7"/>
      <c r="P105" s="7">
        <v>5065623</v>
      </c>
      <c r="Q105" s="7" t="s">
        <v>4015</v>
      </c>
      <c r="R105" s="7" t="s">
        <v>737</v>
      </c>
      <c r="S105" s="7" t="s">
        <v>234</v>
      </c>
      <c r="T105" s="7" t="s">
        <v>217</v>
      </c>
      <c r="U105" s="7" t="s">
        <v>207</v>
      </c>
      <c r="V105" s="7" t="s">
        <v>3989</v>
      </c>
      <c r="W105" s="7" t="s">
        <v>227</v>
      </c>
      <c r="X105" s="7" t="s">
        <v>200</v>
      </c>
      <c r="Y105" s="7" t="s">
        <v>3990</v>
      </c>
      <c r="Z105" s="7" t="s">
        <v>1247</v>
      </c>
      <c r="AA105" s="7" t="s">
        <v>3623</v>
      </c>
      <c r="AB105" s="7" t="s">
        <v>3646</v>
      </c>
      <c r="AC105" s="7" t="s">
        <v>4016</v>
      </c>
      <c r="AD105" s="8">
        <v>45280</v>
      </c>
      <c r="AE105" s="8">
        <v>45657</v>
      </c>
      <c r="AF105" s="7"/>
    </row>
    <row r="106" spans="1:32" ht="40.5" customHeight="1" x14ac:dyDescent="0.3">
      <c r="A106" s="5">
        <v>3577430</v>
      </c>
      <c r="B106" s="5" t="s">
        <v>4017</v>
      </c>
      <c r="C106" s="5"/>
      <c r="D106" s="5" t="s">
        <v>198</v>
      </c>
      <c r="E106" s="5"/>
      <c r="F106" s="5" t="s">
        <v>433</v>
      </c>
      <c r="G106" s="5" t="s">
        <v>217</v>
      </c>
      <c r="H106" s="5" t="s">
        <v>207</v>
      </c>
      <c r="I106" s="5"/>
      <c r="J106" s="5" t="s">
        <v>227</v>
      </c>
      <c r="K106" s="5"/>
      <c r="L106" s="5"/>
      <c r="M106" s="5"/>
      <c r="N106" s="5" t="s">
        <v>3608</v>
      </c>
      <c r="O106" s="5"/>
      <c r="P106" s="5">
        <v>4911296</v>
      </c>
      <c r="Q106" s="5" t="s">
        <v>2424</v>
      </c>
      <c r="R106" s="5" t="s">
        <v>203</v>
      </c>
      <c r="S106" s="5" t="s">
        <v>433</v>
      </c>
      <c r="T106" s="5" t="s">
        <v>217</v>
      </c>
      <c r="U106" s="5" t="s">
        <v>207</v>
      </c>
      <c r="V106" s="5" t="s">
        <v>2425</v>
      </c>
      <c r="W106" s="5" t="s">
        <v>227</v>
      </c>
      <c r="X106" s="5" t="s">
        <v>200</v>
      </c>
      <c r="Y106" s="5" t="s">
        <v>2426</v>
      </c>
      <c r="Z106" s="5" t="s">
        <v>555</v>
      </c>
      <c r="AA106" s="5" t="s">
        <v>3623</v>
      </c>
      <c r="AB106" s="5" t="s">
        <v>3751</v>
      </c>
      <c r="AC106" s="5" t="s">
        <v>4018</v>
      </c>
      <c r="AD106" s="6">
        <v>45253</v>
      </c>
      <c r="AE106" s="6">
        <v>45657</v>
      </c>
      <c r="AF106" s="5"/>
    </row>
    <row r="107" spans="1:32" ht="30" customHeight="1" x14ac:dyDescent="0.3">
      <c r="A107" s="7">
        <v>3511847</v>
      </c>
      <c r="B107" s="7" t="s">
        <v>393</v>
      </c>
      <c r="C107" s="7" t="s">
        <v>4019</v>
      </c>
      <c r="D107" s="7" t="s">
        <v>198</v>
      </c>
      <c r="E107" s="7" t="s">
        <v>203</v>
      </c>
      <c r="F107" s="7"/>
      <c r="G107" s="7" t="s">
        <v>208</v>
      </c>
      <c r="H107" s="7" t="s">
        <v>207</v>
      </c>
      <c r="I107" s="7" t="s">
        <v>394</v>
      </c>
      <c r="J107" s="7" t="s">
        <v>211</v>
      </c>
      <c r="K107" s="7" t="s">
        <v>200</v>
      </c>
      <c r="L107" s="7" t="s">
        <v>395</v>
      </c>
      <c r="M107" s="7" t="s">
        <v>272</v>
      </c>
      <c r="N107" s="7" t="s">
        <v>3608</v>
      </c>
      <c r="O107" s="7" t="s">
        <v>3609</v>
      </c>
      <c r="P107" s="7">
        <v>5013046</v>
      </c>
      <c r="Q107" s="7" t="s">
        <v>4012</v>
      </c>
      <c r="R107" s="7" t="s">
        <v>203</v>
      </c>
      <c r="S107" s="7" t="s">
        <v>218</v>
      </c>
      <c r="T107" s="7" t="s">
        <v>217</v>
      </c>
      <c r="U107" s="7" t="s">
        <v>207</v>
      </c>
      <c r="V107" s="7" t="s">
        <v>3680</v>
      </c>
      <c r="W107" s="7" t="s">
        <v>211</v>
      </c>
      <c r="X107" s="7" t="s">
        <v>200</v>
      </c>
      <c r="Y107" s="7" t="s">
        <v>3681</v>
      </c>
      <c r="Z107" s="7" t="s">
        <v>3607</v>
      </c>
      <c r="AA107" s="7" t="s">
        <v>3623</v>
      </c>
      <c r="AB107" s="7" t="s">
        <v>3609</v>
      </c>
      <c r="AC107" s="7" t="s">
        <v>4020</v>
      </c>
      <c r="AD107" s="8">
        <v>45413</v>
      </c>
      <c r="AE107" s="8">
        <v>45996</v>
      </c>
      <c r="AF107" s="7"/>
    </row>
    <row r="108" spans="1:32" ht="40.5" customHeight="1" x14ac:dyDescent="0.3">
      <c r="A108" s="5">
        <v>3572323</v>
      </c>
      <c r="B108" s="5" t="s">
        <v>3987</v>
      </c>
      <c r="C108" s="5" t="s">
        <v>4021</v>
      </c>
      <c r="D108" s="5" t="s">
        <v>354</v>
      </c>
      <c r="E108" s="5"/>
      <c r="F108" s="5" t="s">
        <v>234</v>
      </c>
      <c r="G108" s="5" t="s">
        <v>217</v>
      </c>
      <c r="H108" s="5" t="s">
        <v>207</v>
      </c>
      <c r="I108" s="5"/>
      <c r="J108" s="5" t="s">
        <v>227</v>
      </c>
      <c r="K108" s="5"/>
      <c r="L108" s="5"/>
      <c r="M108" s="5"/>
      <c r="N108" s="5" t="s">
        <v>3623</v>
      </c>
      <c r="O108" s="5"/>
      <c r="P108" s="5">
        <v>4793064</v>
      </c>
      <c r="Q108" s="5" t="s">
        <v>4022</v>
      </c>
      <c r="R108" s="5" t="s">
        <v>737</v>
      </c>
      <c r="S108" s="5" t="s">
        <v>234</v>
      </c>
      <c r="T108" s="5" t="s">
        <v>217</v>
      </c>
      <c r="U108" s="5" t="s">
        <v>207</v>
      </c>
      <c r="V108" s="5" t="s">
        <v>4023</v>
      </c>
      <c r="W108" s="5" t="s">
        <v>227</v>
      </c>
      <c r="X108" s="5" t="s">
        <v>200</v>
      </c>
      <c r="Y108" s="5" t="s">
        <v>4024</v>
      </c>
      <c r="Z108" s="5" t="s">
        <v>1247</v>
      </c>
      <c r="AA108" s="5" t="s">
        <v>3608</v>
      </c>
      <c r="AB108" s="5" t="s">
        <v>3646</v>
      </c>
      <c r="AC108" s="5" t="s">
        <v>4025</v>
      </c>
      <c r="AD108" s="6">
        <v>45293</v>
      </c>
      <c r="AE108" s="6">
        <v>45659</v>
      </c>
      <c r="AF108" s="5"/>
    </row>
    <row r="109" spans="1:32" ht="40.5" customHeight="1" x14ac:dyDescent="0.3">
      <c r="A109" s="7">
        <v>4615956</v>
      </c>
      <c r="B109" s="7" t="s">
        <v>1872</v>
      </c>
      <c r="C109" s="7"/>
      <c r="D109" s="7" t="s">
        <v>354</v>
      </c>
      <c r="E109" s="7" t="s">
        <v>203</v>
      </c>
      <c r="F109" s="7" t="s">
        <v>418</v>
      </c>
      <c r="G109" s="7" t="s">
        <v>208</v>
      </c>
      <c r="H109" s="7" t="s">
        <v>207</v>
      </c>
      <c r="I109" s="7" t="s">
        <v>1855</v>
      </c>
      <c r="J109" s="7" t="s">
        <v>227</v>
      </c>
      <c r="K109" s="7" t="s">
        <v>200</v>
      </c>
      <c r="L109" s="7" t="s">
        <v>1856</v>
      </c>
      <c r="M109" s="7" t="s">
        <v>922</v>
      </c>
      <c r="N109" s="7" t="s">
        <v>3623</v>
      </c>
      <c r="O109" s="7" t="s">
        <v>3736</v>
      </c>
      <c r="P109" s="7">
        <v>5347440</v>
      </c>
      <c r="Q109" s="7" t="s">
        <v>4026</v>
      </c>
      <c r="R109" s="7"/>
      <c r="S109" s="7" t="s">
        <v>234</v>
      </c>
      <c r="T109" s="7" t="s">
        <v>208</v>
      </c>
      <c r="U109" s="7" t="s">
        <v>207</v>
      </c>
      <c r="V109" s="7"/>
      <c r="W109" s="7" t="s">
        <v>227</v>
      </c>
      <c r="X109" s="7"/>
      <c r="Y109" s="7"/>
      <c r="Z109" s="7"/>
      <c r="AA109" s="7" t="s">
        <v>3732</v>
      </c>
      <c r="AB109" s="7"/>
      <c r="AC109" s="7" t="s">
        <v>4027</v>
      </c>
      <c r="AD109" s="8">
        <v>45295</v>
      </c>
      <c r="AE109" s="7"/>
      <c r="AF109" s="7"/>
    </row>
    <row r="110" spans="1:32" ht="40.5" customHeight="1" x14ac:dyDescent="0.3">
      <c r="A110" s="5">
        <v>4659872</v>
      </c>
      <c r="B110" s="5" t="s">
        <v>1940</v>
      </c>
      <c r="C110" s="5"/>
      <c r="D110" s="5" t="s">
        <v>198</v>
      </c>
      <c r="E110" s="5" t="s">
        <v>203</v>
      </c>
      <c r="F110" s="5" t="s">
        <v>433</v>
      </c>
      <c r="G110" s="5" t="s">
        <v>208</v>
      </c>
      <c r="H110" s="5" t="s">
        <v>207</v>
      </c>
      <c r="I110" s="5" t="s">
        <v>567</v>
      </c>
      <c r="J110" s="5" t="s">
        <v>227</v>
      </c>
      <c r="K110" s="5" t="s">
        <v>200</v>
      </c>
      <c r="L110" s="5" t="s">
        <v>1941</v>
      </c>
      <c r="M110" s="5" t="s">
        <v>1631</v>
      </c>
      <c r="N110" s="5" t="s">
        <v>3608</v>
      </c>
      <c r="O110" s="5" t="s">
        <v>3894</v>
      </c>
      <c r="P110" s="5">
        <v>5603757</v>
      </c>
      <c r="Q110" s="5" t="s">
        <v>4028</v>
      </c>
      <c r="R110" s="5"/>
      <c r="S110" s="5" t="s">
        <v>433</v>
      </c>
      <c r="T110" s="5" t="s">
        <v>208</v>
      </c>
      <c r="U110" s="5" t="s">
        <v>2330</v>
      </c>
      <c r="V110" s="5"/>
      <c r="W110" s="5" t="s">
        <v>227</v>
      </c>
      <c r="X110" s="5"/>
      <c r="Y110" s="5"/>
      <c r="Z110" s="5"/>
      <c r="AA110" s="5" t="s">
        <v>3729</v>
      </c>
      <c r="AB110" s="5"/>
      <c r="AC110" s="5" t="s">
        <v>4029</v>
      </c>
      <c r="AD110" s="6">
        <v>45139</v>
      </c>
      <c r="AE110" s="6">
        <v>45535</v>
      </c>
      <c r="AF110" s="5"/>
    </row>
    <row r="111" spans="1:32" ht="30" customHeight="1" x14ac:dyDescent="0.3">
      <c r="A111" s="7">
        <v>4818865</v>
      </c>
      <c r="B111" s="7" t="s">
        <v>2216</v>
      </c>
      <c r="C111" s="7"/>
      <c r="D111" s="7" t="s">
        <v>354</v>
      </c>
      <c r="E111" s="7" t="s">
        <v>203</v>
      </c>
      <c r="F111" s="7" t="s">
        <v>234</v>
      </c>
      <c r="G111" s="7" t="s">
        <v>217</v>
      </c>
      <c r="H111" s="7" t="s">
        <v>207</v>
      </c>
      <c r="I111" s="7" t="s">
        <v>2217</v>
      </c>
      <c r="J111" s="7" t="s">
        <v>227</v>
      </c>
      <c r="K111" s="7" t="s">
        <v>200</v>
      </c>
      <c r="L111" s="7" t="s">
        <v>2218</v>
      </c>
      <c r="M111" s="7" t="s">
        <v>2219</v>
      </c>
      <c r="N111" s="7" t="s">
        <v>3612</v>
      </c>
      <c r="O111" s="7" t="s">
        <v>3646</v>
      </c>
      <c r="P111" s="7">
        <v>2733978</v>
      </c>
      <c r="Q111" s="7" t="s">
        <v>4030</v>
      </c>
      <c r="R111" s="7" t="s">
        <v>203</v>
      </c>
      <c r="S111" s="7" t="s">
        <v>433</v>
      </c>
      <c r="T111" s="7" t="s">
        <v>217</v>
      </c>
      <c r="U111" s="7" t="s">
        <v>233</v>
      </c>
      <c r="V111" s="7" t="s">
        <v>4031</v>
      </c>
      <c r="W111" s="7" t="s">
        <v>227</v>
      </c>
      <c r="X111" s="7" t="s">
        <v>200</v>
      </c>
      <c r="Y111" s="7" t="s">
        <v>4032</v>
      </c>
      <c r="Z111" s="7" t="s">
        <v>1243</v>
      </c>
      <c r="AA111" s="7" t="s">
        <v>3652</v>
      </c>
      <c r="AB111" s="7" t="s">
        <v>3609</v>
      </c>
      <c r="AC111" s="7" t="s">
        <v>4033</v>
      </c>
      <c r="AD111" s="8">
        <v>45301</v>
      </c>
      <c r="AE111" s="8">
        <v>45667</v>
      </c>
      <c r="AF111" s="7"/>
    </row>
    <row r="112" spans="1:32" ht="40.5" customHeight="1" x14ac:dyDescent="0.3">
      <c r="A112" s="5">
        <v>4727231</v>
      </c>
      <c r="B112" s="5" t="s">
        <v>4034</v>
      </c>
      <c r="C112" s="5" t="s">
        <v>4035</v>
      </c>
      <c r="D112" s="5" t="s">
        <v>198</v>
      </c>
      <c r="E112" s="5"/>
      <c r="F112" s="5" t="s">
        <v>234</v>
      </c>
      <c r="G112" s="5" t="s">
        <v>208</v>
      </c>
      <c r="H112" s="5" t="s">
        <v>245</v>
      </c>
      <c r="I112" s="5"/>
      <c r="J112" s="5" t="s">
        <v>227</v>
      </c>
      <c r="K112" s="5"/>
      <c r="L112" s="5"/>
      <c r="M112" s="5"/>
      <c r="N112" s="5" t="s">
        <v>3608</v>
      </c>
      <c r="O112" s="5"/>
      <c r="P112" s="5">
        <v>2839717</v>
      </c>
      <c r="Q112" s="5" t="s">
        <v>4036</v>
      </c>
      <c r="R112" s="5" t="s">
        <v>203</v>
      </c>
      <c r="S112" s="5" t="s">
        <v>234</v>
      </c>
      <c r="T112" s="5" t="s">
        <v>217</v>
      </c>
      <c r="U112" s="5" t="s">
        <v>245</v>
      </c>
      <c r="V112" s="5" t="s">
        <v>3862</v>
      </c>
      <c r="W112" s="5" t="s">
        <v>227</v>
      </c>
      <c r="X112" s="5" t="s">
        <v>200</v>
      </c>
      <c r="Y112" s="5" t="s">
        <v>2218</v>
      </c>
      <c r="Z112" s="5" t="s">
        <v>3863</v>
      </c>
      <c r="AA112" s="5" t="s">
        <v>3652</v>
      </c>
      <c r="AB112" s="5" t="s">
        <v>3635</v>
      </c>
      <c r="AC112" s="5" t="s">
        <v>4037</v>
      </c>
      <c r="AD112" s="6">
        <v>45279</v>
      </c>
      <c r="AE112" s="6">
        <v>45291</v>
      </c>
      <c r="AF112" s="5"/>
    </row>
    <row r="113" spans="1:32" ht="40.5" customHeight="1" x14ac:dyDescent="0.3">
      <c r="A113" s="7">
        <v>3192814</v>
      </c>
      <c r="B113" s="7" t="s">
        <v>4038</v>
      </c>
      <c r="C113" s="7" t="s">
        <v>3907</v>
      </c>
      <c r="D113" s="7" t="s">
        <v>198</v>
      </c>
      <c r="E113" s="7"/>
      <c r="F113" s="7" t="s">
        <v>433</v>
      </c>
      <c r="G113" s="7" t="s">
        <v>208</v>
      </c>
      <c r="H113" s="7" t="s">
        <v>245</v>
      </c>
      <c r="I113" s="7"/>
      <c r="J113" s="7" t="s">
        <v>227</v>
      </c>
      <c r="K113" s="7"/>
      <c r="L113" s="7"/>
      <c r="M113" s="7"/>
      <c r="N113" s="7" t="s">
        <v>3602</v>
      </c>
      <c r="O113" s="7"/>
      <c r="P113" s="7">
        <v>5603935</v>
      </c>
      <c r="Q113" s="7" t="s">
        <v>3308</v>
      </c>
      <c r="R113" s="7" t="s">
        <v>203</v>
      </c>
      <c r="S113" s="7" t="s">
        <v>433</v>
      </c>
      <c r="T113" s="7" t="s">
        <v>208</v>
      </c>
      <c r="U113" s="7" t="s">
        <v>2330</v>
      </c>
      <c r="V113" s="7" t="s">
        <v>3309</v>
      </c>
      <c r="W113" s="7" t="s">
        <v>227</v>
      </c>
      <c r="X113" s="7" t="s">
        <v>200</v>
      </c>
      <c r="Y113" s="7" t="s">
        <v>3310</v>
      </c>
      <c r="Z113" s="7" t="s">
        <v>1328</v>
      </c>
      <c r="AA113" s="7" t="s">
        <v>3612</v>
      </c>
      <c r="AB113" s="7" t="s">
        <v>3894</v>
      </c>
      <c r="AC113" s="7" t="s">
        <v>4039</v>
      </c>
      <c r="AD113" s="8">
        <v>45139</v>
      </c>
      <c r="AE113" s="8">
        <v>45535</v>
      </c>
      <c r="AF113" s="7"/>
    </row>
    <row r="114" spans="1:32" ht="295.5" customHeight="1" x14ac:dyDescent="0.3">
      <c r="A114" s="5">
        <v>2152649</v>
      </c>
      <c r="B114" s="5" t="s">
        <v>628</v>
      </c>
      <c r="C114" s="5" t="s">
        <v>4040</v>
      </c>
      <c r="D114" s="5" t="s">
        <v>198</v>
      </c>
      <c r="E114" s="5" t="s">
        <v>203</v>
      </c>
      <c r="F114" s="5" t="s">
        <v>433</v>
      </c>
      <c r="G114" s="5" t="s">
        <v>208</v>
      </c>
      <c r="H114" s="5" t="s">
        <v>233</v>
      </c>
      <c r="I114" s="5" t="s">
        <v>629</v>
      </c>
      <c r="J114" s="5" t="s">
        <v>227</v>
      </c>
      <c r="K114" s="5" t="s">
        <v>200</v>
      </c>
      <c r="L114" s="5" t="s">
        <v>630</v>
      </c>
      <c r="M114" s="5" t="s">
        <v>437</v>
      </c>
      <c r="N114" s="5" t="s">
        <v>3652</v>
      </c>
      <c r="O114" s="5" t="s">
        <v>3763</v>
      </c>
      <c r="P114" s="5">
        <v>4987063</v>
      </c>
      <c r="Q114" s="5" t="s">
        <v>4041</v>
      </c>
      <c r="R114" s="5" t="s">
        <v>203</v>
      </c>
      <c r="S114" s="5" t="s">
        <v>234</v>
      </c>
      <c r="T114" s="5" t="s">
        <v>208</v>
      </c>
      <c r="U114" s="5" t="s">
        <v>207</v>
      </c>
      <c r="V114" s="5" t="s">
        <v>4042</v>
      </c>
      <c r="W114" s="5" t="s">
        <v>227</v>
      </c>
      <c r="X114" s="5" t="s">
        <v>200</v>
      </c>
      <c r="Y114" s="5" t="s">
        <v>1937</v>
      </c>
      <c r="Z114" s="5" t="s">
        <v>3104</v>
      </c>
      <c r="AA114" s="5" t="s">
        <v>3612</v>
      </c>
      <c r="AB114" s="5" t="s">
        <v>3635</v>
      </c>
      <c r="AC114" s="5" t="s">
        <v>4043</v>
      </c>
      <c r="AD114" s="6">
        <v>45301</v>
      </c>
      <c r="AE114" s="6">
        <v>47848</v>
      </c>
      <c r="AF114" s="5"/>
    </row>
    <row r="115" spans="1:32" ht="71.25" customHeight="1" x14ac:dyDescent="0.3">
      <c r="A115" s="7">
        <v>4630211</v>
      </c>
      <c r="B115" s="7" t="s">
        <v>1900</v>
      </c>
      <c r="C115" s="7"/>
      <c r="D115" s="7" t="s">
        <v>862</v>
      </c>
      <c r="E115" s="7" t="s">
        <v>203</v>
      </c>
      <c r="F115" s="7" t="s">
        <v>234</v>
      </c>
      <c r="G115" s="7" t="s">
        <v>208</v>
      </c>
      <c r="H115" s="7" t="s">
        <v>245</v>
      </c>
      <c r="I115" s="7" t="s">
        <v>1304</v>
      </c>
      <c r="J115" s="7" t="s">
        <v>227</v>
      </c>
      <c r="K115" s="7" t="s">
        <v>200</v>
      </c>
      <c r="L115" s="7" t="s">
        <v>1305</v>
      </c>
      <c r="M115" s="7" t="s">
        <v>1835</v>
      </c>
      <c r="N115" s="7" t="s">
        <v>3623</v>
      </c>
      <c r="O115" s="7" t="s">
        <v>3743</v>
      </c>
      <c r="P115" s="7">
        <v>4630351</v>
      </c>
      <c r="Q115" s="7" t="s">
        <v>4044</v>
      </c>
      <c r="R115" s="7" t="s">
        <v>203</v>
      </c>
      <c r="S115" s="7" t="s">
        <v>234</v>
      </c>
      <c r="T115" s="7" t="s">
        <v>208</v>
      </c>
      <c r="U115" s="7" t="s">
        <v>245</v>
      </c>
      <c r="V115" s="7" t="s">
        <v>4045</v>
      </c>
      <c r="W115" s="7" t="s">
        <v>227</v>
      </c>
      <c r="X115" s="7" t="s">
        <v>200</v>
      </c>
      <c r="Y115" s="7" t="s">
        <v>1305</v>
      </c>
      <c r="Z115" s="7" t="s">
        <v>3179</v>
      </c>
      <c r="AA115" s="7" t="s">
        <v>3608</v>
      </c>
      <c r="AB115" s="7" t="s">
        <v>3743</v>
      </c>
      <c r="AC115" s="7" t="s">
        <v>4046</v>
      </c>
      <c r="AD115" s="8">
        <v>44594</v>
      </c>
      <c r="AE115" s="8">
        <v>45427</v>
      </c>
      <c r="AF115" s="7" t="s">
        <v>3881</v>
      </c>
    </row>
    <row r="116" spans="1:32" ht="40.5" customHeight="1" x14ac:dyDescent="0.3">
      <c r="A116" s="5">
        <v>4739116</v>
      </c>
      <c r="B116" s="5" t="s">
        <v>2084</v>
      </c>
      <c r="C116" s="5" t="s">
        <v>4047</v>
      </c>
      <c r="D116" s="5" t="s">
        <v>354</v>
      </c>
      <c r="E116" s="5" t="s">
        <v>203</v>
      </c>
      <c r="F116" s="5" t="s">
        <v>234</v>
      </c>
      <c r="G116" s="5" t="s">
        <v>217</v>
      </c>
      <c r="H116" s="5" t="s">
        <v>207</v>
      </c>
      <c r="I116" s="5" t="s">
        <v>679</v>
      </c>
      <c r="J116" s="5" t="s">
        <v>227</v>
      </c>
      <c r="K116" s="5" t="s">
        <v>888</v>
      </c>
      <c r="L116" s="5" t="s">
        <v>1730</v>
      </c>
      <c r="M116" s="5" t="s">
        <v>324</v>
      </c>
      <c r="N116" s="5" t="s">
        <v>3608</v>
      </c>
      <c r="O116" s="5" t="s">
        <v>3711</v>
      </c>
      <c r="P116" s="5">
        <v>5600952</v>
      </c>
      <c r="Q116" s="5" t="s">
        <v>4048</v>
      </c>
      <c r="R116" s="5" t="s">
        <v>203</v>
      </c>
      <c r="S116" s="5" t="s">
        <v>234</v>
      </c>
      <c r="T116" s="5" t="s">
        <v>217</v>
      </c>
      <c r="U116" s="5" t="s">
        <v>2330</v>
      </c>
      <c r="V116" s="5" t="s">
        <v>4049</v>
      </c>
      <c r="W116" s="5" t="s">
        <v>227</v>
      </c>
      <c r="X116" s="5" t="s">
        <v>200</v>
      </c>
      <c r="Y116" s="5" t="s">
        <v>650</v>
      </c>
      <c r="Z116" s="5" t="s">
        <v>442</v>
      </c>
      <c r="AA116" s="5" t="s">
        <v>3612</v>
      </c>
      <c r="AB116" s="5" t="s">
        <v>3627</v>
      </c>
      <c r="AC116" s="5" t="s">
        <v>4050</v>
      </c>
      <c r="AD116" s="6">
        <v>45302</v>
      </c>
      <c r="AE116" s="5"/>
      <c r="AF116" s="5"/>
    </row>
    <row r="117" spans="1:32" ht="40.5" customHeight="1" x14ac:dyDescent="0.3">
      <c r="A117" s="7">
        <v>3384292</v>
      </c>
      <c r="B117" s="7" t="s">
        <v>1264</v>
      </c>
      <c r="C117" s="7"/>
      <c r="D117" s="7" t="s">
        <v>198</v>
      </c>
      <c r="E117" s="7" t="s">
        <v>203</v>
      </c>
      <c r="F117" s="7" t="s">
        <v>613</v>
      </c>
      <c r="G117" s="7" t="s">
        <v>217</v>
      </c>
      <c r="H117" s="7" t="s">
        <v>233</v>
      </c>
      <c r="I117" s="7" t="s">
        <v>1261</v>
      </c>
      <c r="J117" s="7" t="s">
        <v>608</v>
      </c>
      <c r="K117" s="7" t="s">
        <v>200</v>
      </c>
      <c r="L117" s="7" t="s">
        <v>610</v>
      </c>
      <c r="M117" s="7" t="s">
        <v>789</v>
      </c>
      <c r="N117" s="7" t="s">
        <v>3608</v>
      </c>
      <c r="O117" s="7" t="s">
        <v>3727</v>
      </c>
      <c r="P117" s="7">
        <v>5660491</v>
      </c>
      <c r="Q117" s="7" t="s">
        <v>4051</v>
      </c>
      <c r="R117" s="7" t="s">
        <v>203</v>
      </c>
      <c r="S117" s="7" t="s">
        <v>613</v>
      </c>
      <c r="T117" s="7" t="s">
        <v>217</v>
      </c>
      <c r="U117" s="7" t="s">
        <v>2330</v>
      </c>
      <c r="V117" s="7" t="s">
        <v>4052</v>
      </c>
      <c r="W117" s="7" t="s">
        <v>608</v>
      </c>
      <c r="X117" s="7" t="s">
        <v>200</v>
      </c>
      <c r="Y117" s="7" t="s">
        <v>4053</v>
      </c>
      <c r="Z117" s="7" t="s">
        <v>215</v>
      </c>
      <c r="AA117" s="7" t="s">
        <v>3732</v>
      </c>
      <c r="AB117" s="7" t="s">
        <v>3613</v>
      </c>
      <c r="AC117" s="7" t="s">
        <v>4054</v>
      </c>
      <c r="AD117" s="8">
        <v>45307</v>
      </c>
      <c r="AE117" s="8">
        <v>47818</v>
      </c>
      <c r="AF117" s="7"/>
    </row>
    <row r="118" spans="1:32" ht="30" customHeight="1" x14ac:dyDescent="0.3">
      <c r="A118" s="5">
        <v>3349098</v>
      </c>
      <c r="B118" s="5" t="s">
        <v>1220</v>
      </c>
      <c r="C118" s="5"/>
      <c r="D118" s="5" t="s">
        <v>1351</v>
      </c>
      <c r="E118" s="5" t="s">
        <v>203</v>
      </c>
      <c r="F118" s="5" t="s">
        <v>234</v>
      </c>
      <c r="G118" s="5" t="s">
        <v>217</v>
      </c>
      <c r="H118" s="5" t="s">
        <v>245</v>
      </c>
      <c r="I118" s="5" t="s">
        <v>1221</v>
      </c>
      <c r="J118" s="5" t="s">
        <v>227</v>
      </c>
      <c r="K118" s="5" t="s">
        <v>200</v>
      </c>
      <c r="L118" s="5" t="s">
        <v>1222</v>
      </c>
      <c r="M118" s="5" t="s">
        <v>535</v>
      </c>
      <c r="N118" s="5" t="s">
        <v>3608</v>
      </c>
      <c r="O118" s="5" t="s">
        <v>3960</v>
      </c>
      <c r="P118" s="5">
        <v>3050262</v>
      </c>
      <c r="Q118" s="5" t="s">
        <v>4055</v>
      </c>
      <c r="R118" s="5" t="s">
        <v>203</v>
      </c>
      <c r="S118" s="5" t="s">
        <v>234</v>
      </c>
      <c r="T118" s="5" t="s">
        <v>208</v>
      </c>
      <c r="U118" s="5" t="s">
        <v>233</v>
      </c>
      <c r="V118" s="5" t="s">
        <v>4056</v>
      </c>
      <c r="W118" s="5" t="s">
        <v>227</v>
      </c>
      <c r="X118" s="5" t="s">
        <v>200</v>
      </c>
      <c r="Y118" s="5" t="s">
        <v>4057</v>
      </c>
      <c r="Z118" s="5" t="s">
        <v>2187</v>
      </c>
      <c r="AA118" s="5" t="s">
        <v>3652</v>
      </c>
      <c r="AB118" s="5" t="s">
        <v>3609</v>
      </c>
      <c r="AC118" s="5" t="s">
        <v>4058</v>
      </c>
      <c r="AD118" s="6">
        <v>45308</v>
      </c>
      <c r="AE118" s="6">
        <v>45473</v>
      </c>
      <c r="AF118" s="5"/>
    </row>
    <row r="119" spans="1:32" ht="255" customHeight="1" x14ac:dyDescent="0.3">
      <c r="A119" s="7">
        <v>4535286</v>
      </c>
      <c r="B119" s="7" t="s">
        <v>1837</v>
      </c>
      <c r="C119" s="7" t="s">
        <v>4059</v>
      </c>
      <c r="D119" s="7" t="s">
        <v>198</v>
      </c>
      <c r="E119" s="7" t="s">
        <v>203</v>
      </c>
      <c r="F119" s="7" t="s">
        <v>433</v>
      </c>
      <c r="G119" s="7" t="s">
        <v>217</v>
      </c>
      <c r="H119" s="7" t="s">
        <v>233</v>
      </c>
      <c r="I119" s="7" t="s">
        <v>1838</v>
      </c>
      <c r="J119" s="7" t="s">
        <v>227</v>
      </c>
      <c r="K119" s="7" t="s">
        <v>200</v>
      </c>
      <c r="L119" s="7" t="s">
        <v>684</v>
      </c>
      <c r="M119" s="7" t="s">
        <v>1839</v>
      </c>
      <c r="N119" s="7" t="s">
        <v>3608</v>
      </c>
      <c r="O119" s="7" t="s">
        <v>3824</v>
      </c>
      <c r="P119" s="7">
        <v>5409624</v>
      </c>
      <c r="Q119" s="7" t="s">
        <v>4060</v>
      </c>
      <c r="R119" s="7"/>
      <c r="S119" s="7" t="s">
        <v>234</v>
      </c>
      <c r="T119" s="7" t="s">
        <v>217</v>
      </c>
      <c r="U119" s="7" t="s">
        <v>2330</v>
      </c>
      <c r="V119" s="7"/>
      <c r="W119" s="7" t="s">
        <v>227</v>
      </c>
      <c r="X119" s="7"/>
      <c r="Y119" s="7"/>
      <c r="Z119" s="7"/>
      <c r="AA119" s="7" t="s">
        <v>3617</v>
      </c>
      <c r="AB119" s="7"/>
      <c r="AC119" s="7" t="s">
        <v>4061</v>
      </c>
      <c r="AD119" s="8">
        <v>45309</v>
      </c>
      <c r="AE119" s="8">
        <v>45644</v>
      </c>
      <c r="AF119" s="7"/>
    </row>
    <row r="120" spans="1:32" ht="71.25" customHeight="1" x14ac:dyDescent="0.3">
      <c r="A120" s="5">
        <v>3377326</v>
      </c>
      <c r="B120" s="5" t="s">
        <v>1256</v>
      </c>
      <c r="C120" s="5" t="s">
        <v>4062</v>
      </c>
      <c r="D120" s="5" t="s">
        <v>354</v>
      </c>
      <c r="E120" s="5" t="s">
        <v>203</v>
      </c>
      <c r="F120" s="5" t="s">
        <v>613</v>
      </c>
      <c r="G120" s="5" t="s">
        <v>217</v>
      </c>
      <c r="H120" s="5" t="s">
        <v>233</v>
      </c>
      <c r="I120" s="5" t="s">
        <v>1257</v>
      </c>
      <c r="J120" s="5" t="s">
        <v>608</v>
      </c>
      <c r="K120" s="5" t="s">
        <v>200</v>
      </c>
      <c r="L120" s="5" t="s">
        <v>1258</v>
      </c>
      <c r="M120" s="5" t="s">
        <v>855</v>
      </c>
      <c r="N120" s="5" t="s">
        <v>3623</v>
      </c>
      <c r="O120" s="5" t="s">
        <v>3837</v>
      </c>
      <c r="P120" s="5">
        <v>5498112</v>
      </c>
      <c r="Q120" s="5" t="s">
        <v>4063</v>
      </c>
      <c r="R120" s="5" t="s">
        <v>203</v>
      </c>
      <c r="S120" s="5" t="s">
        <v>613</v>
      </c>
      <c r="T120" s="5" t="s">
        <v>217</v>
      </c>
      <c r="U120" s="5" t="s">
        <v>207</v>
      </c>
      <c r="V120" s="5" t="s">
        <v>4064</v>
      </c>
      <c r="W120" s="5" t="s">
        <v>608</v>
      </c>
      <c r="X120" s="5" t="s">
        <v>200</v>
      </c>
      <c r="Y120" s="5" t="s">
        <v>3851</v>
      </c>
      <c r="Z120" s="5" t="s">
        <v>2225</v>
      </c>
      <c r="AA120" s="5" t="s">
        <v>3612</v>
      </c>
      <c r="AB120" s="5" t="s">
        <v>3837</v>
      </c>
      <c r="AC120" s="5" t="s">
        <v>4065</v>
      </c>
      <c r="AD120" s="6">
        <v>45352</v>
      </c>
      <c r="AE120" s="5"/>
      <c r="AF120" s="5"/>
    </row>
    <row r="121" spans="1:32" ht="30" customHeight="1" x14ac:dyDescent="0.3">
      <c r="A121" s="7">
        <v>3818748</v>
      </c>
      <c r="B121" s="7" t="s">
        <v>1673</v>
      </c>
      <c r="C121" s="7"/>
      <c r="D121" s="7" t="s">
        <v>354</v>
      </c>
      <c r="E121" s="7" t="s">
        <v>203</v>
      </c>
      <c r="F121" s="7" t="s">
        <v>234</v>
      </c>
      <c r="G121" s="7" t="s">
        <v>208</v>
      </c>
      <c r="H121" s="7" t="s">
        <v>245</v>
      </c>
      <c r="I121" s="7" t="s">
        <v>538</v>
      </c>
      <c r="J121" s="7" t="s">
        <v>227</v>
      </c>
      <c r="K121" s="7" t="s">
        <v>888</v>
      </c>
      <c r="L121" s="7" t="s">
        <v>1674</v>
      </c>
      <c r="M121" s="7" t="s">
        <v>1675</v>
      </c>
      <c r="N121" s="7" t="s">
        <v>3608</v>
      </c>
      <c r="O121" s="7" t="s">
        <v>3763</v>
      </c>
      <c r="P121" s="7">
        <v>7540361</v>
      </c>
      <c r="Q121" s="7" t="s">
        <v>4066</v>
      </c>
      <c r="R121" s="7" t="s">
        <v>203</v>
      </c>
      <c r="S121" s="7" t="s">
        <v>234</v>
      </c>
      <c r="T121" s="7" t="s">
        <v>208</v>
      </c>
      <c r="U121" s="7" t="s">
        <v>245</v>
      </c>
      <c r="V121" s="7" t="s">
        <v>4067</v>
      </c>
      <c r="W121" s="7" t="s">
        <v>227</v>
      </c>
      <c r="X121" s="7" t="s">
        <v>200</v>
      </c>
      <c r="Y121" s="7" t="s">
        <v>4068</v>
      </c>
      <c r="Z121" s="7" t="s">
        <v>2187</v>
      </c>
      <c r="AA121" s="7" t="s">
        <v>3612</v>
      </c>
      <c r="AB121" s="7" t="s">
        <v>3609</v>
      </c>
      <c r="AC121" s="7" t="s">
        <v>4069</v>
      </c>
      <c r="AD121" s="8">
        <v>45323</v>
      </c>
      <c r="AE121" s="7"/>
      <c r="AF121" s="7"/>
    </row>
    <row r="122" spans="1:32" ht="30" customHeight="1" x14ac:dyDescent="0.3">
      <c r="A122" s="5">
        <v>3504840</v>
      </c>
      <c r="B122" s="5" t="s">
        <v>1407</v>
      </c>
      <c r="C122" s="5"/>
      <c r="D122" s="5" t="s">
        <v>354</v>
      </c>
      <c r="E122" s="5" t="s">
        <v>203</v>
      </c>
      <c r="F122" s="5" t="s">
        <v>234</v>
      </c>
      <c r="G122" s="5" t="s">
        <v>217</v>
      </c>
      <c r="H122" s="5" t="s">
        <v>245</v>
      </c>
      <c r="I122" s="5" t="s">
        <v>1408</v>
      </c>
      <c r="J122" s="5" t="s">
        <v>227</v>
      </c>
      <c r="K122" s="5" t="s">
        <v>200</v>
      </c>
      <c r="L122" s="5" t="s">
        <v>1409</v>
      </c>
      <c r="M122" s="5" t="s">
        <v>375</v>
      </c>
      <c r="N122" s="5" t="s">
        <v>3602</v>
      </c>
      <c r="O122" s="5" t="s">
        <v>3702</v>
      </c>
      <c r="P122" s="5">
        <v>5327172</v>
      </c>
      <c r="Q122" s="5" t="s">
        <v>4070</v>
      </c>
      <c r="R122" s="5" t="s">
        <v>737</v>
      </c>
      <c r="S122" s="5" t="s">
        <v>234</v>
      </c>
      <c r="T122" s="5" t="s">
        <v>217</v>
      </c>
      <c r="U122" s="5" t="s">
        <v>207</v>
      </c>
      <c r="V122" s="5" t="s">
        <v>4071</v>
      </c>
      <c r="W122" s="5" t="s">
        <v>227</v>
      </c>
      <c r="X122" s="5" t="s">
        <v>200</v>
      </c>
      <c r="Y122" s="5" t="s">
        <v>4072</v>
      </c>
      <c r="Z122" s="5" t="s">
        <v>1247</v>
      </c>
      <c r="AA122" s="5" t="s">
        <v>3623</v>
      </c>
      <c r="AB122" s="5" t="s">
        <v>3646</v>
      </c>
      <c r="AC122" s="5" t="s">
        <v>4073</v>
      </c>
      <c r="AD122" s="6">
        <v>45292</v>
      </c>
      <c r="AE122" s="6">
        <v>45657</v>
      </c>
      <c r="AF122" s="5"/>
    </row>
    <row r="123" spans="1:32" ht="30" customHeight="1" x14ac:dyDescent="0.3">
      <c r="A123" s="7">
        <v>3221776</v>
      </c>
      <c r="B123" s="7" t="s">
        <v>1019</v>
      </c>
      <c r="C123" s="7" t="s">
        <v>4074</v>
      </c>
      <c r="D123" s="7" t="s">
        <v>198</v>
      </c>
      <c r="E123" s="7" t="s">
        <v>203</v>
      </c>
      <c r="F123" s="7" t="s">
        <v>234</v>
      </c>
      <c r="G123" s="7" t="s">
        <v>217</v>
      </c>
      <c r="H123" s="7" t="s">
        <v>245</v>
      </c>
      <c r="I123" s="7" t="s">
        <v>1020</v>
      </c>
      <c r="J123" s="7" t="s">
        <v>227</v>
      </c>
      <c r="K123" s="7" t="s">
        <v>200</v>
      </c>
      <c r="L123" s="7" t="s">
        <v>1021</v>
      </c>
      <c r="M123" s="7" t="s">
        <v>482</v>
      </c>
      <c r="N123" s="7" t="s">
        <v>3602</v>
      </c>
      <c r="O123" s="7" t="s">
        <v>3635</v>
      </c>
      <c r="P123" s="7">
        <v>5551528</v>
      </c>
      <c r="Q123" s="7" t="s">
        <v>4075</v>
      </c>
      <c r="R123" s="7" t="s">
        <v>737</v>
      </c>
      <c r="S123" s="7" t="s">
        <v>234</v>
      </c>
      <c r="T123" s="7" t="s">
        <v>208</v>
      </c>
      <c r="U123" s="7" t="s">
        <v>207</v>
      </c>
      <c r="V123" s="7" t="s">
        <v>4076</v>
      </c>
      <c r="W123" s="7" t="s">
        <v>227</v>
      </c>
      <c r="X123" s="7" t="s">
        <v>200</v>
      </c>
      <c r="Y123" s="7" t="s">
        <v>4077</v>
      </c>
      <c r="Z123" s="7" t="s">
        <v>4078</v>
      </c>
      <c r="AA123" s="7" t="s">
        <v>3612</v>
      </c>
      <c r="AB123" s="7" t="s">
        <v>3613</v>
      </c>
      <c r="AC123" s="7" t="s">
        <v>4079</v>
      </c>
      <c r="AD123" s="8">
        <v>45303</v>
      </c>
      <c r="AE123" s="8">
        <v>45657</v>
      </c>
      <c r="AF123" s="7"/>
    </row>
    <row r="124" spans="1:32" ht="30" customHeight="1" x14ac:dyDescent="0.3">
      <c r="A124" s="5">
        <v>3349098</v>
      </c>
      <c r="B124" s="5" t="s">
        <v>1220</v>
      </c>
      <c r="C124" s="5" t="s">
        <v>4080</v>
      </c>
      <c r="D124" s="5" t="s">
        <v>198</v>
      </c>
      <c r="E124" s="5" t="s">
        <v>203</v>
      </c>
      <c r="F124" s="5" t="s">
        <v>234</v>
      </c>
      <c r="G124" s="5" t="s">
        <v>217</v>
      </c>
      <c r="H124" s="5" t="s">
        <v>245</v>
      </c>
      <c r="I124" s="5" t="s">
        <v>1221</v>
      </c>
      <c r="J124" s="5" t="s">
        <v>227</v>
      </c>
      <c r="K124" s="5" t="s">
        <v>200</v>
      </c>
      <c r="L124" s="5" t="s">
        <v>1222</v>
      </c>
      <c r="M124" s="5" t="s">
        <v>535</v>
      </c>
      <c r="N124" s="5" t="s">
        <v>3608</v>
      </c>
      <c r="O124" s="5" t="s">
        <v>3960</v>
      </c>
      <c r="P124" s="5">
        <v>5490316</v>
      </c>
      <c r="Q124" s="5" t="s">
        <v>4081</v>
      </c>
      <c r="R124" s="5" t="s">
        <v>737</v>
      </c>
      <c r="S124" s="5" t="s">
        <v>234</v>
      </c>
      <c r="T124" s="5" t="s">
        <v>217</v>
      </c>
      <c r="U124" s="5" t="s">
        <v>207</v>
      </c>
      <c r="V124" s="5" t="s">
        <v>4082</v>
      </c>
      <c r="W124" s="5" t="s">
        <v>227</v>
      </c>
      <c r="X124" s="5" t="s">
        <v>200</v>
      </c>
      <c r="Y124" s="5" t="s">
        <v>4057</v>
      </c>
      <c r="Z124" s="5" t="s">
        <v>1247</v>
      </c>
      <c r="AA124" s="5" t="s">
        <v>3732</v>
      </c>
      <c r="AB124" s="5" t="s">
        <v>3646</v>
      </c>
      <c r="AC124" s="5" t="s">
        <v>4083</v>
      </c>
      <c r="AD124" s="6">
        <v>45306</v>
      </c>
      <c r="AE124" s="6">
        <v>45473</v>
      </c>
      <c r="AF124" s="5"/>
    </row>
    <row r="125" spans="1:32" ht="30" customHeight="1" x14ac:dyDescent="0.3">
      <c r="A125" s="7">
        <v>3349098</v>
      </c>
      <c r="B125" s="7" t="s">
        <v>1220</v>
      </c>
      <c r="C125" s="7" t="s">
        <v>4084</v>
      </c>
      <c r="D125" s="7" t="s">
        <v>354</v>
      </c>
      <c r="E125" s="7" t="s">
        <v>203</v>
      </c>
      <c r="F125" s="7" t="s">
        <v>234</v>
      </c>
      <c r="G125" s="7" t="s">
        <v>217</v>
      </c>
      <c r="H125" s="7" t="s">
        <v>245</v>
      </c>
      <c r="I125" s="7" t="s">
        <v>1221</v>
      </c>
      <c r="J125" s="7" t="s">
        <v>227</v>
      </c>
      <c r="K125" s="7" t="s">
        <v>200</v>
      </c>
      <c r="L125" s="7" t="s">
        <v>1222</v>
      </c>
      <c r="M125" s="7" t="s">
        <v>535</v>
      </c>
      <c r="N125" s="7" t="s">
        <v>3608</v>
      </c>
      <c r="O125" s="7" t="s">
        <v>3960</v>
      </c>
      <c r="P125" s="7">
        <v>3835375</v>
      </c>
      <c r="Q125" s="7" t="s">
        <v>4085</v>
      </c>
      <c r="R125" s="7" t="s">
        <v>203</v>
      </c>
      <c r="S125" s="7" t="s">
        <v>234</v>
      </c>
      <c r="T125" s="7" t="s">
        <v>217</v>
      </c>
      <c r="U125" s="7" t="s">
        <v>207</v>
      </c>
      <c r="V125" s="7" t="s">
        <v>1020</v>
      </c>
      <c r="W125" s="7" t="s">
        <v>227</v>
      </c>
      <c r="X125" s="7" t="s">
        <v>200</v>
      </c>
      <c r="Y125" s="7" t="s">
        <v>4086</v>
      </c>
      <c r="Z125" s="7" t="s">
        <v>482</v>
      </c>
      <c r="AA125" s="7" t="s">
        <v>3608</v>
      </c>
      <c r="AB125" s="7" t="s">
        <v>3635</v>
      </c>
      <c r="AC125" s="7" t="s">
        <v>4087</v>
      </c>
      <c r="AD125" s="8">
        <v>45313</v>
      </c>
      <c r="AE125" s="8">
        <v>45473</v>
      </c>
      <c r="AF125" s="7"/>
    </row>
    <row r="126" spans="1:32" ht="30" customHeight="1" x14ac:dyDescent="0.3">
      <c r="A126" s="5">
        <v>4818865</v>
      </c>
      <c r="B126" s="5" t="s">
        <v>2216</v>
      </c>
      <c r="C126" s="5"/>
      <c r="D126" s="5" t="s">
        <v>198</v>
      </c>
      <c r="E126" s="5" t="s">
        <v>203</v>
      </c>
      <c r="F126" s="5" t="s">
        <v>234</v>
      </c>
      <c r="G126" s="5" t="s">
        <v>217</v>
      </c>
      <c r="H126" s="5" t="s">
        <v>207</v>
      </c>
      <c r="I126" s="5" t="s">
        <v>2217</v>
      </c>
      <c r="J126" s="5" t="s">
        <v>227</v>
      </c>
      <c r="K126" s="5" t="s">
        <v>200</v>
      </c>
      <c r="L126" s="5" t="s">
        <v>2218</v>
      </c>
      <c r="M126" s="5" t="s">
        <v>2219</v>
      </c>
      <c r="N126" s="5" t="s">
        <v>3612</v>
      </c>
      <c r="O126" s="5" t="s">
        <v>3646</v>
      </c>
      <c r="P126" s="5">
        <v>3354202</v>
      </c>
      <c r="Q126" s="5" t="s">
        <v>4088</v>
      </c>
      <c r="R126" s="5" t="s">
        <v>737</v>
      </c>
      <c r="S126" s="5" t="s">
        <v>234</v>
      </c>
      <c r="T126" s="5" t="s">
        <v>217</v>
      </c>
      <c r="U126" s="5" t="s">
        <v>245</v>
      </c>
      <c r="V126" s="5" t="s">
        <v>4089</v>
      </c>
      <c r="W126" s="5" t="s">
        <v>227</v>
      </c>
      <c r="X126" s="5" t="s">
        <v>200</v>
      </c>
      <c r="Y126" s="5" t="s">
        <v>4032</v>
      </c>
      <c r="Z126" s="5" t="s">
        <v>1247</v>
      </c>
      <c r="AA126" s="5" t="s">
        <v>3602</v>
      </c>
      <c r="AB126" s="5" t="s">
        <v>3646</v>
      </c>
      <c r="AC126" s="5" t="s">
        <v>4090</v>
      </c>
      <c r="AD126" s="6">
        <v>45301</v>
      </c>
      <c r="AE126" s="6">
        <v>45658</v>
      </c>
      <c r="AF126" s="5"/>
    </row>
    <row r="127" spans="1:32" ht="30" customHeight="1" x14ac:dyDescent="0.3">
      <c r="A127" s="7">
        <v>3349098</v>
      </c>
      <c r="B127" s="7" t="s">
        <v>1220</v>
      </c>
      <c r="C127" s="7" t="s">
        <v>4091</v>
      </c>
      <c r="D127" s="7" t="s">
        <v>354</v>
      </c>
      <c r="E127" s="7" t="s">
        <v>203</v>
      </c>
      <c r="F127" s="7" t="s">
        <v>234</v>
      </c>
      <c r="G127" s="7" t="s">
        <v>217</v>
      </c>
      <c r="H127" s="7" t="s">
        <v>245</v>
      </c>
      <c r="I127" s="7" t="s">
        <v>1221</v>
      </c>
      <c r="J127" s="7" t="s">
        <v>227</v>
      </c>
      <c r="K127" s="7" t="s">
        <v>200</v>
      </c>
      <c r="L127" s="7" t="s">
        <v>1222</v>
      </c>
      <c r="M127" s="7" t="s">
        <v>535</v>
      </c>
      <c r="N127" s="7" t="s">
        <v>3608</v>
      </c>
      <c r="O127" s="7" t="s">
        <v>3960</v>
      </c>
      <c r="P127" s="7">
        <v>5635365</v>
      </c>
      <c r="Q127" s="7" t="s">
        <v>4092</v>
      </c>
      <c r="R127" s="7" t="s">
        <v>737</v>
      </c>
      <c r="S127" s="7" t="s">
        <v>234</v>
      </c>
      <c r="T127" s="7" t="s">
        <v>217</v>
      </c>
      <c r="U127" s="7" t="s">
        <v>207</v>
      </c>
      <c r="V127" s="7" t="s">
        <v>4082</v>
      </c>
      <c r="W127" s="7" t="s">
        <v>227</v>
      </c>
      <c r="X127" s="7" t="s">
        <v>200</v>
      </c>
      <c r="Y127" s="7" t="s">
        <v>4057</v>
      </c>
      <c r="Z127" s="7" t="s">
        <v>1247</v>
      </c>
      <c r="AA127" s="7" t="s">
        <v>3732</v>
      </c>
      <c r="AB127" s="7" t="s">
        <v>3646</v>
      </c>
      <c r="AC127" s="7" t="s">
        <v>4093</v>
      </c>
      <c r="AD127" s="8">
        <v>45308</v>
      </c>
      <c r="AE127" s="8">
        <v>45473</v>
      </c>
      <c r="AF127" s="7"/>
    </row>
    <row r="128" spans="1:32" ht="102" customHeight="1" x14ac:dyDescent="0.3">
      <c r="A128" s="5">
        <v>4913930</v>
      </c>
      <c r="B128" s="5" t="s">
        <v>2427</v>
      </c>
      <c r="C128" s="5" t="s">
        <v>4094</v>
      </c>
      <c r="D128" s="5" t="s">
        <v>198</v>
      </c>
      <c r="E128" s="5" t="s">
        <v>203</v>
      </c>
      <c r="F128" s="5" t="s">
        <v>234</v>
      </c>
      <c r="G128" s="5" t="s">
        <v>208</v>
      </c>
      <c r="H128" s="5" t="s">
        <v>207</v>
      </c>
      <c r="I128" s="5" t="s">
        <v>2428</v>
      </c>
      <c r="J128" s="5" t="s">
        <v>227</v>
      </c>
      <c r="K128" s="5" t="s">
        <v>200</v>
      </c>
      <c r="L128" s="5" t="s">
        <v>2429</v>
      </c>
      <c r="M128" s="5" t="s">
        <v>2097</v>
      </c>
      <c r="N128" s="5" t="s">
        <v>3623</v>
      </c>
      <c r="O128" s="5" t="s">
        <v>3894</v>
      </c>
      <c r="P128" s="5">
        <v>5621135</v>
      </c>
      <c r="Q128" s="5" t="s">
        <v>4095</v>
      </c>
      <c r="R128" s="5" t="s">
        <v>737</v>
      </c>
      <c r="S128" s="5" t="s">
        <v>234</v>
      </c>
      <c r="T128" s="5" t="s">
        <v>208</v>
      </c>
      <c r="U128" s="5" t="s">
        <v>207</v>
      </c>
      <c r="V128" s="5" t="s">
        <v>4096</v>
      </c>
      <c r="W128" s="5" t="s">
        <v>227</v>
      </c>
      <c r="X128" s="5" t="s">
        <v>200</v>
      </c>
      <c r="Y128" s="5" t="s">
        <v>4097</v>
      </c>
      <c r="Z128" s="5" t="s">
        <v>4098</v>
      </c>
      <c r="AA128" s="5" t="s">
        <v>3612</v>
      </c>
      <c r="AB128" s="5" t="s">
        <v>3613</v>
      </c>
      <c r="AC128" s="5" t="s">
        <v>4099</v>
      </c>
      <c r="AD128" s="6">
        <v>45323</v>
      </c>
      <c r="AE128" s="6">
        <v>45351</v>
      </c>
      <c r="AF128" s="5"/>
    </row>
    <row r="129" spans="1:32" ht="40.5" customHeight="1" x14ac:dyDescent="0.3">
      <c r="A129" s="7">
        <v>5182859</v>
      </c>
      <c r="B129" s="7" t="s">
        <v>2870</v>
      </c>
      <c r="C129" s="7" t="s">
        <v>4100</v>
      </c>
      <c r="D129" s="7" t="s">
        <v>354</v>
      </c>
      <c r="E129" s="7" t="s">
        <v>203</v>
      </c>
      <c r="F129" s="7" t="s">
        <v>418</v>
      </c>
      <c r="G129" s="7" t="s">
        <v>217</v>
      </c>
      <c r="H129" s="7" t="s">
        <v>245</v>
      </c>
      <c r="I129" s="7" t="s">
        <v>2195</v>
      </c>
      <c r="J129" s="7" t="s">
        <v>227</v>
      </c>
      <c r="K129" s="7" t="s">
        <v>888</v>
      </c>
      <c r="L129" s="7" t="s">
        <v>2196</v>
      </c>
      <c r="M129" s="7" t="s">
        <v>2871</v>
      </c>
      <c r="N129" s="7" t="s">
        <v>3623</v>
      </c>
      <c r="O129" s="7" t="s">
        <v>3727</v>
      </c>
      <c r="P129" s="7">
        <v>5642582</v>
      </c>
      <c r="Q129" s="7" t="s">
        <v>4101</v>
      </c>
      <c r="R129" s="7" t="s">
        <v>203</v>
      </c>
      <c r="S129" s="7"/>
      <c r="T129" s="7" t="s">
        <v>217</v>
      </c>
      <c r="U129" s="7" t="s">
        <v>207</v>
      </c>
      <c r="V129" s="7" t="s">
        <v>4102</v>
      </c>
      <c r="W129" s="7" t="s">
        <v>199</v>
      </c>
      <c r="X129" s="7" t="s">
        <v>200</v>
      </c>
      <c r="Y129" s="7" t="s">
        <v>3540</v>
      </c>
      <c r="Z129" s="7" t="s">
        <v>497</v>
      </c>
      <c r="AA129" s="7" t="s">
        <v>3732</v>
      </c>
      <c r="AB129" s="7" t="s">
        <v>3727</v>
      </c>
      <c r="AC129" s="7" t="s">
        <v>4103</v>
      </c>
      <c r="AD129" s="8">
        <v>45310</v>
      </c>
      <c r="AE129" s="8">
        <v>45657</v>
      </c>
      <c r="AF129" s="7"/>
    </row>
    <row r="130" spans="1:32" ht="71.25" customHeight="1" x14ac:dyDescent="0.3">
      <c r="A130" s="5">
        <v>3377326</v>
      </c>
      <c r="B130" s="5" t="s">
        <v>1256</v>
      </c>
      <c r="C130" s="5" t="s">
        <v>4104</v>
      </c>
      <c r="D130" s="5" t="s">
        <v>354</v>
      </c>
      <c r="E130" s="5" t="s">
        <v>203</v>
      </c>
      <c r="F130" s="5" t="s">
        <v>613</v>
      </c>
      <c r="G130" s="5" t="s">
        <v>217</v>
      </c>
      <c r="H130" s="5" t="s">
        <v>233</v>
      </c>
      <c r="I130" s="5" t="s">
        <v>1257</v>
      </c>
      <c r="J130" s="5" t="s">
        <v>608</v>
      </c>
      <c r="K130" s="5" t="s">
        <v>200</v>
      </c>
      <c r="L130" s="5" t="s">
        <v>1258</v>
      </c>
      <c r="M130" s="5" t="s">
        <v>855</v>
      </c>
      <c r="N130" s="5" t="s">
        <v>3623</v>
      </c>
      <c r="O130" s="5" t="s">
        <v>3837</v>
      </c>
      <c r="P130" s="5">
        <v>2905914</v>
      </c>
      <c r="Q130" s="5" t="s">
        <v>4105</v>
      </c>
      <c r="R130" s="5"/>
      <c r="S130" s="5" t="s">
        <v>1929</v>
      </c>
      <c r="T130" s="5" t="s">
        <v>208</v>
      </c>
      <c r="U130" s="5" t="s">
        <v>245</v>
      </c>
      <c r="V130" s="5"/>
      <c r="W130" s="5" t="s">
        <v>608</v>
      </c>
      <c r="X130" s="5"/>
      <c r="Y130" s="5"/>
      <c r="Z130" s="5"/>
      <c r="AA130" s="5" t="s">
        <v>3602</v>
      </c>
      <c r="AB130" s="5"/>
      <c r="AC130" s="5" t="s">
        <v>4106</v>
      </c>
      <c r="AD130" s="6">
        <v>45352</v>
      </c>
      <c r="AE130" s="6">
        <v>45443</v>
      </c>
      <c r="AF130" s="5"/>
    </row>
    <row r="131" spans="1:32" ht="40.5" customHeight="1" x14ac:dyDescent="0.3">
      <c r="A131" s="7">
        <v>3572323</v>
      </c>
      <c r="B131" s="7" t="s">
        <v>3987</v>
      </c>
      <c r="C131" s="7"/>
      <c r="D131" s="7" t="s">
        <v>354</v>
      </c>
      <c r="E131" s="7"/>
      <c r="F131" s="7" t="s">
        <v>234</v>
      </c>
      <c r="G131" s="7" t="s">
        <v>217</v>
      </c>
      <c r="H131" s="7" t="s">
        <v>207</v>
      </c>
      <c r="I131" s="7"/>
      <c r="J131" s="7" t="s">
        <v>227</v>
      </c>
      <c r="K131" s="7"/>
      <c r="L131" s="7"/>
      <c r="M131" s="7"/>
      <c r="N131" s="7" t="s">
        <v>3623</v>
      </c>
      <c r="O131" s="7"/>
      <c r="P131" s="7">
        <v>3353036</v>
      </c>
      <c r="Q131" s="7" t="s">
        <v>4107</v>
      </c>
      <c r="R131" s="7" t="s">
        <v>203</v>
      </c>
      <c r="S131" s="7" t="s">
        <v>234</v>
      </c>
      <c r="T131" s="7" t="s">
        <v>217</v>
      </c>
      <c r="U131" s="7" t="s">
        <v>245</v>
      </c>
      <c r="V131" s="7" t="s">
        <v>4108</v>
      </c>
      <c r="W131" s="7" t="s">
        <v>227</v>
      </c>
      <c r="X131" s="7" t="s">
        <v>200</v>
      </c>
      <c r="Y131" s="7" t="s">
        <v>3990</v>
      </c>
      <c r="Z131" s="7" t="s">
        <v>1243</v>
      </c>
      <c r="AA131" s="7" t="s">
        <v>3602</v>
      </c>
      <c r="AB131" s="7" t="s">
        <v>3609</v>
      </c>
      <c r="AC131" s="7" t="s">
        <v>4109</v>
      </c>
      <c r="AD131" s="8">
        <v>45323</v>
      </c>
      <c r="AE131" s="8">
        <v>45412</v>
      </c>
      <c r="AF131" s="7"/>
    </row>
    <row r="132" spans="1:32" ht="40.5" customHeight="1" x14ac:dyDescent="0.3">
      <c r="A132" s="5">
        <v>4655516</v>
      </c>
      <c r="B132" s="5" t="s">
        <v>1935</v>
      </c>
      <c r="C132" s="5" t="s">
        <v>4110</v>
      </c>
      <c r="D132" s="5" t="s">
        <v>354</v>
      </c>
      <c r="E132" s="5" t="s">
        <v>203</v>
      </c>
      <c r="F132" s="5" t="s">
        <v>418</v>
      </c>
      <c r="G132" s="5" t="s">
        <v>208</v>
      </c>
      <c r="H132" s="5" t="s">
        <v>207</v>
      </c>
      <c r="I132" s="5" t="s">
        <v>1936</v>
      </c>
      <c r="J132" s="5" t="s">
        <v>227</v>
      </c>
      <c r="K132" s="5" t="s">
        <v>200</v>
      </c>
      <c r="L132" s="5" t="s">
        <v>1937</v>
      </c>
      <c r="M132" s="5" t="s">
        <v>1692</v>
      </c>
      <c r="N132" s="5" t="s">
        <v>3608</v>
      </c>
      <c r="O132" s="5" t="s">
        <v>3763</v>
      </c>
      <c r="P132" s="5">
        <v>3224546</v>
      </c>
      <c r="Q132" s="5" t="s">
        <v>4111</v>
      </c>
      <c r="R132" s="5" t="s">
        <v>203</v>
      </c>
      <c r="S132" s="5" t="s">
        <v>234</v>
      </c>
      <c r="T132" s="5" t="s">
        <v>217</v>
      </c>
      <c r="U132" s="5" t="s">
        <v>245</v>
      </c>
      <c r="V132" s="5" t="s">
        <v>4112</v>
      </c>
      <c r="W132" s="5" t="s">
        <v>227</v>
      </c>
      <c r="X132" s="5" t="s">
        <v>200</v>
      </c>
      <c r="Y132" s="5" t="s">
        <v>4113</v>
      </c>
      <c r="Z132" s="5" t="s">
        <v>2187</v>
      </c>
      <c r="AA132" s="5" t="s">
        <v>3602</v>
      </c>
      <c r="AB132" s="5" t="s">
        <v>3609</v>
      </c>
      <c r="AC132" s="5" t="s">
        <v>4114</v>
      </c>
      <c r="AD132" s="6">
        <v>45412</v>
      </c>
      <c r="AE132" s="6">
        <v>45653</v>
      </c>
      <c r="AF132" s="5"/>
    </row>
    <row r="133" spans="1:32" ht="40.5" customHeight="1" x14ac:dyDescent="0.3">
      <c r="A133" s="7">
        <v>3974510</v>
      </c>
      <c r="B133" s="7" t="s">
        <v>1775</v>
      </c>
      <c r="C133" s="7"/>
      <c r="D133" s="7" t="s">
        <v>354</v>
      </c>
      <c r="E133" s="7" t="s">
        <v>203</v>
      </c>
      <c r="F133" s="7" t="s">
        <v>234</v>
      </c>
      <c r="G133" s="7" t="s">
        <v>217</v>
      </c>
      <c r="H133" s="7" t="s">
        <v>207</v>
      </c>
      <c r="I133" s="7" t="s">
        <v>1776</v>
      </c>
      <c r="J133" s="7" t="s">
        <v>227</v>
      </c>
      <c r="K133" s="7" t="s">
        <v>200</v>
      </c>
      <c r="L133" s="7" t="s">
        <v>1777</v>
      </c>
      <c r="M133" s="7" t="s">
        <v>941</v>
      </c>
      <c r="N133" s="7" t="s">
        <v>3608</v>
      </c>
      <c r="O133" s="7" t="s">
        <v>3635</v>
      </c>
      <c r="P133" s="7">
        <v>5269059</v>
      </c>
      <c r="Q133" s="7" t="s">
        <v>4115</v>
      </c>
      <c r="R133" s="7" t="s">
        <v>737</v>
      </c>
      <c r="S133" s="7" t="s">
        <v>234</v>
      </c>
      <c r="T133" s="7" t="s">
        <v>208</v>
      </c>
      <c r="U133" s="7" t="s">
        <v>207</v>
      </c>
      <c r="V133" s="7" t="s">
        <v>4116</v>
      </c>
      <c r="W133" s="7" t="s">
        <v>227</v>
      </c>
      <c r="X133" s="7" t="s">
        <v>200</v>
      </c>
      <c r="Y133" s="7" t="s">
        <v>1272</v>
      </c>
      <c r="Z133" s="7" t="s">
        <v>1247</v>
      </c>
      <c r="AA133" s="7" t="s">
        <v>3612</v>
      </c>
      <c r="AB133" s="7" t="s">
        <v>3646</v>
      </c>
      <c r="AC133" s="7" t="s">
        <v>4117</v>
      </c>
      <c r="AD133" s="8">
        <v>45321</v>
      </c>
      <c r="AE133" s="8">
        <v>45562</v>
      </c>
      <c r="AF133" s="7"/>
    </row>
    <row r="134" spans="1:32" ht="71.25" customHeight="1" x14ac:dyDescent="0.3">
      <c r="A134" s="5">
        <v>3354423</v>
      </c>
      <c r="B134" s="5" t="s">
        <v>1231</v>
      </c>
      <c r="C134" s="5" t="s">
        <v>4118</v>
      </c>
      <c r="D134" s="5" t="s">
        <v>198</v>
      </c>
      <c r="E134" s="5" t="s">
        <v>203</v>
      </c>
      <c r="F134" s="5" t="s">
        <v>234</v>
      </c>
      <c r="G134" s="5" t="s">
        <v>217</v>
      </c>
      <c r="H134" s="5" t="s">
        <v>245</v>
      </c>
      <c r="I134" s="5" t="s">
        <v>1232</v>
      </c>
      <c r="J134" s="5" t="s">
        <v>227</v>
      </c>
      <c r="K134" s="5" t="s">
        <v>200</v>
      </c>
      <c r="L134" s="5" t="s">
        <v>1233</v>
      </c>
      <c r="M134" s="5" t="s">
        <v>1234</v>
      </c>
      <c r="N134" s="5" t="s">
        <v>3602</v>
      </c>
      <c r="O134" s="5" t="s">
        <v>3960</v>
      </c>
      <c r="P134" s="5">
        <v>7581998</v>
      </c>
      <c r="Q134" s="5" t="s">
        <v>4119</v>
      </c>
      <c r="R134" s="5" t="s">
        <v>737</v>
      </c>
      <c r="S134" s="5" t="s">
        <v>234</v>
      </c>
      <c r="T134" s="5" t="s">
        <v>208</v>
      </c>
      <c r="U134" s="5" t="s">
        <v>245</v>
      </c>
      <c r="V134" s="5" t="s">
        <v>4120</v>
      </c>
      <c r="W134" s="5" t="s">
        <v>227</v>
      </c>
      <c r="X134" s="5" t="s">
        <v>200</v>
      </c>
      <c r="Y134" s="5" t="s">
        <v>4121</v>
      </c>
      <c r="Z134" s="5" t="s">
        <v>1247</v>
      </c>
      <c r="AA134" s="5" t="s">
        <v>3623</v>
      </c>
      <c r="AB134" s="5" t="s">
        <v>3646</v>
      </c>
      <c r="AC134" s="5" t="s">
        <v>4122</v>
      </c>
      <c r="AD134" s="6">
        <v>45309</v>
      </c>
      <c r="AE134" s="6">
        <v>45632</v>
      </c>
      <c r="AF134" s="5"/>
    </row>
    <row r="135" spans="1:32" ht="173.25" customHeight="1" x14ac:dyDescent="0.3">
      <c r="A135" s="7">
        <v>5235103</v>
      </c>
      <c r="B135" s="7" t="s">
        <v>2940</v>
      </c>
      <c r="C135" s="7" t="s">
        <v>4123</v>
      </c>
      <c r="D135" s="7" t="s">
        <v>198</v>
      </c>
      <c r="E135" s="7" t="s">
        <v>203</v>
      </c>
      <c r="F135" s="7" t="s">
        <v>234</v>
      </c>
      <c r="G135" s="7" t="s">
        <v>217</v>
      </c>
      <c r="H135" s="7" t="s">
        <v>207</v>
      </c>
      <c r="I135" s="7" t="s">
        <v>2941</v>
      </c>
      <c r="J135" s="7" t="s">
        <v>227</v>
      </c>
      <c r="K135" s="7" t="s">
        <v>200</v>
      </c>
      <c r="L135" s="7" t="s">
        <v>2942</v>
      </c>
      <c r="M135" s="7" t="s">
        <v>2943</v>
      </c>
      <c r="N135" s="7" t="s">
        <v>3623</v>
      </c>
      <c r="O135" s="7" t="s">
        <v>3763</v>
      </c>
      <c r="P135" s="7">
        <v>5290511</v>
      </c>
      <c r="Q135" s="7" t="s">
        <v>4124</v>
      </c>
      <c r="R135" s="7" t="s">
        <v>203</v>
      </c>
      <c r="S135" s="7" t="s">
        <v>234</v>
      </c>
      <c r="T135" s="7" t="s">
        <v>217</v>
      </c>
      <c r="U135" s="7" t="s">
        <v>207</v>
      </c>
      <c r="V135" s="7" t="s">
        <v>4125</v>
      </c>
      <c r="W135" s="7" t="s">
        <v>227</v>
      </c>
      <c r="X135" s="7" t="s">
        <v>200</v>
      </c>
      <c r="Y135" s="7" t="s">
        <v>4126</v>
      </c>
      <c r="Z135" s="7" t="s">
        <v>4127</v>
      </c>
      <c r="AA135" s="7" t="s">
        <v>3612</v>
      </c>
      <c r="AB135" s="7" t="s">
        <v>4128</v>
      </c>
      <c r="AC135" s="7" t="s">
        <v>4129</v>
      </c>
      <c r="AD135" s="8">
        <v>45323</v>
      </c>
      <c r="AE135" s="8">
        <v>45626</v>
      </c>
      <c r="AF135" s="7"/>
    </row>
    <row r="136" spans="1:32" ht="51" customHeight="1" x14ac:dyDescent="0.3">
      <c r="A136" s="5">
        <v>5076234</v>
      </c>
      <c r="B136" s="5" t="s">
        <v>2682</v>
      </c>
      <c r="C136" s="5" t="s">
        <v>4130</v>
      </c>
      <c r="D136" s="5" t="s">
        <v>354</v>
      </c>
      <c r="E136" s="5" t="s">
        <v>203</v>
      </c>
      <c r="F136" s="5" t="s">
        <v>234</v>
      </c>
      <c r="G136" s="5" t="s">
        <v>208</v>
      </c>
      <c r="H136" s="5" t="s">
        <v>207</v>
      </c>
      <c r="I136" s="5" t="s">
        <v>1020</v>
      </c>
      <c r="J136" s="5" t="s">
        <v>227</v>
      </c>
      <c r="K136" s="5" t="s">
        <v>200</v>
      </c>
      <c r="L136" s="5" t="s">
        <v>2683</v>
      </c>
      <c r="M136" s="5" t="s">
        <v>482</v>
      </c>
      <c r="N136" s="5" t="s">
        <v>3623</v>
      </c>
      <c r="O136" s="5" t="s">
        <v>3635</v>
      </c>
      <c r="P136" s="5">
        <v>4946537</v>
      </c>
      <c r="Q136" s="5" t="s">
        <v>4131</v>
      </c>
      <c r="R136" s="5"/>
      <c r="S136" s="5" t="s">
        <v>234</v>
      </c>
      <c r="T136" s="5" t="s">
        <v>217</v>
      </c>
      <c r="U136" s="5" t="s">
        <v>207</v>
      </c>
      <c r="V136" s="5"/>
      <c r="W136" s="5" t="s">
        <v>227</v>
      </c>
      <c r="X136" s="5"/>
      <c r="Y136" s="5"/>
      <c r="Z136" s="5"/>
      <c r="AA136" s="5" t="s">
        <v>3623</v>
      </c>
      <c r="AB136" s="5"/>
      <c r="AC136" s="5" t="s">
        <v>4132</v>
      </c>
      <c r="AD136" s="6">
        <v>45156</v>
      </c>
      <c r="AE136" s="6">
        <v>45382</v>
      </c>
      <c r="AF136" s="5"/>
    </row>
    <row r="137" spans="1:32" ht="30" customHeight="1" x14ac:dyDescent="0.3">
      <c r="A137" s="7">
        <v>3354423</v>
      </c>
      <c r="B137" s="7" t="s">
        <v>1231</v>
      </c>
      <c r="C137" s="7" t="s">
        <v>4133</v>
      </c>
      <c r="D137" s="7" t="s">
        <v>198</v>
      </c>
      <c r="E137" s="7" t="s">
        <v>203</v>
      </c>
      <c r="F137" s="7" t="s">
        <v>234</v>
      </c>
      <c r="G137" s="7" t="s">
        <v>217</v>
      </c>
      <c r="H137" s="7" t="s">
        <v>245</v>
      </c>
      <c r="I137" s="7" t="s">
        <v>1232</v>
      </c>
      <c r="J137" s="7" t="s">
        <v>227</v>
      </c>
      <c r="K137" s="7" t="s">
        <v>200</v>
      </c>
      <c r="L137" s="7" t="s">
        <v>1233</v>
      </c>
      <c r="M137" s="7" t="s">
        <v>1234</v>
      </c>
      <c r="N137" s="7" t="s">
        <v>3602</v>
      </c>
      <c r="O137" s="7" t="s">
        <v>3960</v>
      </c>
      <c r="P137" s="7">
        <v>5588073</v>
      </c>
      <c r="Q137" s="7" t="s">
        <v>4134</v>
      </c>
      <c r="R137" s="7" t="s">
        <v>737</v>
      </c>
      <c r="S137" s="7" t="s">
        <v>234</v>
      </c>
      <c r="T137" s="7" t="s">
        <v>208</v>
      </c>
      <c r="U137" s="7" t="s">
        <v>207</v>
      </c>
      <c r="V137" s="7" t="s">
        <v>4135</v>
      </c>
      <c r="W137" s="7" t="s">
        <v>227</v>
      </c>
      <c r="X137" s="7" t="s">
        <v>200</v>
      </c>
      <c r="Y137" s="7" t="s">
        <v>4136</v>
      </c>
      <c r="Z137" s="7" t="s">
        <v>1247</v>
      </c>
      <c r="AA137" s="7" t="s">
        <v>3612</v>
      </c>
      <c r="AB137" s="7" t="s">
        <v>3646</v>
      </c>
      <c r="AC137" s="7" t="s">
        <v>4137</v>
      </c>
      <c r="AD137" s="8">
        <v>45383</v>
      </c>
      <c r="AE137" s="8">
        <v>45474</v>
      </c>
      <c r="AF137" s="7"/>
    </row>
    <row r="138" spans="1:32" ht="40.5" customHeight="1" x14ac:dyDescent="0.3">
      <c r="A138" s="5">
        <v>5004608</v>
      </c>
      <c r="B138" s="5" t="s">
        <v>353</v>
      </c>
      <c r="C138" s="5" t="s">
        <v>4138</v>
      </c>
      <c r="D138" s="5" t="s">
        <v>354</v>
      </c>
      <c r="E138" s="5" t="s">
        <v>203</v>
      </c>
      <c r="F138" s="5" t="s">
        <v>262</v>
      </c>
      <c r="G138" s="5" t="s">
        <v>217</v>
      </c>
      <c r="H138" s="5" t="s">
        <v>207</v>
      </c>
      <c r="I138" s="5" t="s">
        <v>355</v>
      </c>
      <c r="J138" s="5" t="s">
        <v>257</v>
      </c>
      <c r="K138" s="5" t="s">
        <v>200</v>
      </c>
      <c r="L138" s="5" t="s">
        <v>356</v>
      </c>
      <c r="M138" s="5" t="s">
        <v>357</v>
      </c>
      <c r="N138" s="5" t="s">
        <v>3623</v>
      </c>
      <c r="O138" s="5" t="s">
        <v>3763</v>
      </c>
      <c r="P138" s="5">
        <v>5339650</v>
      </c>
      <c r="Q138" s="5" t="s">
        <v>4139</v>
      </c>
      <c r="R138" s="5" t="s">
        <v>203</v>
      </c>
      <c r="S138" s="5"/>
      <c r="T138" s="5" t="s">
        <v>217</v>
      </c>
      <c r="U138" s="5" t="s">
        <v>207</v>
      </c>
      <c r="V138" s="5" t="s">
        <v>4140</v>
      </c>
      <c r="W138" s="5" t="s">
        <v>257</v>
      </c>
      <c r="X138" s="5" t="s">
        <v>200</v>
      </c>
      <c r="Y138" s="5" t="s">
        <v>356</v>
      </c>
      <c r="Z138" s="5" t="s">
        <v>4141</v>
      </c>
      <c r="AA138" s="5" t="s">
        <v>3612</v>
      </c>
      <c r="AB138" s="5" t="s">
        <v>3763</v>
      </c>
      <c r="AC138" s="5" t="s">
        <v>4142</v>
      </c>
      <c r="AD138" s="6">
        <v>45323</v>
      </c>
      <c r="AE138" s="6">
        <v>45443</v>
      </c>
      <c r="AF138" s="5"/>
    </row>
    <row r="139" spans="1:32" ht="40.5" customHeight="1" x14ac:dyDescent="0.3">
      <c r="A139" s="7">
        <v>2073889</v>
      </c>
      <c r="B139" s="7" t="s">
        <v>822</v>
      </c>
      <c r="C139" s="7" t="s">
        <v>4143</v>
      </c>
      <c r="D139" s="7" t="s">
        <v>354</v>
      </c>
      <c r="E139" s="7" t="s">
        <v>203</v>
      </c>
      <c r="F139" s="7" t="s">
        <v>433</v>
      </c>
      <c r="G139" s="7" t="s">
        <v>217</v>
      </c>
      <c r="H139" s="7" t="s">
        <v>233</v>
      </c>
      <c r="I139" s="7" t="s">
        <v>823</v>
      </c>
      <c r="J139" s="7" t="s">
        <v>227</v>
      </c>
      <c r="K139" s="7" t="s">
        <v>200</v>
      </c>
      <c r="L139" s="7" t="s">
        <v>824</v>
      </c>
      <c r="M139" s="7" t="s">
        <v>482</v>
      </c>
      <c r="N139" s="7" t="s">
        <v>3602</v>
      </c>
      <c r="O139" s="7" t="s">
        <v>3635</v>
      </c>
      <c r="P139" s="7">
        <v>7574576</v>
      </c>
      <c r="Q139" s="7" t="s">
        <v>4144</v>
      </c>
      <c r="R139" s="7"/>
      <c r="S139" s="7" t="s">
        <v>234</v>
      </c>
      <c r="T139" s="7" t="s">
        <v>217</v>
      </c>
      <c r="U139" s="7" t="s">
        <v>245</v>
      </c>
      <c r="V139" s="7"/>
      <c r="W139" s="7" t="s">
        <v>227</v>
      </c>
      <c r="X139" s="7"/>
      <c r="Y139" s="7"/>
      <c r="Z139" s="7"/>
      <c r="AA139" s="7" t="s">
        <v>3608</v>
      </c>
      <c r="AB139" s="7"/>
      <c r="AC139" s="7" t="s">
        <v>4145</v>
      </c>
      <c r="AD139" s="8">
        <v>45316</v>
      </c>
      <c r="AE139" s="8">
        <v>45504</v>
      </c>
      <c r="AF139" s="7"/>
    </row>
    <row r="140" spans="1:32" ht="30" customHeight="1" x14ac:dyDescent="0.3">
      <c r="A140" s="5">
        <v>2667509</v>
      </c>
      <c r="B140" s="5" t="s">
        <v>591</v>
      </c>
      <c r="C140" s="5"/>
      <c r="D140" s="5" t="s">
        <v>354</v>
      </c>
      <c r="E140" s="5" t="s">
        <v>203</v>
      </c>
      <c r="F140" s="5" t="s">
        <v>433</v>
      </c>
      <c r="G140" s="5" t="s">
        <v>217</v>
      </c>
      <c r="H140" s="5" t="s">
        <v>245</v>
      </c>
      <c r="I140" s="5" t="s">
        <v>592</v>
      </c>
      <c r="J140" s="5" t="s">
        <v>227</v>
      </c>
      <c r="K140" s="5" t="s">
        <v>200</v>
      </c>
      <c r="L140" s="5" t="s">
        <v>593</v>
      </c>
      <c r="M140" s="5" t="s">
        <v>594</v>
      </c>
      <c r="N140" s="5" t="s">
        <v>3608</v>
      </c>
      <c r="O140" s="5" t="s">
        <v>3919</v>
      </c>
      <c r="P140" s="5">
        <v>3293335</v>
      </c>
      <c r="Q140" s="5" t="s">
        <v>4146</v>
      </c>
      <c r="R140" s="5" t="s">
        <v>203</v>
      </c>
      <c r="S140" s="5" t="s">
        <v>234</v>
      </c>
      <c r="T140" s="5" t="s">
        <v>208</v>
      </c>
      <c r="U140" s="5" t="s">
        <v>245</v>
      </c>
      <c r="V140" s="5" t="s">
        <v>4147</v>
      </c>
      <c r="W140" s="5" t="s">
        <v>227</v>
      </c>
      <c r="X140" s="5" t="s">
        <v>200</v>
      </c>
      <c r="Y140" s="5" t="s">
        <v>4148</v>
      </c>
      <c r="Z140" s="5" t="s">
        <v>2187</v>
      </c>
      <c r="AA140" s="5" t="s">
        <v>3602</v>
      </c>
      <c r="AB140" s="5" t="s">
        <v>3609</v>
      </c>
      <c r="AC140" s="5" t="s">
        <v>4149</v>
      </c>
      <c r="AD140" s="6">
        <v>45314</v>
      </c>
      <c r="AE140" s="5"/>
      <c r="AF140" s="5"/>
    </row>
    <row r="141" spans="1:32" ht="40.5" customHeight="1" x14ac:dyDescent="0.3">
      <c r="A141" s="7">
        <v>4865952</v>
      </c>
      <c r="B141" s="7" t="s">
        <v>2320</v>
      </c>
      <c r="C141" s="7" t="s">
        <v>4150</v>
      </c>
      <c r="D141" s="7" t="s">
        <v>354</v>
      </c>
      <c r="E141" s="7" t="s">
        <v>203</v>
      </c>
      <c r="F141" s="7" t="s">
        <v>234</v>
      </c>
      <c r="G141" s="7" t="s">
        <v>208</v>
      </c>
      <c r="H141" s="7" t="s">
        <v>245</v>
      </c>
      <c r="I141" s="7" t="s">
        <v>533</v>
      </c>
      <c r="J141" s="7" t="s">
        <v>227</v>
      </c>
      <c r="K141" s="7" t="s">
        <v>200</v>
      </c>
      <c r="L141" s="7" t="s">
        <v>534</v>
      </c>
      <c r="M141" s="7" t="s">
        <v>535</v>
      </c>
      <c r="N141" s="7" t="s">
        <v>3623</v>
      </c>
      <c r="O141" s="7" t="s">
        <v>3960</v>
      </c>
      <c r="P141" s="7">
        <v>4799089</v>
      </c>
      <c r="Q141" s="7" t="s">
        <v>4151</v>
      </c>
      <c r="R141" s="7" t="s">
        <v>203</v>
      </c>
      <c r="S141" s="7" t="s">
        <v>234</v>
      </c>
      <c r="T141" s="7" t="s">
        <v>208</v>
      </c>
      <c r="U141" s="7" t="s">
        <v>207</v>
      </c>
      <c r="V141" s="7" t="s">
        <v>4152</v>
      </c>
      <c r="W141" s="7" t="s">
        <v>227</v>
      </c>
      <c r="X141" s="7" t="s">
        <v>200</v>
      </c>
      <c r="Y141" s="7" t="s">
        <v>4153</v>
      </c>
      <c r="Z141" s="7" t="s">
        <v>1110</v>
      </c>
      <c r="AA141" s="7" t="s">
        <v>3608</v>
      </c>
      <c r="AB141" s="7" t="s">
        <v>3702</v>
      </c>
      <c r="AC141" s="7" t="s">
        <v>4154</v>
      </c>
      <c r="AD141" s="8">
        <v>45334</v>
      </c>
      <c r="AE141" s="8">
        <v>45446</v>
      </c>
      <c r="AF141" s="7"/>
    </row>
    <row r="142" spans="1:32" ht="40.5" customHeight="1" x14ac:dyDescent="0.3">
      <c r="A142" s="5">
        <v>3633535</v>
      </c>
      <c r="B142" s="5" t="s">
        <v>4155</v>
      </c>
      <c r="C142" s="5" t="s">
        <v>4156</v>
      </c>
      <c r="D142" s="5" t="s">
        <v>198</v>
      </c>
      <c r="E142" s="5"/>
      <c r="F142" s="5" t="s">
        <v>418</v>
      </c>
      <c r="G142" s="5" t="s">
        <v>217</v>
      </c>
      <c r="H142" s="5" t="s">
        <v>245</v>
      </c>
      <c r="I142" s="5"/>
      <c r="J142" s="5" t="s">
        <v>227</v>
      </c>
      <c r="K142" s="5"/>
      <c r="L142" s="5"/>
      <c r="M142" s="5"/>
      <c r="N142" s="5" t="s">
        <v>3608</v>
      </c>
      <c r="O142" s="5"/>
      <c r="P142" s="5">
        <v>3642232</v>
      </c>
      <c r="Q142" s="5" t="s">
        <v>4157</v>
      </c>
      <c r="R142" s="5" t="s">
        <v>203</v>
      </c>
      <c r="S142" s="5" t="s">
        <v>418</v>
      </c>
      <c r="T142" s="5" t="s">
        <v>208</v>
      </c>
      <c r="U142" s="5" t="s">
        <v>245</v>
      </c>
      <c r="V142" s="5" t="s">
        <v>4158</v>
      </c>
      <c r="W142" s="5" t="s">
        <v>227</v>
      </c>
      <c r="X142" s="5" t="s">
        <v>200</v>
      </c>
      <c r="Y142" s="5" t="s">
        <v>4159</v>
      </c>
      <c r="Z142" s="5" t="s">
        <v>1110</v>
      </c>
      <c r="AA142" s="5" t="s">
        <v>3608</v>
      </c>
      <c r="AB142" s="5" t="s">
        <v>3702</v>
      </c>
      <c r="AC142" s="5" t="s">
        <v>4160</v>
      </c>
      <c r="AD142" s="6">
        <v>45317</v>
      </c>
      <c r="AE142" s="6">
        <v>45716</v>
      </c>
      <c r="AF142" s="5"/>
    </row>
    <row r="143" spans="1:32" ht="81" customHeight="1" x14ac:dyDescent="0.3">
      <c r="A143" s="7">
        <v>5290961</v>
      </c>
      <c r="B143" s="7" t="s">
        <v>4161</v>
      </c>
      <c r="C143" s="7" t="s">
        <v>4162</v>
      </c>
      <c r="D143" s="7" t="s">
        <v>354</v>
      </c>
      <c r="E143" s="7"/>
      <c r="F143" s="7" t="s">
        <v>234</v>
      </c>
      <c r="G143" s="7" t="s">
        <v>208</v>
      </c>
      <c r="H143" s="7" t="s">
        <v>207</v>
      </c>
      <c r="I143" s="7"/>
      <c r="J143" s="7" t="s">
        <v>227</v>
      </c>
      <c r="K143" s="7"/>
      <c r="L143" s="7"/>
      <c r="M143" s="7"/>
      <c r="N143" s="7" t="s">
        <v>3612</v>
      </c>
      <c r="O143" s="7"/>
      <c r="P143" s="7">
        <v>3170845</v>
      </c>
      <c r="Q143" s="7" t="s">
        <v>4163</v>
      </c>
      <c r="R143" s="7" t="s">
        <v>203</v>
      </c>
      <c r="S143" s="7" t="s">
        <v>234</v>
      </c>
      <c r="T143" s="7" t="s">
        <v>217</v>
      </c>
      <c r="U143" s="7" t="s">
        <v>245</v>
      </c>
      <c r="V143" s="7" t="s">
        <v>1458</v>
      </c>
      <c r="W143" s="7" t="s">
        <v>227</v>
      </c>
      <c r="X143" s="7" t="s">
        <v>200</v>
      </c>
      <c r="Y143" s="7" t="s">
        <v>4164</v>
      </c>
      <c r="Z143" s="7" t="s">
        <v>2187</v>
      </c>
      <c r="AA143" s="7" t="s">
        <v>3602</v>
      </c>
      <c r="AB143" s="7" t="s">
        <v>3609</v>
      </c>
      <c r="AC143" s="7" t="s">
        <v>4165</v>
      </c>
      <c r="AD143" s="8">
        <v>45314</v>
      </c>
      <c r="AE143" s="8">
        <v>45314</v>
      </c>
      <c r="AF143" s="7"/>
    </row>
    <row r="144" spans="1:32" ht="91.5" customHeight="1" x14ac:dyDescent="0.3">
      <c r="A144" s="5">
        <v>5248698</v>
      </c>
      <c r="B144" s="5" t="s">
        <v>2983</v>
      </c>
      <c r="C144" s="5" t="s">
        <v>4166</v>
      </c>
      <c r="D144" s="5" t="s">
        <v>198</v>
      </c>
      <c r="E144" s="5" t="s">
        <v>203</v>
      </c>
      <c r="F144" s="5" t="s">
        <v>444</v>
      </c>
      <c r="G144" s="5" t="s">
        <v>217</v>
      </c>
      <c r="H144" s="5" t="s">
        <v>245</v>
      </c>
      <c r="I144" s="5" t="s">
        <v>1972</v>
      </c>
      <c r="J144" s="5" t="s">
        <v>227</v>
      </c>
      <c r="K144" s="5" t="s">
        <v>200</v>
      </c>
      <c r="L144" s="5" t="s">
        <v>1973</v>
      </c>
      <c r="M144" s="5" t="s">
        <v>545</v>
      </c>
      <c r="N144" s="5" t="s">
        <v>3608</v>
      </c>
      <c r="O144" s="5" t="s">
        <v>3763</v>
      </c>
      <c r="P144" s="5">
        <v>4903536</v>
      </c>
      <c r="Q144" s="5" t="s">
        <v>4167</v>
      </c>
      <c r="R144" s="5" t="s">
        <v>203</v>
      </c>
      <c r="S144" s="5" t="s">
        <v>444</v>
      </c>
      <c r="T144" s="5" t="s">
        <v>217</v>
      </c>
      <c r="U144" s="5" t="s">
        <v>207</v>
      </c>
      <c r="V144" s="5" t="s">
        <v>4168</v>
      </c>
      <c r="W144" s="5" t="s">
        <v>227</v>
      </c>
      <c r="X144" s="5" t="s">
        <v>200</v>
      </c>
      <c r="Y144" s="5" t="s">
        <v>2715</v>
      </c>
      <c r="Z144" s="5" t="s">
        <v>4169</v>
      </c>
      <c r="AA144" s="5" t="s">
        <v>3623</v>
      </c>
      <c r="AB144" s="5" t="s">
        <v>3912</v>
      </c>
      <c r="AC144" s="5" t="s">
        <v>4170</v>
      </c>
      <c r="AD144" s="6">
        <v>45189</v>
      </c>
      <c r="AE144" s="6">
        <v>45555</v>
      </c>
      <c r="AF144" s="5"/>
    </row>
    <row r="145" spans="1:32" ht="30" customHeight="1" x14ac:dyDescent="0.3">
      <c r="A145" s="7">
        <v>3504840</v>
      </c>
      <c r="B145" s="7" t="s">
        <v>1407</v>
      </c>
      <c r="C145" s="7"/>
      <c r="D145" s="7" t="s">
        <v>354</v>
      </c>
      <c r="E145" s="7" t="s">
        <v>203</v>
      </c>
      <c r="F145" s="7" t="s">
        <v>234</v>
      </c>
      <c r="G145" s="7" t="s">
        <v>217</v>
      </c>
      <c r="H145" s="7" t="s">
        <v>245</v>
      </c>
      <c r="I145" s="7" t="s">
        <v>1408</v>
      </c>
      <c r="J145" s="7" t="s">
        <v>227</v>
      </c>
      <c r="K145" s="7" t="s">
        <v>200</v>
      </c>
      <c r="L145" s="7" t="s">
        <v>1409</v>
      </c>
      <c r="M145" s="7" t="s">
        <v>375</v>
      </c>
      <c r="N145" s="7" t="s">
        <v>3602</v>
      </c>
      <c r="O145" s="7" t="s">
        <v>3702</v>
      </c>
      <c r="P145" s="7">
        <v>3355705</v>
      </c>
      <c r="Q145" s="7" t="s">
        <v>4171</v>
      </c>
      <c r="R145" s="7" t="s">
        <v>203</v>
      </c>
      <c r="S145" s="7" t="s">
        <v>234</v>
      </c>
      <c r="T145" s="7" t="s">
        <v>208</v>
      </c>
      <c r="U145" s="7" t="s">
        <v>245</v>
      </c>
      <c r="V145" s="7" t="s">
        <v>4172</v>
      </c>
      <c r="W145" s="7" t="s">
        <v>227</v>
      </c>
      <c r="X145" s="7" t="s">
        <v>200</v>
      </c>
      <c r="Y145" s="7" t="s">
        <v>4173</v>
      </c>
      <c r="Z145" s="7" t="s">
        <v>375</v>
      </c>
      <c r="AA145" s="7" t="s">
        <v>3602</v>
      </c>
      <c r="AB145" s="7" t="s">
        <v>3702</v>
      </c>
      <c r="AC145" s="7" t="s">
        <v>4174</v>
      </c>
      <c r="AD145" s="8">
        <v>45320</v>
      </c>
      <c r="AE145" s="8">
        <v>45351</v>
      </c>
      <c r="AF145" s="7"/>
    </row>
    <row r="146" spans="1:32" ht="40.5" customHeight="1" x14ac:dyDescent="0.3">
      <c r="A146" s="5">
        <v>3572323</v>
      </c>
      <c r="B146" s="5" t="s">
        <v>3987</v>
      </c>
      <c r="C146" s="5"/>
      <c r="D146" s="5" t="s">
        <v>198</v>
      </c>
      <c r="E146" s="5"/>
      <c r="F146" s="5" t="s">
        <v>234</v>
      </c>
      <c r="G146" s="5" t="s">
        <v>217</v>
      </c>
      <c r="H146" s="5" t="s">
        <v>207</v>
      </c>
      <c r="I146" s="5"/>
      <c r="J146" s="5" t="s">
        <v>227</v>
      </c>
      <c r="K146" s="5"/>
      <c r="L146" s="5"/>
      <c r="M146" s="5"/>
      <c r="N146" s="5" t="s">
        <v>3623</v>
      </c>
      <c r="O146" s="5"/>
      <c r="P146" s="5">
        <v>4864743</v>
      </c>
      <c r="Q146" s="5" t="s">
        <v>4175</v>
      </c>
      <c r="R146" s="5" t="s">
        <v>737</v>
      </c>
      <c r="S146" s="5" t="s">
        <v>234</v>
      </c>
      <c r="T146" s="5" t="s">
        <v>208</v>
      </c>
      <c r="U146" s="5" t="s">
        <v>245</v>
      </c>
      <c r="V146" s="5" t="s">
        <v>4176</v>
      </c>
      <c r="W146" s="5" t="s">
        <v>227</v>
      </c>
      <c r="X146" s="5" t="s">
        <v>200</v>
      </c>
      <c r="Y146" s="5" t="s">
        <v>736</v>
      </c>
      <c r="Z146" s="5" t="s">
        <v>738</v>
      </c>
      <c r="AA146" s="5" t="s">
        <v>3608</v>
      </c>
      <c r="AB146" s="5" t="s">
        <v>3613</v>
      </c>
      <c r="AC146" s="5" t="s">
        <v>4177</v>
      </c>
      <c r="AD146" s="6">
        <v>45316</v>
      </c>
      <c r="AE146" s="6">
        <v>45657</v>
      </c>
      <c r="AF146" s="5"/>
    </row>
    <row r="147" spans="1:32" ht="40.5" customHeight="1" x14ac:dyDescent="0.3">
      <c r="A147" s="7">
        <v>3803643</v>
      </c>
      <c r="B147" s="7" t="s">
        <v>1667</v>
      </c>
      <c r="C147" s="7"/>
      <c r="D147" s="7" t="s">
        <v>1351</v>
      </c>
      <c r="E147" s="7" t="s">
        <v>203</v>
      </c>
      <c r="F147" s="7" t="s">
        <v>234</v>
      </c>
      <c r="G147" s="7" t="s">
        <v>208</v>
      </c>
      <c r="H147" s="7" t="s">
        <v>245</v>
      </c>
      <c r="I147" s="7" t="s">
        <v>1668</v>
      </c>
      <c r="J147" s="7" t="s">
        <v>227</v>
      </c>
      <c r="K147" s="7" t="s">
        <v>200</v>
      </c>
      <c r="L147" s="7" t="s">
        <v>1669</v>
      </c>
      <c r="M147" s="7" t="s">
        <v>1110</v>
      </c>
      <c r="N147" s="7" t="s">
        <v>3608</v>
      </c>
      <c r="O147" s="7" t="s">
        <v>3702</v>
      </c>
      <c r="P147" s="7">
        <v>2334437</v>
      </c>
      <c r="Q147" s="7" t="s">
        <v>4178</v>
      </c>
      <c r="R147" s="7"/>
      <c r="S147" s="7" t="s">
        <v>234</v>
      </c>
      <c r="T147" s="7" t="s">
        <v>217</v>
      </c>
      <c r="U147" s="7" t="s">
        <v>233</v>
      </c>
      <c r="V147" s="7"/>
      <c r="W147" s="7" t="s">
        <v>227</v>
      </c>
      <c r="X147" s="7"/>
      <c r="Y147" s="7"/>
      <c r="Z147" s="7"/>
      <c r="AA147" s="7" t="s">
        <v>3652</v>
      </c>
      <c r="AB147" s="7"/>
      <c r="AC147" s="7" t="s">
        <v>4179</v>
      </c>
      <c r="AD147" s="8">
        <v>45272</v>
      </c>
      <c r="AE147" s="8">
        <v>45473</v>
      </c>
      <c r="AF147" s="7"/>
    </row>
    <row r="148" spans="1:32" ht="40.5" customHeight="1" x14ac:dyDescent="0.3">
      <c r="A148" s="5">
        <v>2874792</v>
      </c>
      <c r="B148" s="5" t="s">
        <v>1049</v>
      </c>
      <c r="C148" s="5" t="s">
        <v>4180</v>
      </c>
      <c r="D148" s="5" t="s">
        <v>354</v>
      </c>
      <c r="E148" s="5" t="s">
        <v>203</v>
      </c>
      <c r="F148" s="5" t="s">
        <v>234</v>
      </c>
      <c r="G148" s="5" t="s">
        <v>208</v>
      </c>
      <c r="H148" s="5" t="s">
        <v>233</v>
      </c>
      <c r="I148" s="5" t="s">
        <v>1050</v>
      </c>
      <c r="J148" s="5" t="s">
        <v>227</v>
      </c>
      <c r="K148" s="5" t="s">
        <v>200</v>
      </c>
      <c r="L148" s="5" t="s">
        <v>1051</v>
      </c>
      <c r="M148" s="5" t="s">
        <v>967</v>
      </c>
      <c r="N148" s="5" t="s">
        <v>3652</v>
      </c>
      <c r="O148" s="5" t="s">
        <v>4181</v>
      </c>
      <c r="P148" s="5">
        <v>2625288</v>
      </c>
      <c r="Q148" s="5" t="s">
        <v>4182</v>
      </c>
      <c r="R148" s="5" t="s">
        <v>203</v>
      </c>
      <c r="S148" s="5" t="s">
        <v>234</v>
      </c>
      <c r="T148" s="5" t="s">
        <v>208</v>
      </c>
      <c r="U148" s="5" t="s">
        <v>233</v>
      </c>
      <c r="V148" s="5" t="s">
        <v>4183</v>
      </c>
      <c r="W148" s="5" t="s">
        <v>227</v>
      </c>
      <c r="X148" s="5" t="s">
        <v>200</v>
      </c>
      <c r="Y148" s="5" t="s">
        <v>1175</v>
      </c>
      <c r="Z148" s="5" t="s">
        <v>4184</v>
      </c>
      <c r="AA148" s="5" t="s">
        <v>3652</v>
      </c>
      <c r="AB148" s="5" t="s">
        <v>4185</v>
      </c>
      <c r="AC148" s="5" t="s">
        <v>4186</v>
      </c>
      <c r="AD148" s="6">
        <v>45323</v>
      </c>
      <c r="AE148" s="6">
        <v>45473</v>
      </c>
      <c r="AF148" s="5"/>
    </row>
    <row r="149" spans="1:32" ht="30" customHeight="1" x14ac:dyDescent="0.3">
      <c r="A149" s="7">
        <v>4818865</v>
      </c>
      <c r="B149" s="7" t="s">
        <v>2216</v>
      </c>
      <c r="C149" s="7" t="s">
        <v>4187</v>
      </c>
      <c r="D149" s="7" t="s">
        <v>354</v>
      </c>
      <c r="E149" s="7" t="s">
        <v>203</v>
      </c>
      <c r="F149" s="7" t="s">
        <v>234</v>
      </c>
      <c r="G149" s="7" t="s">
        <v>217</v>
      </c>
      <c r="H149" s="7" t="s">
        <v>207</v>
      </c>
      <c r="I149" s="7" t="s">
        <v>2217</v>
      </c>
      <c r="J149" s="7" t="s">
        <v>227</v>
      </c>
      <c r="K149" s="7" t="s">
        <v>200</v>
      </c>
      <c r="L149" s="7" t="s">
        <v>2218</v>
      </c>
      <c r="M149" s="7" t="s">
        <v>2219</v>
      </c>
      <c r="N149" s="7" t="s">
        <v>3612</v>
      </c>
      <c r="O149" s="7" t="s">
        <v>3646</v>
      </c>
      <c r="P149" s="7">
        <v>3222772</v>
      </c>
      <c r="Q149" s="7" t="s">
        <v>4188</v>
      </c>
      <c r="R149" s="7" t="s">
        <v>203</v>
      </c>
      <c r="S149" s="7" t="s">
        <v>234</v>
      </c>
      <c r="T149" s="7" t="s">
        <v>208</v>
      </c>
      <c r="U149" s="7" t="s">
        <v>245</v>
      </c>
      <c r="V149" s="7" t="s">
        <v>1113</v>
      </c>
      <c r="W149" s="7" t="s">
        <v>227</v>
      </c>
      <c r="X149" s="7" t="s">
        <v>200</v>
      </c>
      <c r="Y149" s="7" t="s">
        <v>1114</v>
      </c>
      <c r="Z149" s="7" t="s">
        <v>2048</v>
      </c>
      <c r="AA149" s="7" t="s">
        <v>3608</v>
      </c>
      <c r="AB149" s="7" t="s">
        <v>3635</v>
      </c>
      <c r="AC149" s="7" t="s">
        <v>4189</v>
      </c>
      <c r="AD149" s="8">
        <v>45324</v>
      </c>
      <c r="AE149" s="8">
        <v>45565</v>
      </c>
      <c r="AF149" s="7"/>
    </row>
    <row r="150" spans="1:32" ht="111.75" customHeight="1" x14ac:dyDescent="0.3">
      <c r="A150" s="5">
        <v>3055930</v>
      </c>
      <c r="B150" s="5" t="s">
        <v>4190</v>
      </c>
      <c r="C150" s="5" t="s">
        <v>4191</v>
      </c>
      <c r="D150" s="5" t="s">
        <v>198</v>
      </c>
      <c r="E150" s="5"/>
      <c r="F150" s="5" t="s">
        <v>234</v>
      </c>
      <c r="G150" s="5" t="s">
        <v>217</v>
      </c>
      <c r="H150" s="5" t="s">
        <v>245</v>
      </c>
      <c r="I150" s="5"/>
      <c r="J150" s="5" t="s">
        <v>227</v>
      </c>
      <c r="K150" s="5"/>
      <c r="L150" s="5"/>
      <c r="M150" s="5"/>
      <c r="N150" s="5" t="s">
        <v>3602</v>
      </c>
      <c r="O150" s="5"/>
      <c r="P150" s="5">
        <v>2194856</v>
      </c>
      <c r="Q150" s="5" t="s">
        <v>4192</v>
      </c>
      <c r="R150" s="5"/>
      <c r="S150" s="5" t="s">
        <v>433</v>
      </c>
      <c r="T150" s="5" t="s">
        <v>217</v>
      </c>
      <c r="U150" s="5" t="s">
        <v>233</v>
      </c>
      <c r="V150" s="5"/>
      <c r="W150" s="5" t="s">
        <v>227</v>
      </c>
      <c r="X150" s="5"/>
      <c r="Y150" s="5"/>
      <c r="Z150" s="5"/>
      <c r="AA150" s="5" t="s">
        <v>3608</v>
      </c>
      <c r="AB150" s="5"/>
      <c r="AC150" s="5" t="s">
        <v>4193</v>
      </c>
      <c r="AD150" s="6">
        <v>45323</v>
      </c>
      <c r="AE150" s="5"/>
      <c r="AF150" s="5"/>
    </row>
    <row r="151" spans="1:32" ht="51" customHeight="1" x14ac:dyDescent="0.3">
      <c r="A151" s="7">
        <v>3465195</v>
      </c>
      <c r="B151" s="7" t="s">
        <v>1355</v>
      </c>
      <c r="C151" s="7" t="s">
        <v>4194</v>
      </c>
      <c r="D151" s="7" t="s">
        <v>198</v>
      </c>
      <c r="E151" s="7" t="s">
        <v>203</v>
      </c>
      <c r="F151" s="7" t="s">
        <v>234</v>
      </c>
      <c r="G151" s="7" t="s">
        <v>208</v>
      </c>
      <c r="H151" s="7" t="s">
        <v>207</v>
      </c>
      <c r="I151" s="7" t="s">
        <v>480</v>
      </c>
      <c r="J151" s="7" t="s">
        <v>227</v>
      </c>
      <c r="K151" s="7" t="s">
        <v>200</v>
      </c>
      <c r="L151" s="7" t="s">
        <v>1356</v>
      </c>
      <c r="M151" s="7" t="s">
        <v>941</v>
      </c>
      <c r="N151" s="7" t="s">
        <v>3608</v>
      </c>
      <c r="O151" s="7" t="s">
        <v>3635</v>
      </c>
      <c r="P151" s="7">
        <v>5256593</v>
      </c>
      <c r="Q151" s="7" t="s">
        <v>4195</v>
      </c>
      <c r="R151" s="7" t="s">
        <v>203</v>
      </c>
      <c r="S151" s="7" t="s">
        <v>234</v>
      </c>
      <c r="T151" s="7" t="s">
        <v>208</v>
      </c>
      <c r="U151" s="7" t="s">
        <v>207</v>
      </c>
      <c r="V151" s="7" t="s">
        <v>4196</v>
      </c>
      <c r="W151" s="7" t="s">
        <v>227</v>
      </c>
      <c r="X151" s="7" t="s">
        <v>200</v>
      </c>
      <c r="Y151" s="7" t="s">
        <v>4197</v>
      </c>
      <c r="Z151" s="7" t="s">
        <v>1110</v>
      </c>
      <c r="AA151" s="7" t="s">
        <v>3623</v>
      </c>
      <c r="AB151" s="7" t="s">
        <v>3702</v>
      </c>
      <c r="AC151" s="7" t="s">
        <v>4198</v>
      </c>
      <c r="AD151" s="8">
        <v>45328</v>
      </c>
      <c r="AE151" s="8">
        <v>45809</v>
      </c>
      <c r="AF151" s="7"/>
    </row>
    <row r="152" spans="1:32" ht="40.5" customHeight="1" x14ac:dyDescent="0.3">
      <c r="A152" s="5">
        <v>2073889</v>
      </c>
      <c r="B152" s="5" t="s">
        <v>822</v>
      </c>
      <c r="C152" s="5" t="s">
        <v>4199</v>
      </c>
      <c r="D152" s="5" t="s">
        <v>198</v>
      </c>
      <c r="E152" s="5" t="s">
        <v>203</v>
      </c>
      <c r="F152" s="5" t="s">
        <v>433</v>
      </c>
      <c r="G152" s="5" t="s">
        <v>217</v>
      </c>
      <c r="H152" s="5" t="s">
        <v>233</v>
      </c>
      <c r="I152" s="5" t="s">
        <v>823</v>
      </c>
      <c r="J152" s="5" t="s">
        <v>227</v>
      </c>
      <c r="K152" s="5" t="s">
        <v>200</v>
      </c>
      <c r="L152" s="5" t="s">
        <v>824</v>
      </c>
      <c r="M152" s="5" t="s">
        <v>482</v>
      </c>
      <c r="N152" s="5" t="s">
        <v>3602</v>
      </c>
      <c r="O152" s="5" t="s">
        <v>3635</v>
      </c>
      <c r="P152" s="5">
        <v>3475786</v>
      </c>
      <c r="Q152" s="5" t="s">
        <v>4200</v>
      </c>
      <c r="R152" s="5" t="s">
        <v>737</v>
      </c>
      <c r="S152" s="5" t="s">
        <v>234</v>
      </c>
      <c r="T152" s="5" t="s">
        <v>217</v>
      </c>
      <c r="U152" s="5" t="s">
        <v>245</v>
      </c>
      <c r="V152" s="5" t="s">
        <v>3847</v>
      </c>
      <c r="W152" s="5" t="s">
        <v>227</v>
      </c>
      <c r="X152" s="5" t="s">
        <v>200</v>
      </c>
      <c r="Y152" s="5" t="s">
        <v>736</v>
      </c>
      <c r="Z152" s="5" t="s">
        <v>738</v>
      </c>
      <c r="AA152" s="5" t="s">
        <v>3623</v>
      </c>
      <c r="AB152" s="5" t="s">
        <v>3613</v>
      </c>
      <c r="AC152" s="5" t="s">
        <v>4201</v>
      </c>
      <c r="AD152" s="6">
        <v>45321</v>
      </c>
      <c r="AE152" s="6">
        <v>45687</v>
      </c>
      <c r="AF152" s="5"/>
    </row>
    <row r="153" spans="1:32" ht="40.5" customHeight="1" x14ac:dyDescent="0.3">
      <c r="A153" s="7">
        <v>2073889</v>
      </c>
      <c r="B153" s="7" t="s">
        <v>822</v>
      </c>
      <c r="C153" s="7" t="s">
        <v>4202</v>
      </c>
      <c r="D153" s="7" t="s">
        <v>354</v>
      </c>
      <c r="E153" s="7" t="s">
        <v>203</v>
      </c>
      <c r="F153" s="7" t="s">
        <v>433</v>
      </c>
      <c r="G153" s="7" t="s">
        <v>217</v>
      </c>
      <c r="H153" s="7" t="s">
        <v>233</v>
      </c>
      <c r="I153" s="7" t="s">
        <v>823</v>
      </c>
      <c r="J153" s="7" t="s">
        <v>227</v>
      </c>
      <c r="K153" s="7" t="s">
        <v>200</v>
      </c>
      <c r="L153" s="7" t="s">
        <v>824</v>
      </c>
      <c r="M153" s="7" t="s">
        <v>482</v>
      </c>
      <c r="N153" s="7" t="s">
        <v>3602</v>
      </c>
      <c r="O153" s="7" t="s">
        <v>3635</v>
      </c>
      <c r="P153" s="7">
        <v>3475786</v>
      </c>
      <c r="Q153" s="7" t="s">
        <v>4200</v>
      </c>
      <c r="R153" s="7" t="s">
        <v>737</v>
      </c>
      <c r="S153" s="7" t="s">
        <v>234</v>
      </c>
      <c r="T153" s="7" t="s">
        <v>217</v>
      </c>
      <c r="U153" s="7" t="s">
        <v>245</v>
      </c>
      <c r="V153" s="7" t="s">
        <v>3847</v>
      </c>
      <c r="W153" s="7" t="s">
        <v>227</v>
      </c>
      <c r="X153" s="7" t="s">
        <v>200</v>
      </c>
      <c r="Y153" s="7" t="s">
        <v>736</v>
      </c>
      <c r="Z153" s="7" t="s">
        <v>738</v>
      </c>
      <c r="AA153" s="7" t="s">
        <v>3623</v>
      </c>
      <c r="AB153" s="7" t="s">
        <v>3613</v>
      </c>
      <c r="AC153" s="7" t="s">
        <v>4201</v>
      </c>
      <c r="AD153" s="8">
        <v>45321</v>
      </c>
      <c r="AE153" s="8">
        <v>45688</v>
      </c>
      <c r="AF153" s="7"/>
    </row>
    <row r="154" spans="1:32" ht="30" customHeight="1" x14ac:dyDescent="0.3">
      <c r="A154" s="5">
        <v>2073889</v>
      </c>
      <c r="B154" s="5" t="s">
        <v>822</v>
      </c>
      <c r="C154" s="5" t="s">
        <v>4203</v>
      </c>
      <c r="D154" s="5" t="s">
        <v>198</v>
      </c>
      <c r="E154" s="5" t="s">
        <v>203</v>
      </c>
      <c r="F154" s="5" t="s">
        <v>433</v>
      </c>
      <c r="G154" s="5" t="s">
        <v>217</v>
      </c>
      <c r="H154" s="5" t="s">
        <v>233</v>
      </c>
      <c r="I154" s="5" t="s">
        <v>823</v>
      </c>
      <c r="J154" s="5" t="s">
        <v>227</v>
      </c>
      <c r="K154" s="5" t="s">
        <v>200</v>
      </c>
      <c r="L154" s="5" t="s">
        <v>824</v>
      </c>
      <c r="M154" s="5" t="s">
        <v>482</v>
      </c>
      <c r="N154" s="5" t="s">
        <v>3602</v>
      </c>
      <c r="O154" s="5" t="s">
        <v>3635</v>
      </c>
      <c r="P154" s="5">
        <v>2825503</v>
      </c>
      <c r="Q154" s="5" t="s">
        <v>4204</v>
      </c>
      <c r="R154" s="5" t="s">
        <v>203</v>
      </c>
      <c r="S154" s="5" t="s">
        <v>444</v>
      </c>
      <c r="T154" s="5" t="s">
        <v>217</v>
      </c>
      <c r="U154" s="5" t="s">
        <v>233</v>
      </c>
      <c r="V154" s="5" t="s">
        <v>4205</v>
      </c>
      <c r="W154" s="5" t="s">
        <v>227</v>
      </c>
      <c r="X154" s="5" t="s">
        <v>200</v>
      </c>
      <c r="Y154" s="5" t="s">
        <v>4206</v>
      </c>
      <c r="Z154" s="5" t="s">
        <v>375</v>
      </c>
      <c r="AA154" s="5" t="s">
        <v>3602</v>
      </c>
      <c r="AB154" s="5" t="s">
        <v>3702</v>
      </c>
      <c r="AC154" s="5" t="s">
        <v>4207</v>
      </c>
      <c r="AD154" s="6">
        <v>45316</v>
      </c>
      <c r="AE154" s="6">
        <v>45437</v>
      </c>
      <c r="AF154" s="5"/>
    </row>
    <row r="155" spans="1:32" ht="30" customHeight="1" x14ac:dyDescent="0.3">
      <c r="A155" s="7">
        <v>2073889</v>
      </c>
      <c r="B155" s="7" t="s">
        <v>822</v>
      </c>
      <c r="C155" s="7"/>
      <c r="D155" s="7" t="s">
        <v>198</v>
      </c>
      <c r="E155" s="7" t="s">
        <v>203</v>
      </c>
      <c r="F155" s="7" t="s">
        <v>433</v>
      </c>
      <c r="G155" s="7" t="s">
        <v>217</v>
      </c>
      <c r="H155" s="7" t="s">
        <v>233</v>
      </c>
      <c r="I155" s="7" t="s">
        <v>823</v>
      </c>
      <c r="J155" s="7" t="s">
        <v>227</v>
      </c>
      <c r="K155" s="7" t="s">
        <v>200</v>
      </c>
      <c r="L155" s="7" t="s">
        <v>824</v>
      </c>
      <c r="M155" s="7" t="s">
        <v>482</v>
      </c>
      <c r="N155" s="7" t="s">
        <v>3602</v>
      </c>
      <c r="O155" s="7" t="s">
        <v>3635</v>
      </c>
      <c r="P155" s="7">
        <v>3219569</v>
      </c>
      <c r="Q155" s="7" t="s">
        <v>4208</v>
      </c>
      <c r="R155" s="7" t="s">
        <v>203</v>
      </c>
      <c r="S155" s="7" t="s">
        <v>234</v>
      </c>
      <c r="T155" s="7" t="s">
        <v>208</v>
      </c>
      <c r="U155" s="7" t="s">
        <v>245</v>
      </c>
      <c r="V155" s="7" t="s">
        <v>4209</v>
      </c>
      <c r="W155" s="7" t="s">
        <v>227</v>
      </c>
      <c r="X155" s="7" t="s">
        <v>200</v>
      </c>
      <c r="Y155" s="7" t="s">
        <v>4210</v>
      </c>
      <c r="Z155" s="7" t="s">
        <v>4211</v>
      </c>
      <c r="AA155" s="7" t="s">
        <v>3602</v>
      </c>
      <c r="AB155" s="7" t="s">
        <v>4212</v>
      </c>
      <c r="AC155" s="7" t="s">
        <v>4213</v>
      </c>
      <c r="AD155" s="8">
        <v>45323</v>
      </c>
      <c r="AE155" s="8">
        <v>45535</v>
      </c>
      <c r="AF155" s="7"/>
    </row>
    <row r="156" spans="1:32" ht="30" customHeight="1" x14ac:dyDescent="0.3">
      <c r="A156" s="5">
        <v>3020312</v>
      </c>
      <c r="B156" s="5" t="s">
        <v>513</v>
      </c>
      <c r="C156" s="5" t="s">
        <v>4214</v>
      </c>
      <c r="D156" s="5" t="s">
        <v>354</v>
      </c>
      <c r="E156" s="5" t="s">
        <v>203</v>
      </c>
      <c r="F156" s="5" t="s">
        <v>234</v>
      </c>
      <c r="G156" s="5" t="s">
        <v>217</v>
      </c>
      <c r="H156" s="5" t="s">
        <v>245</v>
      </c>
      <c r="I156" s="5" t="s">
        <v>514</v>
      </c>
      <c r="J156" s="5" t="s">
        <v>227</v>
      </c>
      <c r="K156" s="5" t="s">
        <v>200</v>
      </c>
      <c r="L156" s="5" t="s">
        <v>515</v>
      </c>
      <c r="M156" s="5" t="s">
        <v>516</v>
      </c>
      <c r="N156" s="5" t="s">
        <v>3602</v>
      </c>
      <c r="O156" s="5" t="s">
        <v>3711</v>
      </c>
      <c r="P156" s="5">
        <v>5019273</v>
      </c>
      <c r="Q156" s="5" t="s">
        <v>4215</v>
      </c>
      <c r="R156" s="5" t="s">
        <v>203</v>
      </c>
      <c r="S156" s="5" t="s">
        <v>234</v>
      </c>
      <c r="T156" s="5" t="s">
        <v>217</v>
      </c>
      <c r="U156" s="5" t="s">
        <v>207</v>
      </c>
      <c r="V156" s="5" t="s">
        <v>4216</v>
      </c>
      <c r="W156" s="5" t="s">
        <v>227</v>
      </c>
      <c r="X156" s="5" t="s">
        <v>200</v>
      </c>
      <c r="Y156" s="5" t="s">
        <v>966</v>
      </c>
      <c r="Z156" s="5" t="s">
        <v>1574</v>
      </c>
      <c r="AA156" s="5" t="s">
        <v>3623</v>
      </c>
      <c r="AB156" s="5" t="s">
        <v>3824</v>
      </c>
      <c r="AC156" s="5" t="s">
        <v>4217</v>
      </c>
      <c r="AD156" s="6">
        <v>44662</v>
      </c>
      <c r="AE156" s="5"/>
      <c r="AF156" s="5"/>
    </row>
    <row r="157" spans="1:32" ht="30" customHeight="1" x14ac:dyDescent="0.3">
      <c r="A157" s="7">
        <v>4607627</v>
      </c>
      <c r="B157" s="7" t="s">
        <v>1849</v>
      </c>
      <c r="C157" s="7"/>
      <c r="D157" s="7" t="s">
        <v>354</v>
      </c>
      <c r="E157" s="7" t="s">
        <v>203</v>
      </c>
      <c r="F157" s="7" t="s">
        <v>418</v>
      </c>
      <c r="G157" s="7" t="s">
        <v>217</v>
      </c>
      <c r="H157" s="7" t="s">
        <v>245</v>
      </c>
      <c r="I157" s="7" t="s">
        <v>1850</v>
      </c>
      <c r="J157" s="7" t="s">
        <v>227</v>
      </c>
      <c r="K157" s="7" t="s">
        <v>200</v>
      </c>
      <c r="L157" s="7" t="s">
        <v>1851</v>
      </c>
      <c r="M157" s="7" t="s">
        <v>1295</v>
      </c>
      <c r="N157" s="7" t="s">
        <v>3652</v>
      </c>
      <c r="O157" s="7" t="s">
        <v>3933</v>
      </c>
      <c r="P157" s="7">
        <v>4960351</v>
      </c>
      <c r="Q157" s="7" t="s">
        <v>2518</v>
      </c>
      <c r="R157" s="7" t="s">
        <v>203</v>
      </c>
      <c r="S157" s="7" t="s">
        <v>418</v>
      </c>
      <c r="T157" s="7" t="s">
        <v>217</v>
      </c>
      <c r="U157" s="7" t="s">
        <v>245</v>
      </c>
      <c r="V157" s="7" t="s">
        <v>2519</v>
      </c>
      <c r="W157" s="7" t="s">
        <v>227</v>
      </c>
      <c r="X157" s="7" t="s">
        <v>200</v>
      </c>
      <c r="Y157" s="7" t="s">
        <v>2520</v>
      </c>
      <c r="Z157" s="7" t="s">
        <v>2521</v>
      </c>
      <c r="AA157" s="7" t="s">
        <v>3623</v>
      </c>
      <c r="AB157" s="7" t="s">
        <v>3933</v>
      </c>
      <c r="AC157" s="7" t="s">
        <v>4218</v>
      </c>
      <c r="AD157" s="8">
        <v>44440</v>
      </c>
      <c r="AE157" s="8">
        <v>45657</v>
      </c>
      <c r="AF157" s="7"/>
    </row>
    <row r="158" spans="1:32" ht="30" customHeight="1" x14ac:dyDescent="0.3">
      <c r="A158" s="5">
        <v>5389585</v>
      </c>
      <c r="B158" s="5" t="s">
        <v>3185</v>
      </c>
      <c r="C158" s="5"/>
      <c r="D158" s="5" t="s">
        <v>198</v>
      </c>
      <c r="E158" s="5" t="s">
        <v>203</v>
      </c>
      <c r="F158" s="5" t="s">
        <v>234</v>
      </c>
      <c r="G158" s="5" t="s">
        <v>217</v>
      </c>
      <c r="H158" s="5" t="s">
        <v>207</v>
      </c>
      <c r="I158" s="5" t="s">
        <v>3186</v>
      </c>
      <c r="J158" s="5" t="s">
        <v>227</v>
      </c>
      <c r="K158" s="5" t="s">
        <v>200</v>
      </c>
      <c r="L158" s="5" t="s">
        <v>2210</v>
      </c>
      <c r="M158" s="5" t="s">
        <v>3187</v>
      </c>
      <c r="N158" s="5" t="s">
        <v>3612</v>
      </c>
      <c r="O158" s="5" t="s">
        <v>3725</v>
      </c>
      <c r="P158" s="5">
        <v>3945839</v>
      </c>
      <c r="Q158" s="5" t="s">
        <v>4219</v>
      </c>
      <c r="R158" s="5" t="s">
        <v>203</v>
      </c>
      <c r="S158" s="5" t="s">
        <v>234</v>
      </c>
      <c r="T158" s="5" t="s">
        <v>217</v>
      </c>
      <c r="U158" s="5" t="s">
        <v>245</v>
      </c>
      <c r="V158" s="5" t="s">
        <v>4220</v>
      </c>
      <c r="W158" s="5" t="s">
        <v>227</v>
      </c>
      <c r="X158" s="5" t="s">
        <v>200</v>
      </c>
      <c r="Y158" s="5" t="s">
        <v>4221</v>
      </c>
      <c r="Z158" s="5" t="s">
        <v>1243</v>
      </c>
      <c r="AA158" s="5" t="s">
        <v>3608</v>
      </c>
      <c r="AB158" s="5" t="s">
        <v>3609</v>
      </c>
      <c r="AC158" s="5" t="s">
        <v>4222</v>
      </c>
      <c r="AD158" s="6">
        <v>45324</v>
      </c>
      <c r="AE158" s="6">
        <v>45504</v>
      </c>
      <c r="AF158" s="5"/>
    </row>
    <row r="159" spans="1:32" ht="91.5" customHeight="1" x14ac:dyDescent="0.3">
      <c r="A159" s="7">
        <v>4960351</v>
      </c>
      <c r="B159" s="7" t="s">
        <v>2518</v>
      </c>
      <c r="C159" s="7" t="s">
        <v>4223</v>
      </c>
      <c r="D159" s="7" t="s">
        <v>198</v>
      </c>
      <c r="E159" s="7" t="s">
        <v>203</v>
      </c>
      <c r="F159" s="7" t="s">
        <v>418</v>
      </c>
      <c r="G159" s="7" t="s">
        <v>217</v>
      </c>
      <c r="H159" s="7" t="s">
        <v>245</v>
      </c>
      <c r="I159" s="7" t="s">
        <v>2519</v>
      </c>
      <c r="J159" s="7" t="s">
        <v>227</v>
      </c>
      <c r="K159" s="7" t="s">
        <v>200</v>
      </c>
      <c r="L159" s="7" t="s">
        <v>2520</v>
      </c>
      <c r="M159" s="7" t="s">
        <v>2521</v>
      </c>
      <c r="N159" s="7" t="s">
        <v>3623</v>
      </c>
      <c r="O159" s="7" t="s">
        <v>3933</v>
      </c>
      <c r="P159" s="7">
        <v>5301149</v>
      </c>
      <c r="Q159" s="7" t="s">
        <v>4224</v>
      </c>
      <c r="R159" s="7"/>
      <c r="S159" s="7" t="s">
        <v>418</v>
      </c>
      <c r="T159" s="7" t="s">
        <v>217</v>
      </c>
      <c r="U159" s="7" t="s">
        <v>207</v>
      </c>
      <c r="V159" s="7"/>
      <c r="W159" s="7" t="s">
        <v>227</v>
      </c>
      <c r="X159" s="7"/>
      <c r="Y159" s="7"/>
      <c r="Z159" s="7"/>
      <c r="AA159" s="7" t="s">
        <v>3612</v>
      </c>
      <c r="AB159" s="7"/>
      <c r="AC159" s="7" t="s">
        <v>4225</v>
      </c>
      <c r="AD159" s="8">
        <v>45352</v>
      </c>
      <c r="AE159" s="8">
        <v>45505</v>
      </c>
      <c r="AF159" s="7" t="s">
        <v>3881</v>
      </c>
    </row>
    <row r="160" spans="1:32" ht="30" customHeight="1" x14ac:dyDescent="0.3">
      <c r="A160" s="5">
        <v>5150175</v>
      </c>
      <c r="B160" s="5" t="s">
        <v>2809</v>
      </c>
      <c r="C160" s="5" t="s">
        <v>4226</v>
      </c>
      <c r="D160" s="5" t="s">
        <v>198</v>
      </c>
      <c r="E160" s="5" t="s">
        <v>203</v>
      </c>
      <c r="F160" s="5" t="s">
        <v>433</v>
      </c>
      <c r="G160" s="5" t="s">
        <v>208</v>
      </c>
      <c r="H160" s="5" t="s">
        <v>245</v>
      </c>
      <c r="I160" s="5" t="s">
        <v>1065</v>
      </c>
      <c r="J160" s="5" t="s">
        <v>227</v>
      </c>
      <c r="K160" s="5" t="s">
        <v>200</v>
      </c>
      <c r="L160" s="5" t="s">
        <v>1066</v>
      </c>
      <c r="M160" s="5" t="s">
        <v>2712</v>
      </c>
      <c r="N160" s="5" t="s">
        <v>3602</v>
      </c>
      <c r="O160" s="5" t="s">
        <v>4181</v>
      </c>
      <c r="P160" s="5">
        <v>4880439</v>
      </c>
      <c r="Q160" s="5" t="s">
        <v>4227</v>
      </c>
      <c r="R160" s="5" t="s">
        <v>203</v>
      </c>
      <c r="S160" s="5" t="s">
        <v>433</v>
      </c>
      <c r="T160" s="5" t="s">
        <v>208</v>
      </c>
      <c r="U160" s="5" t="s">
        <v>207</v>
      </c>
      <c r="V160" s="5" t="s">
        <v>4228</v>
      </c>
      <c r="W160" s="5" t="s">
        <v>227</v>
      </c>
      <c r="X160" s="5" t="s">
        <v>200</v>
      </c>
      <c r="Y160" s="5" t="s">
        <v>879</v>
      </c>
      <c r="Z160" s="5" t="s">
        <v>4229</v>
      </c>
      <c r="AA160" s="5" t="s">
        <v>3623</v>
      </c>
      <c r="AB160" s="5" t="s">
        <v>4181</v>
      </c>
      <c r="AC160" s="5" t="s">
        <v>4230</v>
      </c>
      <c r="AD160" s="6">
        <v>45292</v>
      </c>
      <c r="AE160" s="5"/>
      <c r="AF160" s="5"/>
    </row>
    <row r="161" spans="1:32" ht="51" customHeight="1" x14ac:dyDescent="0.3">
      <c r="A161" s="7">
        <v>2576627</v>
      </c>
      <c r="B161" s="7" t="s">
        <v>919</v>
      </c>
      <c r="C161" s="7" t="s">
        <v>4231</v>
      </c>
      <c r="D161" s="7" t="s">
        <v>354</v>
      </c>
      <c r="E161" s="7" t="s">
        <v>203</v>
      </c>
      <c r="F161" s="7" t="s">
        <v>433</v>
      </c>
      <c r="G161" s="7" t="s">
        <v>217</v>
      </c>
      <c r="H161" s="7" t="s">
        <v>233</v>
      </c>
      <c r="I161" s="7" t="s">
        <v>920</v>
      </c>
      <c r="J161" s="7" t="s">
        <v>227</v>
      </c>
      <c r="K161" s="7" t="s">
        <v>200</v>
      </c>
      <c r="L161" s="7" t="s">
        <v>921</v>
      </c>
      <c r="M161" s="7" t="s">
        <v>922</v>
      </c>
      <c r="N161" s="7" t="s">
        <v>3652</v>
      </c>
      <c r="O161" s="7" t="s">
        <v>3736</v>
      </c>
      <c r="P161" s="7">
        <v>3486710</v>
      </c>
      <c r="Q161" s="7" t="s">
        <v>4232</v>
      </c>
      <c r="R161" s="7" t="s">
        <v>203</v>
      </c>
      <c r="S161" s="7" t="s">
        <v>234</v>
      </c>
      <c r="T161" s="7" t="s">
        <v>208</v>
      </c>
      <c r="U161" s="7" t="s">
        <v>245</v>
      </c>
      <c r="V161" s="7" t="s">
        <v>4233</v>
      </c>
      <c r="W161" s="7" t="s">
        <v>227</v>
      </c>
      <c r="X161" s="7" t="s">
        <v>200</v>
      </c>
      <c r="Y161" s="7" t="s">
        <v>4234</v>
      </c>
      <c r="Z161" s="7" t="s">
        <v>482</v>
      </c>
      <c r="AA161" s="7" t="s">
        <v>3602</v>
      </c>
      <c r="AB161" s="7" t="s">
        <v>3635</v>
      </c>
      <c r="AC161" s="7" t="s">
        <v>4235</v>
      </c>
      <c r="AD161" s="8">
        <v>45352</v>
      </c>
      <c r="AE161" s="8">
        <v>45657</v>
      </c>
      <c r="AF161" s="7"/>
    </row>
    <row r="162" spans="1:32" ht="30" customHeight="1" x14ac:dyDescent="0.3">
      <c r="A162" s="5">
        <v>3504840</v>
      </c>
      <c r="B162" s="5" t="s">
        <v>1407</v>
      </c>
      <c r="C162" s="5" t="s">
        <v>4236</v>
      </c>
      <c r="D162" s="5" t="s">
        <v>354</v>
      </c>
      <c r="E162" s="5" t="s">
        <v>203</v>
      </c>
      <c r="F162" s="5" t="s">
        <v>234</v>
      </c>
      <c r="G162" s="5" t="s">
        <v>217</v>
      </c>
      <c r="H162" s="5" t="s">
        <v>245</v>
      </c>
      <c r="I162" s="5" t="s">
        <v>1408</v>
      </c>
      <c r="J162" s="5" t="s">
        <v>227</v>
      </c>
      <c r="K162" s="5" t="s">
        <v>200</v>
      </c>
      <c r="L162" s="5" t="s">
        <v>1409</v>
      </c>
      <c r="M162" s="5" t="s">
        <v>375</v>
      </c>
      <c r="N162" s="5" t="s">
        <v>3602</v>
      </c>
      <c r="O162" s="5" t="s">
        <v>3702</v>
      </c>
      <c r="P162" s="5">
        <v>4692055</v>
      </c>
      <c r="Q162" s="5" t="s">
        <v>4237</v>
      </c>
      <c r="R162" s="5" t="s">
        <v>203</v>
      </c>
      <c r="S162" s="5" t="s">
        <v>234</v>
      </c>
      <c r="T162" s="5" t="s">
        <v>217</v>
      </c>
      <c r="U162" s="5" t="s">
        <v>245</v>
      </c>
      <c r="V162" s="5" t="s">
        <v>1408</v>
      </c>
      <c r="W162" s="5" t="s">
        <v>227</v>
      </c>
      <c r="X162" s="5" t="s">
        <v>200</v>
      </c>
      <c r="Y162" s="5" t="s">
        <v>1409</v>
      </c>
      <c r="Z162" s="5" t="s">
        <v>2187</v>
      </c>
      <c r="AA162" s="5" t="s">
        <v>3608</v>
      </c>
      <c r="AB162" s="5" t="s">
        <v>3609</v>
      </c>
      <c r="AC162" s="5" t="s">
        <v>4238</v>
      </c>
      <c r="AD162" s="6">
        <v>45328</v>
      </c>
      <c r="AE162" s="6">
        <v>45390</v>
      </c>
      <c r="AF162" s="5"/>
    </row>
    <row r="163" spans="1:32" ht="30" customHeight="1" x14ac:dyDescent="0.3">
      <c r="A163" s="7">
        <v>2423243</v>
      </c>
      <c r="B163" s="7" t="s">
        <v>927</v>
      </c>
      <c r="C163" s="7"/>
      <c r="D163" s="7" t="s">
        <v>1351</v>
      </c>
      <c r="E163" s="7" t="s">
        <v>203</v>
      </c>
      <c r="F163" s="7" t="s">
        <v>234</v>
      </c>
      <c r="G163" s="7" t="s">
        <v>217</v>
      </c>
      <c r="H163" s="7" t="s">
        <v>233</v>
      </c>
      <c r="I163" s="7" t="s">
        <v>928</v>
      </c>
      <c r="J163" s="7" t="s">
        <v>227</v>
      </c>
      <c r="K163" s="7" t="s">
        <v>200</v>
      </c>
      <c r="L163" s="7" t="s">
        <v>929</v>
      </c>
      <c r="M163" s="7" t="s">
        <v>930</v>
      </c>
      <c r="N163" s="7" t="s">
        <v>3652</v>
      </c>
      <c r="O163" s="7" t="s">
        <v>3763</v>
      </c>
      <c r="P163" s="7">
        <v>5236568</v>
      </c>
      <c r="Q163" s="7" t="s">
        <v>4239</v>
      </c>
      <c r="R163" s="7" t="s">
        <v>203</v>
      </c>
      <c r="S163" s="7" t="s">
        <v>234</v>
      </c>
      <c r="T163" s="7" t="s">
        <v>217</v>
      </c>
      <c r="U163" s="7" t="s">
        <v>245</v>
      </c>
      <c r="V163" s="7" t="s">
        <v>4240</v>
      </c>
      <c r="W163" s="7" t="s">
        <v>227</v>
      </c>
      <c r="X163" s="7" t="s">
        <v>200</v>
      </c>
      <c r="Y163" s="7" t="s">
        <v>4241</v>
      </c>
      <c r="Z163" s="7" t="s">
        <v>477</v>
      </c>
      <c r="AA163" s="7" t="s">
        <v>3602</v>
      </c>
      <c r="AB163" s="7" t="s">
        <v>3702</v>
      </c>
      <c r="AC163" s="7" t="s">
        <v>4242</v>
      </c>
      <c r="AD163" s="8">
        <v>45322</v>
      </c>
      <c r="AE163" s="8">
        <v>45473</v>
      </c>
      <c r="AF163" s="7"/>
    </row>
    <row r="164" spans="1:32" ht="111.75" customHeight="1" x14ac:dyDescent="0.3">
      <c r="A164" s="5">
        <v>4805062</v>
      </c>
      <c r="B164" s="5" t="s">
        <v>2194</v>
      </c>
      <c r="C164" s="5" t="s">
        <v>4243</v>
      </c>
      <c r="D164" s="5" t="s">
        <v>198</v>
      </c>
      <c r="E164" s="5" t="s">
        <v>203</v>
      </c>
      <c r="F164" s="5" t="s">
        <v>418</v>
      </c>
      <c r="G164" s="5" t="s">
        <v>208</v>
      </c>
      <c r="H164" s="5" t="s">
        <v>207</v>
      </c>
      <c r="I164" s="5" t="s">
        <v>2195</v>
      </c>
      <c r="J164" s="5" t="s">
        <v>227</v>
      </c>
      <c r="K164" s="5" t="s">
        <v>888</v>
      </c>
      <c r="L164" s="5" t="s">
        <v>2196</v>
      </c>
      <c r="M164" s="5" t="s">
        <v>2197</v>
      </c>
      <c r="N164" s="5" t="s">
        <v>3608</v>
      </c>
      <c r="O164" s="5" t="s">
        <v>3727</v>
      </c>
      <c r="P164" s="5">
        <v>5669022</v>
      </c>
      <c r="Q164" s="5" t="s">
        <v>4244</v>
      </c>
      <c r="R164" s="5"/>
      <c r="S164" s="5" t="s">
        <v>234</v>
      </c>
      <c r="T164" s="5" t="s">
        <v>217</v>
      </c>
      <c r="U164" s="5" t="s">
        <v>2330</v>
      </c>
      <c r="V164" s="5"/>
      <c r="W164" s="5" t="s">
        <v>227</v>
      </c>
      <c r="X164" s="5"/>
      <c r="Y164" s="5"/>
      <c r="Z164" s="5"/>
      <c r="AA164" s="5" t="s">
        <v>3729</v>
      </c>
      <c r="AB164" s="5"/>
      <c r="AC164" s="5" t="s">
        <v>4245</v>
      </c>
      <c r="AD164" s="6">
        <v>45247</v>
      </c>
      <c r="AE164" s="6">
        <v>45626</v>
      </c>
      <c r="AF164" s="5" t="s">
        <v>3678</v>
      </c>
    </row>
    <row r="165" spans="1:32" ht="40.5" customHeight="1" x14ac:dyDescent="0.3">
      <c r="A165" s="7">
        <v>3362604</v>
      </c>
      <c r="B165" s="7" t="s">
        <v>1238</v>
      </c>
      <c r="C165" s="7" t="s">
        <v>4246</v>
      </c>
      <c r="D165" s="7" t="s">
        <v>354</v>
      </c>
      <c r="E165" s="7" t="s">
        <v>203</v>
      </c>
      <c r="F165" s="7" t="s">
        <v>234</v>
      </c>
      <c r="G165" s="7" t="s">
        <v>208</v>
      </c>
      <c r="H165" s="7" t="s">
        <v>245</v>
      </c>
      <c r="I165" s="7" t="s">
        <v>1239</v>
      </c>
      <c r="J165" s="7" t="s">
        <v>227</v>
      </c>
      <c r="K165" s="7" t="s">
        <v>200</v>
      </c>
      <c r="L165" s="7" t="s">
        <v>1233</v>
      </c>
      <c r="M165" s="7" t="s">
        <v>1234</v>
      </c>
      <c r="N165" s="7" t="s">
        <v>3602</v>
      </c>
      <c r="O165" s="7" t="s">
        <v>3960</v>
      </c>
      <c r="P165" s="7">
        <v>3349098</v>
      </c>
      <c r="Q165" s="7" t="s">
        <v>1220</v>
      </c>
      <c r="R165" s="7" t="s">
        <v>203</v>
      </c>
      <c r="S165" s="7" t="s">
        <v>234</v>
      </c>
      <c r="T165" s="7" t="s">
        <v>217</v>
      </c>
      <c r="U165" s="7" t="s">
        <v>245</v>
      </c>
      <c r="V165" s="7" t="s">
        <v>1221</v>
      </c>
      <c r="W165" s="7" t="s">
        <v>227</v>
      </c>
      <c r="X165" s="7" t="s">
        <v>200</v>
      </c>
      <c r="Y165" s="7" t="s">
        <v>1222</v>
      </c>
      <c r="Z165" s="7" t="s">
        <v>535</v>
      </c>
      <c r="AA165" s="7" t="s">
        <v>3608</v>
      </c>
      <c r="AB165" s="7" t="s">
        <v>3960</v>
      </c>
      <c r="AC165" s="7" t="s">
        <v>4247</v>
      </c>
      <c r="AD165" s="8">
        <v>45308</v>
      </c>
      <c r="AE165" s="8">
        <v>45473</v>
      </c>
      <c r="AF165" s="7"/>
    </row>
    <row r="166" spans="1:32" ht="122.25" customHeight="1" x14ac:dyDescent="0.3">
      <c r="A166" s="5">
        <v>3425010</v>
      </c>
      <c r="B166" s="5" t="s">
        <v>1288</v>
      </c>
      <c r="C166" s="5" t="s">
        <v>4248</v>
      </c>
      <c r="D166" s="5" t="s">
        <v>354</v>
      </c>
      <c r="E166" s="5" t="s">
        <v>203</v>
      </c>
      <c r="F166" s="5" t="s">
        <v>234</v>
      </c>
      <c r="G166" s="5" t="s">
        <v>217</v>
      </c>
      <c r="H166" s="5" t="s">
        <v>245</v>
      </c>
      <c r="I166" s="5" t="s">
        <v>1289</v>
      </c>
      <c r="J166" s="5" t="s">
        <v>227</v>
      </c>
      <c r="K166" s="5" t="s">
        <v>200</v>
      </c>
      <c r="L166" s="5" t="s">
        <v>1290</v>
      </c>
      <c r="M166" s="5" t="s">
        <v>1110</v>
      </c>
      <c r="N166" s="5" t="s">
        <v>3602</v>
      </c>
      <c r="O166" s="5" t="s">
        <v>3702</v>
      </c>
      <c r="P166" s="5">
        <v>4876288</v>
      </c>
      <c r="Q166" s="5" t="s">
        <v>4249</v>
      </c>
      <c r="R166" s="5" t="s">
        <v>737</v>
      </c>
      <c r="S166" s="5" t="s">
        <v>234</v>
      </c>
      <c r="T166" s="5" t="s">
        <v>208</v>
      </c>
      <c r="U166" s="5" t="s">
        <v>207</v>
      </c>
      <c r="V166" s="5" t="s">
        <v>4250</v>
      </c>
      <c r="W166" s="5" t="s">
        <v>227</v>
      </c>
      <c r="X166" s="5" t="s">
        <v>200</v>
      </c>
      <c r="Y166" s="5" t="s">
        <v>1168</v>
      </c>
      <c r="Z166" s="5" t="s">
        <v>1247</v>
      </c>
      <c r="AA166" s="5" t="s">
        <v>3623</v>
      </c>
      <c r="AB166" s="5" t="s">
        <v>3646</v>
      </c>
      <c r="AC166" s="5" t="s">
        <v>4251</v>
      </c>
      <c r="AD166" s="6">
        <v>45310</v>
      </c>
      <c r="AE166" s="6">
        <v>45657</v>
      </c>
      <c r="AF166" s="5"/>
    </row>
    <row r="167" spans="1:32" ht="71.25" customHeight="1" x14ac:dyDescent="0.3">
      <c r="A167" s="7">
        <v>121266</v>
      </c>
      <c r="B167" s="7" t="s">
        <v>960</v>
      </c>
      <c r="C167" s="7"/>
      <c r="D167" s="7" t="s">
        <v>198</v>
      </c>
      <c r="E167" s="7" t="s">
        <v>203</v>
      </c>
      <c r="F167" s="7" t="s">
        <v>433</v>
      </c>
      <c r="G167" s="7" t="s">
        <v>208</v>
      </c>
      <c r="H167" s="7" t="s">
        <v>233</v>
      </c>
      <c r="I167" s="7" t="s">
        <v>579</v>
      </c>
      <c r="J167" s="7" t="s">
        <v>227</v>
      </c>
      <c r="K167" s="7" t="s">
        <v>578</v>
      </c>
      <c r="L167" s="7" t="s">
        <v>961</v>
      </c>
      <c r="M167" s="7" t="s">
        <v>962</v>
      </c>
      <c r="N167" s="7" t="s">
        <v>3652</v>
      </c>
      <c r="O167" s="7" t="s">
        <v>3736</v>
      </c>
      <c r="P167" s="7">
        <v>2765152</v>
      </c>
      <c r="Q167" s="7" t="s">
        <v>778</v>
      </c>
      <c r="R167" s="7" t="s">
        <v>203</v>
      </c>
      <c r="S167" s="7" t="s">
        <v>418</v>
      </c>
      <c r="T167" s="7" t="s">
        <v>217</v>
      </c>
      <c r="U167" s="7" t="s">
        <v>233</v>
      </c>
      <c r="V167" s="7" t="s">
        <v>779</v>
      </c>
      <c r="W167" s="7" t="s">
        <v>227</v>
      </c>
      <c r="X167" s="7" t="s">
        <v>200</v>
      </c>
      <c r="Y167" s="7" t="s">
        <v>780</v>
      </c>
      <c r="Z167" s="7" t="s">
        <v>564</v>
      </c>
      <c r="AA167" s="7" t="s">
        <v>3652</v>
      </c>
      <c r="AB167" s="7" t="s">
        <v>3646</v>
      </c>
      <c r="AC167" s="7" t="s">
        <v>4252</v>
      </c>
      <c r="AD167" s="8">
        <v>45352</v>
      </c>
      <c r="AE167" s="8">
        <v>45657</v>
      </c>
      <c r="AF167" s="7" t="s">
        <v>3881</v>
      </c>
    </row>
    <row r="168" spans="1:32" ht="30" customHeight="1" x14ac:dyDescent="0.3">
      <c r="A168" s="5">
        <v>4711289</v>
      </c>
      <c r="B168" s="5" t="s">
        <v>2042</v>
      </c>
      <c r="C168" s="5" t="s">
        <v>3665</v>
      </c>
      <c r="D168" s="5" t="s">
        <v>354</v>
      </c>
      <c r="E168" s="5" t="s">
        <v>203</v>
      </c>
      <c r="F168" s="5" t="s">
        <v>234</v>
      </c>
      <c r="G168" s="5" t="s">
        <v>217</v>
      </c>
      <c r="H168" s="5" t="s">
        <v>207</v>
      </c>
      <c r="I168" s="5" t="s">
        <v>2043</v>
      </c>
      <c r="J168" s="5" t="s">
        <v>227</v>
      </c>
      <c r="K168" s="5" t="s">
        <v>200</v>
      </c>
      <c r="L168" s="5" t="s">
        <v>2044</v>
      </c>
      <c r="M168" s="5" t="s">
        <v>477</v>
      </c>
      <c r="N168" s="5" t="s">
        <v>3608</v>
      </c>
      <c r="O168" s="5" t="s">
        <v>3702</v>
      </c>
      <c r="P168" s="5">
        <v>5272203</v>
      </c>
      <c r="Q168" s="5" t="s">
        <v>4253</v>
      </c>
      <c r="R168" s="5" t="s">
        <v>203</v>
      </c>
      <c r="S168" s="5" t="s">
        <v>234</v>
      </c>
      <c r="T168" s="5" t="s">
        <v>217</v>
      </c>
      <c r="U168" s="5" t="s">
        <v>207</v>
      </c>
      <c r="V168" s="5" t="s">
        <v>4254</v>
      </c>
      <c r="W168" s="5" t="s">
        <v>227</v>
      </c>
      <c r="X168" s="5" t="s">
        <v>200</v>
      </c>
      <c r="Y168" s="5" t="s">
        <v>4255</v>
      </c>
      <c r="Z168" s="5" t="s">
        <v>410</v>
      </c>
      <c r="AA168" s="5" t="s">
        <v>3612</v>
      </c>
      <c r="AB168" s="5" t="s">
        <v>3609</v>
      </c>
      <c r="AC168" s="5" t="s">
        <v>4256</v>
      </c>
      <c r="AD168" s="6">
        <v>45335</v>
      </c>
      <c r="AE168" s="6">
        <v>45657</v>
      </c>
      <c r="AF168" s="5"/>
    </row>
    <row r="169" spans="1:32" ht="60.75" customHeight="1" x14ac:dyDescent="0.3">
      <c r="A169" s="7">
        <v>3792145</v>
      </c>
      <c r="B169" s="7" t="s">
        <v>1633</v>
      </c>
      <c r="C169" s="7" t="s">
        <v>4257</v>
      </c>
      <c r="D169" s="7" t="s">
        <v>198</v>
      </c>
      <c r="E169" s="7" t="s">
        <v>203</v>
      </c>
      <c r="F169" s="7" t="s">
        <v>234</v>
      </c>
      <c r="G169" s="7" t="s">
        <v>217</v>
      </c>
      <c r="H169" s="7" t="s">
        <v>245</v>
      </c>
      <c r="I169" s="7" t="s">
        <v>1634</v>
      </c>
      <c r="J169" s="7" t="s">
        <v>227</v>
      </c>
      <c r="K169" s="7" t="s">
        <v>200</v>
      </c>
      <c r="L169" s="7" t="s">
        <v>784</v>
      </c>
      <c r="M169" s="7" t="s">
        <v>785</v>
      </c>
      <c r="N169" s="7" t="s">
        <v>3623</v>
      </c>
      <c r="O169" s="7" t="s">
        <v>3715</v>
      </c>
      <c r="P169" s="7">
        <v>3879607</v>
      </c>
      <c r="Q169" s="7" t="s">
        <v>4258</v>
      </c>
      <c r="R169" s="7" t="s">
        <v>203</v>
      </c>
      <c r="S169" s="7" t="s">
        <v>444</v>
      </c>
      <c r="T169" s="7" t="s">
        <v>217</v>
      </c>
      <c r="U169" s="7" t="s">
        <v>207</v>
      </c>
      <c r="V169" s="7" t="s">
        <v>4259</v>
      </c>
      <c r="W169" s="7" t="s">
        <v>227</v>
      </c>
      <c r="X169" s="7" t="s">
        <v>200</v>
      </c>
      <c r="Y169" s="7" t="s">
        <v>4260</v>
      </c>
      <c r="Z169" s="7" t="s">
        <v>4261</v>
      </c>
      <c r="AA169" s="7" t="s">
        <v>3608</v>
      </c>
      <c r="AB169" s="7" t="s">
        <v>3635</v>
      </c>
      <c r="AC169" s="7" t="s">
        <v>4262</v>
      </c>
      <c r="AD169" s="8">
        <v>45292</v>
      </c>
      <c r="AE169" s="8">
        <v>45657</v>
      </c>
      <c r="AF169" s="7"/>
    </row>
    <row r="170" spans="1:32" ht="60.75" customHeight="1" x14ac:dyDescent="0.3">
      <c r="A170" s="5">
        <v>3792145</v>
      </c>
      <c r="B170" s="5" t="s">
        <v>1633</v>
      </c>
      <c r="C170" s="5" t="s">
        <v>4257</v>
      </c>
      <c r="D170" s="5" t="s">
        <v>198</v>
      </c>
      <c r="E170" s="5" t="s">
        <v>203</v>
      </c>
      <c r="F170" s="5" t="s">
        <v>234</v>
      </c>
      <c r="G170" s="5" t="s">
        <v>217</v>
      </c>
      <c r="H170" s="5" t="s">
        <v>245</v>
      </c>
      <c r="I170" s="5" t="s">
        <v>1634</v>
      </c>
      <c r="J170" s="5" t="s">
        <v>227</v>
      </c>
      <c r="K170" s="5" t="s">
        <v>200</v>
      </c>
      <c r="L170" s="5" t="s">
        <v>784</v>
      </c>
      <c r="M170" s="5" t="s">
        <v>785</v>
      </c>
      <c r="N170" s="5" t="s">
        <v>3623</v>
      </c>
      <c r="O170" s="5" t="s">
        <v>3715</v>
      </c>
      <c r="P170" s="5">
        <v>5058538</v>
      </c>
      <c r="Q170" s="5" t="s">
        <v>4263</v>
      </c>
      <c r="R170" s="5"/>
      <c r="S170" s="5" t="s">
        <v>444</v>
      </c>
      <c r="T170" s="5" t="s">
        <v>217</v>
      </c>
      <c r="U170" s="5" t="s">
        <v>207</v>
      </c>
      <c r="V170" s="5"/>
      <c r="W170" s="5" t="s">
        <v>227</v>
      </c>
      <c r="X170" s="5"/>
      <c r="Y170" s="5"/>
      <c r="Z170" s="5"/>
      <c r="AA170" s="5" t="s">
        <v>3623</v>
      </c>
      <c r="AB170" s="5"/>
      <c r="AC170" s="5" t="s">
        <v>4264</v>
      </c>
      <c r="AD170" s="6">
        <v>45078</v>
      </c>
      <c r="AE170" s="6">
        <v>45657</v>
      </c>
      <c r="AF170" s="5"/>
    </row>
    <row r="171" spans="1:32" ht="306" customHeight="1" x14ac:dyDescent="0.3">
      <c r="A171" s="7">
        <v>4771281</v>
      </c>
      <c r="B171" s="7" t="s">
        <v>2153</v>
      </c>
      <c r="C171" s="7" t="s">
        <v>4265</v>
      </c>
      <c r="D171" s="7" t="s">
        <v>198</v>
      </c>
      <c r="E171" s="7" t="s">
        <v>203</v>
      </c>
      <c r="F171" s="7" t="s">
        <v>234</v>
      </c>
      <c r="G171" s="7" t="s">
        <v>217</v>
      </c>
      <c r="H171" s="7" t="s">
        <v>245</v>
      </c>
      <c r="I171" s="7" t="s">
        <v>2154</v>
      </c>
      <c r="J171" s="7" t="s">
        <v>227</v>
      </c>
      <c r="K171" s="7" t="s">
        <v>200</v>
      </c>
      <c r="L171" s="7" t="s">
        <v>2155</v>
      </c>
      <c r="M171" s="7" t="s">
        <v>2156</v>
      </c>
      <c r="N171" s="7" t="s">
        <v>3608</v>
      </c>
      <c r="O171" s="7" t="s">
        <v>3886</v>
      </c>
      <c r="P171" s="7">
        <v>3846148</v>
      </c>
      <c r="Q171" s="7" t="s">
        <v>4266</v>
      </c>
      <c r="R171" s="7" t="s">
        <v>203</v>
      </c>
      <c r="S171" s="7" t="s">
        <v>234</v>
      </c>
      <c r="T171" s="7" t="s">
        <v>217</v>
      </c>
      <c r="U171" s="7" t="s">
        <v>207</v>
      </c>
      <c r="V171" s="7" t="s">
        <v>4267</v>
      </c>
      <c r="W171" s="7" t="s">
        <v>227</v>
      </c>
      <c r="X171" s="7" t="s">
        <v>200</v>
      </c>
      <c r="Y171" s="7" t="s">
        <v>4268</v>
      </c>
      <c r="Z171" s="7" t="s">
        <v>4269</v>
      </c>
      <c r="AA171" s="7" t="s">
        <v>3608</v>
      </c>
      <c r="AB171" s="7" t="s">
        <v>3853</v>
      </c>
      <c r="AC171" s="7" t="s">
        <v>4270</v>
      </c>
      <c r="AD171" s="8">
        <v>45328</v>
      </c>
      <c r="AE171" s="8">
        <v>45717</v>
      </c>
      <c r="AF171" s="7"/>
    </row>
    <row r="172" spans="1:32" ht="40.5" customHeight="1" x14ac:dyDescent="0.3">
      <c r="A172" s="5">
        <v>2874792</v>
      </c>
      <c r="B172" s="5" t="s">
        <v>1049</v>
      </c>
      <c r="C172" s="5" t="s">
        <v>4271</v>
      </c>
      <c r="D172" s="5" t="s">
        <v>198</v>
      </c>
      <c r="E172" s="5" t="s">
        <v>203</v>
      </c>
      <c r="F172" s="5" t="s">
        <v>234</v>
      </c>
      <c r="G172" s="5" t="s">
        <v>208</v>
      </c>
      <c r="H172" s="5" t="s">
        <v>233</v>
      </c>
      <c r="I172" s="5" t="s">
        <v>1050</v>
      </c>
      <c r="J172" s="5" t="s">
        <v>227</v>
      </c>
      <c r="K172" s="5" t="s">
        <v>200</v>
      </c>
      <c r="L172" s="5" t="s">
        <v>1051</v>
      </c>
      <c r="M172" s="5" t="s">
        <v>967</v>
      </c>
      <c r="N172" s="5" t="s">
        <v>3652</v>
      </c>
      <c r="O172" s="5" t="s">
        <v>4181</v>
      </c>
      <c r="P172" s="5">
        <v>5491363</v>
      </c>
      <c r="Q172" s="5" t="s">
        <v>3260</v>
      </c>
      <c r="R172" s="5" t="s">
        <v>203</v>
      </c>
      <c r="S172" s="5" t="s">
        <v>234</v>
      </c>
      <c r="T172" s="5" t="s">
        <v>208</v>
      </c>
      <c r="U172" s="5" t="s">
        <v>245</v>
      </c>
      <c r="V172" s="5" t="s">
        <v>1174</v>
      </c>
      <c r="W172" s="5" t="s">
        <v>227</v>
      </c>
      <c r="X172" s="5" t="s">
        <v>200</v>
      </c>
      <c r="Y172" s="5" t="s">
        <v>1175</v>
      </c>
      <c r="Z172" s="5" t="s">
        <v>1176</v>
      </c>
      <c r="AA172" s="5" t="s">
        <v>3612</v>
      </c>
      <c r="AB172" s="5" t="s">
        <v>4272</v>
      </c>
      <c r="AC172" s="5" t="s">
        <v>4273</v>
      </c>
      <c r="AD172" s="6">
        <v>45674</v>
      </c>
      <c r="AE172" s="6">
        <v>46404</v>
      </c>
      <c r="AF172" s="5"/>
    </row>
    <row r="173" spans="1:32" ht="234" customHeight="1" x14ac:dyDescent="0.3">
      <c r="A173" s="7">
        <v>3462013</v>
      </c>
      <c r="B173" s="7" t="s">
        <v>1350</v>
      </c>
      <c r="C173" s="7" t="s">
        <v>4274</v>
      </c>
      <c r="D173" s="7" t="s">
        <v>198</v>
      </c>
      <c r="E173" s="7" t="s">
        <v>203</v>
      </c>
      <c r="F173" s="7" t="s">
        <v>234</v>
      </c>
      <c r="G173" s="7" t="s">
        <v>217</v>
      </c>
      <c r="H173" s="7" t="s">
        <v>245</v>
      </c>
      <c r="I173" s="7" t="s">
        <v>1352</v>
      </c>
      <c r="J173" s="7" t="s">
        <v>227</v>
      </c>
      <c r="K173" s="7" t="s">
        <v>200</v>
      </c>
      <c r="L173" s="7" t="s">
        <v>1353</v>
      </c>
      <c r="M173" s="7" t="s">
        <v>375</v>
      </c>
      <c r="N173" s="7" t="s">
        <v>3602</v>
      </c>
      <c r="O173" s="7" t="s">
        <v>3702</v>
      </c>
      <c r="P173" s="7">
        <v>5127440</v>
      </c>
      <c r="Q173" s="7" t="s">
        <v>4275</v>
      </c>
      <c r="R173" s="7" t="s">
        <v>203</v>
      </c>
      <c r="S173" s="7" t="s">
        <v>234</v>
      </c>
      <c r="T173" s="7" t="s">
        <v>217</v>
      </c>
      <c r="U173" s="7" t="s">
        <v>207</v>
      </c>
      <c r="V173" s="7" t="s">
        <v>4276</v>
      </c>
      <c r="W173" s="7" t="s">
        <v>227</v>
      </c>
      <c r="X173" s="7" t="s">
        <v>200</v>
      </c>
      <c r="Y173" s="7" t="s">
        <v>4277</v>
      </c>
      <c r="Z173" s="7" t="s">
        <v>1243</v>
      </c>
      <c r="AA173" s="7" t="s">
        <v>3623</v>
      </c>
      <c r="AB173" s="7" t="s">
        <v>3609</v>
      </c>
      <c r="AC173" s="7" t="s">
        <v>4278</v>
      </c>
      <c r="AD173" s="8">
        <v>44929</v>
      </c>
      <c r="AE173" s="7"/>
      <c r="AF173" s="7"/>
    </row>
    <row r="174" spans="1:32" ht="30" customHeight="1" x14ac:dyDescent="0.3">
      <c r="A174" s="5">
        <v>3462013</v>
      </c>
      <c r="B174" s="5" t="s">
        <v>1350</v>
      </c>
      <c r="C174" s="5"/>
      <c r="D174" s="5" t="s">
        <v>1351</v>
      </c>
      <c r="E174" s="5" t="s">
        <v>203</v>
      </c>
      <c r="F174" s="5" t="s">
        <v>234</v>
      </c>
      <c r="G174" s="5" t="s">
        <v>217</v>
      </c>
      <c r="H174" s="5" t="s">
        <v>245</v>
      </c>
      <c r="I174" s="5" t="s">
        <v>1352</v>
      </c>
      <c r="J174" s="5" t="s">
        <v>227</v>
      </c>
      <c r="K174" s="5" t="s">
        <v>200</v>
      </c>
      <c r="L174" s="5" t="s">
        <v>1353</v>
      </c>
      <c r="M174" s="5" t="s">
        <v>375</v>
      </c>
      <c r="N174" s="5" t="s">
        <v>3602</v>
      </c>
      <c r="O174" s="5" t="s">
        <v>3702</v>
      </c>
      <c r="P174" s="5">
        <v>5127440</v>
      </c>
      <c r="Q174" s="5" t="s">
        <v>4275</v>
      </c>
      <c r="R174" s="5" t="s">
        <v>203</v>
      </c>
      <c r="S174" s="5" t="s">
        <v>234</v>
      </c>
      <c r="T174" s="5" t="s">
        <v>217</v>
      </c>
      <c r="U174" s="5" t="s">
        <v>207</v>
      </c>
      <c r="V174" s="5" t="s">
        <v>4276</v>
      </c>
      <c r="W174" s="5" t="s">
        <v>227</v>
      </c>
      <c r="X174" s="5" t="s">
        <v>200</v>
      </c>
      <c r="Y174" s="5" t="s">
        <v>4277</v>
      </c>
      <c r="Z174" s="5" t="s">
        <v>1243</v>
      </c>
      <c r="AA174" s="5" t="s">
        <v>3623</v>
      </c>
      <c r="AB174" s="5" t="s">
        <v>3609</v>
      </c>
      <c r="AC174" s="5" t="s">
        <v>4278</v>
      </c>
      <c r="AD174" s="6">
        <v>44928</v>
      </c>
      <c r="AE174" s="5"/>
      <c r="AF174" s="5"/>
    </row>
    <row r="175" spans="1:32" ht="30" customHeight="1" x14ac:dyDescent="0.3">
      <c r="A175" s="7">
        <v>3462013</v>
      </c>
      <c r="B175" s="7" t="s">
        <v>1350</v>
      </c>
      <c r="C175" s="7"/>
      <c r="D175" s="7" t="s">
        <v>198</v>
      </c>
      <c r="E175" s="7" t="s">
        <v>203</v>
      </c>
      <c r="F175" s="7" t="s">
        <v>234</v>
      </c>
      <c r="G175" s="7" t="s">
        <v>217</v>
      </c>
      <c r="H175" s="7" t="s">
        <v>245</v>
      </c>
      <c r="I175" s="7" t="s">
        <v>1352</v>
      </c>
      <c r="J175" s="7" t="s">
        <v>227</v>
      </c>
      <c r="K175" s="7" t="s">
        <v>200</v>
      </c>
      <c r="L175" s="7" t="s">
        <v>1353</v>
      </c>
      <c r="M175" s="7" t="s">
        <v>375</v>
      </c>
      <c r="N175" s="7" t="s">
        <v>3602</v>
      </c>
      <c r="O175" s="7" t="s">
        <v>3702</v>
      </c>
      <c r="P175" s="7">
        <v>5499550</v>
      </c>
      <c r="Q175" s="7" t="s">
        <v>4279</v>
      </c>
      <c r="R175" s="7" t="s">
        <v>203</v>
      </c>
      <c r="S175" s="7" t="s">
        <v>234</v>
      </c>
      <c r="T175" s="7" t="s">
        <v>208</v>
      </c>
      <c r="U175" s="7" t="s">
        <v>207</v>
      </c>
      <c r="V175" s="7" t="s">
        <v>1352</v>
      </c>
      <c r="W175" s="7" t="s">
        <v>227</v>
      </c>
      <c r="X175" s="7" t="s">
        <v>200</v>
      </c>
      <c r="Y175" s="7" t="s">
        <v>1353</v>
      </c>
      <c r="Z175" s="7" t="s">
        <v>410</v>
      </c>
      <c r="AA175" s="7" t="s">
        <v>3612</v>
      </c>
      <c r="AB175" s="7" t="s">
        <v>3609</v>
      </c>
      <c r="AC175" s="7" t="s">
        <v>4280</v>
      </c>
      <c r="AD175" s="8">
        <v>45337</v>
      </c>
      <c r="AE175" s="8">
        <v>45703</v>
      </c>
      <c r="AF175" s="7"/>
    </row>
    <row r="176" spans="1:32" ht="81" customHeight="1" x14ac:dyDescent="0.3">
      <c r="A176" s="5">
        <v>2855682</v>
      </c>
      <c r="B176" s="5" t="s">
        <v>943</v>
      </c>
      <c r="C176" s="5" t="s">
        <v>4281</v>
      </c>
      <c r="D176" s="5" t="s">
        <v>198</v>
      </c>
      <c r="E176" s="5" t="s">
        <v>203</v>
      </c>
      <c r="F176" s="5" t="s">
        <v>433</v>
      </c>
      <c r="G176" s="5" t="s">
        <v>217</v>
      </c>
      <c r="H176" s="5" t="s">
        <v>233</v>
      </c>
      <c r="I176" s="5" t="s">
        <v>944</v>
      </c>
      <c r="J176" s="5" t="s">
        <v>227</v>
      </c>
      <c r="K176" s="5" t="s">
        <v>200</v>
      </c>
      <c r="L176" s="5" t="s">
        <v>945</v>
      </c>
      <c r="M176" s="5" t="s">
        <v>437</v>
      </c>
      <c r="N176" s="5" t="s">
        <v>3652</v>
      </c>
      <c r="O176" s="5" t="s">
        <v>3763</v>
      </c>
      <c r="P176" s="5">
        <v>3646467</v>
      </c>
      <c r="Q176" s="5" t="s">
        <v>4282</v>
      </c>
      <c r="R176" s="5" t="s">
        <v>203</v>
      </c>
      <c r="S176" s="5" t="s">
        <v>234</v>
      </c>
      <c r="T176" s="5" t="s">
        <v>208</v>
      </c>
      <c r="U176" s="5" t="s">
        <v>207</v>
      </c>
      <c r="V176" s="5" t="s">
        <v>4283</v>
      </c>
      <c r="W176" s="5" t="s">
        <v>227</v>
      </c>
      <c r="X176" s="5" t="s">
        <v>200</v>
      </c>
      <c r="Y176" s="5" t="s">
        <v>4284</v>
      </c>
      <c r="Z176" s="5" t="s">
        <v>4285</v>
      </c>
      <c r="AA176" s="5" t="s">
        <v>3608</v>
      </c>
      <c r="AB176" s="5" t="s">
        <v>3646</v>
      </c>
      <c r="AC176" s="5" t="s">
        <v>4286</v>
      </c>
      <c r="AD176" s="6">
        <v>45280</v>
      </c>
      <c r="AE176" s="5"/>
      <c r="AF176" s="5"/>
    </row>
    <row r="177" spans="1:32" ht="30" customHeight="1" x14ac:dyDescent="0.3">
      <c r="A177" s="7">
        <v>3174042</v>
      </c>
      <c r="B177" s="7" t="s">
        <v>489</v>
      </c>
      <c r="C177" s="7" t="s">
        <v>4287</v>
      </c>
      <c r="D177" s="7" t="s">
        <v>198</v>
      </c>
      <c r="E177" s="7" t="s">
        <v>203</v>
      </c>
      <c r="F177" s="7" t="s">
        <v>234</v>
      </c>
      <c r="G177" s="7" t="s">
        <v>217</v>
      </c>
      <c r="H177" s="7" t="s">
        <v>245</v>
      </c>
      <c r="I177" s="7" t="s">
        <v>490</v>
      </c>
      <c r="J177" s="7" t="s">
        <v>227</v>
      </c>
      <c r="K177" s="7" t="s">
        <v>200</v>
      </c>
      <c r="L177" s="7" t="s">
        <v>491</v>
      </c>
      <c r="M177" s="7" t="s">
        <v>427</v>
      </c>
      <c r="N177" s="7" t="s">
        <v>3602</v>
      </c>
      <c r="O177" s="7" t="s">
        <v>3736</v>
      </c>
      <c r="P177" s="7">
        <v>4809289</v>
      </c>
      <c r="Q177" s="7" t="s">
        <v>4288</v>
      </c>
      <c r="R177" s="7" t="s">
        <v>203</v>
      </c>
      <c r="S177" s="7" t="s">
        <v>234</v>
      </c>
      <c r="T177" s="7" t="s">
        <v>217</v>
      </c>
      <c r="U177" s="7" t="s">
        <v>207</v>
      </c>
      <c r="V177" s="7" t="s">
        <v>4289</v>
      </c>
      <c r="W177" s="7" t="s">
        <v>227</v>
      </c>
      <c r="X177" s="7" t="s">
        <v>200</v>
      </c>
      <c r="Y177" s="7" t="s">
        <v>4290</v>
      </c>
      <c r="Z177" s="7" t="s">
        <v>747</v>
      </c>
      <c r="AA177" s="7" t="s">
        <v>3608</v>
      </c>
      <c r="AB177" s="7" t="s">
        <v>3613</v>
      </c>
      <c r="AC177" s="7" t="s">
        <v>4291</v>
      </c>
      <c r="AD177" s="8">
        <v>45323</v>
      </c>
      <c r="AE177" s="8">
        <v>45632</v>
      </c>
      <c r="AF177" s="7"/>
    </row>
    <row r="178" spans="1:32" ht="30" customHeight="1" x14ac:dyDescent="0.3">
      <c r="A178" s="5">
        <v>3174042</v>
      </c>
      <c r="B178" s="5" t="s">
        <v>489</v>
      </c>
      <c r="C178" s="5"/>
      <c r="D178" s="5" t="s">
        <v>354</v>
      </c>
      <c r="E178" s="5" t="s">
        <v>203</v>
      </c>
      <c r="F178" s="5" t="s">
        <v>234</v>
      </c>
      <c r="G178" s="5" t="s">
        <v>217</v>
      </c>
      <c r="H178" s="5" t="s">
        <v>245</v>
      </c>
      <c r="I178" s="5" t="s">
        <v>490</v>
      </c>
      <c r="J178" s="5" t="s">
        <v>227</v>
      </c>
      <c r="K178" s="5" t="s">
        <v>200</v>
      </c>
      <c r="L178" s="5" t="s">
        <v>491</v>
      </c>
      <c r="M178" s="5" t="s">
        <v>427</v>
      </c>
      <c r="N178" s="5" t="s">
        <v>3602</v>
      </c>
      <c r="O178" s="5" t="s">
        <v>3736</v>
      </c>
      <c r="P178" s="5">
        <v>2953447</v>
      </c>
      <c r="Q178" s="5" t="s">
        <v>4292</v>
      </c>
      <c r="R178" s="5" t="s">
        <v>203</v>
      </c>
      <c r="S178" s="5" t="s">
        <v>444</v>
      </c>
      <c r="T178" s="5" t="s">
        <v>217</v>
      </c>
      <c r="U178" s="5" t="s">
        <v>245</v>
      </c>
      <c r="V178" s="5" t="s">
        <v>4293</v>
      </c>
      <c r="W178" s="5" t="s">
        <v>227</v>
      </c>
      <c r="X178" s="5" t="s">
        <v>200</v>
      </c>
      <c r="Y178" s="5" t="s">
        <v>4294</v>
      </c>
      <c r="Z178" s="5" t="s">
        <v>477</v>
      </c>
      <c r="AA178" s="5" t="s">
        <v>3623</v>
      </c>
      <c r="AB178" s="5" t="s">
        <v>3702</v>
      </c>
      <c r="AC178" s="5" t="s">
        <v>4295</v>
      </c>
      <c r="AD178" s="6">
        <v>45351</v>
      </c>
      <c r="AE178" s="6">
        <v>45596</v>
      </c>
      <c r="AF178" s="5"/>
    </row>
    <row r="179" spans="1:32" ht="40.5" customHeight="1" x14ac:dyDescent="0.3">
      <c r="A179" s="7">
        <v>3174042</v>
      </c>
      <c r="B179" s="7" t="s">
        <v>489</v>
      </c>
      <c r="C179" s="7"/>
      <c r="D179" s="7" t="s">
        <v>354</v>
      </c>
      <c r="E179" s="7" t="s">
        <v>203</v>
      </c>
      <c r="F179" s="7" t="s">
        <v>234</v>
      </c>
      <c r="G179" s="7" t="s">
        <v>217</v>
      </c>
      <c r="H179" s="7" t="s">
        <v>245</v>
      </c>
      <c r="I179" s="7" t="s">
        <v>490</v>
      </c>
      <c r="J179" s="7" t="s">
        <v>227</v>
      </c>
      <c r="K179" s="7" t="s">
        <v>200</v>
      </c>
      <c r="L179" s="7" t="s">
        <v>491</v>
      </c>
      <c r="M179" s="7" t="s">
        <v>427</v>
      </c>
      <c r="N179" s="7" t="s">
        <v>3602</v>
      </c>
      <c r="O179" s="7" t="s">
        <v>3736</v>
      </c>
      <c r="P179" s="7">
        <v>3579980</v>
      </c>
      <c r="Q179" s="7" t="s">
        <v>4296</v>
      </c>
      <c r="R179" s="7" t="s">
        <v>737</v>
      </c>
      <c r="S179" s="7" t="s">
        <v>234</v>
      </c>
      <c r="T179" s="7" t="s">
        <v>217</v>
      </c>
      <c r="U179" s="7" t="s">
        <v>207</v>
      </c>
      <c r="V179" s="7" t="s">
        <v>4297</v>
      </c>
      <c r="W179" s="7" t="s">
        <v>227</v>
      </c>
      <c r="X179" s="7" t="s">
        <v>200</v>
      </c>
      <c r="Y179" s="7" t="s">
        <v>4298</v>
      </c>
      <c r="Z179" s="7" t="s">
        <v>1247</v>
      </c>
      <c r="AA179" s="7" t="s">
        <v>3623</v>
      </c>
      <c r="AB179" s="7" t="s">
        <v>3646</v>
      </c>
      <c r="AC179" s="7" t="s">
        <v>4299</v>
      </c>
      <c r="AD179" s="8">
        <v>45328</v>
      </c>
      <c r="AE179" s="8">
        <v>45351</v>
      </c>
      <c r="AF179" s="7"/>
    </row>
    <row r="180" spans="1:32" ht="71.25" customHeight="1" x14ac:dyDescent="0.3">
      <c r="A180" s="5">
        <v>4875346</v>
      </c>
      <c r="B180" s="5" t="s">
        <v>2349</v>
      </c>
      <c r="C180" s="5" t="s">
        <v>4300</v>
      </c>
      <c r="D180" s="5" t="s">
        <v>198</v>
      </c>
      <c r="E180" s="5" t="s">
        <v>203</v>
      </c>
      <c r="F180" s="5" t="s">
        <v>234</v>
      </c>
      <c r="G180" s="5" t="s">
        <v>208</v>
      </c>
      <c r="H180" s="5" t="s">
        <v>207</v>
      </c>
      <c r="I180" s="5" t="s">
        <v>2350</v>
      </c>
      <c r="J180" s="5" t="s">
        <v>227</v>
      </c>
      <c r="K180" s="5" t="s">
        <v>200</v>
      </c>
      <c r="L180" s="5" t="s">
        <v>2351</v>
      </c>
      <c r="M180" s="5" t="s">
        <v>2352</v>
      </c>
      <c r="N180" s="5" t="s">
        <v>3732</v>
      </c>
      <c r="O180" s="5" t="s">
        <v>3705</v>
      </c>
      <c r="P180" s="5">
        <v>4999029</v>
      </c>
      <c r="Q180" s="5" t="s">
        <v>4301</v>
      </c>
      <c r="R180" s="5" t="s">
        <v>203</v>
      </c>
      <c r="S180" s="5" t="s">
        <v>234</v>
      </c>
      <c r="T180" s="5" t="s">
        <v>217</v>
      </c>
      <c r="U180" s="5" t="s">
        <v>207</v>
      </c>
      <c r="V180" s="5" t="s">
        <v>4302</v>
      </c>
      <c r="W180" s="5" t="s">
        <v>227</v>
      </c>
      <c r="X180" s="5" t="s">
        <v>200</v>
      </c>
      <c r="Y180" s="5" t="s">
        <v>4303</v>
      </c>
      <c r="Z180" s="5" t="s">
        <v>4304</v>
      </c>
      <c r="AA180" s="5" t="s">
        <v>3623</v>
      </c>
      <c r="AB180" s="5" t="s">
        <v>3763</v>
      </c>
      <c r="AC180" s="5" t="s">
        <v>4305</v>
      </c>
      <c r="AD180" s="6">
        <v>45338</v>
      </c>
      <c r="AE180" s="6">
        <v>45657</v>
      </c>
      <c r="AF180" s="5" t="s">
        <v>3611</v>
      </c>
    </row>
    <row r="181" spans="1:32" ht="30" customHeight="1" x14ac:dyDescent="0.3">
      <c r="A181" s="7">
        <v>2416824</v>
      </c>
      <c r="B181" s="7" t="s">
        <v>850</v>
      </c>
      <c r="C181" s="7" t="s">
        <v>3572</v>
      </c>
      <c r="D181" s="7" t="s">
        <v>354</v>
      </c>
      <c r="E181" s="7" t="s">
        <v>203</v>
      </c>
      <c r="F181" s="7" t="s">
        <v>234</v>
      </c>
      <c r="G181" s="7" t="s">
        <v>208</v>
      </c>
      <c r="H181" s="7" t="s">
        <v>245</v>
      </c>
      <c r="I181" s="7" t="s">
        <v>810</v>
      </c>
      <c r="J181" s="7" t="s">
        <v>227</v>
      </c>
      <c r="K181" s="7" t="s">
        <v>200</v>
      </c>
      <c r="L181" s="7" t="s">
        <v>811</v>
      </c>
      <c r="M181" s="7" t="s">
        <v>564</v>
      </c>
      <c r="N181" s="7" t="s">
        <v>3652</v>
      </c>
      <c r="O181" s="7" t="s">
        <v>3646</v>
      </c>
      <c r="P181" s="7">
        <v>3808203</v>
      </c>
      <c r="Q181" s="7" t="s">
        <v>4306</v>
      </c>
      <c r="R181" s="7" t="s">
        <v>203</v>
      </c>
      <c r="S181" s="7" t="s">
        <v>234</v>
      </c>
      <c r="T181" s="7" t="s">
        <v>217</v>
      </c>
      <c r="U181" s="7" t="s">
        <v>245</v>
      </c>
      <c r="V181" s="7" t="s">
        <v>810</v>
      </c>
      <c r="W181" s="7" t="s">
        <v>227</v>
      </c>
      <c r="X181" s="7" t="s">
        <v>200</v>
      </c>
      <c r="Y181" s="7" t="s">
        <v>811</v>
      </c>
      <c r="Z181" s="7" t="s">
        <v>4307</v>
      </c>
      <c r="AA181" s="7" t="s">
        <v>3608</v>
      </c>
      <c r="AB181" s="7" t="s">
        <v>3609</v>
      </c>
      <c r="AC181" s="7" t="s">
        <v>4308</v>
      </c>
      <c r="AD181" s="8">
        <v>45338</v>
      </c>
      <c r="AE181" s="8">
        <v>45398</v>
      </c>
      <c r="AF181" s="7"/>
    </row>
    <row r="182" spans="1:32" ht="51" customHeight="1" x14ac:dyDescent="0.3">
      <c r="A182" s="5">
        <v>3584763</v>
      </c>
      <c r="B182" s="5" t="s">
        <v>1492</v>
      </c>
      <c r="C182" s="5" t="s">
        <v>4309</v>
      </c>
      <c r="D182" s="5" t="s">
        <v>354</v>
      </c>
      <c r="E182" s="5" t="s">
        <v>203</v>
      </c>
      <c r="F182" s="5" t="s">
        <v>234</v>
      </c>
      <c r="G182" s="5" t="s">
        <v>208</v>
      </c>
      <c r="H182" s="5" t="s">
        <v>245</v>
      </c>
      <c r="I182" s="5" t="s">
        <v>553</v>
      </c>
      <c r="J182" s="5" t="s">
        <v>227</v>
      </c>
      <c r="K182" s="5" t="s">
        <v>200</v>
      </c>
      <c r="L182" s="5" t="s">
        <v>1493</v>
      </c>
      <c r="M182" s="5" t="s">
        <v>555</v>
      </c>
      <c r="N182" s="5" t="s">
        <v>3623</v>
      </c>
      <c r="O182" s="5" t="s">
        <v>3751</v>
      </c>
      <c r="P182" s="5">
        <v>3952606</v>
      </c>
      <c r="Q182" s="5" t="s">
        <v>4310</v>
      </c>
      <c r="R182" s="5" t="s">
        <v>203</v>
      </c>
      <c r="S182" s="5" t="s">
        <v>234</v>
      </c>
      <c r="T182" s="5" t="s">
        <v>208</v>
      </c>
      <c r="U182" s="5" t="s">
        <v>245</v>
      </c>
      <c r="V182" s="5" t="s">
        <v>4311</v>
      </c>
      <c r="W182" s="5" t="s">
        <v>227</v>
      </c>
      <c r="X182" s="5" t="s">
        <v>200</v>
      </c>
      <c r="Y182" s="5" t="s">
        <v>3314</v>
      </c>
      <c r="Z182" s="5" t="s">
        <v>4312</v>
      </c>
      <c r="AA182" s="5" t="s">
        <v>3608</v>
      </c>
      <c r="AB182" s="5" t="s">
        <v>3635</v>
      </c>
      <c r="AC182" s="5" t="s">
        <v>4313</v>
      </c>
      <c r="AD182" s="6">
        <v>45328</v>
      </c>
      <c r="AE182" s="6">
        <v>45356</v>
      </c>
      <c r="AF182" s="5"/>
    </row>
    <row r="183" spans="1:32" ht="30" customHeight="1" x14ac:dyDescent="0.3">
      <c r="A183" s="7">
        <v>5180082</v>
      </c>
      <c r="B183" s="7" t="s">
        <v>2860</v>
      </c>
      <c r="C183" s="7" t="s">
        <v>4314</v>
      </c>
      <c r="D183" s="7" t="s">
        <v>198</v>
      </c>
      <c r="E183" s="7" t="s">
        <v>203</v>
      </c>
      <c r="F183" s="7" t="s">
        <v>418</v>
      </c>
      <c r="G183" s="7" t="s">
        <v>217</v>
      </c>
      <c r="H183" s="7" t="s">
        <v>654</v>
      </c>
      <c r="I183" s="7" t="s">
        <v>818</v>
      </c>
      <c r="J183" s="7" t="s">
        <v>227</v>
      </c>
      <c r="K183" s="7" t="s">
        <v>200</v>
      </c>
      <c r="L183" s="7" t="s">
        <v>819</v>
      </c>
      <c r="M183" s="7" t="s">
        <v>611</v>
      </c>
      <c r="N183" s="7" t="s">
        <v>3602</v>
      </c>
      <c r="O183" s="7" t="s">
        <v>3630</v>
      </c>
      <c r="P183" s="7">
        <v>4819373</v>
      </c>
      <c r="Q183" s="7" t="s">
        <v>2221</v>
      </c>
      <c r="R183" s="7" t="s">
        <v>203</v>
      </c>
      <c r="S183" s="7" t="s">
        <v>418</v>
      </c>
      <c r="T183" s="7" t="s">
        <v>217</v>
      </c>
      <c r="U183" s="7" t="s">
        <v>245</v>
      </c>
      <c r="V183" s="7" t="s">
        <v>994</v>
      </c>
      <c r="W183" s="7" t="s">
        <v>227</v>
      </c>
      <c r="X183" s="7" t="s">
        <v>200</v>
      </c>
      <c r="Y183" s="7" t="s">
        <v>559</v>
      </c>
      <c r="Z183" s="7" t="s">
        <v>1015</v>
      </c>
      <c r="AA183" s="7" t="s">
        <v>3608</v>
      </c>
      <c r="AB183" s="7" t="s">
        <v>3630</v>
      </c>
      <c r="AC183" s="7" t="s">
        <v>4315</v>
      </c>
      <c r="AD183" s="8">
        <v>44713</v>
      </c>
      <c r="AE183" s="8">
        <v>45017</v>
      </c>
      <c r="AF183" s="7"/>
    </row>
    <row r="184" spans="1:32" ht="40.5" customHeight="1" x14ac:dyDescent="0.3">
      <c r="A184" s="5">
        <v>4904958</v>
      </c>
      <c r="B184" s="5" t="s">
        <v>2407</v>
      </c>
      <c r="C184" s="5" t="s">
        <v>4316</v>
      </c>
      <c r="D184" s="5" t="s">
        <v>198</v>
      </c>
      <c r="E184" s="5" t="s">
        <v>203</v>
      </c>
      <c r="F184" s="5" t="s">
        <v>418</v>
      </c>
      <c r="G184" s="5" t="s">
        <v>208</v>
      </c>
      <c r="H184" s="5" t="s">
        <v>245</v>
      </c>
      <c r="I184" s="5" t="s">
        <v>2408</v>
      </c>
      <c r="J184" s="5" t="s">
        <v>227</v>
      </c>
      <c r="K184" s="5" t="s">
        <v>413</v>
      </c>
      <c r="L184" s="5" t="s">
        <v>2409</v>
      </c>
      <c r="M184" s="5" t="s">
        <v>2410</v>
      </c>
      <c r="N184" s="5" t="s">
        <v>3623</v>
      </c>
      <c r="O184" s="5" t="s">
        <v>4181</v>
      </c>
      <c r="P184" s="5">
        <v>3429709</v>
      </c>
      <c r="Q184" s="5" t="s">
        <v>4317</v>
      </c>
      <c r="R184" s="5"/>
      <c r="S184" s="5" t="s">
        <v>234</v>
      </c>
      <c r="T184" s="5" t="s">
        <v>217</v>
      </c>
      <c r="U184" s="5" t="s">
        <v>245</v>
      </c>
      <c r="V184" s="5"/>
      <c r="W184" s="5" t="s">
        <v>227</v>
      </c>
      <c r="X184" s="5"/>
      <c r="Y184" s="5"/>
      <c r="Z184" s="5"/>
      <c r="AA184" s="5" t="s">
        <v>3612</v>
      </c>
      <c r="AB184" s="5"/>
      <c r="AC184" s="5" t="s">
        <v>4318</v>
      </c>
      <c r="AD184" s="6">
        <v>45352</v>
      </c>
      <c r="AE184" s="6">
        <v>45658</v>
      </c>
      <c r="AF184" s="5"/>
    </row>
    <row r="185" spans="1:32" ht="30" customHeight="1" x14ac:dyDescent="0.3">
      <c r="A185" s="7">
        <v>3353850</v>
      </c>
      <c r="B185" s="7" t="s">
        <v>1227</v>
      </c>
      <c r="C185" s="7" t="s">
        <v>4319</v>
      </c>
      <c r="D185" s="7" t="s">
        <v>354</v>
      </c>
      <c r="E185" s="7" t="s">
        <v>203</v>
      </c>
      <c r="F185" s="7" t="s">
        <v>418</v>
      </c>
      <c r="G185" s="7" t="s">
        <v>208</v>
      </c>
      <c r="H185" s="7" t="s">
        <v>233</v>
      </c>
      <c r="I185" s="7" t="s">
        <v>1228</v>
      </c>
      <c r="J185" s="7" t="s">
        <v>227</v>
      </c>
      <c r="K185" s="7" t="s">
        <v>200</v>
      </c>
      <c r="L185" s="7" t="s">
        <v>1229</v>
      </c>
      <c r="M185" s="7" t="s">
        <v>564</v>
      </c>
      <c r="N185" s="7" t="s">
        <v>3602</v>
      </c>
      <c r="O185" s="7" t="s">
        <v>3646</v>
      </c>
      <c r="P185" s="7">
        <v>2953013</v>
      </c>
      <c r="Q185" s="7" t="s">
        <v>4320</v>
      </c>
      <c r="R185" s="7" t="s">
        <v>203</v>
      </c>
      <c r="S185" s="7" t="s">
        <v>418</v>
      </c>
      <c r="T185" s="7" t="s">
        <v>208</v>
      </c>
      <c r="U185" s="7" t="s">
        <v>245</v>
      </c>
      <c r="V185" s="7" t="s">
        <v>480</v>
      </c>
      <c r="W185" s="7" t="s">
        <v>227</v>
      </c>
      <c r="X185" s="7" t="s">
        <v>200</v>
      </c>
      <c r="Y185" s="7" t="s">
        <v>4321</v>
      </c>
      <c r="Z185" s="7" t="s">
        <v>482</v>
      </c>
      <c r="AA185" s="7" t="s">
        <v>3602</v>
      </c>
      <c r="AB185" s="7" t="s">
        <v>3635</v>
      </c>
      <c r="AC185" s="7" t="s">
        <v>4322</v>
      </c>
      <c r="AD185" s="8">
        <v>45292</v>
      </c>
      <c r="AE185" s="8">
        <v>45657</v>
      </c>
      <c r="AF185" s="7"/>
    </row>
    <row r="186" spans="1:32" ht="30" customHeight="1" x14ac:dyDescent="0.3">
      <c r="A186" s="5">
        <v>2778041</v>
      </c>
      <c r="B186" s="5" t="s">
        <v>955</v>
      </c>
      <c r="C186" s="5" t="s">
        <v>4323</v>
      </c>
      <c r="D186" s="5" t="s">
        <v>198</v>
      </c>
      <c r="E186" s="5" t="s">
        <v>203</v>
      </c>
      <c r="F186" s="5" t="s">
        <v>418</v>
      </c>
      <c r="G186" s="5" t="s">
        <v>208</v>
      </c>
      <c r="H186" s="5" t="s">
        <v>233</v>
      </c>
      <c r="I186" s="5" t="s">
        <v>956</v>
      </c>
      <c r="J186" s="5" t="s">
        <v>227</v>
      </c>
      <c r="K186" s="5" t="s">
        <v>200</v>
      </c>
      <c r="L186" s="5" t="s">
        <v>957</v>
      </c>
      <c r="M186" s="5" t="s">
        <v>958</v>
      </c>
      <c r="N186" s="5" t="s">
        <v>3652</v>
      </c>
      <c r="O186" s="5" t="s">
        <v>3763</v>
      </c>
      <c r="P186" s="5">
        <v>5480353</v>
      </c>
      <c r="Q186" s="5" t="s">
        <v>4324</v>
      </c>
      <c r="R186" s="5" t="s">
        <v>203</v>
      </c>
      <c r="S186" s="5" t="s">
        <v>234</v>
      </c>
      <c r="T186" s="5" t="s">
        <v>208</v>
      </c>
      <c r="U186" s="5" t="s">
        <v>207</v>
      </c>
      <c r="V186" s="5" t="s">
        <v>4325</v>
      </c>
      <c r="W186" s="5" t="s">
        <v>227</v>
      </c>
      <c r="X186" s="5" t="s">
        <v>200</v>
      </c>
      <c r="Y186" s="5" t="s">
        <v>4326</v>
      </c>
      <c r="Z186" s="5" t="s">
        <v>4327</v>
      </c>
      <c r="AA186" s="5" t="s">
        <v>3612</v>
      </c>
      <c r="AB186" s="5" t="s">
        <v>4328</v>
      </c>
      <c r="AC186" s="5" t="s">
        <v>4329</v>
      </c>
      <c r="AD186" s="6">
        <v>45352</v>
      </c>
      <c r="AE186" s="5"/>
      <c r="AF186" s="5"/>
    </row>
    <row r="187" spans="1:32" ht="40.5" customHeight="1" x14ac:dyDescent="0.3">
      <c r="A187" s="7">
        <v>5062667</v>
      </c>
      <c r="B187" s="7" t="s">
        <v>2645</v>
      </c>
      <c r="C187" s="7"/>
      <c r="D187" s="7" t="s">
        <v>198</v>
      </c>
      <c r="E187" s="7" t="s">
        <v>203</v>
      </c>
      <c r="F187" s="7" t="s">
        <v>234</v>
      </c>
      <c r="G187" s="7" t="s">
        <v>217</v>
      </c>
      <c r="H187" s="7" t="s">
        <v>207</v>
      </c>
      <c r="I187" s="7" t="s">
        <v>2646</v>
      </c>
      <c r="J187" s="7" t="s">
        <v>227</v>
      </c>
      <c r="K187" s="7" t="s">
        <v>200</v>
      </c>
      <c r="L187" s="7" t="s">
        <v>2647</v>
      </c>
      <c r="M187" s="7" t="s">
        <v>2162</v>
      </c>
      <c r="N187" s="7" t="s">
        <v>3623</v>
      </c>
      <c r="O187" s="7" t="s">
        <v>4330</v>
      </c>
      <c r="P187" s="7">
        <v>4892704</v>
      </c>
      <c r="Q187" s="7" t="s">
        <v>4331</v>
      </c>
      <c r="R187" s="7" t="s">
        <v>203</v>
      </c>
      <c r="S187" s="7" t="s">
        <v>234</v>
      </c>
      <c r="T187" s="7" t="s">
        <v>217</v>
      </c>
      <c r="U187" s="7" t="s">
        <v>207</v>
      </c>
      <c r="V187" s="7" t="s">
        <v>4332</v>
      </c>
      <c r="W187" s="7" t="s">
        <v>227</v>
      </c>
      <c r="X187" s="7" t="s">
        <v>200</v>
      </c>
      <c r="Y187" s="7" t="s">
        <v>4333</v>
      </c>
      <c r="Z187" s="7" t="s">
        <v>299</v>
      </c>
      <c r="AA187" s="7" t="s">
        <v>3623</v>
      </c>
      <c r="AB187" s="7" t="s">
        <v>3603</v>
      </c>
      <c r="AC187" s="7" t="s">
        <v>4334</v>
      </c>
      <c r="AD187" s="8">
        <v>45352</v>
      </c>
      <c r="AE187" s="8">
        <v>45716</v>
      </c>
      <c r="AF187" s="7"/>
    </row>
    <row r="188" spans="1:32" ht="142.5" customHeight="1" x14ac:dyDescent="0.3">
      <c r="A188" s="5">
        <v>4695275</v>
      </c>
      <c r="B188" s="5" t="s">
        <v>2004</v>
      </c>
      <c r="C188" s="5" t="s">
        <v>4335</v>
      </c>
      <c r="D188" s="5" t="s">
        <v>354</v>
      </c>
      <c r="E188" s="5" t="s">
        <v>203</v>
      </c>
      <c r="F188" s="5" t="s">
        <v>433</v>
      </c>
      <c r="G188" s="5" t="s">
        <v>217</v>
      </c>
      <c r="H188" s="5" t="s">
        <v>245</v>
      </c>
      <c r="I188" s="5" t="s">
        <v>2005</v>
      </c>
      <c r="J188" s="5" t="s">
        <v>227</v>
      </c>
      <c r="K188" s="5" t="s">
        <v>200</v>
      </c>
      <c r="L188" s="5" t="s">
        <v>2006</v>
      </c>
      <c r="M188" s="5" t="s">
        <v>1135</v>
      </c>
      <c r="N188" s="5" t="s">
        <v>3608</v>
      </c>
      <c r="O188" s="5" t="s">
        <v>3763</v>
      </c>
      <c r="P188" s="5">
        <v>4906918</v>
      </c>
      <c r="Q188" s="5" t="s">
        <v>4336</v>
      </c>
      <c r="R188" s="5" t="s">
        <v>203</v>
      </c>
      <c r="S188" s="5" t="s">
        <v>234</v>
      </c>
      <c r="T188" s="5" t="s">
        <v>217</v>
      </c>
      <c r="U188" s="5" t="s">
        <v>245</v>
      </c>
      <c r="V188" s="5" t="s">
        <v>4337</v>
      </c>
      <c r="W188" s="5" t="s">
        <v>227</v>
      </c>
      <c r="X188" s="5" t="s">
        <v>200</v>
      </c>
      <c r="Y188" s="5" t="s">
        <v>4338</v>
      </c>
      <c r="Z188" s="5" t="s">
        <v>521</v>
      </c>
      <c r="AA188" s="5" t="s">
        <v>3623</v>
      </c>
      <c r="AB188" s="5" t="s">
        <v>3609</v>
      </c>
      <c r="AC188" s="5" t="s">
        <v>4339</v>
      </c>
      <c r="AD188" s="6">
        <v>45352</v>
      </c>
      <c r="AE188" s="6">
        <v>45626</v>
      </c>
      <c r="AF188" s="5" t="s">
        <v>3709</v>
      </c>
    </row>
    <row r="189" spans="1:32" ht="60.75" customHeight="1" x14ac:dyDescent="0.3">
      <c r="A189" s="7">
        <v>5089875</v>
      </c>
      <c r="B189" s="7" t="s">
        <v>2698</v>
      </c>
      <c r="C189" s="7" t="s">
        <v>4340</v>
      </c>
      <c r="D189" s="7" t="s">
        <v>198</v>
      </c>
      <c r="E189" s="7" t="s">
        <v>203</v>
      </c>
      <c r="F189" s="7" t="s">
        <v>433</v>
      </c>
      <c r="G189" s="7" t="s">
        <v>217</v>
      </c>
      <c r="H189" s="7" t="s">
        <v>245</v>
      </c>
      <c r="I189" s="7" t="s">
        <v>1367</v>
      </c>
      <c r="J189" s="7" t="s">
        <v>227</v>
      </c>
      <c r="K189" s="7" t="s">
        <v>200</v>
      </c>
      <c r="L189" s="7" t="s">
        <v>1368</v>
      </c>
      <c r="M189" s="7" t="s">
        <v>1369</v>
      </c>
      <c r="N189" s="7" t="s">
        <v>3623</v>
      </c>
      <c r="O189" s="7" t="s">
        <v>3912</v>
      </c>
      <c r="P189" s="7">
        <v>4824202</v>
      </c>
      <c r="Q189" s="7" t="s">
        <v>4341</v>
      </c>
      <c r="R189" s="7" t="s">
        <v>203</v>
      </c>
      <c r="S189" s="7" t="s">
        <v>234</v>
      </c>
      <c r="T189" s="7" t="s">
        <v>208</v>
      </c>
      <c r="U189" s="7" t="s">
        <v>207</v>
      </c>
      <c r="V189" s="7" t="s">
        <v>4342</v>
      </c>
      <c r="W189" s="7" t="s">
        <v>227</v>
      </c>
      <c r="X189" s="7" t="s">
        <v>200</v>
      </c>
      <c r="Y189" s="7" t="s">
        <v>2515</v>
      </c>
      <c r="Z189" s="7" t="s">
        <v>1723</v>
      </c>
      <c r="AA189" s="7" t="s">
        <v>3623</v>
      </c>
      <c r="AB189" s="7" t="s">
        <v>3646</v>
      </c>
      <c r="AC189" s="7" t="s">
        <v>4343</v>
      </c>
      <c r="AD189" s="8">
        <v>45309</v>
      </c>
      <c r="AE189" s="8">
        <v>45675</v>
      </c>
      <c r="AF189" s="7"/>
    </row>
    <row r="190" spans="1:32" ht="51" customHeight="1" x14ac:dyDescent="0.3">
      <c r="A190" s="5">
        <v>4695658</v>
      </c>
      <c r="B190" s="5" t="s">
        <v>2008</v>
      </c>
      <c r="C190" s="5" t="s">
        <v>4344</v>
      </c>
      <c r="D190" s="5" t="s">
        <v>354</v>
      </c>
      <c r="E190" s="5" t="s">
        <v>203</v>
      </c>
      <c r="F190" s="5" t="s">
        <v>234</v>
      </c>
      <c r="G190" s="5" t="s">
        <v>217</v>
      </c>
      <c r="H190" s="5" t="s">
        <v>207</v>
      </c>
      <c r="I190" s="5" t="s">
        <v>2009</v>
      </c>
      <c r="J190" s="5" t="s">
        <v>227</v>
      </c>
      <c r="K190" s="5" t="s">
        <v>200</v>
      </c>
      <c r="L190" s="5" t="s">
        <v>2010</v>
      </c>
      <c r="M190" s="5" t="s">
        <v>626</v>
      </c>
      <c r="N190" s="5" t="s">
        <v>3608</v>
      </c>
      <c r="O190" s="5" t="s">
        <v>3609</v>
      </c>
      <c r="P190" s="5">
        <v>5611768</v>
      </c>
      <c r="Q190" s="5" t="s">
        <v>4345</v>
      </c>
      <c r="R190" s="5" t="s">
        <v>203</v>
      </c>
      <c r="S190" s="5" t="s">
        <v>234</v>
      </c>
      <c r="T190" s="5" t="s">
        <v>217</v>
      </c>
      <c r="U190" s="5" t="s">
        <v>2330</v>
      </c>
      <c r="V190" s="5" t="s">
        <v>4346</v>
      </c>
      <c r="W190" s="5" t="s">
        <v>227</v>
      </c>
      <c r="X190" s="5" t="s">
        <v>200</v>
      </c>
      <c r="Y190" s="5" t="s">
        <v>4206</v>
      </c>
      <c r="Z190" s="5" t="s">
        <v>410</v>
      </c>
      <c r="AA190" s="5" t="s">
        <v>3729</v>
      </c>
      <c r="AB190" s="5" t="s">
        <v>3609</v>
      </c>
      <c r="AC190" s="5" t="s">
        <v>4347</v>
      </c>
      <c r="AD190" s="6">
        <v>45427</v>
      </c>
      <c r="AE190" s="6">
        <v>45657</v>
      </c>
      <c r="AF190" s="5"/>
    </row>
    <row r="191" spans="1:32" ht="30" customHeight="1" x14ac:dyDescent="0.3">
      <c r="A191" s="7">
        <v>4818865</v>
      </c>
      <c r="B191" s="7" t="s">
        <v>2216</v>
      </c>
      <c r="C191" s="7" t="s">
        <v>4348</v>
      </c>
      <c r="D191" s="7" t="s">
        <v>354</v>
      </c>
      <c r="E191" s="7" t="s">
        <v>203</v>
      </c>
      <c r="F191" s="7" t="s">
        <v>234</v>
      </c>
      <c r="G191" s="7" t="s">
        <v>217</v>
      </c>
      <c r="H191" s="7" t="s">
        <v>207</v>
      </c>
      <c r="I191" s="7" t="s">
        <v>2217</v>
      </c>
      <c r="J191" s="7" t="s">
        <v>227</v>
      </c>
      <c r="K191" s="7" t="s">
        <v>200</v>
      </c>
      <c r="L191" s="7" t="s">
        <v>2218</v>
      </c>
      <c r="M191" s="7" t="s">
        <v>2219</v>
      </c>
      <c r="N191" s="7" t="s">
        <v>3612</v>
      </c>
      <c r="O191" s="7" t="s">
        <v>3646</v>
      </c>
      <c r="P191" s="7">
        <v>3223094</v>
      </c>
      <c r="Q191" s="7" t="s">
        <v>4349</v>
      </c>
      <c r="R191" s="7" t="s">
        <v>737</v>
      </c>
      <c r="S191" s="7" t="s">
        <v>234</v>
      </c>
      <c r="T191" s="7" t="s">
        <v>217</v>
      </c>
      <c r="U191" s="7" t="s">
        <v>245</v>
      </c>
      <c r="V191" s="7" t="s">
        <v>4350</v>
      </c>
      <c r="W191" s="7" t="s">
        <v>227</v>
      </c>
      <c r="X191" s="7" t="s">
        <v>200</v>
      </c>
      <c r="Y191" s="7" t="s">
        <v>4032</v>
      </c>
      <c r="Z191" s="7" t="s">
        <v>1247</v>
      </c>
      <c r="AA191" s="7" t="s">
        <v>3602</v>
      </c>
      <c r="AB191" s="7" t="s">
        <v>3646</v>
      </c>
      <c r="AC191" s="7" t="s">
        <v>4351</v>
      </c>
      <c r="AD191" s="8">
        <v>45337</v>
      </c>
      <c r="AE191" s="8">
        <v>45731</v>
      </c>
      <c r="AF191" s="7"/>
    </row>
    <row r="192" spans="1:32" ht="40.5" customHeight="1" x14ac:dyDescent="0.3">
      <c r="A192" s="5">
        <v>5166268</v>
      </c>
      <c r="B192" s="5" t="s">
        <v>2837</v>
      </c>
      <c r="C192" s="5" t="s">
        <v>4352</v>
      </c>
      <c r="D192" s="5" t="s">
        <v>862</v>
      </c>
      <c r="E192" s="5" t="s">
        <v>203</v>
      </c>
      <c r="F192" s="5" t="s">
        <v>234</v>
      </c>
      <c r="G192" s="5" t="s">
        <v>208</v>
      </c>
      <c r="H192" s="5" t="s">
        <v>207</v>
      </c>
      <c r="I192" s="5" t="s">
        <v>2026</v>
      </c>
      <c r="J192" s="5" t="s">
        <v>227</v>
      </c>
      <c r="K192" s="5" t="s">
        <v>578</v>
      </c>
      <c r="L192" s="5" t="s">
        <v>2027</v>
      </c>
      <c r="M192" s="5" t="s">
        <v>540</v>
      </c>
      <c r="N192" s="5" t="s">
        <v>3623</v>
      </c>
      <c r="O192" s="5" t="s">
        <v>3894</v>
      </c>
      <c r="P192" s="5">
        <v>5367425</v>
      </c>
      <c r="Q192" s="5" t="s">
        <v>4353</v>
      </c>
      <c r="R192" s="5" t="s">
        <v>203</v>
      </c>
      <c r="S192" s="5" t="s">
        <v>234</v>
      </c>
      <c r="T192" s="5" t="s">
        <v>208</v>
      </c>
      <c r="U192" s="5" t="s">
        <v>207</v>
      </c>
      <c r="V192" s="5" t="s">
        <v>4354</v>
      </c>
      <c r="W192" s="5" t="s">
        <v>227</v>
      </c>
      <c r="X192" s="5" t="s">
        <v>200</v>
      </c>
      <c r="Y192" s="5" t="s">
        <v>4355</v>
      </c>
      <c r="Z192" s="5" t="s">
        <v>1455</v>
      </c>
      <c r="AA192" s="5" t="s">
        <v>3612</v>
      </c>
      <c r="AB192" s="5" t="s">
        <v>4356</v>
      </c>
      <c r="AC192" s="5" t="s">
        <v>4357</v>
      </c>
      <c r="AD192" s="6">
        <v>44562</v>
      </c>
      <c r="AE192" s="6">
        <v>47848</v>
      </c>
      <c r="AF192" s="5"/>
    </row>
    <row r="193" spans="1:32" ht="30" customHeight="1" x14ac:dyDescent="0.3">
      <c r="A193" s="7">
        <v>3209105</v>
      </c>
      <c r="B193" s="7" t="s">
        <v>434</v>
      </c>
      <c r="C193" s="7" t="s">
        <v>4358</v>
      </c>
      <c r="D193" s="7" t="s">
        <v>198</v>
      </c>
      <c r="E193" s="7" t="s">
        <v>203</v>
      </c>
      <c r="F193" s="7" t="s">
        <v>418</v>
      </c>
      <c r="G193" s="7" t="s">
        <v>217</v>
      </c>
      <c r="H193" s="7" t="s">
        <v>245</v>
      </c>
      <c r="I193" s="7" t="s">
        <v>435</v>
      </c>
      <c r="J193" s="7" t="s">
        <v>227</v>
      </c>
      <c r="K193" s="7" t="s">
        <v>200</v>
      </c>
      <c r="L193" s="7" t="s">
        <v>436</v>
      </c>
      <c r="M193" s="7" t="s">
        <v>437</v>
      </c>
      <c r="N193" s="7" t="s">
        <v>3602</v>
      </c>
      <c r="O193" s="7" t="s">
        <v>3763</v>
      </c>
      <c r="P193" s="7">
        <v>3422208</v>
      </c>
      <c r="Q193" s="7" t="s">
        <v>4359</v>
      </c>
      <c r="R193" s="7" t="s">
        <v>203</v>
      </c>
      <c r="S193" s="7" t="s">
        <v>433</v>
      </c>
      <c r="T193" s="7" t="s">
        <v>217</v>
      </c>
      <c r="U193" s="7" t="s">
        <v>245</v>
      </c>
      <c r="V193" s="7" t="s">
        <v>4360</v>
      </c>
      <c r="W193" s="7" t="s">
        <v>227</v>
      </c>
      <c r="X193" s="7" t="s">
        <v>200</v>
      </c>
      <c r="Y193" s="7" t="s">
        <v>4361</v>
      </c>
      <c r="Z193" s="7" t="s">
        <v>2264</v>
      </c>
      <c r="AA193" s="7" t="s">
        <v>3602</v>
      </c>
      <c r="AB193" s="7" t="s">
        <v>3763</v>
      </c>
      <c r="AC193" s="7" t="s">
        <v>4362</v>
      </c>
      <c r="AD193" s="8">
        <v>45324</v>
      </c>
      <c r="AE193" s="8">
        <v>45625</v>
      </c>
      <c r="AF193" s="7"/>
    </row>
    <row r="194" spans="1:32" ht="51" customHeight="1" x14ac:dyDescent="0.3">
      <c r="A194" s="5">
        <v>3496104</v>
      </c>
      <c r="B194" s="5" t="s">
        <v>1402</v>
      </c>
      <c r="C194" s="5" t="s">
        <v>4363</v>
      </c>
      <c r="D194" s="5" t="s">
        <v>198</v>
      </c>
      <c r="E194" s="5" t="s">
        <v>203</v>
      </c>
      <c r="F194" s="5" t="s">
        <v>234</v>
      </c>
      <c r="G194" s="5" t="s">
        <v>217</v>
      </c>
      <c r="H194" s="5" t="s">
        <v>245</v>
      </c>
      <c r="I194" s="5" t="s">
        <v>1403</v>
      </c>
      <c r="J194" s="5" t="s">
        <v>227</v>
      </c>
      <c r="K194" s="5" t="s">
        <v>200</v>
      </c>
      <c r="L194" s="5" t="s">
        <v>1404</v>
      </c>
      <c r="M194" s="5" t="s">
        <v>1405</v>
      </c>
      <c r="N194" s="5" t="s">
        <v>3623</v>
      </c>
      <c r="O194" s="5" t="s">
        <v>4364</v>
      </c>
      <c r="P194" s="5">
        <v>3496597</v>
      </c>
      <c r="Q194" s="5" t="s">
        <v>4365</v>
      </c>
      <c r="R194" s="5" t="s">
        <v>203</v>
      </c>
      <c r="S194" s="5" t="s">
        <v>234</v>
      </c>
      <c r="T194" s="5" t="s">
        <v>208</v>
      </c>
      <c r="U194" s="5" t="s">
        <v>207</v>
      </c>
      <c r="V194" s="5" t="s">
        <v>4366</v>
      </c>
      <c r="W194" s="5" t="s">
        <v>227</v>
      </c>
      <c r="X194" s="5" t="s">
        <v>200</v>
      </c>
      <c r="Y194" s="5" t="s">
        <v>4367</v>
      </c>
      <c r="Z194" s="5" t="s">
        <v>982</v>
      </c>
      <c r="AA194" s="5" t="s">
        <v>3608</v>
      </c>
      <c r="AB194" s="5" t="s">
        <v>3725</v>
      </c>
      <c r="AC194" s="5" t="s">
        <v>4368</v>
      </c>
      <c r="AD194" s="6">
        <v>45323</v>
      </c>
      <c r="AE194" s="6">
        <v>45473</v>
      </c>
      <c r="AF194" s="5"/>
    </row>
    <row r="195" spans="1:32" ht="204" customHeight="1" x14ac:dyDescent="0.3">
      <c r="A195" s="7">
        <v>5118875</v>
      </c>
      <c r="B195" s="7" t="s">
        <v>2749</v>
      </c>
      <c r="C195" s="7" t="s">
        <v>4369</v>
      </c>
      <c r="D195" s="7" t="s">
        <v>198</v>
      </c>
      <c r="E195" s="7" t="s">
        <v>203</v>
      </c>
      <c r="F195" s="7" t="s">
        <v>613</v>
      </c>
      <c r="G195" s="7" t="s">
        <v>208</v>
      </c>
      <c r="H195" s="7" t="s">
        <v>207</v>
      </c>
      <c r="I195" s="7" t="s">
        <v>2531</v>
      </c>
      <c r="J195" s="7" t="s">
        <v>608</v>
      </c>
      <c r="K195" s="7" t="s">
        <v>200</v>
      </c>
      <c r="L195" s="7" t="s">
        <v>2750</v>
      </c>
      <c r="M195" s="7" t="s">
        <v>769</v>
      </c>
      <c r="N195" s="7" t="s">
        <v>3623</v>
      </c>
      <c r="O195" s="7" t="s">
        <v>3715</v>
      </c>
      <c r="P195" s="7">
        <v>4926625</v>
      </c>
      <c r="Q195" s="7" t="s">
        <v>4370</v>
      </c>
      <c r="R195" s="7" t="s">
        <v>203</v>
      </c>
      <c r="S195" s="7" t="s">
        <v>613</v>
      </c>
      <c r="T195" s="7" t="s">
        <v>217</v>
      </c>
      <c r="U195" s="7" t="s">
        <v>207</v>
      </c>
      <c r="V195" s="7" t="s">
        <v>4371</v>
      </c>
      <c r="W195" s="7" t="s">
        <v>608</v>
      </c>
      <c r="X195" s="7" t="s">
        <v>200</v>
      </c>
      <c r="Y195" s="7" t="s">
        <v>4372</v>
      </c>
      <c r="Z195" s="7" t="s">
        <v>4373</v>
      </c>
      <c r="AA195" s="7" t="s">
        <v>3623</v>
      </c>
      <c r="AB195" s="7" t="s">
        <v>3603</v>
      </c>
      <c r="AC195" s="7" t="s">
        <v>4374</v>
      </c>
      <c r="AD195" s="8">
        <v>45200</v>
      </c>
      <c r="AE195" s="7"/>
      <c r="AF195" s="7"/>
    </row>
    <row r="196" spans="1:32" ht="40.5" customHeight="1" x14ac:dyDescent="0.3">
      <c r="A196" s="5">
        <v>4965175</v>
      </c>
      <c r="B196" s="5" t="s">
        <v>2530</v>
      </c>
      <c r="C196" s="5" t="s">
        <v>4375</v>
      </c>
      <c r="D196" s="5" t="s">
        <v>354</v>
      </c>
      <c r="E196" s="5" t="s">
        <v>203</v>
      </c>
      <c r="F196" s="5" t="s">
        <v>613</v>
      </c>
      <c r="G196" s="5" t="s">
        <v>208</v>
      </c>
      <c r="H196" s="5" t="s">
        <v>245</v>
      </c>
      <c r="I196" s="5" t="s">
        <v>2531</v>
      </c>
      <c r="J196" s="5" t="s">
        <v>608</v>
      </c>
      <c r="K196" s="5" t="s">
        <v>200</v>
      </c>
      <c r="L196" s="5" t="s">
        <v>2532</v>
      </c>
      <c r="M196" s="5" t="s">
        <v>540</v>
      </c>
      <c r="N196" s="5" t="s">
        <v>3623</v>
      </c>
      <c r="O196" s="5" t="s">
        <v>3894</v>
      </c>
      <c r="P196" s="5">
        <v>5441110</v>
      </c>
      <c r="Q196" s="5" t="s">
        <v>4376</v>
      </c>
      <c r="R196" s="5" t="s">
        <v>203</v>
      </c>
      <c r="S196" s="5" t="s">
        <v>613</v>
      </c>
      <c r="T196" s="5" t="s">
        <v>208</v>
      </c>
      <c r="U196" s="5" t="s">
        <v>207</v>
      </c>
      <c r="V196" s="5" t="s">
        <v>4377</v>
      </c>
      <c r="W196" s="5" t="s">
        <v>608</v>
      </c>
      <c r="X196" s="5" t="s">
        <v>200</v>
      </c>
      <c r="Y196" s="5" t="s">
        <v>2532</v>
      </c>
      <c r="Z196" s="5" t="s">
        <v>4378</v>
      </c>
      <c r="AA196" s="5" t="s">
        <v>3612</v>
      </c>
      <c r="AB196" s="5" t="s">
        <v>3912</v>
      </c>
      <c r="AC196" s="5" t="s">
        <v>4379</v>
      </c>
      <c r="AD196" s="6">
        <v>45342</v>
      </c>
      <c r="AE196" s="5"/>
      <c r="AF196" s="5"/>
    </row>
    <row r="197" spans="1:32" ht="30" customHeight="1" x14ac:dyDescent="0.3">
      <c r="A197" s="7">
        <v>2609932</v>
      </c>
      <c r="B197" s="7" t="s">
        <v>844</v>
      </c>
      <c r="C197" s="7"/>
      <c r="D197" s="7" t="s">
        <v>354</v>
      </c>
      <c r="E197" s="7" t="s">
        <v>203</v>
      </c>
      <c r="F197" s="7" t="s">
        <v>418</v>
      </c>
      <c r="G197" s="7" t="s">
        <v>208</v>
      </c>
      <c r="H197" s="7" t="s">
        <v>233</v>
      </c>
      <c r="I197" s="7" t="s">
        <v>846</v>
      </c>
      <c r="J197" s="7" t="s">
        <v>227</v>
      </c>
      <c r="K197" s="7" t="s">
        <v>200</v>
      </c>
      <c r="L197" s="7" t="s">
        <v>847</v>
      </c>
      <c r="M197" s="7" t="s">
        <v>848</v>
      </c>
      <c r="N197" s="7" t="s">
        <v>3652</v>
      </c>
      <c r="O197" s="7" t="s">
        <v>3743</v>
      </c>
      <c r="P197" s="7">
        <v>5288649</v>
      </c>
      <c r="Q197" s="7" t="s">
        <v>4380</v>
      </c>
      <c r="R197" s="7" t="s">
        <v>203</v>
      </c>
      <c r="S197" s="7" t="s">
        <v>433</v>
      </c>
      <c r="T197" s="7" t="s">
        <v>217</v>
      </c>
      <c r="U197" s="7" t="s">
        <v>207</v>
      </c>
      <c r="V197" s="7" t="s">
        <v>2087</v>
      </c>
      <c r="W197" s="7" t="s">
        <v>227</v>
      </c>
      <c r="X197" s="7" t="s">
        <v>200</v>
      </c>
      <c r="Y197" s="7" t="s">
        <v>847</v>
      </c>
      <c r="Z197" s="7" t="s">
        <v>2663</v>
      </c>
      <c r="AA197" s="7" t="s">
        <v>3612</v>
      </c>
      <c r="AB197" s="7" t="s">
        <v>3912</v>
      </c>
      <c r="AC197" s="7" t="s">
        <v>4381</v>
      </c>
      <c r="AD197" s="8">
        <v>45352</v>
      </c>
      <c r="AE197" s="8">
        <v>45639</v>
      </c>
      <c r="AF197" s="7"/>
    </row>
    <row r="198" spans="1:32" ht="30" customHeight="1" x14ac:dyDescent="0.3">
      <c r="A198" s="5">
        <v>3174042</v>
      </c>
      <c r="B198" s="5" t="s">
        <v>489</v>
      </c>
      <c r="C198" s="5" t="s">
        <v>4382</v>
      </c>
      <c r="D198" s="5" t="s">
        <v>354</v>
      </c>
      <c r="E198" s="5" t="s">
        <v>203</v>
      </c>
      <c r="F198" s="5" t="s">
        <v>234</v>
      </c>
      <c r="G198" s="5" t="s">
        <v>217</v>
      </c>
      <c r="H198" s="5" t="s">
        <v>245</v>
      </c>
      <c r="I198" s="5" t="s">
        <v>490</v>
      </c>
      <c r="J198" s="5" t="s">
        <v>227</v>
      </c>
      <c r="K198" s="5" t="s">
        <v>200</v>
      </c>
      <c r="L198" s="5" t="s">
        <v>491</v>
      </c>
      <c r="M198" s="5" t="s">
        <v>427</v>
      </c>
      <c r="N198" s="5" t="s">
        <v>3602</v>
      </c>
      <c r="O198" s="5" t="s">
        <v>3736</v>
      </c>
      <c r="P198" s="5">
        <v>2856492</v>
      </c>
      <c r="Q198" s="5" t="s">
        <v>4383</v>
      </c>
      <c r="R198" s="5" t="s">
        <v>203</v>
      </c>
      <c r="S198" s="5" t="s">
        <v>234</v>
      </c>
      <c r="T198" s="5" t="s">
        <v>217</v>
      </c>
      <c r="U198" s="5" t="s">
        <v>245</v>
      </c>
      <c r="V198" s="5" t="s">
        <v>490</v>
      </c>
      <c r="W198" s="5" t="s">
        <v>227</v>
      </c>
      <c r="X198" s="5" t="s">
        <v>200</v>
      </c>
      <c r="Y198" s="5" t="s">
        <v>4384</v>
      </c>
      <c r="Z198" s="5" t="s">
        <v>482</v>
      </c>
      <c r="AA198" s="5" t="s">
        <v>3652</v>
      </c>
      <c r="AB198" s="5" t="s">
        <v>3635</v>
      </c>
      <c r="AC198" s="5" t="s">
        <v>4385</v>
      </c>
      <c r="AD198" s="6">
        <v>45324</v>
      </c>
      <c r="AE198" s="6">
        <v>45633</v>
      </c>
      <c r="AF198" s="5"/>
    </row>
    <row r="199" spans="1:32" ht="30" customHeight="1" x14ac:dyDescent="0.3">
      <c r="A199" s="7">
        <v>4805062</v>
      </c>
      <c r="B199" s="7" t="s">
        <v>2194</v>
      </c>
      <c r="C199" s="7"/>
      <c r="D199" s="7" t="s">
        <v>354</v>
      </c>
      <c r="E199" s="7" t="s">
        <v>203</v>
      </c>
      <c r="F199" s="7" t="s">
        <v>418</v>
      </c>
      <c r="G199" s="7" t="s">
        <v>208</v>
      </c>
      <c r="H199" s="7" t="s">
        <v>207</v>
      </c>
      <c r="I199" s="7" t="s">
        <v>2195</v>
      </c>
      <c r="J199" s="7" t="s">
        <v>227</v>
      </c>
      <c r="K199" s="7" t="s">
        <v>888</v>
      </c>
      <c r="L199" s="7" t="s">
        <v>2196</v>
      </c>
      <c r="M199" s="7" t="s">
        <v>2197</v>
      </c>
      <c r="N199" s="7" t="s">
        <v>3608</v>
      </c>
      <c r="O199" s="7" t="s">
        <v>3727</v>
      </c>
      <c r="P199" s="7">
        <v>5496608</v>
      </c>
      <c r="Q199" s="7" t="s">
        <v>4386</v>
      </c>
      <c r="R199" s="7" t="s">
        <v>203</v>
      </c>
      <c r="S199" s="7" t="s">
        <v>234</v>
      </c>
      <c r="T199" s="7" t="s">
        <v>217</v>
      </c>
      <c r="U199" s="7" t="s">
        <v>207</v>
      </c>
      <c r="V199" s="7" t="s">
        <v>3189</v>
      </c>
      <c r="W199" s="7" t="s">
        <v>227</v>
      </c>
      <c r="X199" s="7" t="s">
        <v>200</v>
      </c>
      <c r="Y199" s="7" t="s">
        <v>2282</v>
      </c>
      <c r="Z199" s="7" t="s">
        <v>2033</v>
      </c>
      <c r="AA199" s="7" t="s">
        <v>3612</v>
      </c>
      <c r="AB199" s="7" t="s">
        <v>3960</v>
      </c>
      <c r="AC199" s="7" t="s">
        <v>4387</v>
      </c>
      <c r="AD199" s="8">
        <v>45352</v>
      </c>
      <c r="AE199" s="8">
        <v>46022</v>
      </c>
      <c r="AF199" s="7"/>
    </row>
    <row r="200" spans="1:32" ht="30" customHeight="1" x14ac:dyDescent="0.3">
      <c r="A200" s="5">
        <v>3168158</v>
      </c>
      <c r="B200" s="5" t="s">
        <v>1004</v>
      </c>
      <c r="C200" s="5"/>
      <c r="D200" s="5" t="s">
        <v>354</v>
      </c>
      <c r="E200" s="5" t="s">
        <v>203</v>
      </c>
      <c r="F200" s="5" t="s">
        <v>418</v>
      </c>
      <c r="G200" s="5" t="s">
        <v>208</v>
      </c>
      <c r="H200" s="5" t="s">
        <v>207</v>
      </c>
      <c r="I200" s="5" t="s">
        <v>1005</v>
      </c>
      <c r="J200" s="5" t="s">
        <v>227</v>
      </c>
      <c r="K200" s="5" t="s">
        <v>200</v>
      </c>
      <c r="L200" s="5" t="s">
        <v>1006</v>
      </c>
      <c r="M200" s="5" t="s">
        <v>1007</v>
      </c>
      <c r="N200" s="5" t="s">
        <v>3602</v>
      </c>
      <c r="O200" s="5" t="s">
        <v>4181</v>
      </c>
      <c r="P200" s="5">
        <v>5455634</v>
      </c>
      <c r="Q200" s="5" t="s">
        <v>4388</v>
      </c>
      <c r="R200" s="5" t="s">
        <v>203</v>
      </c>
      <c r="S200" s="5" t="s">
        <v>433</v>
      </c>
      <c r="T200" s="5" t="s">
        <v>208</v>
      </c>
      <c r="U200" s="5" t="s">
        <v>245</v>
      </c>
      <c r="V200" s="5" t="s">
        <v>4389</v>
      </c>
      <c r="W200" s="5" t="s">
        <v>227</v>
      </c>
      <c r="X200" s="5" t="s">
        <v>200</v>
      </c>
      <c r="Y200" s="5" t="s">
        <v>4390</v>
      </c>
      <c r="Z200" s="5" t="s">
        <v>1445</v>
      </c>
      <c r="AA200" s="5" t="s">
        <v>3612</v>
      </c>
      <c r="AB200" s="5" t="s">
        <v>3705</v>
      </c>
      <c r="AC200" s="5" t="s">
        <v>4391</v>
      </c>
      <c r="AD200" s="6">
        <v>44621</v>
      </c>
      <c r="AE200" s="6">
        <v>45356</v>
      </c>
      <c r="AF200" s="5"/>
    </row>
    <row r="201" spans="1:32" ht="30" customHeight="1" x14ac:dyDescent="0.3">
      <c r="A201" s="7">
        <v>5561922</v>
      </c>
      <c r="B201" s="7" t="s">
        <v>3291</v>
      </c>
      <c r="C201" s="7" t="s">
        <v>4392</v>
      </c>
      <c r="D201" s="7" t="s">
        <v>198</v>
      </c>
      <c r="E201" s="7" t="s">
        <v>203</v>
      </c>
      <c r="F201" s="7" t="s">
        <v>234</v>
      </c>
      <c r="G201" s="7" t="s">
        <v>208</v>
      </c>
      <c r="H201" s="7" t="s">
        <v>207</v>
      </c>
      <c r="I201" s="7" t="s">
        <v>2851</v>
      </c>
      <c r="J201" s="7" t="s">
        <v>227</v>
      </c>
      <c r="K201" s="7" t="s">
        <v>200</v>
      </c>
      <c r="L201" s="7" t="s">
        <v>2852</v>
      </c>
      <c r="M201" s="7" t="s">
        <v>3292</v>
      </c>
      <c r="N201" s="7" t="s">
        <v>3612</v>
      </c>
      <c r="O201" s="7" t="s">
        <v>3711</v>
      </c>
      <c r="P201" s="7">
        <v>5665531</v>
      </c>
      <c r="Q201" s="7" t="s">
        <v>4393</v>
      </c>
      <c r="R201" s="7" t="s">
        <v>203</v>
      </c>
      <c r="S201" s="7" t="s">
        <v>234</v>
      </c>
      <c r="T201" s="7" t="s">
        <v>208</v>
      </c>
      <c r="U201" s="7" t="s">
        <v>2330</v>
      </c>
      <c r="V201" s="7" t="s">
        <v>4394</v>
      </c>
      <c r="W201" s="7" t="s">
        <v>227</v>
      </c>
      <c r="X201" s="7" t="s">
        <v>200</v>
      </c>
      <c r="Y201" s="7" t="s">
        <v>784</v>
      </c>
      <c r="Z201" s="7" t="s">
        <v>4395</v>
      </c>
      <c r="AA201" s="7" t="s">
        <v>3729</v>
      </c>
      <c r="AB201" s="7" t="s">
        <v>3715</v>
      </c>
      <c r="AC201" s="7" t="s">
        <v>4396</v>
      </c>
      <c r="AD201" s="8">
        <v>45175</v>
      </c>
      <c r="AE201" s="8">
        <v>45473</v>
      </c>
      <c r="AF201" s="7"/>
    </row>
    <row r="202" spans="1:32" ht="30" customHeight="1" x14ac:dyDescent="0.3">
      <c r="A202" s="5">
        <v>3511847</v>
      </c>
      <c r="B202" s="5" t="s">
        <v>393</v>
      </c>
      <c r="C202" s="5" t="s">
        <v>4397</v>
      </c>
      <c r="D202" s="5" t="s">
        <v>198</v>
      </c>
      <c r="E202" s="5" t="s">
        <v>203</v>
      </c>
      <c r="F202" s="5"/>
      <c r="G202" s="5" t="s">
        <v>208</v>
      </c>
      <c r="H202" s="5" t="s">
        <v>207</v>
      </c>
      <c r="I202" s="5" t="s">
        <v>394</v>
      </c>
      <c r="J202" s="5" t="s">
        <v>211</v>
      </c>
      <c r="K202" s="5" t="s">
        <v>200</v>
      </c>
      <c r="L202" s="5" t="s">
        <v>395</v>
      </c>
      <c r="M202" s="5" t="s">
        <v>272</v>
      </c>
      <c r="N202" s="5" t="s">
        <v>3608</v>
      </c>
      <c r="O202" s="5" t="s">
        <v>3609</v>
      </c>
      <c r="P202" s="5">
        <v>5179564</v>
      </c>
      <c r="Q202" s="5" t="s">
        <v>3638</v>
      </c>
      <c r="R202" s="5" t="s">
        <v>203</v>
      </c>
      <c r="S202" s="5"/>
      <c r="T202" s="5" t="s">
        <v>217</v>
      </c>
      <c r="U202" s="5" t="s">
        <v>207</v>
      </c>
      <c r="V202" s="5" t="s">
        <v>3639</v>
      </c>
      <c r="W202" s="5" t="s">
        <v>211</v>
      </c>
      <c r="X202" s="5" t="s">
        <v>200</v>
      </c>
      <c r="Y202" s="5" t="s">
        <v>395</v>
      </c>
      <c r="Z202" s="5" t="s">
        <v>1904</v>
      </c>
      <c r="AA202" s="5" t="s">
        <v>3623</v>
      </c>
      <c r="AB202" s="5" t="s">
        <v>3613</v>
      </c>
      <c r="AC202" s="5" t="s">
        <v>4398</v>
      </c>
      <c r="AD202" s="6">
        <v>45240</v>
      </c>
      <c r="AE202" s="5"/>
      <c r="AF202" s="5"/>
    </row>
    <row r="203" spans="1:32" ht="173.25" customHeight="1" x14ac:dyDescent="0.3">
      <c r="A203" s="7">
        <v>5201918</v>
      </c>
      <c r="B203" s="7" t="s">
        <v>2898</v>
      </c>
      <c r="C203" s="7" t="s">
        <v>4399</v>
      </c>
      <c r="D203" s="7" t="s">
        <v>198</v>
      </c>
      <c r="E203" s="7" t="s">
        <v>203</v>
      </c>
      <c r="F203" s="7" t="s">
        <v>418</v>
      </c>
      <c r="G203" s="7" t="s">
        <v>217</v>
      </c>
      <c r="H203" s="7" t="s">
        <v>245</v>
      </c>
      <c r="I203" s="7" t="s">
        <v>2899</v>
      </c>
      <c r="J203" s="7" t="s">
        <v>227</v>
      </c>
      <c r="K203" s="7" t="s">
        <v>200</v>
      </c>
      <c r="L203" s="7" t="s">
        <v>2900</v>
      </c>
      <c r="M203" s="7" t="s">
        <v>299</v>
      </c>
      <c r="N203" s="7" t="s">
        <v>3623</v>
      </c>
      <c r="O203" s="7" t="s">
        <v>3603</v>
      </c>
      <c r="P203" s="7">
        <v>4761936</v>
      </c>
      <c r="Q203" s="7" t="s">
        <v>4400</v>
      </c>
      <c r="R203" s="7" t="s">
        <v>203</v>
      </c>
      <c r="S203" s="7" t="s">
        <v>418</v>
      </c>
      <c r="T203" s="7" t="s">
        <v>217</v>
      </c>
      <c r="U203" s="7" t="s">
        <v>207</v>
      </c>
      <c r="V203" s="7" t="s">
        <v>4401</v>
      </c>
      <c r="W203" s="7" t="s">
        <v>227</v>
      </c>
      <c r="X203" s="7" t="s">
        <v>200</v>
      </c>
      <c r="Y203" s="7" t="s">
        <v>3100</v>
      </c>
      <c r="Z203" s="7" t="s">
        <v>4402</v>
      </c>
      <c r="AA203" s="7" t="s">
        <v>3623</v>
      </c>
      <c r="AB203" s="7" t="s">
        <v>3763</v>
      </c>
      <c r="AC203" s="7" t="s">
        <v>4403</v>
      </c>
      <c r="AD203" s="8">
        <v>45383</v>
      </c>
      <c r="AE203" s="7"/>
      <c r="AF203" s="7"/>
    </row>
    <row r="204" spans="1:32" ht="142.5" customHeight="1" x14ac:dyDescent="0.3">
      <c r="A204" s="5">
        <v>5116716</v>
      </c>
      <c r="B204" s="5" t="s">
        <v>2746</v>
      </c>
      <c r="C204" s="5" t="s">
        <v>4404</v>
      </c>
      <c r="D204" s="5" t="s">
        <v>198</v>
      </c>
      <c r="E204" s="5" t="s">
        <v>203</v>
      </c>
      <c r="F204" s="5" t="s">
        <v>433</v>
      </c>
      <c r="G204" s="5" t="s">
        <v>208</v>
      </c>
      <c r="H204" s="5" t="s">
        <v>207</v>
      </c>
      <c r="I204" s="5" t="s">
        <v>2747</v>
      </c>
      <c r="J204" s="5" t="s">
        <v>227</v>
      </c>
      <c r="K204" s="5" t="s">
        <v>200</v>
      </c>
      <c r="L204" s="5" t="s">
        <v>2748</v>
      </c>
      <c r="M204" s="5" t="s">
        <v>2097</v>
      </c>
      <c r="N204" s="5" t="s">
        <v>3623</v>
      </c>
      <c r="O204" s="5" t="s">
        <v>3894</v>
      </c>
      <c r="P204" s="5">
        <v>8870857</v>
      </c>
      <c r="Q204" s="5" t="s">
        <v>4405</v>
      </c>
      <c r="R204" s="5" t="s">
        <v>203</v>
      </c>
      <c r="S204" s="5" t="s">
        <v>418</v>
      </c>
      <c r="T204" s="5" t="s">
        <v>217</v>
      </c>
      <c r="U204" s="5" t="s">
        <v>2330</v>
      </c>
      <c r="V204" s="5" t="s">
        <v>4406</v>
      </c>
      <c r="W204" s="5" t="s">
        <v>227</v>
      </c>
      <c r="X204" s="5" t="s">
        <v>200</v>
      </c>
      <c r="Y204" s="5" t="s">
        <v>4407</v>
      </c>
      <c r="Z204" s="5" t="s">
        <v>1328</v>
      </c>
      <c r="AA204" s="5" t="s">
        <v>3732</v>
      </c>
      <c r="AB204" s="5" t="s">
        <v>3894</v>
      </c>
      <c r="AC204" s="5" t="s">
        <v>4408</v>
      </c>
      <c r="AD204" s="6">
        <v>45372</v>
      </c>
      <c r="AE204" s="6">
        <v>45626</v>
      </c>
      <c r="AF204" s="5"/>
    </row>
    <row r="205" spans="1:32" ht="71.25" customHeight="1" x14ac:dyDescent="0.3">
      <c r="A205" s="7">
        <v>4920740</v>
      </c>
      <c r="B205" s="7" t="s">
        <v>2436</v>
      </c>
      <c r="C205" s="7" t="s">
        <v>4409</v>
      </c>
      <c r="D205" s="7" t="s">
        <v>198</v>
      </c>
      <c r="E205" s="7" t="s">
        <v>203</v>
      </c>
      <c r="F205" s="7" t="s">
        <v>433</v>
      </c>
      <c r="G205" s="7" t="s">
        <v>217</v>
      </c>
      <c r="H205" s="7" t="s">
        <v>245</v>
      </c>
      <c r="I205" s="7" t="s">
        <v>2437</v>
      </c>
      <c r="J205" s="7" t="s">
        <v>227</v>
      </c>
      <c r="K205" s="7" t="s">
        <v>200</v>
      </c>
      <c r="L205" s="7" t="s">
        <v>2438</v>
      </c>
      <c r="M205" s="7" t="s">
        <v>752</v>
      </c>
      <c r="N205" s="7" t="s">
        <v>3623</v>
      </c>
      <c r="O205" s="7" t="s">
        <v>3635</v>
      </c>
      <c r="P205" s="7">
        <v>5037360</v>
      </c>
      <c r="Q205" s="7" t="s">
        <v>4410</v>
      </c>
      <c r="R205" s="7" t="s">
        <v>203</v>
      </c>
      <c r="S205" s="7" t="s">
        <v>234</v>
      </c>
      <c r="T205" s="7" t="s">
        <v>208</v>
      </c>
      <c r="U205" s="7" t="s">
        <v>207</v>
      </c>
      <c r="V205" s="7" t="s">
        <v>4411</v>
      </c>
      <c r="W205" s="7" t="s">
        <v>227</v>
      </c>
      <c r="X205" s="7" t="s">
        <v>200</v>
      </c>
      <c r="Y205" s="7" t="s">
        <v>4412</v>
      </c>
      <c r="Z205" s="7" t="s">
        <v>1127</v>
      </c>
      <c r="AA205" s="7" t="s">
        <v>3623</v>
      </c>
      <c r="AB205" s="7" t="s">
        <v>3886</v>
      </c>
      <c r="AC205" s="7" t="s">
        <v>4413</v>
      </c>
      <c r="AD205" s="8">
        <v>45294</v>
      </c>
      <c r="AE205" s="8">
        <v>45371</v>
      </c>
      <c r="AF205" s="7" t="s">
        <v>3881</v>
      </c>
    </row>
    <row r="206" spans="1:32" ht="40.5" customHeight="1" x14ac:dyDescent="0.3">
      <c r="A206" s="5">
        <v>3593053</v>
      </c>
      <c r="B206" s="5" t="s">
        <v>1498</v>
      </c>
      <c r="C206" s="5" t="s">
        <v>4414</v>
      </c>
      <c r="D206" s="5" t="s">
        <v>354</v>
      </c>
      <c r="E206" s="5" t="s">
        <v>203</v>
      </c>
      <c r="F206" s="5" t="s">
        <v>234</v>
      </c>
      <c r="G206" s="5" t="s">
        <v>208</v>
      </c>
      <c r="H206" s="5" t="s">
        <v>207</v>
      </c>
      <c r="I206" s="5" t="s">
        <v>1499</v>
      </c>
      <c r="J206" s="5" t="s">
        <v>227</v>
      </c>
      <c r="K206" s="5" t="s">
        <v>200</v>
      </c>
      <c r="L206" s="5" t="s">
        <v>1500</v>
      </c>
      <c r="M206" s="5" t="s">
        <v>427</v>
      </c>
      <c r="N206" s="5" t="s">
        <v>3602</v>
      </c>
      <c r="O206" s="5" t="s">
        <v>3736</v>
      </c>
      <c r="P206" s="5">
        <v>2786133</v>
      </c>
      <c r="Q206" s="5" t="s">
        <v>4415</v>
      </c>
      <c r="R206" s="5" t="s">
        <v>203</v>
      </c>
      <c r="S206" s="5" t="s">
        <v>444</v>
      </c>
      <c r="T206" s="5" t="s">
        <v>217</v>
      </c>
      <c r="U206" s="5" t="s">
        <v>233</v>
      </c>
      <c r="V206" s="5" t="s">
        <v>1499</v>
      </c>
      <c r="W206" s="5" t="s">
        <v>227</v>
      </c>
      <c r="X206" s="5" t="s">
        <v>200</v>
      </c>
      <c r="Y206" s="5" t="s">
        <v>4416</v>
      </c>
      <c r="Z206" s="5" t="s">
        <v>1110</v>
      </c>
      <c r="AA206" s="5" t="s">
        <v>3652</v>
      </c>
      <c r="AB206" s="5" t="s">
        <v>3702</v>
      </c>
      <c r="AC206" s="5" t="s">
        <v>4417</v>
      </c>
      <c r="AD206" s="6">
        <v>45306</v>
      </c>
      <c r="AE206" s="6">
        <v>45473</v>
      </c>
      <c r="AF206" s="5"/>
    </row>
    <row r="207" spans="1:32" ht="40.5" customHeight="1" x14ac:dyDescent="0.3">
      <c r="A207" s="7">
        <v>5053625</v>
      </c>
      <c r="B207" s="7" t="s">
        <v>2627</v>
      </c>
      <c r="C207" s="7" t="s">
        <v>4418</v>
      </c>
      <c r="D207" s="7" t="s">
        <v>198</v>
      </c>
      <c r="E207" s="7" t="s">
        <v>203</v>
      </c>
      <c r="F207" s="7" t="s">
        <v>234</v>
      </c>
      <c r="G207" s="7" t="s">
        <v>217</v>
      </c>
      <c r="H207" s="7" t="s">
        <v>207</v>
      </c>
      <c r="I207" s="7" t="s">
        <v>2628</v>
      </c>
      <c r="J207" s="7" t="s">
        <v>227</v>
      </c>
      <c r="K207" s="7" t="s">
        <v>200</v>
      </c>
      <c r="L207" s="7" t="s">
        <v>2629</v>
      </c>
      <c r="M207" s="7" t="s">
        <v>982</v>
      </c>
      <c r="N207" s="7" t="s">
        <v>3623</v>
      </c>
      <c r="O207" s="7" t="s">
        <v>3725</v>
      </c>
      <c r="P207" s="7">
        <v>5015243</v>
      </c>
      <c r="Q207" s="7" t="s">
        <v>4419</v>
      </c>
      <c r="R207" s="7" t="s">
        <v>203</v>
      </c>
      <c r="S207" s="7" t="s">
        <v>234</v>
      </c>
      <c r="T207" s="7" t="s">
        <v>217</v>
      </c>
      <c r="U207" s="7" t="s">
        <v>207</v>
      </c>
      <c r="V207" s="7" t="s">
        <v>4420</v>
      </c>
      <c r="W207" s="7" t="s">
        <v>227</v>
      </c>
      <c r="X207" s="7" t="s">
        <v>200</v>
      </c>
      <c r="Y207" s="7" t="s">
        <v>1937</v>
      </c>
      <c r="Z207" s="7" t="s">
        <v>4421</v>
      </c>
      <c r="AA207" s="7" t="s">
        <v>3623</v>
      </c>
      <c r="AB207" s="7" t="s">
        <v>3646</v>
      </c>
      <c r="AC207" s="7" t="s">
        <v>4422</v>
      </c>
      <c r="AD207" s="8">
        <v>45370</v>
      </c>
      <c r="AE207" s="7"/>
      <c r="AF207" s="7"/>
    </row>
    <row r="208" spans="1:32" ht="71.25" customHeight="1" x14ac:dyDescent="0.3">
      <c r="A208" s="5">
        <v>5464900</v>
      </c>
      <c r="B208" s="5" t="s">
        <v>3244</v>
      </c>
      <c r="C208" s="5" t="s">
        <v>4423</v>
      </c>
      <c r="D208" s="5" t="s">
        <v>198</v>
      </c>
      <c r="E208" s="5" t="s">
        <v>203</v>
      </c>
      <c r="F208" s="5" t="s">
        <v>234</v>
      </c>
      <c r="G208" s="5" t="s">
        <v>208</v>
      </c>
      <c r="H208" s="5" t="s">
        <v>207</v>
      </c>
      <c r="I208" s="5" t="s">
        <v>3245</v>
      </c>
      <c r="J208" s="5" t="s">
        <v>227</v>
      </c>
      <c r="K208" s="5" t="s">
        <v>200</v>
      </c>
      <c r="L208" s="5" t="s">
        <v>3246</v>
      </c>
      <c r="M208" s="5" t="s">
        <v>2677</v>
      </c>
      <c r="N208" s="5" t="s">
        <v>3612</v>
      </c>
      <c r="O208" s="5" t="s">
        <v>3741</v>
      </c>
      <c r="P208" s="5">
        <v>4656695</v>
      </c>
      <c r="Q208" s="5" t="s">
        <v>4424</v>
      </c>
      <c r="R208" s="5" t="s">
        <v>203</v>
      </c>
      <c r="S208" s="5" t="s">
        <v>234</v>
      </c>
      <c r="T208" s="5" t="s">
        <v>208</v>
      </c>
      <c r="U208" s="5" t="s">
        <v>245</v>
      </c>
      <c r="V208" s="5" t="s">
        <v>4425</v>
      </c>
      <c r="W208" s="5" t="s">
        <v>227</v>
      </c>
      <c r="X208" s="5" t="s">
        <v>200</v>
      </c>
      <c r="Y208" s="5" t="s">
        <v>1039</v>
      </c>
      <c r="Z208" s="5" t="s">
        <v>2305</v>
      </c>
      <c r="AA208" s="5" t="s">
        <v>3623</v>
      </c>
      <c r="AB208" s="5" t="s">
        <v>4426</v>
      </c>
      <c r="AC208" s="5" t="s">
        <v>4427</v>
      </c>
      <c r="AD208" s="6">
        <v>45327</v>
      </c>
      <c r="AE208" s="6">
        <v>45473</v>
      </c>
      <c r="AF208" s="5"/>
    </row>
    <row r="209" spans="1:32" ht="111.75" customHeight="1" x14ac:dyDescent="0.3">
      <c r="A209" s="7">
        <v>3143244</v>
      </c>
      <c r="B209" s="7" t="s">
        <v>1028</v>
      </c>
      <c r="C209" s="7" t="s">
        <v>4428</v>
      </c>
      <c r="D209" s="7" t="s">
        <v>198</v>
      </c>
      <c r="E209" s="7" t="s">
        <v>203</v>
      </c>
      <c r="F209" s="7" t="s">
        <v>418</v>
      </c>
      <c r="G209" s="7" t="s">
        <v>217</v>
      </c>
      <c r="H209" s="7" t="s">
        <v>245</v>
      </c>
      <c r="I209" s="7" t="s">
        <v>1029</v>
      </c>
      <c r="J209" s="7" t="s">
        <v>227</v>
      </c>
      <c r="K209" s="7" t="s">
        <v>200</v>
      </c>
      <c r="L209" s="7" t="s">
        <v>1030</v>
      </c>
      <c r="M209" s="7" t="s">
        <v>1031</v>
      </c>
      <c r="N209" s="7" t="s">
        <v>3602</v>
      </c>
      <c r="O209" s="7" t="s">
        <v>3627</v>
      </c>
      <c r="P209" s="7">
        <v>5154480</v>
      </c>
      <c r="Q209" s="7" t="s">
        <v>4429</v>
      </c>
      <c r="R209" s="7"/>
      <c r="S209" s="7" t="s">
        <v>234</v>
      </c>
      <c r="T209" s="7" t="s">
        <v>217</v>
      </c>
      <c r="U209" s="7" t="s">
        <v>2330</v>
      </c>
      <c r="V209" s="7"/>
      <c r="W209" s="7" t="s">
        <v>227</v>
      </c>
      <c r="X209" s="7"/>
      <c r="Y209" s="7"/>
      <c r="Z209" s="7"/>
      <c r="AA209" s="7" t="s">
        <v>3623</v>
      </c>
      <c r="AB209" s="7"/>
      <c r="AC209" s="7" t="s">
        <v>4430</v>
      </c>
      <c r="AD209" s="8">
        <v>45168</v>
      </c>
      <c r="AE209" s="8">
        <v>45534</v>
      </c>
      <c r="AF209" s="7" t="s">
        <v>3678</v>
      </c>
    </row>
    <row r="210" spans="1:32" ht="40.5" customHeight="1" x14ac:dyDescent="0.3">
      <c r="A210" s="5">
        <v>4936930</v>
      </c>
      <c r="B210" s="5" t="s">
        <v>4431</v>
      </c>
      <c r="C210" s="5"/>
      <c r="D210" s="5" t="s">
        <v>198</v>
      </c>
      <c r="E210" s="5"/>
      <c r="F210" s="5"/>
      <c r="G210" s="5" t="s">
        <v>208</v>
      </c>
      <c r="H210" s="5" t="s">
        <v>245</v>
      </c>
      <c r="I210" s="5"/>
      <c r="J210" s="5" t="s">
        <v>199</v>
      </c>
      <c r="K210" s="5"/>
      <c r="L210" s="5"/>
      <c r="M210" s="5"/>
      <c r="N210" s="5" t="s">
        <v>3623</v>
      </c>
      <c r="O210" s="5"/>
      <c r="P210" s="5">
        <v>4683404</v>
      </c>
      <c r="Q210" s="5" t="s">
        <v>4432</v>
      </c>
      <c r="R210" s="5" t="s">
        <v>203</v>
      </c>
      <c r="S210" s="5"/>
      <c r="T210" s="5" t="s">
        <v>217</v>
      </c>
      <c r="U210" s="5" t="s">
        <v>207</v>
      </c>
      <c r="V210" s="5" t="s">
        <v>4433</v>
      </c>
      <c r="W210" s="5" t="s">
        <v>199</v>
      </c>
      <c r="X210" s="5" t="s">
        <v>200</v>
      </c>
      <c r="Y210" s="5" t="s">
        <v>202</v>
      </c>
      <c r="Z210" s="5" t="s">
        <v>4434</v>
      </c>
      <c r="AA210" s="5" t="s">
        <v>3608</v>
      </c>
      <c r="AB210" s="5" t="s">
        <v>4185</v>
      </c>
      <c r="AC210" s="5" t="s">
        <v>4435</v>
      </c>
      <c r="AD210" s="6">
        <v>45290</v>
      </c>
      <c r="AE210" s="6">
        <v>45473</v>
      </c>
      <c r="AF210" s="5"/>
    </row>
    <row r="211" spans="1:32" ht="40.5" customHeight="1" x14ac:dyDescent="0.3">
      <c r="A211" s="7">
        <v>4526651</v>
      </c>
      <c r="B211" s="7" t="s">
        <v>4436</v>
      </c>
      <c r="C211" s="7" t="s">
        <v>4437</v>
      </c>
      <c r="D211" s="7" t="s">
        <v>198</v>
      </c>
      <c r="E211" s="7" t="s">
        <v>203</v>
      </c>
      <c r="F211" s="7" t="s">
        <v>433</v>
      </c>
      <c r="G211" s="7" t="s">
        <v>217</v>
      </c>
      <c r="H211" s="7" t="s">
        <v>245</v>
      </c>
      <c r="I211" s="7" t="s">
        <v>4438</v>
      </c>
      <c r="J211" s="7" t="s">
        <v>227</v>
      </c>
      <c r="K211" s="7" t="s">
        <v>413</v>
      </c>
      <c r="L211" s="7" t="s">
        <v>4439</v>
      </c>
      <c r="M211" s="7" t="s">
        <v>4440</v>
      </c>
      <c r="N211" s="7" t="s">
        <v>3602</v>
      </c>
      <c r="O211" s="7" t="s">
        <v>3603</v>
      </c>
      <c r="P211" s="7">
        <v>3023214</v>
      </c>
      <c r="Q211" s="7" t="s">
        <v>4441</v>
      </c>
      <c r="R211" s="7" t="s">
        <v>203</v>
      </c>
      <c r="S211" s="7" t="s">
        <v>433</v>
      </c>
      <c r="T211" s="7" t="s">
        <v>217</v>
      </c>
      <c r="U211" s="7" t="s">
        <v>245</v>
      </c>
      <c r="V211" s="7" t="s">
        <v>4442</v>
      </c>
      <c r="W211" s="7" t="s">
        <v>227</v>
      </c>
      <c r="X211" s="7" t="s">
        <v>413</v>
      </c>
      <c r="Y211" s="7" t="s">
        <v>4443</v>
      </c>
      <c r="Z211" s="7" t="s">
        <v>4444</v>
      </c>
      <c r="AA211" s="7" t="s">
        <v>3652</v>
      </c>
      <c r="AB211" s="7" t="s">
        <v>3853</v>
      </c>
      <c r="AC211" s="7" t="s">
        <v>4445</v>
      </c>
      <c r="AD211" s="8">
        <v>45180</v>
      </c>
      <c r="AE211" s="8">
        <v>45748</v>
      </c>
      <c r="AF211" s="7"/>
    </row>
    <row r="212" spans="1:32" ht="122.25" customHeight="1" x14ac:dyDescent="0.3">
      <c r="A212" s="5">
        <v>5150175</v>
      </c>
      <c r="B212" s="5" t="s">
        <v>2809</v>
      </c>
      <c r="C212" s="5" t="s">
        <v>4446</v>
      </c>
      <c r="D212" s="5" t="s">
        <v>862</v>
      </c>
      <c r="E212" s="5" t="s">
        <v>203</v>
      </c>
      <c r="F212" s="5" t="s">
        <v>433</v>
      </c>
      <c r="G212" s="5" t="s">
        <v>208</v>
      </c>
      <c r="H212" s="5" t="s">
        <v>245</v>
      </c>
      <c r="I212" s="5" t="s">
        <v>1065</v>
      </c>
      <c r="J212" s="5" t="s">
        <v>227</v>
      </c>
      <c r="K212" s="5" t="s">
        <v>200</v>
      </c>
      <c r="L212" s="5" t="s">
        <v>1066</v>
      </c>
      <c r="M212" s="5" t="s">
        <v>2712</v>
      </c>
      <c r="N212" s="5" t="s">
        <v>3602</v>
      </c>
      <c r="O212" s="5" t="s">
        <v>4181</v>
      </c>
      <c r="P212" s="5">
        <v>5102456</v>
      </c>
      <c r="Q212" s="5" t="s">
        <v>4447</v>
      </c>
      <c r="R212" s="5" t="s">
        <v>203</v>
      </c>
      <c r="S212" s="5" t="s">
        <v>234</v>
      </c>
      <c r="T212" s="5" t="s">
        <v>208</v>
      </c>
      <c r="U212" s="5" t="s">
        <v>245</v>
      </c>
      <c r="V212" s="5" t="s">
        <v>4448</v>
      </c>
      <c r="W212" s="5" t="s">
        <v>227</v>
      </c>
      <c r="X212" s="5" t="s">
        <v>200</v>
      </c>
      <c r="Y212" s="5" t="s">
        <v>684</v>
      </c>
      <c r="Z212" s="5" t="s">
        <v>690</v>
      </c>
      <c r="AA212" s="5" t="s">
        <v>3623</v>
      </c>
      <c r="AB212" s="5" t="s">
        <v>3824</v>
      </c>
      <c r="AC212" s="5" t="s">
        <v>4449</v>
      </c>
      <c r="AD212" s="6">
        <v>45317</v>
      </c>
      <c r="AE212" s="6">
        <v>45473</v>
      </c>
      <c r="AF212" s="5"/>
    </row>
    <row r="213" spans="1:32" ht="193.5" customHeight="1" x14ac:dyDescent="0.3">
      <c r="A213" s="7">
        <v>3097935</v>
      </c>
      <c r="B213" s="7" t="s">
        <v>493</v>
      </c>
      <c r="C213" s="7" t="s">
        <v>4450</v>
      </c>
      <c r="D213" s="7" t="s">
        <v>198</v>
      </c>
      <c r="E213" s="7" t="s">
        <v>203</v>
      </c>
      <c r="F213" s="7" t="s">
        <v>433</v>
      </c>
      <c r="G213" s="7" t="s">
        <v>217</v>
      </c>
      <c r="H213" s="7" t="s">
        <v>245</v>
      </c>
      <c r="I213" s="7" t="s">
        <v>495</v>
      </c>
      <c r="J213" s="7" t="s">
        <v>227</v>
      </c>
      <c r="K213" s="7" t="s">
        <v>200</v>
      </c>
      <c r="L213" s="7" t="s">
        <v>496</v>
      </c>
      <c r="M213" s="7" t="s">
        <v>497</v>
      </c>
      <c r="N213" s="7" t="s">
        <v>3602</v>
      </c>
      <c r="O213" s="7" t="s">
        <v>3727</v>
      </c>
      <c r="P213" s="7">
        <v>4907779</v>
      </c>
      <c r="Q213" s="7" t="s">
        <v>4451</v>
      </c>
      <c r="R213" s="7"/>
      <c r="S213" s="7" t="s">
        <v>234</v>
      </c>
      <c r="T213" s="7" t="s">
        <v>217</v>
      </c>
      <c r="U213" s="7" t="s">
        <v>207</v>
      </c>
      <c r="V213" s="7"/>
      <c r="W213" s="7" t="s">
        <v>227</v>
      </c>
      <c r="X213" s="7"/>
      <c r="Y213" s="7"/>
      <c r="Z213" s="7"/>
      <c r="AA213" s="7" t="s">
        <v>3623</v>
      </c>
      <c r="AB213" s="7"/>
      <c r="AC213" s="7" t="s">
        <v>4452</v>
      </c>
      <c r="AD213" s="8">
        <v>45260</v>
      </c>
      <c r="AE213" s="8">
        <v>45626</v>
      </c>
      <c r="AF213" s="7"/>
    </row>
    <row r="214" spans="1:32" ht="30" customHeight="1" x14ac:dyDescent="0.3">
      <c r="A214" s="5">
        <v>2765152</v>
      </c>
      <c r="B214" s="5" t="s">
        <v>778</v>
      </c>
      <c r="C214" s="5" t="s">
        <v>4453</v>
      </c>
      <c r="D214" s="5" t="s">
        <v>354</v>
      </c>
      <c r="E214" s="5" t="s">
        <v>203</v>
      </c>
      <c r="F214" s="5" t="s">
        <v>418</v>
      </c>
      <c r="G214" s="5" t="s">
        <v>217</v>
      </c>
      <c r="H214" s="5" t="s">
        <v>233</v>
      </c>
      <c r="I214" s="5" t="s">
        <v>779</v>
      </c>
      <c r="J214" s="5" t="s">
        <v>227</v>
      </c>
      <c r="K214" s="5" t="s">
        <v>200</v>
      </c>
      <c r="L214" s="5" t="s">
        <v>780</v>
      </c>
      <c r="M214" s="5" t="s">
        <v>564</v>
      </c>
      <c r="N214" s="5" t="s">
        <v>3652</v>
      </c>
      <c r="O214" s="5" t="s">
        <v>3646</v>
      </c>
      <c r="P214" s="5">
        <v>3836975</v>
      </c>
      <c r="Q214" s="5" t="s">
        <v>4454</v>
      </c>
      <c r="R214" s="5" t="s">
        <v>203</v>
      </c>
      <c r="S214" s="5" t="s">
        <v>418</v>
      </c>
      <c r="T214" s="5" t="s">
        <v>208</v>
      </c>
      <c r="U214" s="5" t="s">
        <v>207</v>
      </c>
      <c r="V214" s="5" t="s">
        <v>4455</v>
      </c>
      <c r="W214" s="5" t="s">
        <v>227</v>
      </c>
      <c r="X214" s="5" t="s">
        <v>200</v>
      </c>
      <c r="Y214" s="5" t="s">
        <v>780</v>
      </c>
      <c r="Z214" s="5" t="s">
        <v>535</v>
      </c>
      <c r="AA214" s="5" t="s">
        <v>3608</v>
      </c>
      <c r="AB214" s="5" t="s">
        <v>3960</v>
      </c>
      <c r="AC214" s="5" t="s">
        <v>4456</v>
      </c>
      <c r="AD214" s="6">
        <v>45383</v>
      </c>
      <c r="AE214" s="5"/>
      <c r="AF214" s="5"/>
    </row>
    <row r="215" spans="1:32" ht="30" customHeight="1" x14ac:dyDescent="0.3">
      <c r="A215" s="7">
        <v>3118045</v>
      </c>
      <c r="B215" s="7" t="s">
        <v>678</v>
      </c>
      <c r="C215" s="7"/>
      <c r="D215" s="7" t="s">
        <v>198</v>
      </c>
      <c r="E215" s="7" t="s">
        <v>203</v>
      </c>
      <c r="F215" s="7" t="s">
        <v>433</v>
      </c>
      <c r="G215" s="7" t="s">
        <v>208</v>
      </c>
      <c r="H215" s="7" t="s">
        <v>233</v>
      </c>
      <c r="I215" s="7" t="s">
        <v>679</v>
      </c>
      <c r="J215" s="7" t="s">
        <v>227</v>
      </c>
      <c r="K215" s="7" t="s">
        <v>200</v>
      </c>
      <c r="L215" s="7" t="s">
        <v>680</v>
      </c>
      <c r="M215" s="7" t="s">
        <v>324</v>
      </c>
      <c r="N215" s="7" t="s">
        <v>3602</v>
      </c>
      <c r="O215" s="7" t="s">
        <v>3711</v>
      </c>
      <c r="P215" s="7">
        <v>2912929</v>
      </c>
      <c r="Q215" s="7" t="s">
        <v>4457</v>
      </c>
      <c r="R215" s="7" t="s">
        <v>203</v>
      </c>
      <c r="S215" s="7" t="s">
        <v>418</v>
      </c>
      <c r="T215" s="7" t="s">
        <v>208</v>
      </c>
      <c r="U215" s="7" t="s">
        <v>245</v>
      </c>
      <c r="V215" s="7" t="s">
        <v>514</v>
      </c>
      <c r="W215" s="7" t="s">
        <v>227</v>
      </c>
      <c r="X215" s="7" t="s">
        <v>200</v>
      </c>
      <c r="Y215" s="7" t="s">
        <v>515</v>
      </c>
      <c r="Z215" s="7" t="s">
        <v>516</v>
      </c>
      <c r="AA215" s="7" t="s">
        <v>3652</v>
      </c>
      <c r="AB215" s="7" t="s">
        <v>3711</v>
      </c>
      <c r="AC215" s="7" t="s">
        <v>4458</v>
      </c>
      <c r="AD215" s="8">
        <v>45425</v>
      </c>
      <c r="AE215" s="8">
        <v>45565</v>
      </c>
      <c r="AF215" s="7"/>
    </row>
    <row r="216" spans="1:32" ht="366.75" customHeight="1" x14ac:dyDescent="0.3">
      <c r="A216" s="5">
        <v>3455211</v>
      </c>
      <c r="B216" s="5" t="s">
        <v>4459</v>
      </c>
      <c r="C216" s="5" t="s">
        <v>4460</v>
      </c>
      <c r="D216" s="5" t="s">
        <v>198</v>
      </c>
      <c r="E216" s="5"/>
      <c r="F216" s="5" t="s">
        <v>433</v>
      </c>
      <c r="G216" s="5" t="s">
        <v>217</v>
      </c>
      <c r="H216" s="5" t="s">
        <v>233</v>
      </c>
      <c r="I216" s="5"/>
      <c r="J216" s="5" t="s">
        <v>227</v>
      </c>
      <c r="K216" s="5"/>
      <c r="L216" s="5"/>
      <c r="M216" s="5"/>
      <c r="N216" s="5" t="s">
        <v>3608</v>
      </c>
      <c r="O216" s="5"/>
      <c r="P216" s="5">
        <v>3576981</v>
      </c>
      <c r="Q216" s="5" t="s">
        <v>4461</v>
      </c>
      <c r="R216" s="5" t="s">
        <v>203</v>
      </c>
      <c r="S216" s="5" t="s">
        <v>433</v>
      </c>
      <c r="T216" s="5" t="s">
        <v>217</v>
      </c>
      <c r="U216" s="5" t="s">
        <v>245</v>
      </c>
      <c r="V216" s="5" t="s">
        <v>4462</v>
      </c>
      <c r="W216" s="5" t="s">
        <v>227</v>
      </c>
      <c r="X216" s="5" t="s">
        <v>200</v>
      </c>
      <c r="Y216" s="5" t="s">
        <v>1661</v>
      </c>
      <c r="Z216" s="5" t="s">
        <v>3389</v>
      </c>
      <c r="AA216" s="5" t="s">
        <v>3608</v>
      </c>
      <c r="AB216" s="5" t="s">
        <v>3705</v>
      </c>
      <c r="AC216" s="5" t="s">
        <v>4463</v>
      </c>
      <c r="AD216" s="6">
        <v>45394</v>
      </c>
      <c r="AE216" s="6">
        <v>45473</v>
      </c>
      <c r="AF216" s="5"/>
    </row>
    <row r="217" spans="1:32" ht="30" customHeight="1" x14ac:dyDescent="0.3">
      <c r="A217" s="7">
        <v>3209105</v>
      </c>
      <c r="B217" s="7" t="s">
        <v>434</v>
      </c>
      <c r="C217" s="7" t="s">
        <v>4464</v>
      </c>
      <c r="D217" s="7" t="s">
        <v>198</v>
      </c>
      <c r="E217" s="7" t="s">
        <v>203</v>
      </c>
      <c r="F217" s="7" t="s">
        <v>418</v>
      </c>
      <c r="G217" s="7" t="s">
        <v>217</v>
      </c>
      <c r="H217" s="7" t="s">
        <v>245</v>
      </c>
      <c r="I217" s="7" t="s">
        <v>435</v>
      </c>
      <c r="J217" s="7" t="s">
        <v>227</v>
      </c>
      <c r="K217" s="7" t="s">
        <v>200</v>
      </c>
      <c r="L217" s="7" t="s">
        <v>436</v>
      </c>
      <c r="M217" s="7" t="s">
        <v>437</v>
      </c>
      <c r="N217" s="7" t="s">
        <v>3602</v>
      </c>
      <c r="O217" s="7" t="s">
        <v>3763</v>
      </c>
      <c r="P217" s="7">
        <v>4910850</v>
      </c>
      <c r="Q217" s="7" t="s">
        <v>4465</v>
      </c>
      <c r="R217" s="7" t="s">
        <v>203</v>
      </c>
      <c r="S217" s="7" t="s">
        <v>433</v>
      </c>
      <c r="T217" s="7" t="s">
        <v>217</v>
      </c>
      <c r="U217" s="7" t="s">
        <v>233</v>
      </c>
      <c r="V217" s="7" t="s">
        <v>4389</v>
      </c>
      <c r="W217" s="7" t="s">
        <v>227</v>
      </c>
      <c r="X217" s="7" t="s">
        <v>200</v>
      </c>
      <c r="Y217" s="7" t="s">
        <v>4390</v>
      </c>
      <c r="Z217" s="7" t="s">
        <v>785</v>
      </c>
      <c r="AA217" s="7" t="s">
        <v>3623</v>
      </c>
      <c r="AB217" s="7" t="s">
        <v>3715</v>
      </c>
      <c r="AC217" s="7" t="s">
        <v>4466</v>
      </c>
      <c r="AD217" s="8">
        <v>45398</v>
      </c>
      <c r="AE217" s="8">
        <v>45657</v>
      </c>
      <c r="AF217" s="7"/>
    </row>
    <row r="218" spans="1:32" ht="295.5" customHeight="1" x14ac:dyDescent="0.3">
      <c r="A218" s="5">
        <v>5188180</v>
      </c>
      <c r="B218" s="5" t="s">
        <v>2880</v>
      </c>
      <c r="C218" s="5" t="s">
        <v>4040</v>
      </c>
      <c r="D218" s="5" t="s">
        <v>198</v>
      </c>
      <c r="E218" s="5" t="s">
        <v>203</v>
      </c>
      <c r="F218" s="5" t="s">
        <v>234</v>
      </c>
      <c r="G218" s="5" t="s">
        <v>208</v>
      </c>
      <c r="H218" s="5" t="s">
        <v>207</v>
      </c>
      <c r="I218" s="5" t="s">
        <v>2881</v>
      </c>
      <c r="J218" s="5" t="s">
        <v>227</v>
      </c>
      <c r="K218" s="5" t="s">
        <v>200</v>
      </c>
      <c r="L218" s="5" t="s">
        <v>2882</v>
      </c>
      <c r="M218" s="5" t="s">
        <v>2883</v>
      </c>
      <c r="N218" s="5" t="s">
        <v>3623</v>
      </c>
      <c r="O218" s="5" t="s">
        <v>4467</v>
      </c>
      <c r="P218" s="5">
        <v>4987063</v>
      </c>
      <c r="Q218" s="5" t="s">
        <v>4041</v>
      </c>
      <c r="R218" s="5" t="s">
        <v>203</v>
      </c>
      <c r="S218" s="5" t="s">
        <v>234</v>
      </c>
      <c r="T218" s="5" t="s">
        <v>208</v>
      </c>
      <c r="U218" s="5" t="s">
        <v>207</v>
      </c>
      <c r="V218" s="5" t="s">
        <v>4042</v>
      </c>
      <c r="W218" s="5" t="s">
        <v>227</v>
      </c>
      <c r="X218" s="5" t="s">
        <v>200</v>
      </c>
      <c r="Y218" s="5" t="s">
        <v>1937</v>
      </c>
      <c r="Z218" s="5" t="s">
        <v>3104</v>
      </c>
      <c r="AA218" s="5" t="s">
        <v>3612</v>
      </c>
      <c r="AB218" s="5" t="s">
        <v>3635</v>
      </c>
      <c r="AC218" s="5" t="s">
        <v>4468</v>
      </c>
      <c r="AD218" s="6">
        <v>45360</v>
      </c>
      <c r="AE218" s="6">
        <v>47879</v>
      </c>
      <c r="AF218" s="5"/>
    </row>
    <row r="219" spans="1:32" ht="366.75" customHeight="1" x14ac:dyDescent="0.3">
      <c r="A219" s="7">
        <v>5109140</v>
      </c>
      <c r="B219" s="7" t="s">
        <v>226</v>
      </c>
      <c r="C219" s="7" t="s">
        <v>4469</v>
      </c>
      <c r="D219" s="7" t="s">
        <v>198</v>
      </c>
      <c r="E219" s="7" t="s">
        <v>230</v>
      </c>
      <c r="F219" s="7" t="s">
        <v>234</v>
      </c>
      <c r="G219" s="7" t="s">
        <v>208</v>
      </c>
      <c r="H219" s="7" t="s">
        <v>233</v>
      </c>
      <c r="I219" s="7" t="s">
        <v>228</v>
      </c>
      <c r="J219" s="7" t="s">
        <v>227</v>
      </c>
      <c r="K219" s="7" t="s">
        <v>200</v>
      </c>
      <c r="L219" s="7" t="s">
        <v>229</v>
      </c>
      <c r="M219" s="7" t="s">
        <v>231</v>
      </c>
      <c r="N219" s="7" t="s">
        <v>3623</v>
      </c>
      <c r="O219" s="7" t="s">
        <v>3763</v>
      </c>
      <c r="P219" s="7">
        <v>8870207</v>
      </c>
      <c r="Q219" s="7" t="s">
        <v>4470</v>
      </c>
      <c r="R219" s="7" t="s">
        <v>203</v>
      </c>
      <c r="S219" s="7" t="s">
        <v>209</v>
      </c>
      <c r="T219" s="7" t="s">
        <v>208</v>
      </c>
      <c r="U219" s="7" t="s">
        <v>207</v>
      </c>
      <c r="V219" s="7" t="s">
        <v>4471</v>
      </c>
      <c r="W219" s="7" t="s">
        <v>199</v>
      </c>
      <c r="X219" s="7" t="s">
        <v>200</v>
      </c>
      <c r="Y219" s="7" t="s">
        <v>4472</v>
      </c>
      <c r="Z219" s="7" t="s">
        <v>339</v>
      </c>
      <c r="AA219" s="7" t="s">
        <v>3732</v>
      </c>
      <c r="AB219" s="7" t="s">
        <v>3609</v>
      </c>
      <c r="AC219" s="7" t="s">
        <v>4473</v>
      </c>
      <c r="AD219" s="8">
        <v>45383</v>
      </c>
      <c r="AE219" s="7"/>
      <c r="AF219" s="7"/>
    </row>
    <row r="220" spans="1:32" ht="132" customHeight="1" x14ac:dyDescent="0.3">
      <c r="A220" s="5">
        <v>5062667</v>
      </c>
      <c r="B220" s="5" t="s">
        <v>2645</v>
      </c>
      <c r="C220" s="5" t="s">
        <v>4474</v>
      </c>
      <c r="D220" s="5" t="s">
        <v>198</v>
      </c>
      <c r="E220" s="5" t="s">
        <v>203</v>
      </c>
      <c r="F220" s="5" t="s">
        <v>234</v>
      </c>
      <c r="G220" s="5" t="s">
        <v>217</v>
      </c>
      <c r="H220" s="5" t="s">
        <v>207</v>
      </c>
      <c r="I220" s="5" t="s">
        <v>2646</v>
      </c>
      <c r="J220" s="5" t="s">
        <v>227</v>
      </c>
      <c r="K220" s="5" t="s">
        <v>200</v>
      </c>
      <c r="L220" s="5" t="s">
        <v>2647</v>
      </c>
      <c r="M220" s="5" t="s">
        <v>2162</v>
      </c>
      <c r="N220" s="5" t="s">
        <v>3623</v>
      </c>
      <c r="O220" s="5" t="s">
        <v>4330</v>
      </c>
      <c r="P220" s="5">
        <v>4855256</v>
      </c>
      <c r="Q220" s="5" t="s">
        <v>4475</v>
      </c>
      <c r="R220" s="5" t="s">
        <v>203</v>
      </c>
      <c r="S220" s="5" t="s">
        <v>234</v>
      </c>
      <c r="T220" s="5" t="s">
        <v>217</v>
      </c>
      <c r="U220" s="5" t="s">
        <v>207</v>
      </c>
      <c r="V220" s="5" t="s">
        <v>4476</v>
      </c>
      <c r="W220" s="5" t="s">
        <v>227</v>
      </c>
      <c r="X220" s="5" t="s">
        <v>200</v>
      </c>
      <c r="Y220" s="5" t="s">
        <v>4477</v>
      </c>
      <c r="Z220" s="5" t="s">
        <v>700</v>
      </c>
      <c r="AA220" s="5" t="s">
        <v>3623</v>
      </c>
      <c r="AB220" s="5" t="s">
        <v>4478</v>
      </c>
      <c r="AC220" s="5" t="s">
        <v>4479</v>
      </c>
      <c r="AD220" s="6">
        <v>45343</v>
      </c>
      <c r="AE220" s="6">
        <v>45625</v>
      </c>
      <c r="AF220" s="5"/>
    </row>
    <row r="221" spans="1:32" ht="51" customHeight="1" x14ac:dyDescent="0.3">
      <c r="A221" s="7">
        <v>2765152</v>
      </c>
      <c r="B221" s="7" t="s">
        <v>778</v>
      </c>
      <c r="C221" s="7" t="s">
        <v>4480</v>
      </c>
      <c r="D221" s="7" t="s">
        <v>354</v>
      </c>
      <c r="E221" s="7" t="s">
        <v>203</v>
      </c>
      <c r="F221" s="7" t="s">
        <v>418</v>
      </c>
      <c r="G221" s="7" t="s">
        <v>217</v>
      </c>
      <c r="H221" s="7" t="s">
        <v>233</v>
      </c>
      <c r="I221" s="7" t="s">
        <v>779</v>
      </c>
      <c r="J221" s="7" t="s">
        <v>227</v>
      </c>
      <c r="K221" s="7" t="s">
        <v>200</v>
      </c>
      <c r="L221" s="7" t="s">
        <v>780</v>
      </c>
      <c r="M221" s="7" t="s">
        <v>564</v>
      </c>
      <c r="N221" s="7" t="s">
        <v>3652</v>
      </c>
      <c r="O221" s="7" t="s">
        <v>3646</v>
      </c>
      <c r="P221" s="7">
        <v>3521184</v>
      </c>
      <c r="Q221" s="7" t="s">
        <v>4481</v>
      </c>
      <c r="R221" s="7" t="s">
        <v>203</v>
      </c>
      <c r="S221" s="7" t="s">
        <v>234</v>
      </c>
      <c r="T221" s="7" t="s">
        <v>217</v>
      </c>
      <c r="U221" s="7" t="s">
        <v>207</v>
      </c>
      <c r="V221" s="7" t="s">
        <v>4455</v>
      </c>
      <c r="W221" s="7" t="s">
        <v>227</v>
      </c>
      <c r="X221" s="7" t="s">
        <v>200</v>
      </c>
      <c r="Y221" s="7" t="s">
        <v>780</v>
      </c>
      <c r="Z221" s="7" t="s">
        <v>535</v>
      </c>
      <c r="AA221" s="7" t="s">
        <v>3602</v>
      </c>
      <c r="AB221" s="7" t="s">
        <v>3960</v>
      </c>
      <c r="AC221" s="7" t="s">
        <v>4482</v>
      </c>
      <c r="AD221" s="8">
        <v>45404</v>
      </c>
      <c r="AE221" s="8">
        <v>45769</v>
      </c>
      <c r="AF221" s="7"/>
    </row>
    <row r="222" spans="1:32" ht="71.25" customHeight="1" x14ac:dyDescent="0.3">
      <c r="A222" s="5">
        <v>5464900</v>
      </c>
      <c r="B222" s="5" t="s">
        <v>3244</v>
      </c>
      <c r="C222" s="5"/>
      <c r="D222" s="5" t="s">
        <v>862</v>
      </c>
      <c r="E222" s="5" t="s">
        <v>203</v>
      </c>
      <c r="F222" s="5" t="s">
        <v>234</v>
      </c>
      <c r="G222" s="5" t="s">
        <v>208</v>
      </c>
      <c r="H222" s="5" t="s">
        <v>207</v>
      </c>
      <c r="I222" s="5" t="s">
        <v>3245</v>
      </c>
      <c r="J222" s="5" t="s">
        <v>227</v>
      </c>
      <c r="K222" s="5" t="s">
        <v>200</v>
      </c>
      <c r="L222" s="5" t="s">
        <v>3246</v>
      </c>
      <c r="M222" s="5" t="s">
        <v>2677</v>
      </c>
      <c r="N222" s="5" t="s">
        <v>3612</v>
      </c>
      <c r="O222" s="5" t="s">
        <v>3741</v>
      </c>
      <c r="P222" s="5">
        <v>7220758</v>
      </c>
      <c r="Q222" s="5" t="s">
        <v>4483</v>
      </c>
      <c r="R222" s="5" t="s">
        <v>203</v>
      </c>
      <c r="S222" s="5" t="s">
        <v>433</v>
      </c>
      <c r="T222" s="5" t="s">
        <v>208</v>
      </c>
      <c r="U222" s="5" t="s">
        <v>245</v>
      </c>
      <c r="V222" s="5" t="s">
        <v>4484</v>
      </c>
      <c r="W222" s="5" t="s">
        <v>227</v>
      </c>
      <c r="X222" s="5" t="s">
        <v>200</v>
      </c>
      <c r="Y222" s="5" t="s">
        <v>4485</v>
      </c>
      <c r="Z222" s="5" t="s">
        <v>4486</v>
      </c>
      <c r="AA222" s="5" t="s">
        <v>3608</v>
      </c>
      <c r="AB222" s="5" t="s">
        <v>4181</v>
      </c>
      <c r="AC222" s="5" t="s">
        <v>4487</v>
      </c>
      <c r="AD222" s="6">
        <v>45383</v>
      </c>
      <c r="AE222" s="6">
        <v>45473</v>
      </c>
      <c r="AF222" s="5"/>
    </row>
    <row r="223" spans="1:32" ht="40.5" customHeight="1" x14ac:dyDescent="0.3">
      <c r="A223" s="7">
        <v>5464900</v>
      </c>
      <c r="B223" s="7" t="s">
        <v>3244</v>
      </c>
      <c r="C223" s="7" t="s">
        <v>4488</v>
      </c>
      <c r="D223" s="7" t="s">
        <v>862</v>
      </c>
      <c r="E223" s="7" t="s">
        <v>203</v>
      </c>
      <c r="F223" s="7" t="s">
        <v>234</v>
      </c>
      <c r="G223" s="7" t="s">
        <v>208</v>
      </c>
      <c r="H223" s="7" t="s">
        <v>207</v>
      </c>
      <c r="I223" s="7" t="s">
        <v>3245</v>
      </c>
      <c r="J223" s="7" t="s">
        <v>227</v>
      </c>
      <c r="K223" s="7" t="s">
        <v>200</v>
      </c>
      <c r="L223" s="7" t="s">
        <v>3246</v>
      </c>
      <c r="M223" s="7" t="s">
        <v>2677</v>
      </c>
      <c r="N223" s="7" t="s">
        <v>3612</v>
      </c>
      <c r="O223" s="7" t="s">
        <v>3741</v>
      </c>
      <c r="P223" s="7">
        <v>3612856</v>
      </c>
      <c r="Q223" s="7" t="s">
        <v>4489</v>
      </c>
      <c r="R223" s="7" t="s">
        <v>203</v>
      </c>
      <c r="S223" s="7" t="s">
        <v>234</v>
      </c>
      <c r="T223" s="7" t="s">
        <v>208</v>
      </c>
      <c r="U223" s="7" t="s">
        <v>245</v>
      </c>
      <c r="V223" s="7" t="s">
        <v>4490</v>
      </c>
      <c r="W223" s="7" t="s">
        <v>227</v>
      </c>
      <c r="X223" s="7" t="s">
        <v>200</v>
      </c>
      <c r="Y223" s="7" t="s">
        <v>4485</v>
      </c>
      <c r="Z223" s="7" t="s">
        <v>2677</v>
      </c>
      <c r="AA223" s="7" t="s">
        <v>3608</v>
      </c>
      <c r="AB223" s="7" t="s">
        <v>3741</v>
      </c>
      <c r="AC223" s="7" t="s">
        <v>4491</v>
      </c>
      <c r="AD223" s="8">
        <v>45392</v>
      </c>
      <c r="AE223" s="7"/>
      <c r="AF223" s="7"/>
    </row>
    <row r="224" spans="1:32" ht="111.75" customHeight="1" x14ac:dyDescent="0.3">
      <c r="A224" s="5">
        <v>5464900</v>
      </c>
      <c r="B224" s="5" t="s">
        <v>3244</v>
      </c>
      <c r="C224" s="5" t="s">
        <v>4492</v>
      </c>
      <c r="D224" s="5" t="s">
        <v>198</v>
      </c>
      <c r="E224" s="5" t="s">
        <v>203</v>
      </c>
      <c r="F224" s="5" t="s">
        <v>234</v>
      </c>
      <c r="G224" s="5" t="s">
        <v>208</v>
      </c>
      <c r="H224" s="5" t="s">
        <v>207</v>
      </c>
      <c r="I224" s="5" t="s">
        <v>3245</v>
      </c>
      <c r="J224" s="5" t="s">
        <v>227</v>
      </c>
      <c r="K224" s="5" t="s">
        <v>200</v>
      </c>
      <c r="L224" s="5" t="s">
        <v>3246</v>
      </c>
      <c r="M224" s="5" t="s">
        <v>2677</v>
      </c>
      <c r="N224" s="5" t="s">
        <v>3612</v>
      </c>
      <c r="O224" s="5" t="s">
        <v>3741</v>
      </c>
      <c r="P224" s="5">
        <v>5328748</v>
      </c>
      <c r="Q224" s="5" t="s">
        <v>4493</v>
      </c>
      <c r="R224" s="5" t="s">
        <v>203</v>
      </c>
      <c r="S224" s="5" t="s">
        <v>234</v>
      </c>
      <c r="T224" s="5" t="s">
        <v>208</v>
      </c>
      <c r="U224" s="5" t="s">
        <v>207</v>
      </c>
      <c r="V224" s="5" t="s">
        <v>4494</v>
      </c>
      <c r="W224" s="5" t="s">
        <v>227</v>
      </c>
      <c r="X224" s="5" t="s">
        <v>200</v>
      </c>
      <c r="Y224" s="5" t="s">
        <v>4495</v>
      </c>
      <c r="Z224" s="5" t="s">
        <v>3740</v>
      </c>
      <c r="AA224" s="5" t="s">
        <v>3612</v>
      </c>
      <c r="AB224" s="5" t="s">
        <v>3741</v>
      </c>
      <c r="AC224" s="5" t="s">
        <v>4496</v>
      </c>
      <c r="AD224" s="6">
        <v>45364</v>
      </c>
      <c r="AE224" s="6">
        <v>45473</v>
      </c>
      <c r="AF224" s="5"/>
    </row>
    <row r="225" spans="1:32" ht="71.25" customHeight="1" x14ac:dyDescent="0.3">
      <c r="A225" s="7">
        <v>5464900</v>
      </c>
      <c r="B225" s="7" t="s">
        <v>3244</v>
      </c>
      <c r="C225" s="7" t="s">
        <v>4497</v>
      </c>
      <c r="D225" s="7" t="s">
        <v>862</v>
      </c>
      <c r="E225" s="7" t="s">
        <v>203</v>
      </c>
      <c r="F225" s="7" t="s">
        <v>234</v>
      </c>
      <c r="G225" s="7" t="s">
        <v>208</v>
      </c>
      <c r="H225" s="7" t="s">
        <v>207</v>
      </c>
      <c r="I225" s="7" t="s">
        <v>3245</v>
      </c>
      <c r="J225" s="7" t="s">
        <v>227</v>
      </c>
      <c r="K225" s="7" t="s">
        <v>200</v>
      </c>
      <c r="L225" s="7" t="s">
        <v>3246</v>
      </c>
      <c r="M225" s="7" t="s">
        <v>2677</v>
      </c>
      <c r="N225" s="7" t="s">
        <v>3612</v>
      </c>
      <c r="O225" s="7" t="s">
        <v>3741</v>
      </c>
      <c r="P225" s="7">
        <v>5279631</v>
      </c>
      <c r="Q225" s="7" t="s">
        <v>4498</v>
      </c>
      <c r="R225" s="7" t="s">
        <v>203</v>
      </c>
      <c r="S225" s="7" t="s">
        <v>234</v>
      </c>
      <c r="T225" s="7" t="s">
        <v>217</v>
      </c>
      <c r="U225" s="7" t="s">
        <v>245</v>
      </c>
      <c r="V225" s="7" t="s">
        <v>4499</v>
      </c>
      <c r="W225" s="7" t="s">
        <v>227</v>
      </c>
      <c r="X225" s="7" t="s">
        <v>200</v>
      </c>
      <c r="Y225" s="7" t="s">
        <v>1039</v>
      </c>
      <c r="Z225" s="7" t="s">
        <v>2305</v>
      </c>
      <c r="AA225" s="7" t="s">
        <v>3623</v>
      </c>
      <c r="AB225" s="7" t="s">
        <v>4426</v>
      </c>
      <c r="AC225" s="7" t="s">
        <v>4500</v>
      </c>
      <c r="AD225" s="8">
        <v>38022</v>
      </c>
      <c r="AE225" s="8">
        <v>38168</v>
      </c>
      <c r="AF225" s="7"/>
    </row>
    <row r="226" spans="1:32" ht="71.25" customHeight="1" x14ac:dyDescent="0.3">
      <c r="A226" s="5">
        <v>4877594</v>
      </c>
      <c r="B226" s="5" t="s">
        <v>2357</v>
      </c>
      <c r="C226" s="5" t="s">
        <v>4501</v>
      </c>
      <c r="D226" s="5" t="s">
        <v>198</v>
      </c>
      <c r="E226" s="5" t="s">
        <v>203</v>
      </c>
      <c r="F226" s="5" t="s">
        <v>234</v>
      </c>
      <c r="G226" s="5" t="s">
        <v>208</v>
      </c>
      <c r="H226" s="5" t="s">
        <v>207</v>
      </c>
      <c r="I226" s="5" t="s">
        <v>2359</v>
      </c>
      <c r="J226" s="5" t="s">
        <v>227</v>
      </c>
      <c r="K226" s="5" t="s">
        <v>200</v>
      </c>
      <c r="L226" s="5" t="s">
        <v>2360</v>
      </c>
      <c r="M226" s="5" t="s">
        <v>2361</v>
      </c>
      <c r="N226" s="5" t="s">
        <v>3623</v>
      </c>
      <c r="O226" s="5" t="s">
        <v>3736</v>
      </c>
      <c r="P226" s="5">
        <v>5430127</v>
      </c>
      <c r="Q226" s="5" t="s">
        <v>4502</v>
      </c>
      <c r="R226" s="5"/>
      <c r="S226" s="5" t="s">
        <v>218</v>
      </c>
      <c r="T226" s="5" t="s">
        <v>217</v>
      </c>
      <c r="U226" s="5" t="s">
        <v>2330</v>
      </c>
      <c r="V226" s="5"/>
      <c r="W226" s="5" t="s">
        <v>211</v>
      </c>
      <c r="X226" s="5"/>
      <c r="Y226" s="5"/>
      <c r="Z226" s="5"/>
      <c r="AA226" s="5" t="s">
        <v>3732</v>
      </c>
      <c r="AB226" s="5"/>
      <c r="AC226" s="5" t="s">
        <v>4503</v>
      </c>
      <c r="AD226" s="6">
        <v>45413</v>
      </c>
      <c r="AE226" s="6">
        <v>45777</v>
      </c>
      <c r="AF226" s="5"/>
    </row>
    <row r="227" spans="1:32" ht="30" customHeight="1" x14ac:dyDescent="0.3">
      <c r="A227" s="7">
        <v>3093247</v>
      </c>
      <c r="B227" s="7" t="s">
        <v>1013</v>
      </c>
      <c r="C227" s="7"/>
      <c r="D227" s="7" t="s">
        <v>198</v>
      </c>
      <c r="E227" s="7" t="s">
        <v>203</v>
      </c>
      <c r="F227" s="7" t="s">
        <v>433</v>
      </c>
      <c r="G227" s="7" t="s">
        <v>217</v>
      </c>
      <c r="H227" s="7" t="s">
        <v>245</v>
      </c>
      <c r="I227" s="7" t="s">
        <v>1014</v>
      </c>
      <c r="J227" s="7" t="s">
        <v>227</v>
      </c>
      <c r="K227" s="7" t="s">
        <v>200</v>
      </c>
      <c r="L227" s="7" t="s">
        <v>833</v>
      </c>
      <c r="M227" s="7" t="s">
        <v>1015</v>
      </c>
      <c r="N227" s="7" t="s">
        <v>3602</v>
      </c>
      <c r="O227" s="7" t="s">
        <v>3630</v>
      </c>
      <c r="P227" s="7">
        <v>3095452</v>
      </c>
      <c r="Q227" s="7" t="s">
        <v>4504</v>
      </c>
      <c r="R227" s="7" t="s">
        <v>203</v>
      </c>
      <c r="S227" s="7" t="s">
        <v>234</v>
      </c>
      <c r="T227" s="7" t="s">
        <v>217</v>
      </c>
      <c r="U227" s="7" t="s">
        <v>245</v>
      </c>
      <c r="V227" s="7" t="s">
        <v>1014</v>
      </c>
      <c r="W227" s="7" t="s">
        <v>227</v>
      </c>
      <c r="X227" s="7" t="s">
        <v>200</v>
      </c>
      <c r="Y227" s="7" t="s">
        <v>833</v>
      </c>
      <c r="Z227" s="7" t="s">
        <v>330</v>
      </c>
      <c r="AA227" s="7" t="s">
        <v>3602</v>
      </c>
      <c r="AB227" s="7" t="s">
        <v>3630</v>
      </c>
      <c r="AC227" s="7" t="s">
        <v>4505</v>
      </c>
      <c r="AD227" s="8">
        <v>45446</v>
      </c>
      <c r="AE227" s="8">
        <v>45745</v>
      </c>
      <c r="AF227" s="7"/>
    </row>
    <row r="228" spans="1:32" ht="30" customHeight="1" x14ac:dyDescent="0.3">
      <c r="A228" s="5">
        <v>3252396</v>
      </c>
      <c r="B228" s="5" t="s">
        <v>464</v>
      </c>
      <c r="C228" s="5" t="s">
        <v>4506</v>
      </c>
      <c r="D228" s="5" t="s">
        <v>354</v>
      </c>
      <c r="E228" s="5" t="s">
        <v>203</v>
      </c>
      <c r="F228" s="5" t="s">
        <v>418</v>
      </c>
      <c r="G228" s="5" t="s">
        <v>208</v>
      </c>
      <c r="H228" s="5" t="s">
        <v>245</v>
      </c>
      <c r="I228" s="5" t="s">
        <v>465</v>
      </c>
      <c r="J228" s="5" t="s">
        <v>227</v>
      </c>
      <c r="K228" s="5" t="s">
        <v>200</v>
      </c>
      <c r="L228" s="5" t="s">
        <v>466</v>
      </c>
      <c r="M228" s="5" t="s">
        <v>467</v>
      </c>
      <c r="N228" s="5" t="s">
        <v>3608</v>
      </c>
      <c r="O228" s="5" t="s">
        <v>3763</v>
      </c>
      <c r="P228" s="5">
        <v>5626323</v>
      </c>
      <c r="Q228" s="5" t="s">
        <v>4507</v>
      </c>
      <c r="R228" s="5" t="s">
        <v>203</v>
      </c>
      <c r="S228" s="5" t="s">
        <v>444</v>
      </c>
      <c r="T228" s="5" t="s">
        <v>217</v>
      </c>
      <c r="U228" s="5" t="s">
        <v>245</v>
      </c>
      <c r="V228" s="5" t="s">
        <v>4508</v>
      </c>
      <c r="W228" s="5" t="s">
        <v>227</v>
      </c>
      <c r="X228" s="5" t="s">
        <v>200</v>
      </c>
      <c r="Y228" s="5" t="s">
        <v>4509</v>
      </c>
      <c r="Z228" s="5" t="s">
        <v>4510</v>
      </c>
      <c r="AA228" s="5" t="s">
        <v>3612</v>
      </c>
      <c r="AB228" s="5" t="s">
        <v>3783</v>
      </c>
      <c r="AC228" s="5" t="s">
        <v>4511</v>
      </c>
      <c r="AD228" s="6">
        <v>45170</v>
      </c>
      <c r="AE228" s="5"/>
      <c r="AF228" s="5"/>
    </row>
    <row r="229" spans="1:32" ht="142.5" customHeight="1" x14ac:dyDescent="0.3">
      <c r="A229" s="7">
        <v>3495523</v>
      </c>
      <c r="B229" s="7" t="s">
        <v>4512</v>
      </c>
      <c r="C229" s="7" t="s">
        <v>4513</v>
      </c>
      <c r="D229" s="7" t="s">
        <v>198</v>
      </c>
      <c r="E229" s="7"/>
      <c r="F229" s="7" t="s">
        <v>433</v>
      </c>
      <c r="G229" s="7" t="s">
        <v>217</v>
      </c>
      <c r="H229" s="7" t="s">
        <v>654</v>
      </c>
      <c r="I229" s="7"/>
      <c r="J229" s="7" t="s">
        <v>227</v>
      </c>
      <c r="K229" s="7"/>
      <c r="L229" s="7"/>
      <c r="M229" s="7"/>
      <c r="N229" s="7" t="s">
        <v>3602</v>
      </c>
      <c r="O229" s="7"/>
      <c r="P229" s="7">
        <v>4674308</v>
      </c>
      <c r="Q229" s="7" t="s">
        <v>1965</v>
      </c>
      <c r="R229" s="7" t="s">
        <v>203</v>
      </c>
      <c r="S229" s="7" t="s">
        <v>433</v>
      </c>
      <c r="T229" s="7" t="s">
        <v>217</v>
      </c>
      <c r="U229" s="7" t="s">
        <v>245</v>
      </c>
      <c r="V229" s="7" t="s">
        <v>1966</v>
      </c>
      <c r="W229" s="7" t="s">
        <v>227</v>
      </c>
      <c r="X229" s="7" t="s">
        <v>200</v>
      </c>
      <c r="Y229" s="7" t="s">
        <v>1967</v>
      </c>
      <c r="Z229" s="7" t="s">
        <v>521</v>
      </c>
      <c r="AA229" s="7" t="s">
        <v>3608</v>
      </c>
      <c r="AB229" s="7" t="s">
        <v>3609</v>
      </c>
      <c r="AC229" s="7" t="s">
        <v>4514</v>
      </c>
      <c r="AD229" s="8">
        <v>45444</v>
      </c>
      <c r="AE229" s="8">
        <v>45627</v>
      </c>
      <c r="AF229" s="7"/>
    </row>
    <row r="230" spans="1:32" ht="387" customHeight="1" x14ac:dyDescent="0.3">
      <c r="A230" s="5">
        <v>4932684</v>
      </c>
      <c r="B230" s="5" t="s">
        <v>2461</v>
      </c>
      <c r="C230" s="5" t="s">
        <v>4515</v>
      </c>
      <c r="D230" s="5" t="s">
        <v>198</v>
      </c>
      <c r="E230" s="5" t="s">
        <v>203</v>
      </c>
      <c r="F230" s="5" t="s">
        <v>418</v>
      </c>
      <c r="G230" s="5" t="s">
        <v>208</v>
      </c>
      <c r="H230" s="5" t="s">
        <v>245</v>
      </c>
      <c r="I230" s="5" t="s">
        <v>2462</v>
      </c>
      <c r="J230" s="5" t="s">
        <v>227</v>
      </c>
      <c r="K230" s="5" t="s">
        <v>413</v>
      </c>
      <c r="L230" s="5" t="s">
        <v>2463</v>
      </c>
      <c r="M230" s="5" t="s">
        <v>2464</v>
      </c>
      <c r="N230" s="5" t="s">
        <v>3623</v>
      </c>
      <c r="O230" s="5" t="s">
        <v>3603</v>
      </c>
      <c r="P230" s="5">
        <v>5511097</v>
      </c>
      <c r="Q230" s="5" t="s">
        <v>4516</v>
      </c>
      <c r="R230" s="5" t="s">
        <v>203</v>
      </c>
      <c r="S230" s="5" t="s">
        <v>234</v>
      </c>
      <c r="T230" s="5" t="s">
        <v>217</v>
      </c>
      <c r="U230" s="5" t="s">
        <v>2330</v>
      </c>
      <c r="V230" s="5" t="s">
        <v>4517</v>
      </c>
      <c r="W230" s="5" t="s">
        <v>227</v>
      </c>
      <c r="X230" s="5" t="s">
        <v>200</v>
      </c>
      <c r="Y230" s="5" t="s">
        <v>2384</v>
      </c>
      <c r="Z230" s="5" t="s">
        <v>752</v>
      </c>
      <c r="AA230" s="5" t="s">
        <v>3612</v>
      </c>
      <c r="AB230" s="5" t="s">
        <v>3635</v>
      </c>
      <c r="AC230" s="5" t="s">
        <v>4518</v>
      </c>
      <c r="AD230" s="6">
        <v>45419</v>
      </c>
      <c r="AE230" s="5"/>
      <c r="AF230" s="5"/>
    </row>
    <row r="231" spans="1:32" ht="30" customHeight="1" x14ac:dyDescent="0.3">
      <c r="A231" s="7">
        <v>4735331</v>
      </c>
      <c r="B231" s="7" t="s">
        <v>2076</v>
      </c>
      <c r="C231" s="7"/>
      <c r="D231" s="7" t="s">
        <v>198</v>
      </c>
      <c r="E231" s="7" t="s">
        <v>203</v>
      </c>
      <c r="F231" s="7" t="s">
        <v>433</v>
      </c>
      <c r="G231" s="7" t="s">
        <v>208</v>
      </c>
      <c r="H231" s="7" t="s">
        <v>207</v>
      </c>
      <c r="I231" s="7" t="s">
        <v>2077</v>
      </c>
      <c r="J231" s="7" t="s">
        <v>227</v>
      </c>
      <c r="K231" s="7" t="s">
        <v>888</v>
      </c>
      <c r="L231" s="7" t="s">
        <v>2078</v>
      </c>
      <c r="M231" s="7" t="s">
        <v>1384</v>
      </c>
      <c r="N231" s="7" t="s">
        <v>3623</v>
      </c>
      <c r="O231" s="7" t="s">
        <v>3727</v>
      </c>
      <c r="P231" s="7">
        <v>2938480</v>
      </c>
      <c r="Q231" s="7" t="s">
        <v>4519</v>
      </c>
      <c r="R231" s="7" t="s">
        <v>203</v>
      </c>
      <c r="S231" s="7" t="s">
        <v>433</v>
      </c>
      <c r="T231" s="7" t="s">
        <v>217</v>
      </c>
      <c r="U231" s="7" t="s">
        <v>233</v>
      </c>
      <c r="V231" s="7" t="s">
        <v>4520</v>
      </c>
      <c r="W231" s="7" t="s">
        <v>227</v>
      </c>
      <c r="X231" s="7" t="s">
        <v>200</v>
      </c>
      <c r="Y231" s="7" t="s">
        <v>4521</v>
      </c>
      <c r="Z231" s="7" t="s">
        <v>4522</v>
      </c>
      <c r="AA231" s="7" t="s">
        <v>3652</v>
      </c>
      <c r="AB231" s="7" t="s">
        <v>4523</v>
      </c>
      <c r="AC231" s="7" t="s">
        <v>4524</v>
      </c>
      <c r="AD231" s="8">
        <v>45414</v>
      </c>
      <c r="AE231" s="7"/>
      <c r="AF231" s="7"/>
    </row>
    <row r="232" spans="1:32" ht="30" customHeight="1" x14ac:dyDescent="0.3">
      <c r="A232" s="5">
        <v>2315335</v>
      </c>
      <c r="B232" s="5" t="s">
        <v>817</v>
      </c>
      <c r="C232" s="5"/>
      <c r="D232" s="5" t="s">
        <v>198</v>
      </c>
      <c r="E232" s="5" t="s">
        <v>203</v>
      </c>
      <c r="F232" s="5" t="s">
        <v>433</v>
      </c>
      <c r="G232" s="5" t="s">
        <v>217</v>
      </c>
      <c r="H232" s="5" t="s">
        <v>233</v>
      </c>
      <c r="I232" s="5" t="s">
        <v>818</v>
      </c>
      <c r="J232" s="5" t="s">
        <v>227</v>
      </c>
      <c r="K232" s="5" t="s">
        <v>200</v>
      </c>
      <c r="L232" s="5" t="s">
        <v>819</v>
      </c>
      <c r="M232" s="5" t="s">
        <v>820</v>
      </c>
      <c r="N232" s="5" t="s">
        <v>3652</v>
      </c>
      <c r="O232" s="5" t="s">
        <v>3727</v>
      </c>
      <c r="P232" s="5">
        <v>2869799</v>
      </c>
      <c r="Q232" s="5" t="s">
        <v>4525</v>
      </c>
      <c r="R232" s="5" t="s">
        <v>203</v>
      </c>
      <c r="S232" s="5" t="s">
        <v>444</v>
      </c>
      <c r="T232" s="5" t="s">
        <v>217</v>
      </c>
      <c r="U232" s="5" t="s">
        <v>233</v>
      </c>
      <c r="V232" s="5" t="s">
        <v>4526</v>
      </c>
      <c r="W232" s="5" t="s">
        <v>227</v>
      </c>
      <c r="X232" s="5" t="s">
        <v>413</v>
      </c>
      <c r="Y232" s="5" t="s">
        <v>4527</v>
      </c>
      <c r="Z232" s="5" t="s">
        <v>4528</v>
      </c>
      <c r="AA232" s="5" t="s">
        <v>3608</v>
      </c>
      <c r="AB232" s="5" t="s">
        <v>3763</v>
      </c>
      <c r="AC232" s="5" t="s">
        <v>4529</v>
      </c>
      <c r="AD232" s="6">
        <v>45432</v>
      </c>
      <c r="AE232" s="6">
        <v>45436</v>
      </c>
      <c r="AF232" s="5"/>
    </row>
    <row r="233" spans="1:32" ht="91.5" customHeight="1" x14ac:dyDescent="0.3">
      <c r="A233" s="7">
        <v>4932277</v>
      </c>
      <c r="B233" s="7" t="s">
        <v>4530</v>
      </c>
      <c r="C233" s="7" t="s">
        <v>4531</v>
      </c>
      <c r="D233" s="7" t="s">
        <v>198</v>
      </c>
      <c r="E233" s="7" t="s">
        <v>203</v>
      </c>
      <c r="F233" s="7" t="s">
        <v>418</v>
      </c>
      <c r="G233" s="7" t="s">
        <v>217</v>
      </c>
      <c r="H233" s="7" t="s">
        <v>245</v>
      </c>
      <c r="I233" s="7" t="s">
        <v>1976</v>
      </c>
      <c r="J233" s="7" t="s">
        <v>227</v>
      </c>
      <c r="K233" s="7" t="s">
        <v>413</v>
      </c>
      <c r="L233" s="7" t="s">
        <v>1977</v>
      </c>
      <c r="M233" s="7" t="s">
        <v>1978</v>
      </c>
      <c r="N233" s="7" t="s">
        <v>3623</v>
      </c>
      <c r="O233" s="7" t="s">
        <v>3837</v>
      </c>
      <c r="P233" s="7">
        <v>5669553</v>
      </c>
      <c r="Q233" s="7" t="s">
        <v>4532</v>
      </c>
      <c r="R233" s="7" t="s">
        <v>203</v>
      </c>
      <c r="S233" s="7" t="s">
        <v>433</v>
      </c>
      <c r="T233" s="7" t="s">
        <v>208</v>
      </c>
      <c r="U233" s="7" t="s">
        <v>207</v>
      </c>
      <c r="V233" s="7" t="s">
        <v>4533</v>
      </c>
      <c r="W233" s="7" t="s">
        <v>227</v>
      </c>
      <c r="X233" s="7" t="s">
        <v>413</v>
      </c>
      <c r="Y233" s="7" t="s">
        <v>4534</v>
      </c>
      <c r="Z233" s="7" t="s">
        <v>3366</v>
      </c>
      <c r="AA233" s="7" t="s">
        <v>3732</v>
      </c>
      <c r="AB233" s="7" t="s">
        <v>3837</v>
      </c>
      <c r="AC233" s="7" t="s">
        <v>4535</v>
      </c>
      <c r="AD233" s="8">
        <v>45414</v>
      </c>
      <c r="AE233" s="8">
        <v>45657</v>
      </c>
      <c r="AF233" s="7"/>
    </row>
    <row r="234" spans="1:32" ht="224.25" customHeight="1" x14ac:dyDescent="0.3">
      <c r="A234" s="5">
        <v>4838629</v>
      </c>
      <c r="B234" s="5" t="s">
        <v>4536</v>
      </c>
      <c r="C234" s="5" t="s">
        <v>4537</v>
      </c>
      <c r="D234" s="5" t="s">
        <v>198</v>
      </c>
      <c r="E234" s="5"/>
      <c r="F234" s="5" t="s">
        <v>234</v>
      </c>
      <c r="G234" s="5" t="s">
        <v>208</v>
      </c>
      <c r="H234" s="5" t="s">
        <v>207</v>
      </c>
      <c r="I234" s="5"/>
      <c r="J234" s="5" t="s">
        <v>227</v>
      </c>
      <c r="K234" s="5"/>
      <c r="L234" s="5"/>
      <c r="M234" s="5"/>
      <c r="N234" s="5" t="s">
        <v>3623</v>
      </c>
      <c r="O234" s="5"/>
      <c r="P234" s="5">
        <v>5077141</v>
      </c>
      <c r="Q234" s="5" t="s">
        <v>4538</v>
      </c>
      <c r="R234" s="5" t="s">
        <v>203</v>
      </c>
      <c r="S234" s="5" t="s">
        <v>234</v>
      </c>
      <c r="T234" s="5" t="s">
        <v>217</v>
      </c>
      <c r="U234" s="5" t="s">
        <v>207</v>
      </c>
      <c r="V234" s="5" t="s">
        <v>4539</v>
      </c>
      <c r="W234" s="5" t="s">
        <v>227</v>
      </c>
      <c r="X234" s="5" t="s">
        <v>200</v>
      </c>
      <c r="Y234" s="5" t="s">
        <v>4540</v>
      </c>
      <c r="Z234" s="5" t="s">
        <v>690</v>
      </c>
      <c r="AA234" s="5" t="s">
        <v>3623</v>
      </c>
      <c r="AB234" s="5" t="s">
        <v>3824</v>
      </c>
      <c r="AC234" s="5" t="s">
        <v>4541</v>
      </c>
      <c r="AD234" s="6">
        <v>45413</v>
      </c>
      <c r="AE234" s="5"/>
      <c r="AF234" s="5"/>
    </row>
    <row r="235" spans="1:32" ht="91.5" customHeight="1" x14ac:dyDescent="0.3">
      <c r="A235" s="7">
        <v>4670183</v>
      </c>
      <c r="B235" s="7" t="s">
        <v>4542</v>
      </c>
      <c r="C235" s="7" t="s">
        <v>4543</v>
      </c>
      <c r="D235" s="7" t="s">
        <v>198</v>
      </c>
      <c r="E235" s="7" t="s">
        <v>203</v>
      </c>
      <c r="F235" s="7" t="s">
        <v>444</v>
      </c>
      <c r="G235" s="7" t="s">
        <v>217</v>
      </c>
      <c r="H235" s="7" t="s">
        <v>245</v>
      </c>
      <c r="I235" s="7" t="s">
        <v>4438</v>
      </c>
      <c r="J235" s="7" t="s">
        <v>227</v>
      </c>
      <c r="K235" s="7" t="s">
        <v>413</v>
      </c>
      <c r="L235" s="7" t="s">
        <v>2450</v>
      </c>
      <c r="M235" s="7" t="s">
        <v>2451</v>
      </c>
      <c r="N235" s="7" t="s">
        <v>3608</v>
      </c>
      <c r="O235" s="7" t="s">
        <v>3702</v>
      </c>
      <c r="P235" s="7">
        <v>5576741</v>
      </c>
      <c r="Q235" s="7" t="s">
        <v>4544</v>
      </c>
      <c r="R235" s="7" t="s">
        <v>203</v>
      </c>
      <c r="S235" s="7" t="s">
        <v>444</v>
      </c>
      <c r="T235" s="7" t="s">
        <v>217</v>
      </c>
      <c r="U235" s="7" t="s">
        <v>2330</v>
      </c>
      <c r="V235" s="7" t="s">
        <v>4545</v>
      </c>
      <c r="W235" s="7" t="s">
        <v>227</v>
      </c>
      <c r="X235" s="7" t="s">
        <v>413</v>
      </c>
      <c r="Y235" s="7" t="s">
        <v>1977</v>
      </c>
      <c r="Z235" s="7" t="s">
        <v>4546</v>
      </c>
      <c r="AA235" s="7" t="s">
        <v>3612</v>
      </c>
      <c r="AB235" s="7" t="s">
        <v>3837</v>
      </c>
      <c r="AC235" s="7" t="s">
        <v>4547</v>
      </c>
      <c r="AD235" s="8">
        <v>45426</v>
      </c>
      <c r="AE235" s="8">
        <v>45646</v>
      </c>
      <c r="AF235" s="7"/>
    </row>
    <row r="236" spans="1:32" ht="275.25" customHeight="1" x14ac:dyDescent="0.3">
      <c r="A236" s="5">
        <v>5323460</v>
      </c>
      <c r="B236" s="5" t="s">
        <v>3132</v>
      </c>
      <c r="C236" s="5" t="s">
        <v>4548</v>
      </c>
      <c r="D236" s="5" t="s">
        <v>198</v>
      </c>
      <c r="E236" s="5" t="s">
        <v>203</v>
      </c>
      <c r="F236" s="5" t="s">
        <v>234</v>
      </c>
      <c r="G236" s="5" t="s">
        <v>208</v>
      </c>
      <c r="H236" s="5" t="s">
        <v>207</v>
      </c>
      <c r="I236" s="5" t="s">
        <v>3133</v>
      </c>
      <c r="J236" s="5" t="s">
        <v>227</v>
      </c>
      <c r="K236" s="5" t="s">
        <v>200</v>
      </c>
      <c r="L236" s="5" t="s">
        <v>1941</v>
      </c>
      <c r="M236" s="5" t="s">
        <v>2097</v>
      </c>
      <c r="N236" s="5" t="s">
        <v>3623</v>
      </c>
      <c r="O236" s="5" t="s">
        <v>3894</v>
      </c>
      <c r="P236" s="5">
        <v>5531187</v>
      </c>
      <c r="Q236" s="5" t="s">
        <v>4549</v>
      </c>
      <c r="R236" s="5" t="s">
        <v>203</v>
      </c>
      <c r="S236" s="5" t="s">
        <v>234</v>
      </c>
      <c r="T236" s="5" t="s">
        <v>217</v>
      </c>
      <c r="U236" s="5" t="s">
        <v>2330</v>
      </c>
      <c r="V236" s="5" t="s">
        <v>4550</v>
      </c>
      <c r="W236" s="5" t="s">
        <v>227</v>
      </c>
      <c r="X236" s="5" t="s">
        <v>200</v>
      </c>
      <c r="Y236" s="5" t="s">
        <v>4551</v>
      </c>
      <c r="Z236" s="5" t="s">
        <v>4552</v>
      </c>
      <c r="AA236" s="5" t="s">
        <v>3732</v>
      </c>
      <c r="AB236" s="5" t="s">
        <v>3609</v>
      </c>
      <c r="AC236" s="5" t="s">
        <v>4553</v>
      </c>
      <c r="AD236" s="6">
        <v>45446</v>
      </c>
      <c r="AE236" s="5"/>
      <c r="AF236" s="5"/>
    </row>
    <row r="237" spans="1:32" ht="40.5" customHeight="1" x14ac:dyDescent="0.3">
      <c r="A237" s="7">
        <v>5464900</v>
      </c>
      <c r="B237" s="7" t="s">
        <v>3244</v>
      </c>
      <c r="C237" s="7" t="s">
        <v>4554</v>
      </c>
      <c r="D237" s="7" t="s">
        <v>862</v>
      </c>
      <c r="E237" s="7" t="s">
        <v>203</v>
      </c>
      <c r="F237" s="7" t="s">
        <v>234</v>
      </c>
      <c r="G237" s="7" t="s">
        <v>208</v>
      </c>
      <c r="H237" s="7" t="s">
        <v>207</v>
      </c>
      <c r="I237" s="7" t="s">
        <v>3245</v>
      </c>
      <c r="J237" s="7" t="s">
        <v>227</v>
      </c>
      <c r="K237" s="7" t="s">
        <v>200</v>
      </c>
      <c r="L237" s="7" t="s">
        <v>3246</v>
      </c>
      <c r="M237" s="7" t="s">
        <v>2677</v>
      </c>
      <c r="N237" s="7" t="s">
        <v>3612</v>
      </c>
      <c r="O237" s="7" t="s">
        <v>3741</v>
      </c>
      <c r="P237" s="7">
        <v>5329809</v>
      </c>
      <c r="Q237" s="7" t="s">
        <v>4555</v>
      </c>
      <c r="R237" s="7" t="s">
        <v>203</v>
      </c>
      <c r="S237" s="7" t="s">
        <v>234</v>
      </c>
      <c r="T237" s="7" t="s">
        <v>208</v>
      </c>
      <c r="U237" s="7" t="s">
        <v>207</v>
      </c>
      <c r="V237" s="7" t="s">
        <v>4494</v>
      </c>
      <c r="W237" s="7" t="s">
        <v>227</v>
      </c>
      <c r="X237" s="7" t="s">
        <v>200</v>
      </c>
      <c r="Y237" s="7" t="s">
        <v>4495</v>
      </c>
      <c r="Z237" s="7" t="s">
        <v>3740</v>
      </c>
      <c r="AA237" s="7" t="s">
        <v>3612</v>
      </c>
      <c r="AB237" s="7" t="s">
        <v>3741</v>
      </c>
      <c r="AC237" s="7" t="s">
        <v>4556</v>
      </c>
      <c r="AD237" s="8">
        <v>45352</v>
      </c>
      <c r="AE237" s="7"/>
      <c r="AF237" s="7"/>
    </row>
    <row r="238" spans="1:32" ht="40.5" customHeight="1" x14ac:dyDescent="0.3">
      <c r="A238" s="5">
        <v>5464900</v>
      </c>
      <c r="B238" s="5" t="s">
        <v>3244</v>
      </c>
      <c r="C238" s="5" t="s">
        <v>4557</v>
      </c>
      <c r="D238" s="5" t="s">
        <v>354</v>
      </c>
      <c r="E238" s="5" t="s">
        <v>203</v>
      </c>
      <c r="F238" s="5" t="s">
        <v>234</v>
      </c>
      <c r="G238" s="5" t="s">
        <v>208</v>
      </c>
      <c r="H238" s="5" t="s">
        <v>207</v>
      </c>
      <c r="I238" s="5" t="s">
        <v>3245</v>
      </c>
      <c r="J238" s="5" t="s">
        <v>227</v>
      </c>
      <c r="K238" s="5" t="s">
        <v>200</v>
      </c>
      <c r="L238" s="5" t="s">
        <v>3246</v>
      </c>
      <c r="M238" s="5" t="s">
        <v>2677</v>
      </c>
      <c r="N238" s="5" t="s">
        <v>3612</v>
      </c>
      <c r="O238" s="5" t="s">
        <v>3741</v>
      </c>
      <c r="P238" s="5">
        <v>3305015</v>
      </c>
      <c r="Q238" s="5" t="s">
        <v>4558</v>
      </c>
      <c r="R238" s="5" t="s">
        <v>203</v>
      </c>
      <c r="S238" s="5" t="s">
        <v>418</v>
      </c>
      <c r="T238" s="5" t="s">
        <v>208</v>
      </c>
      <c r="U238" s="5" t="s">
        <v>245</v>
      </c>
      <c r="V238" s="5" t="s">
        <v>4559</v>
      </c>
      <c r="W238" s="5" t="s">
        <v>227</v>
      </c>
      <c r="X238" s="5" t="s">
        <v>200</v>
      </c>
      <c r="Y238" s="5" t="s">
        <v>4560</v>
      </c>
      <c r="Z238" s="5" t="s">
        <v>4561</v>
      </c>
      <c r="AA238" s="5" t="s">
        <v>3608</v>
      </c>
      <c r="AB238" s="5" t="s">
        <v>4181</v>
      </c>
      <c r="AC238" s="5" t="s">
        <v>4562</v>
      </c>
      <c r="AD238" s="6">
        <v>45369</v>
      </c>
      <c r="AE238" s="6">
        <v>45502</v>
      </c>
      <c r="AF238" s="5"/>
    </row>
    <row r="239" spans="1:32" ht="40.5" customHeight="1" x14ac:dyDescent="0.3">
      <c r="A239" s="7">
        <v>5464900</v>
      </c>
      <c r="B239" s="7" t="s">
        <v>3244</v>
      </c>
      <c r="C239" s="7"/>
      <c r="D239" s="7" t="s">
        <v>862</v>
      </c>
      <c r="E239" s="7" t="s">
        <v>203</v>
      </c>
      <c r="F239" s="7" t="s">
        <v>234</v>
      </c>
      <c r="G239" s="7" t="s">
        <v>208</v>
      </c>
      <c r="H239" s="7" t="s">
        <v>207</v>
      </c>
      <c r="I239" s="7" t="s">
        <v>3245</v>
      </c>
      <c r="J239" s="7" t="s">
        <v>227</v>
      </c>
      <c r="K239" s="7" t="s">
        <v>200</v>
      </c>
      <c r="L239" s="7" t="s">
        <v>3246</v>
      </c>
      <c r="M239" s="7" t="s">
        <v>2677</v>
      </c>
      <c r="N239" s="7" t="s">
        <v>3612</v>
      </c>
      <c r="O239" s="7" t="s">
        <v>3741</v>
      </c>
      <c r="P239" s="7">
        <v>5532930</v>
      </c>
      <c r="Q239" s="7" t="s">
        <v>4563</v>
      </c>
      <c r="R239" s="7" t="s">
        <v>203</v>
      </c>
      <c r="S239" s="7" t="s">
        <v>444</v>
      </c>
      <c r="T239" s="7" t="s">
        <v>208</v>
      </c>
      <c r="U239" s="7" t="s">
        <v>2330</v>
      </c>
      <c r="V239" s="7" t="s">
        <v>4564</v>
      </c>
      <c r="W239" s="7" t="s">
        <v>227</v>
      </c>
      <c r="X239" s="7" t="s">
        <v>200</v>
      </c>
      <c r="Y239" s="7" t="s">
        <v>1683</v>
      </c>
      <c r="Z239" s="7" t="s">
        <v>982</v>
      </c>
      <c r="AA239" s="7" t="s">
        <v>3612</v>
      </c>
      <c r="AB239" s="7" t="s">
        <v>3705</v>
      </c>
      <c r="AC239" s="7" t="s">
        <v>4565</v>
      </c>
      <c r="AD239" s="8">
        <v>45350</v>
      </c>
      <c r="AE239" s="7"/>
      <c r="AF239" s="7"/>
    </row>
    <row r="240" spans="1:32" ht="275.25" customHeight="1" x14ac:dyDescent="0.3">
      <c r="A240" s="5">
        <v>3792145</v>
      </c>
      <c r="B240" s="5" t="s">
        <v>1633</v>
      </c>
      <c r="C240" s="5" t="s">
        <v>4566</v>
      </c>
      <c r="D240" s="5" t="s">
        <v>862</v>
      </c>
      <c r="E240" s="5" t="s">
        <v>203</v>
      </c>
      <c r="F240" s="5" t="s">
        <v>234</v>
      </c>
      <c r="G240" s="5" t="s">
        <v>217</v>
      </c>
      <c r="H240" s="5" t="s">
        <v>245</v>
      </c>
      <c r="I240" s="5" t="s">
        <v>1634</v>
      </c>
      <c r="J240" s="5" t="s">
        <v>227</v>
      </c>
      <c r="K240" s="5" t="s">
        <v>200</v>
      </c>
      <c r="L240" s="5" t="s">
        <v>784</v>
      </c>
      <c r="M240" s="5" t="s">
        <v>785</v>
      </c>
      <c r="N240" s="5" t="s">
        <v>3623</v>
      </c>
      <c r="O240" s="5" t="s">
        <v>3715</v>
      </c>
      <c r="P240" s="5">
        <v>4953835</v>
      </c>
      <c r="Q240" s="5" t="s">
        <v>4567</v>
      </c>
      <c r="R240" s="5"/>
      <c r="S240" s="5" t="s">
        <v>234</v>
      </c>
      <c r="T240" s="5" t="s">
        <v>217</v>
      </c>
      <c r="U240" s="5" t="s">
        <v>207</v>
      </c>
      <c r="V240" s="5"/>
      <c r="W240" s="5" t="s">
        <v>227</v>
      </c>
      <c r="X240" s="5"/>
      <c r="Y240" s="5"/>
      <c r="Z240" s="5"/>
      <c r="AA240" s="5" t="s">
        <v>3623</v>
      </c>
      <c r="AB240" s="5"/>
      <c r="AC240" s="5" t="s">
        <v>4568</v>
      </c>
      <c r="AD240" s="6">
        <v>45444</v>
      </c>
      <c r="AE240" s="5"/>
      <c r="AF240" s="5"/>
    </row>
    <row r="241" spans="1:32" ht="71.25" customHeight="1" x14ac:dyDescent="0.3">
      <c r="A241" s="7">
        <v>5464900</v>
      </c>
      <c r="B241" s="7" t="s">
        <v>3244</v>
      </c>
      <c r="C241" s="7" t="s">
        <v>4569</v>
      </c>
      <c r="D241" s="7" t="s">
        <v>198</v>
      </c>
      <c r="E241" s="7" t="s">
        <v>203</v>
      </c>
      <c r="F241" s="7" t="s">
        <v>234</v>
      </c>
      <c r="G241" s="7" t="s">
        <v>208</v>
      </c>
      <c r="H241" s="7" t="s">
        <v>207</v>
      </c>
      <c r="I241" s="7" t="s">
        <v>3245</v>
      </c>
      <c r="J241" s="7" t="s">
        <v>227</v>
      </c>
      <c r="K241" s="7" t="s">
        <v>200</v>
      </c>
      <c r="L241" s="7" t="s">
        <v>3246</v>
      </c>
      <c r="M241" s="7" t="s">
        <v>2677</v>
      </c>
      <c r="N241" s="7" t="s">
        <v>3612</v>
      </c>
      <c r="O241" s="7" t="s">
        <v>3741</v>
      </c>
      <c r="P241" s="7">
        <v>2620448</v>
      </c>
      <c r="Q241" s="7" t="s">
        <v>4570</v>
      </c>
      <c r="R241" s="7" t="s">
        <v>203</v>
      </c>
      <c r="S241" s="7" t="s">
        <v>444</v>
      </c>
      <c r="T241" s="7" t="s">
        <v>208</v>
      </c>
      <c r="U241" s="7" t="s">
        <v>245</v>
      </c>
      <c r="V241" s="7" t="s">
        <v>4571</v>
      </c>
      <c r="W241" s="7" t="s">
        <v>227</v>
      </c>
      <c r="X241" s="7" t="s">
        <v>200</v>
      </c>
      <c r="Y241" s="7" t="s">
        <v>1039</v>
      </c>
      <c r="Z241" s="7" t="s">
        <v>2305</v>
      </c>
      <c r="AA241" s="7" t="s">
        <v>3602</v>
      </c>
      <c r="AB241" s="7" t="s">
        <v>4426</v>
      </c>
      <c r="AC241" s="7" t="s">
        <v>4572</v>
      </c>
      <c r="AD241" s="8">
        <v>45427</v>
      </c>
      <c r="AE241" s="8">
        <v>45473</v>
      </c>
      <c r="AF241" s="7"/>
    </row>
    <row r="242" spans="1:32" ht="40.5" customHeight="1" x14ac:dyDescent="0.3">
      <c r="A242" s="5">
        <v>4950119</v>
      </c>
      <c r="B242" s="5" t="s">
        <v>2502</v>
      </c>
      <c r="C242" s="5" t="s">
        <v>4573</v>
      </c>
      <c r="D242" s="5" t="s">
        <v>862</v>
      </c>
      <c r="E242" s="5" t="s">
        <v>203</v>
      </c>
      <c r="F242" s="5" t="s">
        <v>433</v>
      </c>
      <c r="G242" s="5" t="s">
        <v>208</v>
      </c>
      <c r="H242" s="5" t="s">
        <v>245</v>
      </c>
      <c r="I242" s="5" t="s">
        <v>2503</v>
      </c>
      <c r="J242" s="5" t="s">
        <v>227</v>
      </c>
      <c r="K242" s="5" t="s">
        <v>578</v>
      </c>
      <c r="L242" s="5" t="s">
        <v>2504</v>
      </c>
      <c r="M242" s="5" t="s">
        <v>1574</v>
      </c>
      <c r="N242" s="5" t="s">
        <v>3623</v>
      </c>
      <c r="O242" s="5" t="s">
        <v>3824</v>
      </c>
      <c r="P242" s="5">
        <v>4995465</v>
      </c>
      <c r="Q242" s="5" t="s">
        <v>4574</v>
      </c>
      <c r="R242" s="5"/>
      <c r="S242" s="5" t="s">
        <v>433</v>
      </c>
      <c r="T242" s="5" t="s">
        <v>208</v>
      </c>
      <c r="U242" s="5" t="s">
        <v>207</v>
      </c>
      <c r="V242" s="5"/>
      <c r="W242" s="5" t="s">
        <v>227</v>
      </c>
      <c r="X242" s="5"/>
      <c r="Y242" s="5"/>
      <c r="Z242" s="5"/>
      <c r="AA242" s="5" t="s">
        <v>3623</v>
      </c>
      <c r="AB242" s="5"/>
      <c r="AC242" s="5" t="s">
        <v>4575</v>
      </c>
      <c r="AD242" s="6">
        <v>45427</v>
      </c>
      <c r="AE242" s="5"/>
      <c r="AF242" s="5"/>
    </row>
    <row r="243" spans="1:32" ht="30" customHeight="1" x14ac:dyDescent="0.3">
      <c r="A243" s="7">
        <v>3539342</v>
      </c>
      <c r="B243" s="7" t="s">
        <v>1442</v>
      </c>
      <c r="C243" s="7" t="s">
        <v>4576</v>
      </c>
      <c r="D243" s="7" t="s">
        <v>198</v>
      </c>
      <c r="E243" s="7" t="s">
        <v>203</v>
      </c>
      <c r="F243" s="7" t="s">
        <v>444</v>
      </c>
      <c r="G243" s="7" t="s">
        <v>208</v>
      </c>
      <c r="H243" s="7" t="s">
        <v>207</v>
      </c>
      <c r="I243" s="7" t="s">
        <v>1443</v>
      </c>
      <c r="J243" s="7" t="s">
        <v>227</v>
      </c>
      <c r="K243" s="7" t="s">
        <v>200</v>
      </c>
      <c r="L243" s="7" t="s">
        <v>1444</v>
      </c>
      <c r="M243" s="7" t="s">
        <v>1445</v>
      </c>
      <c r="N243" s="7" t="s">
        <v>3608</v>
      </c>
      <c r="O243" s="7" t="s">
        <v>3705</v>
      </c>
      <c r="P243" s="7">
        <v>5053625</v>
      </c>
      <c r="Q243" s="7" t="s">
        <v>2627</v>
      </c>
      <c r="R243" s="7" t="s">
        <v>203</v>
      </c>
      <c r="S243" s="7" t="s">
        <v>234</v>
      </c>
      <c r="T243" s="7" t="s">
        <v>217</v>
      </c>
      <c r="U243" s="7" t="s">
        <v>207</v>
      </c>
      <c r="V243" s="7" t="s">
        <v>2628</v>
      </c>
      <c r="W243" s="7" t="s">
        <v>227</v>
      </c>
      <c r="X243" s="7" t="s">
        <v>200</v>
      </c>
      <c r="Y243" s="7" t="s">
        <v>2629</v>
      </c>
      <c r="Z243" s="7" t="s">
        <v>982</v>
      </c>
      <c r="AA243" s="7" t="s">
        <v>3623</v>
      </c>
      <c r="AB243" s="7" t="s">
        <v>3725</v>
      </c>
      <c r="AC243" s="7" t="s">
        <v>4577</v>
      </c>
      <c r="AD243" s="8">
        <v>45384</v>
      </c>
      <c r="AE243" s="8">
        <v>45657</v>
      </c>
      <c r="AF243" s="7"/>
    </row>
    <row r="244" spans="1:32" ht="306" customHeight="1" x14ac:dyDescent="0.3">
      <c r="A244" s="5">
        <v>4989171</v>
      </c>
      <c r="B244" s="5" t="s">
        <v>263</v>
      </c>
      <c r="C244" s="5" t="s">
        <v>4578</v>
      </c>
      <c r="D244" s="5" t="s">
        <v>198</v>
      </c>
      <c r="E244" s="5" t="s">
        <v>203</v>
      </c>
      <c r="F244" s="5" t="s">
        <v>218</v>
      </c>
      <c r="G244" s="5" t="s">
        <v>217</v>
      </c>
      <c r="H244" s="5" t="s">
        <v>207</v>
      </c>
      <c r="I244" s="5" t="s">
        <v>264</v>
      </c>
      <c r="J244" s="5" t="s">
        <v>211</v>
      </c>
      <c r="K244" s="5" t="s">
        <v>200</v>
      </c>
      <c r="L244" s="5" t="s">
        <v>265</v>
      </c>
      <c r="M244" s="5" t="s">
        <v>267</v>
      </c>
      <c r="N244" s="5" t="s">
        <v>3623</v>
      </c>
      <c r="O244" s="5" t="s">
        <v>4011</v>
      </c>
      <c r="P244" s="5">
        <v>3511928</v>
      </c>
      <c r="Q244" s="5" t="s">
        <v>4579</v>
      </c>
      <c r="R244" s="5" t="s">
        <v>203</v>
      </c>
      <c r="S244" s="5" t="s">
        <v>218</v>
      </c>
      <c r="T244" s="5" t="s">
        <v>217</v>
      </c>
      <c r="U244" s="5" t="s">
        <v>207</v>
      </c>
      <c r="V244" s="5" t="s">
        <v>4580</v>
      </c>
      <c r="W244" s="5" t="s">
        <v>211</v>
      </c>
      <c r="X244" s="5" t="s">
        <v>200</v>
      </c>
      <c r="Y244" s="5" t="s">
        <v>4581</v>
      </c>
      <c r="Z244" s="5" t="s">
        <v>4582</v>
      </c>
      <c r="AA244" s="5" t="s">
        <v>3608</v>
      </c>
      <c r="AB244" s="5" t="s">
        <v>3763</v>
      </c>
      <c r="AC244" s="5" t="s">
        <v>4583</v>
      </c>
      <c r="AD244" s="6">
        <v>45434</v>
      </c>
      <c r="AE244" s="6">
        <v>45799</v>
      </c>
      <c r="AF244" s="5"/>
    </row>
    <row r="245" spans="1:32" ht="255" customHeight="1" x14ac:dyDescent="0.3">
      <c r="A245" s="7">
        <v>3511235</v>
      </c>
      <c r="B245" s="7" t="s">
        <v>376</v>
      </c>
      <c r="C245" s="7" t="s">
        <v>4584</v>
      </c>
      <c r="D245" s="7" t="s">
        <v>198</v>
      </c>
      <c r="E245" s="7" t="s">
        <v>203</v>
      </c>
      <c r="F245" s="7" t="s">
        <v>218</v>
      </c>
      <c r="G245" s="7" t="s">
        <v>217</v>
      </c>
      <c r="H245" s="7" t="s">
        <v>207</v>
      </c>
      <c r="I245" s="7" t="s">
        <v>378</v>
      </c>
      <c r="J245" s="7" t="s">
        <v>211</v>
      </c>
      <c r="K245" s="7" t="s">
        <v>200</v>
      </c>
      <c r="L245" s="7" t="s">
        <v>379</v>
      </c>
      <c r="M245" s="7" t="s">
        <v>346</v>
      </c>
      <c r="N245" s="7" t="s">
        <v>3608</v>
      </c>
      <c r="O245" s="7" t="s">
        <v>4328</v>
      </c>
      <c r="P245" s="7">
        <v>5457009</v>
      </c>
      <c r="Q245" s="7" t="s">
        <v>4585</v>
      </c>
      <c r="R245" s="7" t="s">
        <v>203</v>
      </c>
      <c r="S245" s="7" t="s">
        <v>218</v>
      </c>
      <c r="T245" s="7" t="s">
        <v>217</v>
      </c>
      <c r="U245" s="7" t="s">
        <v>207</v>
      </c>
      <c r="V245" s="7" t="s">
        <v>4586</v>
      </c>
      <c r="W245" s="7" t="s">
        <v>211</v>
      </c>
      <c r="X245" s="7" t="s">
        <v>200</v>
      </c>
      <c r="Y245" s="7" t="s">
        <v>4587</v>
      </c>
      <c r="Z245" s="7" t="s">
        <v>747</v>
      </c>
      <c r="AA245" s="7" t="s">
        <v>3612</v>
      </c>
      <c r="AB245" s="7" t="s">
        <v>3613</v>
      </c>
      <c r="AC245" s="7" t="s">
        <v>4588</v>
      </c>
      <c r="AD245" s="8">
        <v>45352</v>
      </c>
      <c r="AE245" s="7"/>
      <c r="AF245" s="7"/>
    </row>
    <row r="246" spans="1:32" ht="30" customHeight="1" x14ac:dyDescent="0.3">
      <c r="A246" s="5">
        <v>4827430</v>
      </c>
      <c r="B246" s="5" t="s">
        <v>310</v>
      </c>
      <c r="C246" s="5"/>
      <c r="D246" s="5" t="s">
        <v>198</v>
      </c>
      <c r="E246" s="5" t="s">
        <v>203</v>
      </c>
      <c r="F246" s="5"/>
      <c r="G246" s="5" t="s">
        <v>217</v>
      </c>
      <c r="H246" s="5" t="s">
        <v>233</v>
      </c>
      <c r="I246" s="5" t="s">
        <v>311</v>
      </c>
      <c r="J246" s="5" t="s">
        <v>211</v>
      </c>
      <c r="K246" s="5" t="s">
        <v>200</v>
      </c>
      <c r="L246" s="5" t="s">
        <v>312</v>
      </c>
      <c r="M246" s="5" t="s">
        <v>293</v>
      </c>
      <c r="N246" s="5" t="s">
        <v>3608</v>
      </c>
      <c r="O246" s="5" t="s">
        <v>3609</v>
      </c>
      <c r="P246" s="5">
        <v>5022800</v>
      </c>
      <c r="Q246" s="5" t="s">
        <v>4589</v>
      </c>
      <c r="R246" s="5" t="s">
        <v>203</v>
      </c>
      <c r="S246" s="5" t="s">
        <v>218</v>
      </c>
      <c r="T246" s="5" t="s">
        <v>217</v>
      </c>
      <c r="U246" s="5" t="s">
        <v>207</v>
      </c>
      <c r="V246" s="5" t="s">
        <v>4590</v>
      </c>
      <c r="W246" s="5" t="s">
        <v>211</v>
      </c>
      <c r="X246" s="5" t="s">
        <v>200</v>
      </c>
      <c r="Y246" s="5" t="s">
        <v>4591</v>
      </c>
      <c r="Z246" s="5" t="s">
        <v>4592</v>
      </c>
      <c r="AA246" s="5" t="s">
        <v>3612</v>
      </c>
      <c r="AB246" s="5" t="s">
        <v>3763</v>
      </c>
      <c r="AC246" s="5" t="s">
        <v>4593</v>
      </c>
      <c r="AD246" s="6">
        <v>45433</v>
      </c>
      <c r="AE246" s="5"/>
      <c r="AF246" s="5"/>
    </row>
    <row r="247" spans="1:32" ht="91.5" customHeight="1" x14ac:dyDescent="0.3">
      <c r="A247" s="7">
        <v>5066220</v>
      </c>
      <c r="B247" s="7" t="s">
        <v>326</v>
      </c>
      <c r="C247" s="7" t="s">
        <v>198</v>
      </c>
      <c r="D247" s="7" t="s">
        <v>198</v>
      </c>
      <c r="E247" s="7" t="s">
        <v>203</v>
      </c>
      <c r="F247" s="7" t="s">
        <v>218</v>
      </c>
      <c r="G247" s="7" t="s">
        <v>208</v>
      </c>
      <c r="H247" s="7" t="s">
        <v>245</v>
      </c>
      <c r="I247" s="7" t="s">
        <v>327</v>
      </c>
      <c r="J247" s="7" t="s">
        <v>211</v>
      </c>
      <c r="K247" s="7" t="s">
        <v>200</v>
      </c>
      <c r="L247" s="7" t="s">
        <v>328</v>
      </c>
      <c r="M247" s="7" t="s">
        <v>330</v>
      </c>
      <c r="N247" s="7" t="s">
        <v>3623</v>
      </c>
      <c r="O247" s="7" t="s">
        <v>3630</v>
      </c>
      <c r="P247" s="7">
        <v>5367964</v>
      </c>
      <c r="Q247" s="7" t="s">
        <v>4594</v>
      </c>
      <c r="R247" s="7" t="s">
        <v>203</v>
      </c>
      <c r="S247" s="7" t="s">
        <v>218</v>
      </c>
      <c r="T247" s="7" t="s">
        <v>217</v>
      </c>
      <c r="U247" s="7" t="s">
        <v>207</v>
      </c>
      <c r="V247" s="7" t="s">
        <v>398</v>
      </c>
      <c r="W247" s="7" t="s">
        <v>211</v>
      </c>
      <c r="X247" s="7" t="s">
        <v>200</v>
      </c>
      <c r="Y247" s="7" t="s">
        <v>399</v>
      </c>
      <c r="Z247" s="7" t="s">
        <v>4595</v>
      </c>
      <c r="AA247" s="7" t="s">
        <v>3612</v>
      </c>
      <c r="AB247" s="7" t="s">
        <v>3894</v>
      </c>
      <c r="AC247" s="7" t="s">
        <v>4596</v>
      </c>
      <c r="AD247" s="8">
        <v>45352</v>
      </c>
      <c r="AE247" s="8">
        <v>45747</v>
      </c>
      <c r="AF247" s="7"/>
    </row>
    <row r="248" spans="1:32" ht="409.5" customHeight="1" x14ac:dyDescent="0.3">
      <c r="A248" s="5">
        <v>4997751</v>
      </c>
      <c r="B248" s="5" t="s">
        <v>240</v>
      </c>
      <c r="C248" s="5" t="s">
        <v>4597</v>
      </c>
      <c r="D248" s="5" t="s">
        <v>198</v>
      </c>
      <c r="E248" s="5" t="s">
        <v>203</v>
      </c>
      <c r="F248" s="5"/>
      <c r="G248" s="5" t="s">
        <v>217</v>
      </c>
      <c r="H248" s="5" t="s">
        <v>245</v>
      </c>
      <c r="I248" s="5" t="s">
        <v>241</v>
      </c>
      <c r="J248" s="5" t="s">
        <v>211</v>
      </c>
      <c r="K248" s="5" t="s">
        <v>200</v>
      </c>
      <c r="L248" s="5" t="s">
        <v>242</v>
      </c>
      <c r="M248" s="5" t="s">
        <v>243</v>
      </c>
      <c r="N248" s="5" t="s">
        <v>3623</v>
      </c>
      <c r="O248" s="5" t="s">
        <v>3609</v>
      </c>
      <c r="P248" s="5">
        <v>5087872</v>
      </c>
      <c r="Q248" s="5" t="s">
        <v>4598</v>
      </c>
      <c r="R248" s="5" t="s">
        <v>203</v>
      </c>
      <c r="S248" s="5" t="s">
        <v>218</v>
      </c>
      <c r="T248" s="5" t="s">
        <v>217</v>
      </c>
      <c r="U248" s="5" t="s">
        <v>207</v>
      </c>
      <c r="V248" s="5" t="s">
        <v>4599</v>
      </c>
      <c r="W248" s="5" t="s">
        <v>211</v>
      </c>
      <c r="X248" s="5" t="s">
        <v>200</v>
      </c>
      <c r="Y248" s="5" t="s">
        <v>222</v>
      </c>
      <c r="Z248" s="5" t="s">
        <v>4600</v>
      </c>
      <c r="AA248" s="5" t="s">
        <v>3623</v>
      </c>
      <c r="AB248" s="5" t="s">
        <v>3754</v>
      </c>
      <c r="AC248" s="5" t="s">
        <v>4601</v>
      </c>
      <c r="AD248" s="6">
        <v>45444</v>
      </c>
      <c r="AE248" s="6">
        <v>45809</v>
      </c>
      <c r="AF248" s="5"/>
    </row>
    <row r="249" spans="1:32" ht="193.5" customHeight="1" x14ac:dyDescent="0.3">
      <c r="A249" s="7">
        <v>5238722</v>
      </c>
      <c r="B249" s="7" t="s">
        <v>2944</v>
      </c>
      <c r="C249" s="7" t="s">
        <v>4602</v>
      </c>
      <c r="D249" s="7" t="s">
        <v>198</v>
      </c>
      <c r="E249" s="7" t="s">
        <v>203</v>
      </c>
      <c r="F249" s="7" t="s">
        <v>418</v>
      </c>
      <c r="G249" s="7" t="s">
        <v>208</v>
      </c>
      <c r="H249" s="7" t="s">
        <v>245</v>
      </c>
      <c r="I249" s="7" t="s">
        <v>2945</v>
      </c>
      <c r="J249" s="7" t="s">
        <v>227</v>
      </c>
      <c r="K249" s="7" t="s">
        <v>200</v>
      </c>
      <c r="L249" s="7" t="s">
        <v>2946</v>
      </c>
      <c r="M249" s="7" t="s">
        <v>2947</v>
      </c>
      <c r="N249" s="7" t="s">
        <v>3608</v>
      </c>
      <c r="O249" s="7" t="s">
        <v>3711</v>
      </c>
      <c r="P249" s="7">
        <v>3739503</v>
      </c>
      <c r="Q249" s="7" t="s">
        <v>4603</v>
      </c>
      <c r="R249" s="7" t="s">
        <v>203</v>
      </c>
      <c r="S249" s="7" t="s">
        <v>234</v>
      </c>
      <c r="T249" s="7" t="s">
        <v>217</v>
      </c>
      <c r="U249" s="7" t="s">
        <v>207</v>
      </c>
      <c r="V249" s="7" t="s">
        <v>4604</v>
      </c>
      <c r="W249" s="7" t="s">
        <v>227</v>
      </c>
      <c r="X249" s="7" t="s">
        <v>200</v>
      </c>
      <c r="Y249" s="7" t="s">
        <v>456</v>
      </c>
      <c r="Z249" s="7" t="s">
        <v>4552</v>
      </c>
      <c r="AA249" s="7" t="s">
        <v>3608</v>
      </c>
      <c r="AB249" s="7" t="s">
        <v>3609</v>
      </c>
      <c r="AC249" s="7" t="s">
        <v>4605</v>
      </c>
      <c r="AD249" s="8">
        <v>45433</v>
      </c>
      <c r="AE249" s="8">
        <v>45626</v>
      </c>
      <c r="AF249" s="7"/>
    </row>
    <row r="250" spans="1:32" ht="409.5" customHeight="1" x14ac:dyDescent="0.3">
      <c r="A250" s="5">
        <v>3244121</v>
      </c>
      <c r="B250" s="5" t="s">
        <v>3621</v>
      </c>
      <c r="C250" s="5" t="s">
        <v>4606</v>
      </c>
      <c r="D250" s="5" t="s">
        <v>198</v>
      </c>
      <c r="E250" s="5"/>
      <c r="F250" s="5"/>
      <c r="G250" s="5" t="s">
        <v>217</v>
      </c>
      <c r="H250" s="5" t="s">
        <v>233</v>
      </c>
      <c r="I250" s="5"/>
      <c r="J250" s="5" t="s">
        <v>211</v>
      </c>
      <c r="K250" s="5"/>
      <c r="L250" s="5"/>
      <c r="M250" s="5"/>
      <c r="N250" s="5" t="s">
        <v>3623</v>
      </c>
      <c r="O250" s="5"/>
      <c r="P250" s="5">
        <v>5452317</v>
      </c>
      <c r="Q250" s="5" t="s">
        <v>4607</v>
      </c>
      <c r="R250" s="5" t="s">
        <v>203</v>
      </c>
      <c r="S250" s="5" t="s">
        <v>218</v>
      </c>
      <c r="T250" s="5" t="s">
        <v>217</v>
      </c>
      <c r="U250" s="5" t="s">
        <v>207</v>
      </c>
      <c r="V250" s="5" t="s">
        <v>4608</v>
      </c>
      <c r="W250" s="5" t="s">
        <v>211</v>
      </c>
      <c r="X250" s="5" t="s">
        <v>200</v>
      </c>
      <c r="Y250" s="5" t="s">
        <v>3645</v>
      </c>
      <c r="Z250" s="5" t="s">
        <v>3607</v>
      </c>
      <c r="AA250" s="5" t="s">
        <v>3612</v>
      </c>
      <c r="AB250" s="5" t="s">
        <v>3609</v>
      </c>
      <c r="AC250" s="5" t="s">
        <v>4609</v>
      </c>
      <c r="AD250" s="6">
        <v>45435</v>
      </c>
      <c r="AE250" s="6">
        <v>45778</v>
      </c>
      <c r="AF250" s="5"/>
    </row>
    <row r="251" spans="1:32" ht="409.5" customHeight="1" x14ac:dyDescent="0.3">
      <c r="A251" s="7">
        <v>5238722</v>
      </c>
      <c r="B251" s="7" t="s">
        <v>2944</v>
      </c>
      <c r="C251" s="7" t="s">
        <v>4610</v>
      </c>
      <c r="D251" s="7" t="s">
        <v>862</v>
      </c>
      <c r="E251" s="7" t="s">
        <v>203</v>
      </c>
      <c r="F251" s="7" t="s">
        <v>418</v>
      </c>
      <c r="G251" s="7" t="s">
        <v>208</v>
      </c>
      <c r="H251" s="7" t="s">
        <v>245</v>
      </c>
      <c r="I251" s="7" t="s">
        <v>2945</v>
      </c>
      <c r="J251" s="7" t="s">
        <v>227</v>
      </c>
      <c r="K251" s="7" t="s">
        <v>200</v>
      </c>
      <c r="L251" s="7" t="s">
        <v>2946</v>
      </c>
      <c r="M251" s="7" t="s">
        <v>2947</v>
      </c>
      <c r="N251" s="7" t="s">
        <v>3608</v>
      </c>
      <c r="O251" s="7" t="s">
        <v>3711</v>
      </c>
      <c r="P251" s="7">
        <v>5452317</v>
      </c>
      <c r="Q251" s="7" t="s">
        <v>4607</v>
      </c>
      <c r="R251" s="7" t="s">
        <v>203</v>
      </c>
      <c r="S251" s="7" t="s">
        <v>218</v>
      </c>
      <c r="T251" s="7" t="s">
        <v>217</v>
      </c>
      <c r="U251" s="7" t="s">
        <v>207</v>
      </c>
      <c r="V251" s="7" t="s">
        <v>4608</v>
      </c>
      <c r="W251" s="7" t="s">
        <v>211</v>
      </c>
      <c r="X251" s="7" t="s">
        <v>200</v>
      </c>
      <c r="Y251" s="7" t="s">
        <v>3645</v>
      </c>
      <c r="Z251" s="7" t="s">
        <v>3607</v>
      </c>
      <c r="AA251" s="7" t="s">
        <v>3612</v>
      </c>
      <c r="AB251" s="7" t="s">
        <v>3609</v>
      </c>
      <c r="AC251" s="7" t="s">
        <v>4611</v>
      </c>
      <c r="AD251" s="8">
        <v>45444</v>
      </c>
      <c r="AE251" s="8">
        <v>45808</v>
      </c>
      <c r="AF251" s="7"/>
    </row>
    <row r="252" spans="1:32" ht="30" customHeight="1" x14ac:dyDescent="0.3">
      <c r="A252" s="5">
        <v>4989171</v>
      </c>
      <c r="B252" s="5" t="s">
        <v>263</v>
      </c>
      <c r="C252" s="5"/>
      <c r="D252" s="5" t="s">
        <v>198</v>
      </c>
      <c r="E252" s="5" t="s">
        <v>203</v>
      </c>
      <c r="F252" s="5" t="s">
        <v>218</v>
      </c>
      <c r="G252" s="5" t="s">
        <v>217</v>
      </c>
      <c r="H252" s="5" t="s">
        <v>207</v>
      </c>
      <c r="I252" s="5" t="s">
        <v>264</v>
      </c>
      <c r="J252" s="5" t="s">
        <v>211</v>
      </c>
      <c r="K252" s="5" t="s">
        <v>200</v>
      </c>
      <c r="L252" s="5" t="s">
        <v>265</v>
      </c>
      <c r="M252" s="5" t="s">
        <v>267</v>
      </c>
      <c r="N252" s="5" t="s">
        <v>3623</v>
      </c>
      <c r="O252" s="5" t="s">
        <v>4011</v>
      </c>
      <c r="P252" s="5">
        <v>5495989</v>
      </c>
      <c r="Q252" s="5" t="s">
        <v>210</v>
      </c>
      <c r="R252" s="5" t="s">
        <v>203</v>
      </c>
      <c r="S252" s="5" t="s">
        <v>218</v>
      </c>
      <c r="T252" s="5" t="s">
        <v>217</v>
      </c>
      <c r="U252" s="5" t="s">
        <v>207</v>
      </c>
      <c r="V252" s="5" t="s">
        <v>212</v>
      </c>
      <c r="W252" s="5" t="s">
        <v>211</v>
      </c>
      <c r="X252" s="5" t="s">
        <v>200</v>
      </c>
      <c r="Y252" s="5" t="s">
        <v>213</v>
      </c>
      <c r="Z252" s="5" t="s">
        <v>215</v>
      </c>
      <c r="AA252" s="5" t="s">
        <v>3612</v>
      </c>
      <c r="AB252" s="5" t="s">
        <v>3613</v>
      </c>
      <c r="AC252" s="5" t="s">
        <v>4612</v>
      </c>
      <c r="AD252" s="6">
        <v>45433</v>
      </c>
      <c r="AE252" s="5"/>
      <c r="AF252" s="5"/>
    </row>
    <row r="253" spans="1:32" ht="30" customHeight="1" x14ac:dyDescent="0.3">
      <c r="A253" s="7">
        <v>4989171</v>
      </c>
      <c r="B253" s="7" t="s">
        <v>263</v>
      </c>
      <c r="C253" s="7" t="s">
        <v>4613</v>
      </c>
      <c r="D253" s="7" t="s">
        <v>354</v>
      </c>
      <c r="E253" s="7" t="s">
        <v>203</v>
      </c>
      <c r="F253" s="7" t="s">
        <v>218</v>
      </c>
      <c r="G253" s="7" t="s">
        <v>217</v>
      </c>
      <c r="H253" s="7" t="s">
        <v>207</v>
      </c>
      <c r="I253" s="7" t="s">
        <v>264</v>
      </c>
      <c r="J253" s="7" t="s">
        <v>211</v>
      </c>
      <c r="K253" s="7" t="s">
        <v>200</v>
      </c>
      <c r="L253" s="7" t="s">
        <v>265</v>
      </c>
      <c r="M253" s="7" t="s">
        <v>267</v>
      </c>
      <c r="N253" s="7" t="s">
        <v>3623</v>
      </c>
      <c r="O253" s="7" t="s">
        <v>4011</v>
      </c>
      <c r="P253" s="7">
        <v>5306671</v>
      </c>
      <c r="Q253" s="7" t="s">
        <v>4614</v>
      </c>
      <c r="R253" s="7" t="s">
        <v>203</v>
      </c>
      <c r="S253" s="7" t="s">
        <v>218</v>
      </c>
      <c r="T253" s="7" t="s">
        <v>217</v>
      </c>
      <c r="U253" s="7" t="s">
        <v>207</v>
      </c>
      <c r="V253" s="7" t="s">
        <v>236</v>
      </c>
      <c r="W253" s="7" t="s">
        <v>211</v>
      </c>
      <c r="X253" s="7" t="s">
        <v>200</v>
      </c>
      <c r="Y253" s="7" t="s">
        <v>237</v>
      </c>
      <c r="Z253" s="7" t="s">
        <v>4615</v>
      </c>
      <c r="AA253" s="7" t="s">
        <v>3623</v>
      </c>
      <c r="AB253" s="7" t="s">
        <v>3635</v>
      </c>
      <c r="AC253" s="7" t="s">
        <v>4616</v>
      </c>
      <c r="AD253" s="8">
        <v>45433</v>
      </c>
      <c r="AE253" s="7"/>
      <c r="AF253" s="7"/>
    </row>
    <row r="254" spans="1:32" ht="40.5" customHeight="1" x14ac:dyDescent="0.3">
      <c r="A254" s="5">
        <v>5464900</v>
      </c>
      <c r="B254" s="5" t="s">
        <v>3244</v>
      </c>
      <c r="C254" s="5" t="s">
        <v>4617</v>
      </c>
      <c r="D254" s="5" t="s">
        <v>862</v>
      </c>
      <c r="E254" s="5" t="s">
        <v>203</v>
      </c>
      <c r="F254" s="5" t="s">
        <v>234</v>
      </c>
      <c r="G254" s="5" t="s">
        <v>208</v>
      </c>
      <c r="H254" s="5" t="s">
        <v>207</v>
      </c>
      <c r="I254" s="5" t="s">
        <v>3245</v>
      </c>
      <c r="J254" s="5" t="s">
        <v>227</v>
      </c>
      <c r="K254" s="5" t="s">
        <v>200</v>
      </c>
      <c r="L254" s="5" t="s">
        <v>3246</v>
      </c>
      <c r="M254" s="5" t="s">
        <v>2677</v>
      </c>
      <c r="N254" s="5" t="s">
        <v>3612</v>
      </c>
      <c r="O254" s="5" t="s">
        <v>3741</v>
      </c>
      <c r="P254" s="5">
        <v>4953835</v>
      </c>
      <c r="Q254" s="5" t="s">
        <v>4567</v>
      </c>
      <c r="R254" s="5"/>
      <c r="S254" s="5" t="s">
        <v>234</v>
      </c>
      <c r="T254" s="5" t="s">
        <v>217</v>
      </c>
      <c r="U254" s="5" t="s">
        <v>207</v>
      </c>
      <c r="V254" s="5"/>
      <c r="W254" s="5" t="s">
        <v>227</v>
      </c>
      <c r="X254" s="5"/>
      <c r="Y254" s="5"/>
      <c r="Z254" s="5"/>
      <c r="AA254" s="5" t="s">
        <v>3623</v>
      </c>
      <c r="AB254" s="5"/>
      <c r="AC254" s="5" t="s">
        <v>4618</v>
      </c>
      <c r="AD254" s="6">
        <v>45439</v>
      </c>
      <c r="AE254" s="5"/>
      <c r="AF254" s="5"/>
    </row>
    <row r="255" spans="1:32" ht="30" customHeight="1" x14ac:dyDescent="0.3">
      <c r="A255" s="7">
        <v>2815966</v>
      </c>
      <c r="B255" s="7" t="s">
        <v>389</v>
      </c>
      <c r="C255" s="7"/>
      <c r="D255" s="7" t="s">
        <v>354</v>
      </c>
      <c r="E255" s="7" t="s">
        <v>203</v>
      </c>
      <c r="F255" s="7"/>
      <c r="G255" s="7" t="s">
        <v>217</v>
      </c>
      <c r="H255" s="7" t="s">
        <v>245</v>
      </c>
      <c r="I255" s="7" t="s">
        <v>390</v>
      </c>
      <c r="J255" s="7" t="s">
        <v>211</v>
      </c>
      <c r="K255" s="7" t="s">
        <v>200</v>
      </c>
      <c r="L255" s="7" t="s">
        <v>391</v>
      </c>
      <c r="M255" s="7" t="s">
        <v>238</v>
      </c>
      <c r="N255" s="7" t="s">
        <v>3652</v>
      </c>
      <c r="O255" s="7" t="s">
        <v>3635</v>
      </c>
      <c r="P255" s="7">
        <v>5457955</v>
      </c>
      <c r="Q255" s="7" t="s">
        <v>4619</v>
      </c>
      <c r="R255" s="7" t="s">
        <v>203</v>
      </c>
      <c r="S255" s="7"/>
      <c r="T255" s="7" t="s">
        <v>217</v>
      </c>
      <c r="U255" s="7" t="s">
        <v>2330</v>
      </c>
      <c r="V255" s="7" t="s">
        <v>264</v>
      </c>
      <c r="W255" s="7" t="s">
        <v>211</v>
      </c>
      <c r="X255" s="7" t="s">
        <v>200</v>
      </c>
      <c r="Y255" s="7" t="s">
        <v>3671</v>
      </c>
      <c r="Z255" s="7" t="s">
        <v>3634</v>
      </c>
      <c r="AA255" s="7" t="s">
        <v>3612</v>
      </c>
      <c r="AB255" s="7" t="s">
        <v>3635</v>
      </c>
      <c r="AC255" s="7" t="s">
        <v>4620</v>
      </c>
      <c r="AD255" s="8">
        <v>45439</v>
      </c>
      <c r="AE255" s="7"/>
      <c r="AF255" s="7"/>
    </row>
    <row r="256" spans="1:32" ht="409.5" customHeight="1" x14ac:dyDescent="0.3">
      <c r="A256" s="5">
        <v>2862212</v>
      </c>
      <c r="B256" s="5" t="s">
        <v>571</v>
      </c>
      <c r="C256" s="5" t="s">
        <v>4621</v>
      </c>
      <c r="D256" s="5" t="s">
        <v>198</v>
      </c>
      <c r="E256" s="5" t="s">
        <v>203</v>
      </c>
      <c r="F256" s="5" t="s">
        <v>234</v>
      </c>
      <c r="G256" s="5" t="s">
        <v>208</v>
      </c>
      <c r="H256" s="5" t="s">
        <v>245</v>
      </c>
      <c r="I256" s="5" t="s">
        <v>573</v>
      </c>
      <c r="J256" s="5" t="s">
        <v>227</v>
      </c>
      <c r="K256" s="5" t="s">
        <v>200</v>
      </c>
      <c r="L256" s="5" t="s">
        <v>574</v>
      </c>
      <c r="M256" s="5" t="s">
        <v>575</v>
      </c>
      <c r="N256" s="5" t="s">
        <v>3652</v>
      </c>
      <c r="O256" s="5" t="s">
        <v>3736</v>
      </c>
      <c r="P256" s="5">
        <v>3740404</v>
      </c>
      <c r="Q256" s="5" t="s">
        <v>1606</v>
      </c>
      <c r="R256" s="5" t="s">
        <v>203</v>
      </c>
      <c r="S256" s="5" t="s">
        <v>234</v>
      </c>
      <c r="T256" s="5" t="s">
        <v>217</v>
      </c>
      <c r="U256" s="5" t="s">
        <v>245</v>
      </c>
      <c r="V256" s="5" t="s">
        <v>1607</v>
      </c>
      <c r="W256" s="5" t="s">
        <v>227</v>
      </c>
      <c r="X256" s="5" t="s">
        <v>200</v>
      </c>
      <c r="Y256" s="5" t="s">
        <v>1608</v>
      </c>
      <c r="Z256" s="5" t="s">
        <v>452</v>
      </c>
      <c r="AA256" s="5" t="s">
        <v>3608</v>
      </c>
      <c r="AB256" s="5" t="s">
        <v>3702</v>
      </c>
      <c r="AC256" s="5" t="s">
        <v>4622</v>
      </c>
      <c r="AD256" s="6">
        <v>45460</v>
      </c>
      <c r="AE256" s="6">
        <v>46010</v>
      </c>
      <c r="AF256" s="5"/>
    </row>
    <row r="257" spans="1:32" ht="40.5" customHeight="1" x14ac:dyDescent="0.3">
      <c r="A257" s="7">
        <v>3835057</v>
      </c>
      <c r="B257" s="7" t="s">
        <v>3939</v>
      </c>
      <c r="C257" s="7" t="s">
        <v>4623</v>
      </c>
      <c r="D257" s="7" t="s">
        <v>198</v>
      </c>
      <c r="E257" s="7"/>
      <c r="F257" s="7" t="s">
        <v>234</v>
      </c>
      <c r="G257" s="7" t="s">
        <v>208</v>
      </c>
      <c r="H257" s="7" t="s">
        <v>207</v>
      </c>
      <c r="I257" s="7"/>
      <c r="J257" s="7" t="s">
        <v>227</v>
      </c>
      <c r="K257" s="7"/>
      <c r="L257" s="7"/>
      <c r="M257" s="7"/>
      <c r="N257" s="7" t="s">
        <v>3608</v>
      </c>
      <c r="O257" s="7"/>
      <c r="P257" s="7">
        <v>3425134</v>
      </c>
      <c r="Q257" s="7" t="s">
        <v>4624</v>
      </c>
      <c r="R257" s="7" t="s">
        <v>737</v>
      </c>
      <c r="S257" s="7" t="s">
        <v>234</v>
      </c>
      <c r="T257" s="7" t="s">
        <v>217</v>
      </c>
      <c r="U257" s="7" t="s">
        <v>245</v>
      </c>
      <c r="V257" s="7" t="s">
        <v>4625</v>
      </c>
      <c r="W257" s="7" t="s">
        <v>227</v>
      </c>
      <c r="X257" s="7" t="s">
        <v>200</v>
      </c>
      <c r="Y257" s="7" t="s">
        <v>4626</v>
      </c>
      <c r="Z257" s="7" t="s">
        <v>1247</v>
      </c>
      <c r="AA257" s="7" t="s">
        <v>3602</v>
      </c>
      <c r="AB257" s="7" t="s">
        <v>3646</v>
      </c>
      <c r="AC257" s="7" t="s">
        <v>4627</v>
      </c>
      <c r="AD257" s="8">
        <v>45337</v>
      </c>
      <c r="AE257" s="8">
        <v>45519</v>
      </c>
      <c r="AF257" s="7"/>
    </row>
    <row r="258" spans="1:32" ht="40.5" customHeight="1" x14ac:dyDescent="0.3">
      <c r="A258" s="5">
        <v>4804473</v>
      </c>
      <c r="B258" s="5" t="s">
        <v>269</v>
      </c>
      <c r="C258" s="5" t="s">
        <v>4628</v>
      </c>
      <c r="D258" s="5" t="s">
        <v>198</v>
      </c>
      <c r="E258" s="5" t="s">
        <v>203</v>
      </c>
      <c r="F258" s="5" t="s">
        <v>218</v>
      </c>
      <c r="G258" s="5" t="s">
        <v>217</v>
      </c>
      <c r="H258" s="5" t="s">
        <v>245</v>
      </c>
      <c r="I258" s="5" t="s">
        <v>270</v>
      </c>
      <c r="J258" s="5" t="s">
        <v>211</v>
      </c>
      <c r="K258" s="5" t="s">
        <v>200</v>
      </c>
      <c r="L258" s="5" t="s">
        <v>271</v>
      </c>
      <c r="M258" s="5" t="s">
        <v>272</v>
      </c>
      <c r="N258" s="5" t="s">
        <v>3623</v>
      </c>
      <c r="O258" s="5" t="s">
        <v>3609</v>
      </c>
      <c r="P258" s="5">
        <v>5057833</v>
      </c>
      <c r="Q258" s="5" t="s">
        <v>4629</v>
      </c>
      <c r="R258" s="5" t="s">
        <v>203</v>
      </c>
      <c r="S258" s="5" t="s">
        <v>218</v>
      </c>
      <c r="T258" s="5" t="s">
        <v>217</v>
      </c>
      <c r="U258" s="5" t="s">
        <v>207</v>
      </c>
      <c r="V258" s="5" t="s">
        <v>4630</v>
      </c>
      <c r="W258" s="5" t="s">
        <v>211</v>
      </c>
      <c r="X258" s="5" t="s">
        <v>200</v>
      </c>
      <c r="Y258" s="5" t="s">
        <v>4631</v>
      </c>
      <c r="Z258" s="5" t="s">
        <v>4395</v>
      </c>
      <c r="AA258" s="5" t="s">
        <v>3623</v>
      </c>
      <c r="AB258" s="5" t="s">
        <v>3715</v>
      </c>
      <c r="AC258" s="5" t="s">
        <v>4632</v>
      </c>
      <c r="AD258" s="6">
        <v>45448</v>
      </c>
      <c r="AE258" s="6">
        <v>45835</v>
      </c>
      <c r="AF258" s="5"/>
    </row>
    <row r="259" spans="1:32" ht="193.5" customHeight="1" x14ac:dyDescent="0.3">
      <c r="A259" s="7">
        <v>3246388</v>
      </c>
      <c r="B259" s="7" t="s">
        <v>295</v>
      </c>
      <c r="C259" s="7" t="s">
        <v>4633</v>
      </c>
      <c r="D259" s="7" t="s">
        <v>198</v>
      </c>
      <c r="E259" s="7" t="s">
        <v>203</v>
      </c>
      <c r="F259" s="7"/>
      <c r="G259" s="7" t="s">
        <v>217</v>
      </c>
      <c r="H259" s="7" t="s">
        <v>245</v>
      </c>
      <c r="I259" s="7" t="s">
        <v>296</v>
      </c>
      <c r="J259" s="7" t="s">
        <v>211</v>
      </c>
      <c r="K259" s="7" t="s">
        <v>200</v>
      </c>
      <c r="L259" s="7" t="s">
        <v>297</v>
      </c>
      <c r="M259" s="7" t="s">
        <v>299</v>
      </c>
      <c r="N259" s="7" t="s">
        <v>3602</v>
      </c>
      <c r="O259" s="7" t="s">
        <v>3603</v>
      </c>
      <c r="P259" s="7">
        <v>5516447</v>
      </c>
      <c r="Q259" s="7" t="s">
        <v>4634</v>
      </c>
      <c r="R259" s="7" t="s">
        <v>203</v>
      </c>
      <c r="S259" s="7" t="s">
        <v>218</v>
      </c>
      <c r="T259" s="7" t="s">
        <v>217</v>
      </c>
      <c r="U259" s="7" t="s">
        <v>2330</v>
      </c>
      <c r="V259" s="7" t="s">
        <v>4635</v>
      </c>
      <c r="W259" s="7" t="s">
        <v>211</v>
      </c>
      <c r="X259" s="7" t="s">
        <v>200</v>
      </c>
      <c r="Y259" s="7" t="s">
        <v>271</v>
      </c>
      <c r="Z259" s="7" t="s">
        <v>4636</v>
      </c>
      <c r="AA259" s="7" t="s">
        <v>3612</v>
      </c>
      <c r="AB259" s="7" t="s">
        <v>4637</v>
      </c>
      <c r="AC259" s="7" t="s">
        <v>4638</v>
      </c>
      <c r="AD259" s="8">
        <v>45362</v>
      </c>
      <c r="AE259" s="8">
        <v>45499</v>
      </c>
      <c r="AF259" s="7" t="s">
        <v>3641</v>
      </c>
    </row>
    <row r="260" spans="1:32" ht="40.5" customHeight="1" x14ac:dyDescent="0.3">
      <c r="A260" s="5">
        <v>3355268</v>
      </c>
      <c r="B260" s="5" t="s">
        <v>3765</v>
      </c>
      <c r="C260" s="5"/>
      <c r="D260" s="5" t="s">
        <v>354</v>
      </c>
      <c r="E260" s="5"/>
      <c r="F260" s="5" t="s">
        <v>234</v>
      </c>
      <c r="G260" s="5" t="s">
        <v>208</v>
      </c>
      <c r="H260" s="5" t="s">
        <v>245</v>
      </c>
      <c r="I260" s="5"/>
      <c r="J260" s="5" t="s">
        <v>227</v>
      </c>
      <c r="K260" s="5"/>
      <c r="L260" s="5"/>
      <c r="M260" s="5"/>
      <c r="N260" s="5" t="s">
        <v>3602</v>
      </c>
      <c r="O260" s="5"/>
      <c r="P260" s="5">
        <v>2401975</v>
      </c>
      <c r="Q260" s="5" t="s">
        <v>4639</v>
      </c>
      <c r="R260" s="5" t="s">
        <v>203</v>
      </c>
      <c r="S260" s="5" t="s">
        <v>234</v>
      </c>
      <c r="T260" s="5" t="s">
        <v>208</v>
      </c>
      <c r="U260" s="5" t="s">
        <v>233</v>
      </c>
      <c r="V260" s="5" t="s">
        <v>1714</v>
      </c>
      <c r="W260" s="5" t="s">
        <v>227</v>
      </c>
      <c r="X260" s="5" t="s">
        <v>200</v>
      </c>
      <c r="Y260" s="5" t="s">
        <v>1715</v>
      </c>
      <c r="Z260" s="5" t="s">
        <v>1319</v>
      </c>
      <c r="AA260" s="5" t="s">
        <v>3652</v>
      </c>
      <c r="AB260" s="5" t="s">
        <v>3763</v>
      </c>
      <c r="AC260" s="5" t="s">
        <v>4640</v>
      </c>
      <c r="AD260" s="6">
        <v>45444</v>
      </c>
      <c r="AE260" s="6">
        <v>45534</v>
      </c>
      <c r="AF260" s="5"/>
    </row>
    <row r="261" spans="1:32" ht="40.5" customHeight="1" x14ac:dyDescent="0.3">
      <c r="A261" s="7">
        <v>5034809</v>
      </c>
      <c r="B261" s="7" t="s">
        <v>4641</v>
      </c>
      <c r="C261" s="7"/>
      <c r="D261" s="7" t="s">
        <v>354</v>
      </c>
      <c r="E261" s="7"/>
      <c r="F261" s="7" t="s">
        <v>218</v>
      </c>
      <c r="G261" s="7" t="s">
        <v>208</v>
      </c>
      <c r="H261" s="7" t="s">
        <v>245</v>
      </c>
      <c r="I261" s="7"/>
      <c r="J261" s="7" t="s">
        <v>211</v>
      </c>
      <c r="K261" s="7"/>
      <c r="L261" s="7"/>
      <c r="M261" s="7"/>
      <c r="N261" s="7" t="s">
        <v>3623</v>
      </c>
      <c r="O261" s="7"/>
      <c r="P261" s="7">
        <v>5544653</v>
      </c>
      <c r="Q261" s="7" t="s">
        <v>4642</v>
      </c>
      <c r="R261" s="7" t="s">
        <v>203</v>
      </c>
      <c r="S261" s="7"/>
      <c r="T261" s="7" t="s">
        <v>208</v>
      </c>
      <c r="U261" s="7" t="s">
        <v>207</v>
      </c>
      <c r="V261" s="7" t="s">
        <v>4643</v>
      </c>
      <c r="W261" s="7" t="s">
        <v>211</v>
      </c>
      <c r="X261" s="7" t="s">
        <v>200</v>
      </c>
      <c r="Y261" s="7" t="s">
        <v>312</v>
      </c>
      <c r="Z261" s="7" t="s">
        <v>3607</v>
      </c>
      <c r="AA261" s="7" t="s">
        <v>3612</v>
      </c>
      <c r="AB261" s="7" t="s">
        <v>3609</v>
      </c>
      <c r="AC261" s="7" t="s">
        <v>4644</v>
      </c>
      <c r="AD261" s="8">
        <v>45432</v>
      </c>
      <c r="AE261" s="7"/>
      <c r="AF261" s="7"/>
    </row>
    <row r="262" spans="1:32" ht="111.75" customHeight="1" x14ac:dyDescent="0.3">
      <c r="A262" s="5">
        <v>5267366</v>
      </c>
      <c r="B262" s="5" t="s">
        <v>4645</v>
      </c>
      <c r="C262" s="5" t="s">
        <v>4646</v>
      </c>
      <c r="D262" s="5" t="s">
        <v>198</v>
      </c>
      <c r="E262" s="5"/>
      <c r="F262" s="5" t="s">
        <v>234</v>
      </c>
      <c r="G262" s="5" t="s">
        <v>208</v>
      </c>
      <c r="H262" s="5" t="s">
        <v>207</v>
      </c>
      <c r="I262" s="5"/>
      <c r="J262" s="5" t="s">
        <v>227</v>
      </c>
      <c r="K262" s="5"/>
      <c r="L262" s="5"/>
      <c r="M262" s="5"/>
      <c r="N262" s="5" t="s">
        <v>3732</v>
      </c>
      <c r="O262" s="5"/>
      <c r="P262" s="5">
        <v>5046580</v>
      </c>
      <c r="Q262" s="5" t="s">
        <v>4647</v>
      </c>
      <c r="R262" s="5" t="s">
        <v>203</v>
      </c>
      <c r="S262" s="5" t="s">
        <v>234</v>
      </c>
      <c r="T262" s="5" t="s">
        <v>217</v>
      </c>
      <c r="U262" s="5" t="s">
        <v>207</v>
      </c>
      <c r="V262" s="5" t="s">
        <v>4648</v>
      </c>
      <c r="W262" s="5" t="s">
        <v>227</v>
      </c>
      <c r="X262" s="5" t="s">
        <v>200</v>
      </c>
      <c r="Y262" s="5" t="s">
        <v>4649</v>
      </c>
      <c r="Z262" s="5" t="s">
        <v>982</v>
      </c>
      <c r="AA262" s="5" t="s">
        <v>3623</v>
      </c>
      <c r="AB262" s="5" t="s">
        <v>3705</v>
      </c>
      <c r="AC262" s="5" t="s">
        <v>4650</v>
      </c>
      <c r="AD262" s="6">
        <v>45447</v>
      </c>
      <c r="AE262" s="6">
        <v>45636</v>
      </c>
      <c r="AF262" s="5"/>
    </row>
    <row r="263" spans="1:32" ht="244.5" customHeight="1" x14ac:dyDescent="0.3">
      <c r="A263" s="7">
        <v>3243605</v>
      </c>
      <c r="B263" s="7" t="s">
        <v>314</v>
      </c>
      <c r="C263" s="7" t="s">
        <v>4651</v>
      </c>
      <c r="D263" s="7" t="s">
        <v>198</v>
      </c>
      <c r="E263" s="7" t="s">
        <v>203</v>
      </c>
      <c r="F263" s="7"/>
      <c r="G263" s="7" t="s">
        <v>217</v>
      </c>
      <c r="H263" s="7" t="s">
        <v>245</v>
      </c>
      <c r="I263" s="7" t="s">
        <v>241</v>
      </c>
      <c r="J263" s="7" t="s">
        <v>211</v>
      </c>
      <c r="K263" s="7" t="s">
        <v>200</v>
      </c>
      <c r="L263" s="7" t="s">
        <v>315</v>
      </c>
      <c r="M263" s="7" t="s">
        <v>317</v>
      </c>
      <c r="N263" s="7" t="s">
        <v>3623</v>
      </c>
      <c r="O263" s="7" t="s">
        <v>3783</v>
      </c>
      <c r="P263" s="7">
        <v>5469759</v>
      </c>
      <c r="Q263" s="7" t="s">
        <v>4652</v>
      </c>
      <c r="R263" s="7" t="s">
        <v>203</v>
      </c>
      <c r="S263" s="7"/>
      <c r="T263" s="7" t="s">
        <v>217</v>
      </c>
      <c r="U263" s="7" t="s">
        <v>2330</v>
      </c>
      <c r="V263" s="7" t="s">
        <v>4653</v>
      </c>
      <c r="W263" s="7" t="s">
        <v>211</v>
      </c>
      <c r="X263" s="7" t="s">
        <v>200</v>
      </c>
      <c r="Y263" s="7" t="s">
        <v>4591</v>
      </c>
      <c r="Z263" s="7" t="s">
        <v>254</v>
      </c>
      <c r="AA263" s="7" t="s">
        <v>3612</v>
      </c>
      <c r="AB263" s="7" t="s">
        <v>3886</v>
      </c>
      <c r="AC263" s="7" t="s">
        <v>4654</v>
      </c>
      <c r="AD263" s="8">
        <v>45446</v>
      </c>
      <c r="AE263" s="8">
        <v>45729</v>
      </c>
      <c r="AF263" s="7"/>
    </row>
    <row r="264" spans="1:32" ht="102" customHeight="1" x14ac:dyDescent="0.3">
      <c r="A264" s="5">
        <v>5072638</v>
      </c>
      <c r="B264" s="5" t="s">
        <v>2675</v>
      </c>
      <c r="C264" s="5" t="s">
        <v>4655</v>
      </c>
      <c r="D264" s="5" t="s">
        <v>862</v>
      </c>
      <c r="E264" s="5" t="s">
        <v>203</v>
      </c>
      <c r="F264" s="5" t="s">
        <v>234</v>
      </c>
      <c r="G264" s="5" t="s">
        <v>217</v>
      </c>
      <c r="H264" s="5" t="s">
        <v>207</v>
      </c>
      <c r="I264" s="5" t="s">
        <v>2676</v>
      </c>
      <c r="J264" s="5" t="s">
        <v>227</v>
      </c>
      <c r="K264" s="5" t="s">
        <v>200</v>
      </c>
      <c r="L264" s="5" t="s">
        <v>1481</v>
      </c>
      <c r="M264" s="5" t="s">
        <v>2677</v>
      </c>
      <c r="N264" s="5" t="s">
        <v>3623</v>
      </c>
      <c r="O264" s="5" t="s">
        <v>3741</v>
      </c>
      <c r="P264" s="5">
        <v>5279631</v>
      </c>
      <c r="Q264" s="5" t="s">
        <v>4498</v>
      </c>
      <c r="R264" s="5" t="s">
        <v>203</v>
      </c>
      <c r="S264" s="5" t="s">
        <v>234</v>
      </c>
      <c r="T264" s="5" t="s">
        <v>217</v>
      </c>
      <c r="U264" s="5" t="s">
        <v>245</v>
      </c>
      <c r="V264" s="5" t="s">
        <v>4499</v>
      </c>
      <c r="W264" s="5" t="s">
        <v>227</v>
      </c>
      <c r="X264" s="5" t="s">
        <v>200</v>
      </c>
      <c r="Y264" s="5" t="s">
        <v>1039</v>
      </c>
      <c r="Z264" s="5" t="s">
        <v>2305</v>
      </c>
      <c r="AA264" s="5" t="s">
        <v>3623</v>
      </c>
      <c r="AB264" s="5" t="s">
        <v>4426</v>
      </c>
      <c r="AC264" s="5" t="s">
        <v>4656</v>
      </c>
      <c r="AD264" s="6">
        <v>45327</v>
      </c>
      <c r="AE264" s="6">
        <v>45441</v>
      </c>
      <c r="AF264" s="5"/>
    </row>
    <row r="265" spans="1:32" ht="142.5" customHeight="1" x14ac:dyDescent="0.3">
      <c r="A265" s="7">
        <v>4805062</v>
      </c>
      <c r="B265" s="7" t="s">
        <v>2194</v>
      </c>
      <c r="C265" s="7" t="s">
        <v>4657</v>
      </c>
      <c r="D265" s="7" t="s">
        <v>198</v>
      </c>
      <c r="E265" s="7" t="s">
        <v>203</v>
      </c>
      <c r="F265" s="7" t="s">
        <v>418</v>
      </c>
      <c r="G265" s="7" t="s">
        <v>208</v>
      </c>
      <c r="H265" s="7" t="s">
        <v>207</v>
      </c>
      <c r="I265" s="7" t="s">
        <v>2195</v>
      </c>
      <c r="J265" s="7" t="s">
        <v>227</v>
      </c>
      <c r="K265" s="7" t="s">
        <v>888</v>
      </c>
      <c r="L265" s="7" t="s">
        <v>2196</v>
      </c>
      <c r="M265" s="7" t="s">
        <v>2197</v>
      </c>
      <c r="N265" s="7" t="s">
        <v>3608</v>
      </c>
      <c r="O265" s="7" t="s">
        <v>3727</v>
      </c>
      <c r="P265" s="7">
        <v>4667913</v>
      </c>
      <c r="Q265" s="7" t="s">
        <v>4658</v>
      </c>
      <c r="R265" s="7" t="s">
        <v>203</v>
      </c>
      <c r="S265" s="7" t="s">
        <v>234</v>
      </c>
      <c r="T265" s="7" t="s">
        <v>217</v>
      </c>
      <c r="U265" s="7" t="s">
        <v>245</v>
      </c>
      <c r="V265" s="7" t="s">
        <v>3847</v>
      </c>
      <c r="W265" s="7" t="s">
        <v>227</v>
      </c>
      <c r="X265" s="7" t="s">
        <v>200</v>
      </c>
      <c r="Y265" s="7" t="s">
        <v>736</v>
      </c>
      <c r="Z265" s="7" t="s">
        <v>4659</v>
      </c>
      <c r="AA265" s="7" t="s">
        <v>3623</v>
      </c>
      <c r="AB265" s="7" t="s">
        <v>3960</v>
      </c>
      <c r="AC265" s="7" t="s">
        <v>4660</v>
      </c>
      <c r="AD265" s="8">
        <v>45474</v>
      </c>
      <c r="AE265" s="8">
        <v>45626</v>
      </c>
      <c r="AF265" s="7"/>
    </row>
    <row r="266" spans="1:32" ht="102" customHeight="1" x14ac:dyDescent="0.3">
      <c r="A266" s="5">
        <v>4873033</v>
      </c>
      <c r="B266" s="5" t="s">
        <v>279</v>
      </c>
      <c r="C266" s="5" t="s">
        <v>4661</v>
      </c>
      <c r="D266" s="5" t="s">
        <v>198</v>
      </c>
      <c r="E266" s="5" t="s">
        <v>203</v>
      </c>
      <c r="F266" s="5"/>
      <c r="G266" s="5" t="s">
        <v>208</v>
      </c>
      <c r="H266" s="5" t="s">
        <v>207</v>
      </c>
      <c r="I266" s="5" t="s">
        <v>281</v>
      </c>
      <c r="J266" s="5" t="s">
        <v>211</v>
      </c>
      <c r="K266" s="5" t="s">
        <v>200</v>
      </c>
      <c r="L266" s="5" t="s">
        <v>282</v>
      </c>
      <c r="M266" s="5" t="s">
        <v>283</v>
      </c>
      <c r="N266" s="5" t="s">
        <v>3623</v>
      </c>
      <c r="O266" s="5" t="s">
        <v>3646</v>
      </c>
      <c r="P266" s="5">
        <v>5495989</v>
      </c>
      <c r="Q266" s="5" t="s">
        <v>210</v>
      </c>
      <c r="R266" s="5" t="s">
        <v>203</v>
      </c>
      <c r="S266" s="5" t="s">
        <v>218</v>
      </c>
      <c r="T266" s="5" t="s">
        <v>217</v>
      </c>
      <c r="U266" s="5" t="s">
        <v>207</v>
      </c>
      <c r="V266" s="5" t="s">
        <v>212</v>
      </c>
      <c r="W266" s="5" t="s">
        <v>211</v>
      </c>
      <c r="X266" s="5" t="s">
        <v>200</v>
      </c>
      <c r="Y266" s="5" t="s">
        <v>213</v>
      </c>
      <c r="Z266" s="5" t="s">
        <v>215</v>
      </c>
      <c r="AA266" s="5" t="s">
        <v>3612</v>
      </c>
      <c r="AB266" s="5" t="s">
        <v>3613</v>
      </c>
      <c r="AC266" s="5" t="s">
        <v>4662</v>
      </c>
      <c r="AD266" s="6">
        <v>45433</v>
      </c>
      <c r="AE266" s="5"/>
      <c r="AF266" s="5"/>
    </row>
    <row r="267" spans="1:32" ht="40.5" customHeight="1" x14ac:dyDescent="0.3">
      <c r="A267" s="7">
        <v>3282961</v>
      </c>
      <c r="B267" s="7" t="s">
        <v>419</v>
      </c>
      <c r="C267" s="7" t="s">
        <v>4663</v>
      </c>
      <c r="D267" s="7" t="s">
        <v>354</v>
      </c>
      <c r="E267" s="7" t="s">
        <v>203</v>
      </c>
      <c r="F267" s="7" t="s">
        <v>234</v>
      </c>
      <c r="G267" s="7" t="s">
        <v>217</v>
      </c>
      <c r="H267" s="7" t="s">
        <v>245</v>
      </c>
      <c r="I267" s="7" t="s">
        <v>420</v>
      </c>
      <c r="J267" s="7" t="s">
        <v>227</v>
      </c>
      <c r="K267" s="7" t="s">
        <v>200</v>
      </c>
      <c r="L267" s="7" t="s">
        <v>421</v>
      </c>
      <c r="M267" s="7" t="s">
        <v>422</v>
      </c>
      <c r="N267" s="7" t="s">
        <v>3623</v>
      </c>
      <c r="O267" s="7" t="s">
        <v>3886</v>
      </c>
      <c r="P267" s="7">
        <v>5066646</v>
      </c>
      <c r="Q267" s="7" t="s">
        <v>4664</v>
      </c>
      <c r="R267" s="7" t="s">
        <v>203</v>
      </c>
      <c r="S267" s="7" t="s">
        <v>234</v>
      </c>
      <c r="T267" s="7" t="s">
        <v>217</v>
      </c>
      <c r="U267" s="7" t="s">
        <v>207</v>
      </c>
      <c r="V267" s="7" t="s">
        <v>4665</v>
      </c>
      <c r="W267" s="7" t="s">
        <v>227</v>
      </c>
      <c r="X267" s="7" t="s">
        <v>200</v>
      </c>
      <c r="Y267" s="7" t="s">
        <v>4666</v>
      </c>
      <c r="Z267" s="7" t="s">
        <v>1127</v>
      </c>
      <c r="AA267" s="7" t="s">
        <v>3623</v>
      </c>
      <c r="AB267" s="7" t="s">
        <v>3886</v>
      </c>
      <c r="AC267" s="7" t="s">
        <v>4667</v>
      </c>
      <c r="AD267" s="8">
        <v>45489</v>
      </c>
      <c r="AE267" s="7"/>
      <c r="AF267" s="7"/>
    </row>
    <row r="268" spans="1:32" ht="30" customHeight="1" x14ac:dyDescent="0.3">
      <c r="A268" s="5">
        <v>2815966</v>
      </c>
      <c r="B268" s="5" t="s">
        <v>389</v>
      </c>
      <c r="C268" s="5"/>
      <c r="D268" s="5" t="s">
        <v>198</v>
      </c>
      <c r="E268" s="5" t="s">
        <v>203</v>
      </c>
      <c r="F268" s="5"/>
      <c r="G268" s="5" t="s">
        <v>217</v>
      </c>
      <c r="H268" s="5" t="s">
        <v>245</v>
      </c>
      <c r="I268" s="5" t="s">
        <v>390</v>
      </c>
      <c r="J268" s="5" t="s">
        <v>211</v>
      </c>
      <c r="K268" s="5" t="s">
        <v>200</v>
      </c>
      <c r="L268" s="5" t="s">
        <v>391</v>
      </c>
      <c r="M268" s="5" t="s">
        <v>238</v>
      </c>
      <c r="N268" s="5" t="s">
        <v>3652</v>
      </c>
      <c r="O268" s="5" t="s">
        <v>3635</v>
      </c>
      <c r="P268" s="5">
        <v>5445795</v>
      </c>
      <c r="Q268" s="5" t="s">
        <v>4668</v>
      </c>
      <c r="R268" s="5" t="s">
        <v>203</v>
      </c>
      <c r="S268" s="5"/>
      <c r="T268" s="5" t="s">
        <v>217</v>
      </c>
      <c r="U268" s="5" t="s">
        <v>207</v>
      </c>
      <c r="V268" s="5" t="s">
        <v>4669</v>
      </c>
      <c r="W268" s="5" t="s">
        <v>211</v>
      </c>
      <c r="X268" s="5" t="s">
        <v>200</v>
      </c>
      <c r="Y268" s="5" t="s">
        <v>399</v>
      </c>
      <c r="Z268" s="5" t="s">
        <v>254</v>
      </c>
      <c r="AA268" s="5" t="s">
        <v>3612</v>
      </c>
      <c r="AB268" s="5" t="s">
        <v>3886</v>
      </c>
      <c r="AC268" s="5" t="s">
        <v>4670</v>
      </c>
      <c r="AD268" s="6">
        <v>45448</v>
      </c>
      <c r="AE268" s="6">
        <v>45838</v>
      </c>
      <c r="AF268" s="5"/>
    </row>
    <row r="269" spans="1:32" ht="40.5" customHeight="1" x14ac:dyDescent="0.3">
      <c r="A269" s="7">
        <v>5464900</v>
      </c>
      <c r="B269" s="7" t="s">
        <v>3244</v>
      </c>
      <c r="C269" s="7"/>
      <c r="D269" s="7" t="s">
        <v>198</v>
      </c>
      <c r="E269" s="7" t="s">
        <v>203</v>
      </c>
      <c r="F269" s="7" t="s">
        <v>234</v>
      </c>
      <c r="G269" s="7" t="s">
        <v>208</v>
      </c>
      <c r="H269" s="7" t="s">
        <v>207</v>
      </c>
      <c r="I269" s="7" t="s">
        <v>3245</v>
      </c>
      <c r="J269" s="7" t="s">
        <v>227</v>
      </c>
      <c r="K269" s="7" t="s">
        <v>200</v>
      </c>
      <c r="L269" s="7" t="s">
        <v>3246</v>
      </c>
      <c r="M269" s="7" t="s">
        <v>2677</v>
      </c>
      <c r="N269" s="7" t="s">
        <v>3612</v>
      </c>
      <c r="O269" s="7" t="s">
        <v>3741</v>
      </c>
      <c r="P269" s="7">
        <v>5668425</v>
      </c>
      <c r="Q269" s="7" t="s">
        <v>4671</v>
      </c>
      <c r="R269" s="7"/>
      <c r="S269" s="7" t="s">
        <v>234</v>
      </c>
      <c r="T269" s="7" t="s">
        <v>208</v>
      </c>
      <c r="U269" s="7" t="s">
        <v>2330</v>
      </c>
      <c r="V269" s="7"/>
      <c r="W269" s="7" t="s">
        <v>227</v>
      </c>
      <c r="X269" s="7"/>
      <c r="Y269" s="7"/>
      <c r="Z269" s="7"/>
      <c r="AA269" s="7" t="s">
        <v>3729</v>
      </c>
      <c r="AB269" s="7"/>
      <c r="AC269" s="7" t="s">
        <v>4672</v>
      </c>
      <c r="AD269" s="8">
        <v>45413</v>
      </c>
      <c r="AE269" s="7"/>
      <c r="AF269" s="7"/>
    </row>
    <row r="270" spans="1:32" ht="40.5" customHeight="1" x14ac:dyDescent="0.3">
      <c r="A270" s="5">
        <v>5464900</v>
      </c>
      <c r="B270" s="5" t="s">
        <v>3244</v>
      </c>
      <c r="C270" s="5"/>
      <c r="D270" s="5" t="s">
        <v>862</v>
      </c>
      <c r="E270" s="5" t="s">
        <v>203</v>
      </c>
      <c r="F270" s="5" t="s">
        <v>234</v>
      </c>
      <c r="G270" s="5" t="s">
        <v>208</v>
      </c>
      <c r="H270" s="5" t="s">
        <v>207</v>
      </c>
      <c r="I270" s="5" t="s">
        <v>3245</v>
      </c>
      <c r="J270" s="5" t="s">
        <v>227</v>
      </c>
      <c r="K270" s="5" t="s">
        <v>200</v>
      </c>
      <c r="L270" s="5" t="s">
        <v>3246</v>
      </c>
      <c r="M270" s="5" t="s">
        <v>2677</v>
      </c>
      <c r="N270" s="5" t="s">
        <v>3612</v>
      </c>
      <c r="O270" s="5" t="s">
        <v>3741</v>
      </c>
      <c r="P270" s="5">
        <v>7576404</v>
      </c>
      <c r="Q270" s="5" t="s">
        <v>4673</v>
      </c>
      <c r="R270" s="5" t="s">
        <v>203</v>
      </c>
      <c r="S270" s="5" t="s">
        <v>444</v>
      </c>
      <c r="T270" s="5" t="s">
        <v>208</v>
      </c>
      <c r="U270" s="5" t="s">
        <v>207</v>
      </c>
      <c r="V270" s="5" t="s">
        <v>4674</v>
      </c>
      <c r="W270" s="5" t="s">
        <v>227</v>
      </c>
      <c r="X270" s="5" t="s">
        <v>200</v>
      </c>
      <c r="Y270" s="5" t="s">
        <v>4675</v>
      </c>
      <c r="Z270" s="5" t="s">
        <v>4676</v>
      </c>
      <c r="AA270" s="5" t="s">
        <v>3623</v>
      </c>
      <c r="AB270" s="5" t="s">
        <v>4364</v>
      </c>
      <c r="AC270" s="5" t="s">
        <v>4677</v>
      </c>
      <c r="AD270" s="6">
        <v>45322</v>
      </c>
      <c r="AE270" s="5"/>
      <c r="AF270" s="5"/>
    </row>
    <row r="271" spans="1:32" ht="71.25" customHeight="1" x14ac:dyDescent="0.3">
      <c r="A271" s="7">
        <v>4932277</v>
      </c>
      <c r="B271" s="7" t="s">
        <v>4530</v>
      </c>
      <c r="C271" s="7" t="s">
        <v>4678</v>
      </c>
      <c r="D271" s="7" t="s">
        <v>198</v>
      </c>
      <c r="E271" s="7" t="s">
        <v>203</v>
      </c>
      <c r="F271" s="7" t="s">
        <v>418</v>
      </c>
      <c r="G271" s="7" t="s">
        <v>217</v>
      </c>
      <c r="H271" s="7" t="s">
        <v>245</v>
      </c>
      <c r="I271" s="7" t="s">
        <v>1976</v>
      </c>
      <c r="J271" s="7" t="s">
        <v>227</v>
      </c>
      <c r="K271" s="7" t="s">
        <v>413</v>
      </c>
      <c r="L271" s="7" t="s">
        <v>1977</v>
      </c>
      <c r="M271" s="7" t="s">
        <v>1978</v>
      </c>
      <c r="N271" s="7" t="s">
        <v>3623</v>
      </c>
      <c r="O271" s="7" t="s">
        <v>3837</v>
      </c>
      <c r="P271" s="7">
        <v>4974468</v>
      </c>
      <c r="Q271" s="7" t="s">
        <v>4679</v>
      </c>
      <c r="R271" s="7" t="s">
        <v>203</v>
      </c>
      <c r="S271" s="7" t="s">
        <v>234</v>
      </c>
      <c r="T271" s="7" t="s">
        <v>217</v>
      </c>
      <c r="U271" s="7" t="s">
        <v>207</v>
      </c>
      <c r="V271" s="7" t="s">
        <v>4533</v>
      </c>
      <c r="W271" s="7" t="s">
        <v>227</v>
      </c>
      <c r="X271" s="7" t="s">
        <v>413</v>
      </c>
      <c r="Y271" s="7" t="s">
        <v>4534</v>
      </c>
      <c r="Z271" s="7" t="s">
        <v>4546</v>
      </c>
      <c r="AA271" s="7" t="s">
        <v>3623</v>
      </c>
      <c r="AB271" s="7" t="s">
        <v>3837</v>
      </c>
      <c r="AC271" s="7" t="s">
        <v>4680</v>
      </c>
      <c r="AD271" s="8">
        <v>45474</v>
      </c>
      <c r="AE271" s="8">
        <v>45839</v>
      </c>
      <c r="AF271" s="7"/>
    </row>
    <row r="272" spans="1:32" ht="60.75" customHeight="1" x14ac:dyDescent="0.3">
      <c r="A272" s="5">
        <v>3209105</v>
      </c>
      <c r="B272" s="5" t="s">
        <v>434</v>
      </c>
      <c r="C272" s="5" t="s">
        <v>4681</v>
      </c>
      <c r="D272" s="5" t="s">
        <v>198</v>
      </c>
      <c r="E272" s="5" t="s">
        <v>203</v>
      </c>
      <c r="F272" s="5" t="s">
        <v>418</v>
      </c>
      <c r="G272" s="5" t="s">
        <v>217</v>
      </c>
      <c r="H272" s="5" t="s">
        <v>245</v>
      </c>
      <c r="I272" s="5" t="s">
        <v>435</v>
      </c>
      <c r="J272" s="5" t="s">
        <v>227</v>
      </c>
      <c r="K272" s="5" t="s">
        <v>200</v>
      </c>
      <c r="L272" s="5" t="s">
        <v>436</v>
      </c>
      <c r="M272" s="5" t="s">
        <v>437</v>
      </c>
      <c r="N272" s="5" t="s">
        <v>3602</v>
      </c>
      <c r="O272" s="5" t="s">
        <v>3763</v>
      </c>
      <c r="P272" s="5">
        <v>5451280</v>
      </c>
      <c r="Q272" s="5" t="s">
        <v>4682</v>
      </c>
      <c r="R272" s="5" t="s">
        <v>203</v>
      </c>
      <c r="S272" s="5" t="s">
        <v>418</v>
      </c>
      <c r="T272" s="5" t="s">
        <v>217</v>
      </c>
      <c r="U272" s="5" t="s">
        <v>245</v>
      </c>
      <c r="V272" s="5" t="s">
        <v>4683</v>
      </c>
      <c r="W272" s="5" t="s">
        <v>227</v>
      </c>
      <c r="X272" s="5" t="s">
        <v>888</v>
      </c>
      <c r="Y272" s="5" t="s">
        <v>1730</v>
      </c>
      <c r="Z272" s="5" t="s">
        <v>870</v>
      </c>
      <c r="AA272" s="5" t="s">
        <v>3612</v>
      </c>
      <c r="AB272" s="5" t="s">
        <v>3715</v>
      </c>
      <c r="AC272" s="5" t="s">
        <v>4684</v>
      </c>
      <c r="AD272" s="6">
        <v>45475</v>
      </c>
      <c r="AE272" s="5"/>
      <c r="AF272" s="5"/>
    </row>
    <row r="273" spans="1:32" ht="81" customHeight="1" x14ac:dyDescent="0.3">
      <c r="A273" s="7">
        <v>2571242</v>
      </c>
      <c r="B273" s="7" t="s">
        <v>882</v>
      </c>
      <c r="C273" s="7" t="s">
        <v>4685</v>
      </c>
      <c r="D273" s="7" t="s">
        <v>198</v>
      </c>
      <c r="E273" s="7" t="s">
        <v>203</v>
      </c>
      <c r="F273" s="7" t="s">
        <v>418</v>
      </c>
      <c r="G273" s="7" t="s">
        <v>208</v>
      </c>
      <c r="H273" s="7" t="s">
        <v>233</v>
      </c>
      <c r="I273" s="7" t="s">
        <v>883</v>
      </c>
      <c r="J273" s="7" t="s">
        <v>227</v>
      </c>
      <c r="K273" s="7" t="s">
        <v>200</v>
      </c>
      <c r="L273" s="7" t="s">
        <v>884</v>
      </c>
      <c r="M273" s="7" t="s">
        <v>885</v>
      </c>
      <c r="N273" s="7" t="s">
        <v>3652</v>
      </c>
      <c r="O273" s="7" t="s">
        <v>3711</v>
      </c>
      <c r="P273" s="7">
        <v>3669386</v>
      </c>
      <c r="Q273" s="7" t="s">
        <v>1568</v>
      </c>
      <c r="R273" s="7" t="s">
        <v>203</v>
      </c>
      <c r="S273" s="7" t="s">
        <v>418</v>
      </c>
      <c r="T273" s="7" t="s">
        <v>208</v>
      </c>
      <c r="U273" s="7" t="s">
        <v>207</v>
      </c>
      <c r="V273" s="7" t="s">
        <v>1569</v>
      </c>
      <c r="W273" s="7" t="s">
        <v>227</v>
      </c>
      <c r="X273" s="7" t="s">
        <v>200</v>
      </c>
      <c r="Y273" s="7" t="s">
        <v>1570</v>
      </c>
      <c r="Z273" s="7" t="s">
        <v>848</v>
      </c>
      <c r="AA273" s="7" t="s">
        <v>3608</v>
      </c>
      <c r="AB273" s="7" t="s">
        <v>3743</v>
      </c>
      <c r="AC273" s="7" t="s">
        <v>4686</v>
      </c>
      <c r="AD273" s="8">
        <v>45461</v>
      </c>
      <c r="AE273" s="8">
        <v>45825</v>
      </c>
      <c r="AF273" s="7"/>
    </row>
    <row r="274" spans="1:32" ht="306" customHeight="1" x14ac:dyDescent="0.3">
      <c r="A274" s="5">
        <v>5156165</v>
      </c>
      <c r="B274" s="5" t="s">
        <v>4687</v>
      </c>
      <c r="C274" s="5" t="s">
        <v>4688</v>
      </c>
      <c r="D274" s="5" t="s">
        <v>198</v>
      </c>
      <c r="E274" s="5"/>
      <c r="F274" s="5" t="s">
        <v>433</v>
      </c>
      <c r="G274" s="5" t="s">
        <v>208</v>
      </c>
      <c r="H274" s="5" t="s">
        <v>245</v>
      </c>
      <c r="I274" s="5"/>
      <c r="J274" s="5" t="s">
        <v>227</v>
      </c>
      <c r="K274" s="5"/>
      <c r="L274" s="5"/>
      <c r="M274" s="5"/>
      <c r="N274" s="5" t="s">
        <v>3623</v>
      </c>
      <c r="O274" s="5"/>
      <c r="P274" s="5">
        <v>5254388</v>
      </c>
      <c r="Q274" s="5" t="s">
        <v>4689</v>
      </c>
      <c r="R274" s="5" t="s">
        <v>737</v>
      </c>
      <c r="S274" s="5" t="s">
        <v>234</v>
      </c>
      <c r="T274" s="5" t="s">
        <v>208</v>
      </c>
      <c r="U274" s="5" t="s">
        <v>207</v>
      </c>
      <c r="V274" s="5" t="s">
        <v>4690</v>
      </c>
      <c r="W274" s="5" t="s">
        <v>227</v>
      </c>
      <c r="X274" s="5" t="s">
        <v>200</v>
      </c>
      <c r="Y274" s="5" t="s">
        <v>4691</v>
      </c>
      <c r="Z274" s="5" t="s">
        <v>2063</v>
      </c>
      <c r="AA274" s="5" t="s">
        <v>3623</v>
      </c>
      <c r="AB274" s="5" t="s">
        <v>3635</v>
      </c>
      <c r="AC274" s="5" t="s">
        <v>4692</v>
      </c>
      <c r="AD274" s="6">
        <v>45462</v>
      </c>
      <c r="AE274" s="6">
        <v>45615</v>
      </c>
      <c r="AF274" s="5"/>
    </row>
    <row r="275" spans="1:32" ht="40.5" customHeight="1" x14ac:dyDescent="0.3">
      <c r="A275" s="7">
        <v>4739736</v>
      </c>
      <c r="B275" s="7" t="s">
        <v>305</v>
      </c>
      <c r="C275" s="7"/>
      <c r="D275" s="7" t="s">
        <v>354</v>
      </c>
      <c r="E275" s="7" t="s">
        <v>203</v>
      </c>
      <c r="F275" s="7"/>
      <c r="G275" s="7" t="s">
        <v>217</v>
      </c>
      <c r="H275" s="7" t="s">
        <v>245</v>
      </c>
      <c r="I275" s="7" t="s">
        <v>306</v>
      </c>
      <c r="J275" s="7" t="s">
        <v>211</v>
      </c>
      <c r="K275" s="7" t="s">
        <v>200</v>
      </c>
      <c r="L275" s="7" t="s">
        <v>307</v>
      </c>
      <c r="M275" s="7" t="s">
        <v>308</v>
      </c>
      <c r="N275" s="7" t="s">
        <v>3608</v>
      </c>
      <c r="O275" s="7" t="s">
        <v>4693</v>
      </c>
      <c r="P275" s="7">
        <v>8870073</v>
      </c>
      <c r="Q275" s="7" t="s">
        <v>4694</v>
      </c>
      <c r="R275" s="7" t="s">
        <v>203</v>
      </c>
      <c r="S275" s="7" t="s">
        <v>218</v>
      </c>
      <c r="T275" s="7" t="s">
        <v>217</v>
      </c>
      <c r="U275" s="7" t="s">
        <v>207</v>
      </c>
      <c r="V275" s="7" t="s">
        <v>4695</v>
      </c>
      <c r="W275" s="7" t="s">
        <v>211</v>
      </c>
      <c r="X275" s="7" t="s">
        <v>200</v>
      </c>
      <c r="Y275" s="7" t="s">
        <v>4696</v>
      </c>
      <c r="Z275" s="7" t="s">
        <v>4697</v>
      </c>
      <c r="AA275" s="7" t="s">
        <v>3732</v>
      </c>
      <c r="AB275" s="7" t="s">
        <v>3919</v>
      </c>
      <c r="AC275" s="7" t="s">
        <v>4698</v>
      </c>
      <c r="AD275" s="8">
        <v>45433</v>
      </c>
      <c r="AE275" s="7"/>
      <c r="AF275" s="7"/>
    </row>
    <row r="276" spans="1:32" ht="193.5" customHeight="1" x14ac:dyDescent="0.3">
      <c r="A276" s="5">
        <v>5009642</v>
      </c>
      <c r="B276" s="5" t="s">
        <v>219</v>
      </c>
      <c r="C276" s="5" t="s">
        <v>4633</v>
      </c>
      <c r="D276" s="5" t="s">
        <v>198</v>
      </c>
      <c r="E276" s="5" t="s">
        <v>203</v>
      </c>
      <c r="F276" s="5" t="s">
        <v>218</v>
      </c>
      <c r="G276" s="5" t="s">
        <v>217</v>
      </c>
      <c r="H276" s="5" t="s">
        <v>207</v>
      </c>
      <c r="I276" s="5" t="s">
        <v>221</v>
      </c>
      <c r="J276" s="5" t="s">
        <v>211</v>
      </c>
      <c r="K276" s="5" t="s">
        <v>200</v>
      </c>
      <c r="L276" s="5" t="s">
        <v>222</v>
      </c>
      <c r="M276" s="5" t="s">
        <v>224</v>
      </c>
      <c r="N276" s="5" t="s">
        <v>3623</v>
      </c>
      <c r="O276" s="5" t="s">
        <v>3754</v>
      </c>
      <c r="P276" s="5">
        <v>5516447</v>
      </c>
      <c r="Q276" s="5" t="s">
        <v>4634</v>
      </c>
      <c r="R276" s="5" t="s">
        <v>203</v>
      </c>
      <c r="S276" s="5" t="s">
        <v>218</v>
      </c>
      <c r="T276" s="5" t="s">
        <v>217</v>
      </c>
      <c r="U276" s="5" t="s">
        <v>2330</v>
      </c>
      <c r="V276" s="5" t="s">
        <v>4635</v>
      </c>
      <c r="W276" s="5" t="s">
        <v>211</v>
      </c>
      <c r="X276" s="5" t="s">
        <v>200</v>
      </c>
      <c r="Y276" s="5" t="s">
        <v>271</v>
      </c>
      <c r="Z276" s="5" t="s">
        <v>4636</v>
      </c>
      <c r="AA276" s="5" t="s">
        <v>3612</v>
      </c>
      <c r="AB276" s="5" t="s">
        <v>4637</v>
      </c>
      <c r="AC276" s="5" t="s">
        <v>4699</v>
      </c>
      <c r="AD276" s="6">
        <v>45364</v>
      </c>
      <c r="AE276" s="5"/>
      <c r="AF276" s="5"/>
    </row>
    <row r="277" spans="1:32" ht="111.75" customHeight="1" x14ac:dyDescent="0.3">
      <c r="A277" s="7">
        <v>4705610</v>
      </c>
      <c r="B277" s="7" t="s">
        <v>2030</v>
      </c>
      <c r="C277" s="7" t="s">
        <v>4700</v>
      </c>
      <c r="D277" s="7" t="s">
        <v>198</v>
      </c>
      <c r="E277" s="7" t="s">
        <v>203</v>
      </c>
      <c r="F277" s="7" t="s">
        <v>444</v>
      </c>
      <c r="G277" s="7" t="s">
        <v>217</v>
      </c>
      <c r="H277" s="7" t="s">
        <v>233</v>
      </c>
      <c r="I277" s="7" t="s">
        <v>2031</v>
      </c>
      <c r="J277" s="7" t="s">
        <v>227</v>
      </c>
      <c r="K277" s="7" t="s">
        <v>413</v>
      </c>
      <c r="L277" s="7" t="s">
        <v>2032</v>
      </c>
      <c r="M277" s="7" t="s">
        <v>2033</v>
      </c>
      <c r="N277" s="7" t="s">
        <v>3623</v>
      </c>
      <c r="O277" s="7" t="s">
        <v>3960</v>
      </c>
      <c r="P277" s="7">
        <v>3528588</v>
      </c>
      <c r="Q277" s="7" t="s">
        <v>4701</v>
      </c>
      <c r="R277" s="7" t="s">
        <v>203</v>
      </c>
      <c r="S277" s="7" t="s">
        <v>418</v>
      </c>
      <c r="T277" s="7" t="s">
        <v>217</v>
      </c>
      <c r="U277" s="7" t="s">
        <v>245</v>
      </c>
      <c r="V277" s="7" t="s">
        <v>2247</v>
      </c>
      <c r="W277" s="7" t="s">
        <v>227</v>
      </c>
      <c r="X277" s="7" t="s">
        <v>413</v>
      </c>
      <c r="Y277" s="7" t="s">
        <v>2248</v>
      </c>
      <c r="Z277" s="7" t="s">
        <v>535</v>
      </c>
      <c r="AA277" s="7" t="s">
        <v>3608</v>
      </c>
      <c r="AB277" s="7" t="s">
        <v>3763</v>
      </c>
      <c r="AC277" s="7" t="s">
        <v>4702</v>
      </c>
      <c r="AD277" s="8">
        <v>45154</v>
      </c>
      <c r="AE277" s="7"/>
      <c r="AF277" s="7"/>
    </row>
    <row r="278" spans="1:32" ht="40.5" customHeight="1" x14ac:dyDescent="0.3">
      <c r="A278" s="5">
        <v>4944372</v>
      </c>
      <c r="B278" s="5" t="s">
        <v>4703</v>
      </c>
      <c r="C278" s="5"/>
      <c r="D278" s="5" t="s">
        <v>198</v>
      </c>
      <c r="E278" s="5"/>
      <c r="F278" s="5"/>
      <c r="G278" s="5" t="s">
        <v>217</v>
      </c>
      <c r="H278" s="5" t="s">
        <v>245</v>
      </c>
      <c r="I278" s="5"/>
      <c r="J278" s="5" t="s">
        <v>211</v>
      </c>
      <c r="K278" s="5"/>
      <c r="L278" s="5"/>
      <c r="M278" s="5"/>
      <c r="N278" s="5" t="s">
        <v>3623</v>
      </c>
      <c r="O278" s="5"/>
      <c r="P278" s="5">
        <v>5495989</v>
      </c>
      <c r="Q278" s="5" t="s">
        <v>210</v>
      </c>
      <c r="R278" s="5" t="s">
        <v>203</v>
      </c>
      <c r="S278" s="5" t="s">
        <v>218</v>
      </c>
      <c r="T278" s="5" t="s">
        <v>217</v>
      </c>
      <c r="U278" s="5" t="s">
        <v>207</v>
      </c>
      <c r="V278" s="5" t="s">
        <v>212</v>
      </c>
      <c r="W278" s="5" t="s">
        <v>211</v>
      </c>
      <c r="X278" s="5" t="s">
        <v>200</v>
      </c>
      <c r="Y278" s="5" t="s">
        <v>213</v>
      </c>
      <c r="Z278" s="5" t="s">
        <v>215</v>
      </c>
      <c r="AA278" s="5" t="s">
        <v>3612</v>
      </c>
      <c r="AB278" s="5" t="s">
        <v>3613</v>
      </c>
      <c r="AC278" s="5" t="s">
        <v>4704</v>
      </c>
      <c r="AD278" s="6">
        <v>45461</v>
      </c>
      <c r="AE278" s="5"/>
      <c r="AF278" s="5"/>
    </row>
    <row r="279" spans="1:32" ht="40.5" customHeight="1" x14ac:dyDescent="0.3">
      <c r="A279" s="7">
        <v>5072638</v>
      </c>
      <c r="B279" s="7" t="s">
        <v>2675</v>
      </c>
      <c r="C279" s="7"/>
      <c r="D279" s="7" t="s">
        <v>198</v>
      </c>
      <c r="E279" s="7" t="s">
        <v>203</v>
      </c>
      <c r="F279" s="7" t="s">
        <v>234</v>
      </c>
      <c r="G279" s="7" t="s">
        <v>217</v>
      </c>
      <c r="H279" s="7" t="s">
        <v>207</v>
      </c>
      <c r="I279" s="7" t="s">
        <v>2676</v>
      </c>
      <c r="J279" s="7" t="s">
        <v>227</v>
      </c>
      <c r="K279" s="7" t="s">
        <v>200</v>
      </c>
      <c r="L279" s="7" t="s">
        <v>1481</v>
      </c>
      <c r="M279" s="7" t="s">
        <v>2677</v>
      </c>
      <c r="N279" s="7" t="s">
        <v>3623</v>
      </c>
      <c r="O279" s="7" t="s">
        <v>3741</v>
      </c>
      <c r="P279" s="7">
        <v>5668425</v>
      </c>
      <c r="Q279" s="7" t="s">
        <v>4671</v>
      </c>
      <c r="R279" s="7"/>
      <c r="S279" s="7" t="s">
        <v>234</v>
      </c>
      <c r="T279" s="7" t="s">
        <v>208</v>
      </c>
      <c r="U279" s="7" t="s">
        <v>2330</v>
      </c>
      <c r="V279" s="7"/>
      <c r="W279" s="7" t="s">
        <v>227</v>
      </c>
      <c r="X279" s="7"/>
      <c r="Y279" s="7"/>
      <c r="Z279" s="7"/>
      <c r="AA279" s="7" t="s">
        <v>3729</v>
      </c>
      <c r="AB279" s="7"/>
      <c r="AC279" s="7" t="s">
        <v>4705</v>
      </c>
      <c r="AD279" s="8">
        <v>45413</v>
      </c>
      <c r="AE279" s="7"/>
      <c r="AF279" s="7"/>
    </row>
    <row r="280" spans="1:32" ht="142.5" customHeight="1" x14ac:dyDescent="0.3">
      <c r="A280" s="5">
        <v>4670760</v>
      </c>
      <c r="B280" s="5" t="s">
        <v>4706</v>
      </c>
      <c r="C280" s="5" t="s">
        <v>4707</v>
      </c>
      <c r="D280" s="5" t="s">
        <v>198</v>
      </c>
      <c r="E280" s="5"/>
      <c r="F280" s="5" t="s">
        <v>234</v>
      </c>
      <c r="G280" s="5" t="s">
        <v>217</v>
      </c>
      <c r="H280" s="5" t="s">
        <v>207</v>
      </c>
      <c r="I280" s="5"/>
      <c r="J280" s="5" t="s">
        <v>227</v>
      </c>
      <c r="K280" s="5"/>
      <c r="L280" s="5"/>
      <c r="M280" s="5"/>
      <c r="N280" s="5" t="s">
        <v>3623</v>
      </c>
      <c r="O280" s="5"/>
      <c r="P280" s="5">
        <v>4716973</v>
      </c>
      <c r="Q280" s="5" t="s">
        <v>4708</v>
      </c>
      <c r="R280" s="5"/>
      <c r="S280" s="5" t="s">
        <v>234</v>
      </c>
      <c r="T280" s="5" t="s">
        <v>217</v>
      </c>
      <c r="U280" s="5" t="s">
        <v>233</v>
      </c>
      <c r="V280" s="5"/>
      <c r="W280" s="5" t="s">
        <v>227</v>
      </c>
      <c r="X280" s="5"/>
      <c r="Y280" s="5"/>
      <c r="Z280" s="5"/>
      <c r="AA280" s="5" t="s">
        <v>3608</v>
      </c>
      <c r="AB280" s="5"/>
      <c r="AC280" s="5" t="s">
        <v>4709</v>
      </c>
      <c r="AD280" s="6">
        <v>45468</v>
      </c>
      <c r="AE280" s="6">
        <v>45596</v>
      </c>
      <c r="AF280" s="5" t="s">
        <v>3611</v>
      </c>
    </row>
    <row r="281" spans="1:32" ht="30" customHeight="1" x14ac:dyDescent="0.3">
      <c r="A281" s="7">
        <v>3511235</v>
      </c>
      <c r="B281" s="7" t="s">
        <v>376</v>
      </c>
      <c r="C281" s="7"/>
      <c r="D281" s="7" t="s">
        <v>354</v>
      </c>
      <c r="E281" s="7" t="s">
        <v>203</v>
      </c>
      <c r="F281" s="7" t="s">
        <v>218</v>
      </c>
      <c r="G281" s="7" t="s">
        <v>217</v>
      </c>
      <c r="H281" s="7" t="s">
        <v>207</v>
      </c>
      <c r="I281" s="7" t="s">
        <v>378</v>
      </c>
      <c r="J281" s="7" t="s">
        <v>211</v>
      </c>
      <c r="K281" s="7" t="s">
        <v>200</v>
      </c>
      <c r="L281" s="7" t="s">
        <v>379</v>
      </c>
      <c r="M281" s="7" t="s">
        <v>346</v>
      </c>
      <c r="N281" s="7" t="s">
        <v>3608</v>
      </c>
      <c r="O281" s="7" t="s">
        <v>4328</v>
      </c>
      <c r="P281" s="7">
        <v>4909879</v>
      </c>
      <c r="Q281" s="7" t="s">
        <v>4710</v>
      </c>
      <c r="R281" s="7" t="s">
        <v>203</v>
      </c>
      <c r="S281" s="7"/>
      <c r="T281" s="7" t="s">
        <v>217</v>
      </c>
      <c r="U281" s="7" t="s">
        <v>207</v>
      </c>
      <c r="V281" s="7" t="s">
        <v>4711</v>
      </c>
      <c r="W281" s="7" t="s">
        <v>211</v>
      </c>
      <c r="X281" s="7" t="s">
        <v>200</v>
      </c>
      <c r="Y281" s="7" t="s">
        <v>4712</v>
      </c>
      <c r="Z281" s="7" t="s">
        <v>690</v>
      </c>
      <c r="AA281" s="7" t="s">
        <v>3623</v>
      </c>
      <c r="AB281" s="7" t="s">
        <v>3824</v>
      </c>
      <c r="AC281" s="7" t="s">
        <v>4713</v>
      </c>
      <c r="AD281" s="8">
        <v>45429</v>
      </c>
      <c r="AE281" s="7"/>
      <c r="AF281" s="7"/>
    </row>
    <row r="282" spans="1:32" ht="30" customHeight="1" x14ac:dyDescent="0.3">
      <c r="A282" s="5">
        <v>3506622</v>
      </c>
      <c r="B282" s="5" t="s">
        <v>397</v>
      </c>
      <c r="C282" s="5" t="s">
        <v>4714</v>
      </c>
      <c r="D282" s="5" t="s">
        <v>354</v>
      </c>
      <c r="E282" s="5" t="s">
        <v>203</v>
      </c>
      <c r="F282" s="5"/>
      <c r="G282" s="5" t="s">
        <v>217</v>
      </c>
      <c r="H282" s="5" t="s">
        <v>207</v>
      </c>
      <c r="I282" s="5" t="s">
        <v>398</v>
      </c>
      <c r="J282" s="5" t="s">
        <v>211</v>
      </c>
      <c r="K282" s="5" t="s">
        <v>200</v>
      </c>
      <c r="L282" s="5" t="s">
        <v>399</v>
      </c>
      <c r="M282" s="5" t="s">
        <v>400</v>
      </c>
      <c r="N282" s="5" t="s">
        <v>3602</v>
      </c>
      <c r="O282" s="5" t="s">
        <v>4715</v>
      </c>
      <c r="P282" s="5">
        <v>5446120</v>
      </c>
      <c r="Q282" s="5" t="s">
        <v>4716</v>
      </c>
      <c r="R282" s="5" t="s">
        <v>203</v>
      </c>
      <c r="S282" s="5"/>
      <c r="T282" s="5" t="s">
        <v>217</v>
      </c>
      <c r="U282" s="5" t="s">
        <v>207</v>
      </c>
      <c r="V282" s="5" t="s">
        <v>4717</v>
      </c>
      <c r="W282" s="5" t="s">
        <v>211</v>
      </c>
      <c r="X282" s="5" t="s">
        <v>200</v>
      </c>
      <c r="Y282" s="5" t="s">
        <v>4718</v>
      </c>
      <c r="Z282" s="5" t="s">
        <v>2033</v>
      </c>
      <c r="AA282" s="5" t="s">
        <v>3612</v>
      </c>
      <c r="AB282" s="5" t="s">
        <v>3960</v>
      </c>
      <c r="AC282" s="5" t="s">
        <v>4719</v>
      </c>
      <c r="AD282" s="6">
        <v>45476</v>
      </c>
      <c r="AE282" s="5"/>
      <c r="AF282" s="5"/>
    </row>
    <row r="283" spans="1:32" ht="40.5" customHeight="1" x14ac:dyDescent="0.3">
      <c r="A283" s="7">
        <v>3505170</v>
      </c>
      <c r="B283" s="7" t="s">
        <v>4720</v>
      </c>
      <c r="C283" s="7" t="s">
        <v>4721</v>
      </c>
      <c r="D283" s="7" t="s">
        <v>198</v>
      </c>
      <c r="E283" s="7"/>
      <c r="F283" s="7"/>
      <c r="G283" s="7" t="s">
        <v>217</v>
      </c>
      <c r="H283" s="7" t="s">
        <v>245</v>
      </c>
      <c r="I283" s="7"/>
      <c r="J283" s="7" t="s">
        <v>211</v>
      </c>
      <c r="K283" s="7"/>
      <c r="L283" s="7"/>
      <c r="M283" s="7"/>
      <c r="N283" s="7" t="s">
        <v>3602</v>
      </c>
      <c r="O283" s="7"/>
      <c r="P283" s="7">
        <v>5367964</v>
      </c>
      <c r="Q283" s="7" t="s">
        <v>4594</v>
      </c>
      <c r="R283" s="7" t="s">
        <v>203</v>
      </c>
      <c r="S283" s="7" t="s">
        <v>218</v>
      </c>
      <c r="T283" s="7" t="s">
        <v>217</v>
      </c>
      <c r="U283" s="7" t="s">
        <v>207</v>
      </c>
      <c r="V283" s="7" t="s">
        <v>398</v>
      </c>
      <c r="W283" s="7" t="s">
        <v>211</v>
      </c>
      <c r="X283" s="7" t="s">
        <v>200</v>
      </c>
      <c r="Y283" s="7" t="s">
        <v>399</v>
      </c>
      <c r="Z283" s="7" t="s">
        <v>4595</v>
      </c>
      <c r="AA283" s="7" t="s">
        <v>3612</v>
      </c>
      <c r="AB283" s="7" t="s">
        <v>3894</v>
      </c>
      <c r="AC283" s="7" t="s">
        <v>4722</v>
      </c>
      <c r="AD283" s="8">
        <v>45435</v>
      </c>
      <c r="AE283" s="8">
        <v>45778</v>
      </c>
      <c r="AF283" s="7"/>
    </row>
    <row r="284" spans="1:32" ht="40.5" customHeight="1" x14ac:dyDescent="0.3">
      <c r="A284" s="5">
        <v>5034809</v>
      </c>
      <c r="B284" s="5" t="s">
        <v>4641</v>
      </c>
      <c r="C284" s="5" t="s">
        <v>4723</v>
      </c>
      <c r="D284" s="5" t="s">
        <v>198</v>
      </c>
      <c r="E284" s="5"/>
      <c r="F284" s="5" t="s">
        <v>218</v>
      </c>
      <c r="G284" s="5" t="s">
        <v>208</v>
      </c>
      <c r="H284" s="5" t="s">
        <v>245</v>
      </c>
      <c r="I284" s="5"/>
      <c r="J284" s="5" t="s">
        <v>211</v>
      </c>
      <c r="K284" s="5"/>
      <c r="L284" s="5"/>
      <c r="M284" s="5"/>
      <c r="N284" s="5" t="s">
        <v>3623</v>
      </c>
      <c r="O284" s="5"/>
      <c r="P284" s="5">
        <v>5595495</v>
      </c>
      <c r="Q284" s="5" t="s">
        <v>4724</v>
      </c>
      <c r="R284" s="5" t="s">
        <v>203</v>
      </c>
      <c r="S284" s="5" t="s">
        <v>218</v>
      </c>
      <c r="T284" s="5" t="s">
        <v>208</v>
      </c>
      <c r="U284" s="5" t="s">
        <v>2330</v>
      </c>
      <c r="V284" s="5" t="s">
        <v>4725</v>
      </c>
      <c r="W284" s="5" t="s">
        <v>211</v>
      </c>
      <c r="X284" s="5" t="s">
        <v>200</v>
      </c>
      <c r="Y284" s="5" t="s">
        <v>395</v>
      </c>
      <c r="Z284" s="5" t="s">
        <v>1511</v>
      </c>
      <c r="AA284" s="5" t="s">
        <v>3617</v>
      </c>
      <c r="AB284" s="5" t="s">
        <v>3609</v>
      </c>
      <c r="AC284" s="5" t="s">
        <v>4726</v>
      </c>
      <c r="AD284" s="6">
        <v>45478</v>
      </c>
      <c r="AE284" s="6">
        <v>45565</v>
      </c>
      <c r="AF284" s="5"/>
    </row>
    <row r="285" spans="1:32" ht="30" customHeight="1" x14ac:dyDescent="0.3">
      <c r="A285" s="7">
        <v>3516377</v>
      </c>
      <c r="B285" s="7" t="s">
        <v>1411</v>
      </c>
      <c r="C285" s="7"/>
      <c r="D285" s="7" t="s">
        <v>198</v>
      </c>
      <c r="E285" s="7" t="s">
        <v>203</v>
      </c>
      <c r="F285" s="7" t="s">
        <v>433</v>
      </c>
      <c r="G285" s="7" t="s">
        <v>217</v>
      </c>
      <c r="H285" s="7" t="s">
        <v>245</v>
      </c>
      <c r="I285" s="7" t="s">
        <v>1412</v>
      </c>
      <c r="J285" s="7" t="s">
        <v>227</v>
      </c>
      <c r="K285" s="7" t="s">
        <v>200</v>
      </c>
      <c r="L285" s="7" t="s">
        <v>1413</v>
      </c>
      <c r="M285" s="7" t="s">
        <v>793</v>
      </c>
      <c r="N285" s="7" t="s">
        <v>3602</v>
      </c>
      <c r="O285" s="7" t="s">
        <v>3763</v>
      </c>
      <c r="P285" s="7">
        <v>3795969</v>
      </c>
      <c r="Q285" s="7" t="s">
        <v>4727</v>
      </c>
      <c r="R285" s="7" t="s">
        <v>203</v>
      </c>
      <c r="S285" s="7" t="s">
        <v>418</v>
      </c>
      <c r="T285" s="7" t="s">
        <v>217</v>
      </c>
      <c r="U285" s="7" t="s">
        <v>207</v>
      </c>
      <c r="V285" s="7" t="s">
        <v>4728</v>
      </c>
      <c r="W285" s="7" t="s">
        <v>227</v>
      </c>
      <c r="X285" s="7" t="s">
        <v>200</v>
      </c>
      <c r="Y285" s="7" t="s">
        <v>4729</v>
      </c>
      <c r="Z285" s="7" t="s">
        <v>4730</v>
      </c>
      <c r="AA285" s="7" t="s">
        <v>3608</v>
      </c>
      <c r="AB285" s="7" t="s">
        <v>3751</v>
      </c>
      <c r="AC285" s="7" t="s">
        <v>4731</v>
      </c>
      <c r="AD285" s="8">
        <v>45078</v>
      </c>
      <c r="AE285" s="7"/>
      <c r="AF285" s="7"/>
    </row>
    <row r="286" spans="1:32" ht="30" customHeight="1" x14ac:dyDescent="0.3">
      <c r="A286" s="5">
        <v>5066220</v>
      </c>
      <c r="B286" s="5" t="s">
        <v>326</v>
      </c>
      <c r="C286" s="5"/>
      <c r="D286" s="5" t="s">
        <v>198</v>
      </c>
      <c r="E286" s="5" t="s">
        <v>203</v>
      </c>
      <c r="F286" s="5" t="s">
        <v>218</v>
      </c>
      <c r="G286" s="5" t="s">
        <v>208</v>
      </c>
      <c r="H286" s="5" t="s">
        <v>245</v>
      </c>
      <c r="I286" s="5" t="s">
        <v>327</v>
      </c>
      <c r="J286" s="5" t="s">
        <v>211</v>
      </c>
      <c r="K286" s="5" t="s">
        <v>200</v>
      </c>
      <c r="L286" s="5" t="s">
        <v>328</v>
      </c>
      <c r="M286" s="5" t="s">
        <v>330</v>
      </c>
      <c r="N286" s="5" t="s">
        <v>3623</v>
      </c>
      <c r="O286" s="5" t="s">
        <v>3630</v>
      </c>
      <c r="P286" s="5">
        <v>5595916</v>
      </c>
      <c r="Q286" s="5" t="s">
        <v>4732</v>
      </c>
      <c r="R286" s="5" t="s">
        <v>651</v>
      </c>
      <c r="S286" s="5" t="s">
        <v>218</v>
      </c>
      <c r="T286" s="5" t="s">
        <v>217</v>
      </c>
      <c r="U286" s="5" t="s">
        <v>207</v>
      </c>
      <c r="V286" s="5" t="s">
        <v>4725</v>
      </c>
      <c r="W286" s="5" t="s">
        <v>211</v>
      </c>
      <c r="X286" s="5" t="s">
        <v>200</v>
      </c>
      <c r="Y286" s="5" t="s">
        <v>395</v>
      </c>
      <c r="Z286" s="5" t="s">
        <v>1511</v>
      </c>
      <c r="AA286" s="5" t="s">
        <v>3729</v>
      </c>
      <c r="AB286" s="5" t="s">
        <v>3609</v>
      </c>
      <c r="AC286" s="5" t="s">
        <v>4733</v>
      </c>
      <c r="AD286" s="6">
        <v>45478</v>
      </c>
      <c r="AE286" s="6">
        <v>45565</v>
      </c>
      <c r="AF286" s="5"/>
    </row>
    <row r="287" spans="1:32" ht="71.25" customHeight="1" x14ac:dyDescent="0.3">
      <c r="A287" s="7">
        <v>4739833</v>
      </c>
      <c r="B287" s="7" t="s">
        <v>2086</v>
      </c>
      <c r="C287" s="7" t="s">
        <v>4734</v>
      </c>
      <c r="D287" s="7" t="s">
        <v>862</v>
      </c>
      <c r="E287" s="7" t="s">
        <v>203</v>
      </c>
      <c r="F287" s="7" t="s">
        <v>418</v>
      </c>
      <c r="G287" s="7" t="s">
        <v>217</v>
      </c>
      <c r="H287" s="7" t="s">
        <v>207</v>
      </c>
      <c r="I287" s="7" t="s">
        <v>2087</v>
      </c>
      <c r="J287" s="7" t="s">
        <v>227</v>
      </c>
      <c r="K287" s="7" t="s">
        <v>200</v>
      </c>
      <c r="L287" s="7" t="s">
        <v>847</v>
      </c>
      <c r="M287" s="7" t="s">
        <v>705</v>
      </c>
      <c r="N287" s="7" t="s">
        <v>3608</v>
      </c>
      <c r="O287" s="7" t="s">
        <v>3743</v>
      </c>
      <c r="P287" s="7">
        <v>5056977</v>
      </c>
      <c r="Q287" s="7" t="s">
        <v>4735</v>
      </c>
      <c r="R287" s="7"/>
      <c r="S287" s="7" t="s">
        <v>418</v>
      </c>
      <c r="T287" s="7" t="s">
        <v>217</v>
      </c>
      <c r="U287" s="7" t="s">
        <v>207</v>
      </c>
      <c r="V287" s="7"/>
      <c r="W287" s="7" t="s">
        <v>227</v>
      </c>
      <c r="X287" s="7"/>
      <c r="Y287" s="7"/>
      <c r="Z287" s="7"/>
      <c r="AA287" s="7" t="s">
        <v>3732</v>
      </c>
      <c r="AB287" s="7"/>
      <c r="AC287" s="7" t="s">
        <v>4736</v>
      </c>
      <c r="AD287" s="8">
        <v>45482</v>
      </c>
      <c r="AE287" s="8">
        <v>45838</v>
      </c>
      <c r="AF287" s="7"/>
    </row>
    <row r="288" spans="1:32" ht="40.5" customHeight="1" x14ac:dyDescent="0.3">
      <c r="A288" s="5">
        <v>4989171</v>
      </c>
      <c r="B288" s="5" t="s">
        <v>263</v>
      </c>
      <c r="C288" s="5" t="s">
        <v>4737</v>
      </c>
      <c r="D288" s="5" t="s">
        <v>354</v>
      </c>
      <c r="E288" s="5" t="s">
        <v>203</v>
      </c>
      <c r="F288" s="5" t="s">
        <v>218</v>
      </c>
      <c r="G288" s="5" t="s">
        <v>217</v>
      </c>
      <c r="H288" s="5" t="s">
        <v>207</v>
      </c>
      <c r="I288" s="5" t="s">
        <v>264</v>
      </c>
      <c r="J288" s="5" t="s">
        <v>211</v>
      </c>
      <c r="K288" s="5" t="s">
        <v>200</v>
      </c>
      <c r="L288" s="5" t="s">
        <v>265</v>
      </c>
      <c r="M288" s="5" t="s">
        <v>267</v>
      </c>
      <c r="N288" s="5" t="s">
        <v>3623</v>
      </c>
      <c r="O288" s="5" t="s">
        <v>4011</v>
      </c>
      <c r="P288" s="5">
        <v>5595916</v>
      </c>
      <c r="Q288" s="5" t="s">
        <v>4732</v>
      </c>
      <c r="R288" s="5" t="s">
        <v>651</v>
      </c>
      <c r="S288" s="5" t="s">
        <v>218</v>
      </c>
      <c r="T288" s="5" t="s">
        <v>217</v>
      </c>
      <c r="U288" s="5" t="s">
        <v>207</v>
      </c>
      <c r="V288" s="5" t="s">
        <v>4725</v>
      </c>
      <c r="W288" s="5" t="s">
        <v>211</v>
      </c>
      <c r="X288" s="5" t="s">
        <v>200</v>
      </c>
      <c r="Y288" s="5" t="s">
        <v>395</v>
      </c>
      <c r="Z288" s="5" t="s">
        <v>1511</v>
      </c>
      <c r="AA288" s="5" t="s">
        <v>3729</v>
      </c>
      <c r="AB288" s="5" t="s">
        <v>3609</v>
      </c>
      <c r="AC288" s="5" t="s">
        <v>4738</v>
      </c>
      <c r="AD288" s="6">
        <v>45478</v>
      </c>
      <c r="AE288" s="6">
        <v>45565</v>
      </c>
      <c r="AF288" s="5"/>
    </row>
    <row r="289" spans="1:32" ht="102" customHeight="1" x14ac:dyDescent="0.3">
      <c r="A289" s="7">
        <v>4805062</v>
      </c>
      <c r="B289" s="7" t="s">
        <v>2194</v>
      </c>
      <c r="C289" s="7" t="s">
        <v>4739</v>
      </c>
      <c r="D289" s="7" t="s">
        <v>198</v>
      </c>
      <c r="E289" s="7" t="s">
        <v>203</v>
      </c>
      <c r="F289" s="7" t="s">
        <v>418</v>
      </c>
      <c r="G289" s="7" t="s">
        <v>208</v>
      </c>
      <c r="H289" s="7" t="s">
        <v>207</v>
      </c>
      <c r="I289" s="7" t="s">
        <v>2195</v>
      </c>
      <c r="J289" s="7" t="s">
        <v>227</v>
      </c>
      <c r="K289" s="7" t="s">
        <v>888</v>
      </c>
      <c r="L289" s="7" t="s">
        <v>2196</v>
      </c>
      <c r="M289" s="7" t="s">
        <v>2197</v>
      </c>
      <c r="N289" s="7" t="s">
        <v>3608</v>
      </c>
      <c r="O289" s="7" t="s">
        <v>3727</v>
      </c>
      <c r="P289" s="7">
        <v>5242444</v>
      </c>
      <c r="Q289" s="7" t="s">
        <v>2960</v>
      </c>
      <c r="R289" s="7" t="s">
        <v>203</v>
      </c>
      <c r="S289" s="7" t="s">
        <v>418</v>
      </c>
      <c r="T289" s="7" t="s">
        <v>217</v>
      </c>
      <c r="U289" s="7" t="s">
        <v>207</v>
      </c>
      <c r="V289" s="7" t="s">
        <v>2933</v>
      </c>
      <c r="W289" s="7" t="s">
        <v>227</v>
      </c>
      <c r="X289" s="7" t="s">
        <v>200</v>
      </c>
      <c r="Y289" s="7" t="s">
        <v>2125</v>
      </c>
      <c r="Z289" s="7" t="s">
        <v>2934</v>
      </c>
      <c r="AA289" s="7" t="s">
        <v>3623</v>
      </c>
      <c r="AB289" s="7" t="s">
        <v>3763</v>
      </c>
      <c r="AC289" s="7" t="s">
        <v>4740</v>
      </c>
      <c r="AD289" s="8">
        <v>45537</v>
      </c>
      <c r="AE289" s="7"/>
      <c r="AF289" s="7"/>
    </row>
    <row r="290" spans="1:32" ht="51" customHeight="1" x14ac:dyDescent="0.3">
      <c r="A290" s="5">
        <v>3209105</v>
      </c>
      <c r="B290" s="5" t="s">
        <v>434</v>
      </c>
      <c r="C290" s="5" t="s">
        <v>4741</v>
      </c>
      <c r="D290" s="5" t="s">
        <v>198</v>
      </c>
      <c r="E290" s="5" t="s">
        <v>203</v>
      </c>
      <c r="F290" s="5" t="s">
        <v>418</v>
      </c>
      <c r="G290" s="5" t="s">
        <v>217</v>
      </c>
      <c r="H290" s="5" t="s">
        <v>245</v>
      </c>
      <c r="I290" s="5" t="s">
        <v>435</v>
      </c>
      <c r="J290" s="5" t="s">
        <v>227</v>
      </c>
      <c r="K290" s="5" t="s">
        <v>200</v>
      </c>
      <c r="L290" s="5" t="s">
        <v>436</v>
      </c>
      <c r="M290" s="5" t="s">
        <v>437</v>
      </c>
      <c r="N290" s="5" t="s">
        <v>3602</v>
      </c>
      <c r="O290" s="5" t="s">
        <v>3763</v>
      </c>
      <c r="P290" s="5">
        <v>5605598</v>
      </c>
      <c r="Q290" s="5" t="s">
        <v>4742</v>
      </c>
      <c r="R290" s="5" t="s">
        <v>203</v>
      </c>
      <c r="S290" s="5" t="s">
        <v>234</v>
      </c>
      <c r="T290" s="5" t="s">
        <v>217</v>
      </c>
      <c r="U290" s="5" t="s">
        <v>207</v>
      </c>
      <c r="V290" s="5" t="s">
        <v>3035</v>
      </c>
      <c r="W290" s="5" t="s">
        <v>227</v>
      </c>
      <c r="X290" s="5" t="s">
        <v>200</v>
      </c>
      <c r="Y290" s="5" t="s">
        <v>3036</v>
      </c>
      <c r="Z290" s="5" t="s">
        <v>870</v>
      </c>
      <c r="AA290" s="5" t="s">
        <v>3612</v>
      </c>
      <c r="AB290" s="5" t="s">
        <v>3715</v>
      </c>
      <c r="AC290" s="5" t="s">
        <v>4743</v>
      </c>
      <c r="AD290" s="6">
        <v>45481</v>
      </c>
      <c r="AE290" s="6">
        <v>46022</v>
      </c>
      <c r="AF290" s="5"/>
    </row>
    <row r="291" spans="1:32" ht="132" customHeight="1" x14ac:dyDescent="0.3">
      <c r="A291" s="7">
        <v>5156165</v>
      </c>
      <c r="B291" s="7" t="s">
        <v>4687</v>
      </c>
      <c r="C291" s="7" t="s">
        <v>4744</v>
      </c>
      <c r="D291" s="7" t="s">
        <v>862</v>
      </c>
      <c r="E291" s="7"/>
      <c r="F291" s="7" t="s">
        <v>433</v>
      </c>
      <c r="G291" s="7" t="s">
        <v>208</v>
      </c>
      <c r="H291" s="7" t="s">
        <v>245</v>
      </c>
      <c r="I291" s="7"/>
      <c r="J291" s="7" t="s">
        <v>227</v>
      </c>
      <c r="K291" s="7"/>
      <c r="L291" s="7"/>
      <c r="M291" s="7"/>
      <c r="N291" s="7" t="s">
        <v>3623</v>
      </c>
      <c r="O291" s="7"/>
      <c r="P291" s="7">
        <v>5498783</v>
      </c>
      <c r="Q291" s="7" t="s">
        <v>3262</v>
      </c>
      <c r="R291" s="7" t="s">
        <v>203</v>
      </c>
      <c r="S291" s="7" t="s">
        <v>418</v>
      </c>
      <c r="T291" s="7" t="s">
        <v>217</v>
      </c>
      <c r="U291" s="7" t="s">
        <v>207</v>
      </c>
      <c r="V291" s="7" t="s">
        <v>3263</v>
      </c>
      <c r="W291" s="7" t="s">
        <v>227</v>
      </c>
      <c r="X291" s="7" t="s">
        <v>200</v>
      </c>
      <c r="Y291" s="7" t="s">
        <v>3178</v>
      </c>
      <c r="Z291" s="7" t="s">
        <v>1203</v>
      </c>
      <c r="AA291" s="7" t="s">
        <v>3612</v>
      </c>
      <c r="AB291" s="7" t="s">
        <v>3743</v>
      </c>
      <c r="AC291" s="7" t="s">
        <v>4745</v>
      </c>
      <c r="AD291" s="8">
        <v>45481</v>
      </c>
      <c r="AE291" s="7"/>
      <c r="AF291" s="7"/>
    </row>
    <row r="292" spans="1:32" ht="81" customHeight="1" x14ac:dyDescent="0.3">
      <c r="A292" s="5">
        <v>4670760</v>
      </c>
      <c r="B292" s="5" t="s">
        <v>4706</v>
      </c>
      <c r="C292" s="5" t="s">
        <v>4746</v>
      </c>
      <c r="D292" s="5" t="s">
        <v>198</v>
      </c>
      <c r="E292" s="5"/>
      <c r="F292" s="5" t="s">
        <v>234</v>
      </c>
      <c r="G292" s="5" t="s">
        <v>217</v>
      </c>
      <c r="H292" s="5" t="s">
        <v>207</v>
      </c>
      <c r="I292" s="5"/>
      <c r="J292" s="5" t="s">
        <v>227</v>
      </c>
      <c r="K292" s="5"/>
      <c r="L292" s="5"/>
      <c r="M292" s="5"/>
      <c r="N292" s="5" t="s">
        <v>3623</v>
      </c>
      <c r="O292" s="5"/>
      <c r="P292" s="5">
        <v>4664701</v>
      </c>
      <c r="Q292" s="5" t="s">
        <v>4747</v>
      </c>
      <c r="R292" s="5" t="s">
        <v>203</v>
      </c>
      <c r="S292" s="5" t="s">
        <v>234</v>
      </c>
      <c r="T292" s="5" t="s">
        <v>217</v>
      </c>
      <c r="U292" s="5" t="s">
        <v>245</v>
      </c>
      <c r="V292" s="5" t="s">
        <v>4748</v>
      </c>
      <c r="W292" s="5" t="s">
        <v>227</v>
      </c>
      <c r="X292" s="5" t="s">
        <v>200</v>
      </c>
      <c r="Y292" s="5" t="s">
        <v>3774</v>
      </c>
      <c r="Z292" s="5" t="s">
        <v>3016</v>
      </c>
      <c r="AA292" s="5" t="s">
        <v>3608</v>
      </c>
      <c r="AB292" s="5" t="s">
        <v>3775</v>
      </c>
      <c r="AC292" s="5" t="s">
        <v>4749</v>
      </c>
      <c r="AD292" s="6">
        <v>45470</v>
      </c>
      <c r="AE292" s="6">
        <v>45688</v>
      </c>
      <c r="AF292" s="5"/>
    </row>
    <row r="293" spans="1:32" ht="51" customHeight="1" x14ac:dyDescent="0.3">
      <c r="A293" s="7">
        <v>3575977</v>
      </c>
      <c r="B293" s="7" t="s">
        <v>4750</v>
      </c>
      <c r="C293" s="7" t="s">
        <v>4751</v>
      </c>
      <c r="D293" s="7" t="s">
        <v>354</v>
      </c>
      <c r="E293" s="7" t="s">
        <v>203</v>
      </c>
      <c r="F293" s="7" t="s">
        <v>418</v>
      </c>
      <c r="G293" s="7" t="s">
        <v>217</v>
      </c>
      <c r="H293" s="7" t="s">
        <v>207</v>
      </c>
      <c r="I293" s="7" t="s">
        <v>4752</v>
      </c>
      <c r="J293" s="7" t="s">
        <v>227</v>
      </c>
      <c r="K293" s="7" t="s">
        <v>200</v>
      </c>
      <c r="L293" s="7" t="s">
        <v>4753</v>
      </c>
      <c r="M293" s="7" t="s">
        <v>1045</v>
      </c>
      <c r="N293" s="7" t="s">
        <v>3608</v>
      </c>
      <c r="O293" s="7" t="s">
        <v>3912</v>
      </c>
      <c r="P293" s="7">
        <v>5516927</v>
      </c>
      <c r="Q293" s="7" t="s">
        <v>4754</v>
      </c>
      <c r="R293" s="7" t="s">
        <v>203</v>
      </c>
      <c r="S293" s="7" t="s">
        <v>234</v>
      </c>
      <c r="T293" s="7" t="s">
        <v>217</v>
      </c>
      <c r="U293" s="7" t="s">
        <v>207</v>
      </c>
      <c r="V293" s="7" t="s">
        <v>1145</v>
      </c>
      <c r="W293" s="7" t="s">
        <v>227</v>
      </c>
      <c r="X293" s="7" t="s">
        <v>200</v>
      </c>
      <c r="Y293" s="7" t="s">
        <v>1146</v>
      </c>
      <c r="Z293" s="7" t="s">
        <v>1898</v>
      </c>
      <c r="AA293" s="7" t="s">
        <v>3612</v>
      </c>
      <c r="AB293" s="7" t="s">
        <v>3705</v>
      </c>
      <c r="AC293" s="7" t="s">
        <v>4755</v>
      </c>
      <c r="AD293" s="8">
        <v>45488</v>
      </c>
      <c r="AE293" s="7"/>
      <c r="AF293" s="7"/>
    </row>
    <row r="294" spans="1:32" ht="193.5" customHeight="1" x14ac:dyDescent="0.3">
      <c r="A294" s="5">
        <v>3019055</v>
      </c>
      <c r="B294" s="5" t="s">
        <v>508</v>
      </c>
      <c r="C294" s="5" t="s">
        <v>4756</v>
      </c>
      <c r="D294" s="5" t="s">
        <v>198</v>
      </c>
      <c r="E294" s="5" t="s">
        <v>203</v>
      </c>
      <c r="F294" s="5" t="s">
        <v>433</v>
      </c>
      <c r="G294" s="5" t="s">
        <v>208</v>
      </c>
      <c r="H294" s="5" t="s">
        <v>233</v>
      </c>
      <c r="I294" s="5" t="s">
        <v>509</v>
      </c>
      <c r="J294" s="5" t="s">
        <v>227</v>
      </c>
      <c r="K294" s="5" t="s">
        <v>413</v>
      </c>
      <c r="L294" s="5" t="s">
        <v>510</v>
      </c>
      <c r="M294" s="5" t="s">
        <v>511</v>
      </c>
      <c r="N294" s="5" t="s">
        <v>3602</v>
      </c>
      <c r="O294" s="5" t="s">
        <v>3919</v>
      </c>
      <c r="P294" s="5">
        <v>4686357</v>
      </c>
      <c r="Q294" s="5" t="s">
        <v>4757</v>
      </c>
      <c r="R294" s="5" t="s">
        <v>203</v>
      </c>
      <c r="S294" s="5"/>
      <c r="T294" s="5" t="s">
        <v>208</v>
      </c>
      <c r="U294" s="5" t="s">
        <v>245</v>
      </c>
      <c r="V294" s="5" t="s">
        <v>4758</v>
      </c>
      <c r="W294" s="5" t="s">
        <v>403</v>
      </c>
      <c r="X294" s="5" t="s">
        <v>200</v>
      </c>
      <c r="Y294" s="5" t="s">
        <v>4759</v>
      </c>
      <c r="Z294" s="5" t="s">
        <v>4760</v>
      </c>
      <c r="AA294" s="5" t="s">
        <v>3612</v>
      </c>
      <c r="AB294" s="5" t="s">
        <v>4128</v>
      </c>
      <c r="AC294" s="5" t="s">
        <v>4761</v>
      </c>
      <c r="AD294" s="6">
        <v>45490</v>
      </c>
      <c r="AE294" s="5"/>
      <c r="AF294" s="5"/>
    </row>
    <row r="295" spans="1:32" ht="111.75" customHeight="1" x14ac:dyDescent="0.3">
      <c r="A295" s="7">
        <v>5467845</v>
      </c>
      <c r="B295" s="7" t="s">
        <v>3731</v>
      </c>
      <c r="C295" s="7" t="s">
        <v>4762</v>
      </c>
      <c r="D295" s="7" t="s">
        <v>198</v>
      </c>
      <c r="E295" s="7"/>
      <c r="F295" s="7" t="s">
        <v>234</v>
      </c>
      <c r="G295" s="7" t="s">
        <v>208</v>
      </c>
      <c r="H295" s="7" t="s">
        <v>207</v>
      </c>
      <c r="I295" s="7"/>
      <c r="J295" s="7" t="s">
        <v>227</v>
      </c>
      <c r="K295" s="7"/>
      <c r="L295" s="7"/>
      <c r="M295" s="7"/>
      <c r="N295" s="7" t="s">
        <v>3732</v>
      </c>
      <c r="O295" s="7"/>
      <c r="P295" s="7">
        <v>5578019</v>
      </c>
      <c r="Q295" s="7" t="s">
        <v>4763</v>
      </c>
      <c r="R295" s="7"/>
      <c r="S295" s="7" t="s">
        <v>234</v>
      </c>
      <c r="T295" s="7" t="s">
        <v>217</v>
      </c>
      <c r="U295" s="7" t="s">
        <v>2330</v>
      </c>
      <c r="V295" s="7"/>
      <c r="W295" s="7" t="s">
        <v>227</v>
      </c>
      <c r="X295" s="7"/>
      <c r="Y295" s="7"/>
      <c r="Z295" s="7"/>
      <c r="AA295" s="7" t="s">
        <v>3732</v>
      </c>
      <c r="AB295" s="7"/>
      <c r="AC295" s="7" t="s">
        <v>4764</v>
      </c>
      <c r="AD295" s="8">
        <v>45488</v>
      </c>
      <c r="AE295" s="8">
        <v>45565</v>
      </c>
      <c r="AF295" s="7" t="s">
        <v>4765</v>
      </c>
    </row>
    <row r="296" spans="1:32" ht="40.5" customHeight="1" x14ac:dyDescent="0.3">
      <c r="A296" s="5">
        <v>4532031</v>
      </c>
      <c r="B296" s="5" t="s">
        <v>1826</v>
      </c>
      <c r="C296" s="5" t="s">
        <v>4766</v>
      </c>
      <c r="D296" s="5" t="s">
        <v>198</v>
      </c>
      <c r="E296" s="5" t="s">
        <v>203</v>
      </c>
      <c r="F296" s="5" t="s">
        <v>234</v>
      </c>
      <c r="G296" s="5" t="s">
        <v>217</v>
      </c>
      <c r="H296" s="5" t="s">
        <v>245</v>
      </c>
      <c r="I296" s="5" t="s">
        <v>1827</v>
      </c>
      <c r="J296" s="5" t="s">
        <v>227</v>
      </c>
      <c r="K296" s="5" t="s">
        <v>413</v>
      </c>
      <c r="L296" s="5" t="s">
        <v>1828</v>
      </c>
      <c r="M296" s="5" t="s">
        <v>1829</v>
      </c>
      <c r="N296" s="5" t="s">
        <v>3602</v>
      </c>
      <c r="O296" s="5" t="s">
        <v>4767</v>
      </c>
      <c r="P296" s="5">
        <v>5153913</v>
      </c>
      <c r="Q296" s="5" t="s">
        <v>4768</v>
      </c>
      <c r="R296" s="5" t="s">
        <v>203</v>
      </c>
      <c r="S296" s="5" t="s">
        <v>234</v>
      </c>
      <c r="T296" s="5" t="s">
        <v>217</v>
      </c>
      <c r="U296" s="5" t="s">
        <v>207</v>
      </c>
      <c r="V296" s="5" t="s">
        <v>4769</v>
      </c>
      <c r="W296" s="5" t="s">
        <v>227</v>
      </c>
      <c r="X296" s="5" t="s">
        <v>413</v>
      </c>
      <c r="Y296" s="5" t="s">
        <v>4770</v>
      </c>
      <c r="Z296" s="5" t="s">
        <v>4771</v>
      </c>
      <c r="AA296" s="5" t="s">
        <v>3612</v>
      </c>
      <c r="AB296" s="5" t="s">
        <v>4767</v>
      </c>
      <c r="AC296" s="5" t="s">
        <v>4772</v>
      </c>
      <c r="AD296" s="6">
        <v>45492</v>
      </c>
      <c r="AE296" s="6">
        <v>45838</v>
      </c>
      <c r="AF296" s="5"/>
    </row>
    <row r="297" spans="1:32" ht="234" customHeight="1" x14ac:dyDescent="0.3">
      <c r="A297" s="7">
        <v>4804325</v>
      </c>
      <c r="B297" s="7" t="s">
        <v>2192</v>
      </c>
      <c r="C297" s="7" t="s">
        <v>4773</v>
      </c>
      <c r="D297" s="7" t="s">
        <v>862</v>
      </c>
      <c r="E297" s="7" t="s">
        <v>203</v>
      </c>
      <c r="F297" s="7" t="s">
        <v>234</v>
      </c>
      <c r="G297" s="7" t="s">
        <v>208</v>
      </c>
      <c r="H297" s="7" t="s">
        <v>207</v>
      </c>
      <c r="I297" s="7" t="s">
        <v>2096</v>
      </c>
      <c r="J297" s="7" t="s">
        <v>227</v>
      </c>
      <c r="K297" s="7" t="s">
        <v>200</v>
      </c>
      <c r="L297" s="7" t="s">
        <v>1418</v>
      </c>
      <c r="M297" s="7" t="s">
        <v>2097</v>
      </c>
      <c r="N297" s="7" t="s">
        <v>3608</v>
      </c>
      <c r="O297" s="7" t="s">
        <v>3894</v>
      </c>
      <c r="P297" s="7">
        <v>5604389</v>
      </c>
      <c r="Q297" s="7" t="s">
        <v>3312</v>
      </c>
      <c r="R297" s="7" t="s">
        <v>203</v>
      </c>
      <c r="S297" s="7" t="s">
        <v>234</v>
      </c>
      <c r="T297" s="7" t="s">
        <v>208</v>
      </c>
      <c r="U297" s="7" t="s">
        <v>2330</v>
      </c>
      <c r="V297" s="7" t="s">
        <v>3313</v>
      </c>
      <c r="W297" s="7" t="s">
        <v>227</v>
      </c>
      <c r="X297" s="7" t="s">
        <v>200</v>
      </c>
      <c r="Y297" s="7" t="s">
        <v>3314</v>
      </c>
      <c r="Z297" s="7" t="s">
        <v>1328</v>
      </c>
      <c r="AA297" s="7" t="s">
        <v>3612</v>
      </c>
      <c r="AB297" s="7" t="s">
        <v>3894</v>
      </c>
      <c r="AC297" s="7" t="s">
        <v>4774</v>
      </c>
      <c r="AD297" s="8">
        <v>45502</v>
      </c>
      <c r="AE297" s="8">
        <v>45628</v>
      </c>
      <c r="AF297" s="7"/>
    </row>
    <row r="298" spans="1:32" ht="366.75" customHeight="1" x14ac:dyDescent="0.3">
      <c r="A298" s="5">
        <v>5087112</v>
      </c>
      <c r="B298" s="5" t="s">
        <v>2694</v>
      </c>
      <c r="C298" s="5" t="s">
        <v>4775</v>
      </c>
      <c r="D298" s="5" t="s">
        <v>198</v>
      </c>
      <c r="E298" s="5" t="s">
        <v>203</v>
      </c>
      <c r="F298" s="5" t="s">
        <v>234</v>
      </c>
      <c r="G298" s="5" t="s">
        <v>217</v>
      </c>
      <c r="H298" s="5" t="s">
        <v>245</v>
      </c>
      <c r="I298" s="5" t="s">
        <v>2695</v>
      </c>
      <c r="J298" s="5" t="s">
        <v>227</v>
      </c>
      <c r="K298" s="5" t="s">
        <v>200</v>
      </c>
      <c r="L298" s="5" t="s">
        <v>2696</v>
      </c>
      <c r="M298" s="5" t="s">
        <v>2697</v>
      </c>
      <c r="N298" s="5" t="s">
        <v>3623</v>
      </c>
      <c r="O298" s="5" t="s">
        <v>3635</v>
      </c>
      <c r="P298" s="5">
        <v>3143139</v>
      </c>
      <c r="Q298" s="5" t="s">
        <v>4776</v>
      </c>
      <c r="R298" s="5" t="s">
        <v>203</v>
      </c>
      <c r="S298" s="5" t="s">
        <v>444</v>
      </c>
      <c r="T298" s="5" t="s">
        <v>217</v>
      </c>
      <c r="U298" s="5" t="s">
        <v>245</v>
      </c>
      <c r="V298" s="5" t="s">
        <v>4777</v>
      </c>
      <c r="W298" s="5" t="s">
        <v>227</v>
      </c>
      <c r="X298" s="5" t="s">
        <v>200</v>
      </c>
      <c r="Y298" s="5" t="s">
        <v>4778</v>
      </c>
      <c r="Z298" s="5" t="s">
        <v>1072</v>
      </c>
      <c r="AA298" s="5" t="s">
        <v>3602</v>
      </c>
      <c r="AB298" s="5" t="s">
        <v>3763</v>
      </c>
      <c r="AC298" s="5" t="s">
        <v>4779</v>
      </c>
      <c r="AD298" s="6">
        <v>45475</v>
      </c>
      <c r="AE298" s="6">
        <v>45660</v>
      </c>
      <c r="AF298" s="5"/>
    </row>
    <row r="299" spans="1:32" ht="91.5" customHeight="1" x14ac:dyDescent="0.3">
      <c r="A299" s="7">
        <v>4739116</v>
      </c>
      <c r="B299" s="7" t="s">
        <v>2084</v>
      </c>
      <c r="C299" s="7" t="s">
        <v>4780</v>
      </c>
      <c r="D299" s="7" t="s">
        <v>354</v>
      </c>
      <c r="E299" s="7" t="s">
        <v>203</v>
      </c>
      <c r="F299" s="7" t="s">
        <v>234</v>
      </c>
      <c r="G299" s="7" t="s">
        <v>217</v>
      </c>
      <c r="H299" s="7" t="s">
        <v>207</v>
      </c>
      <c r="I299" s="7" t="s">
        <v>679</v>
      </c>
      <c r="J299" s="7" t="s">
        <v>227</v>
      </c>
      <c r="K299" s="7" t="s">
        <v>888</v>
      </c>
      <c r="L299" s="7" t="s">
        <v>1730</v>
      </c>
      <c r="M299" s="7" t="s">
        <v>324</v>
      </c>
      <c r="N299" s="7" t="s">
        <v>3608</v>
      </c>
      <c r="O299" s="7" t="s">
        <v>3711</v>
      </c>
      <c r="P299" s="7">
        <v>4876385</v>
      </c>
      <c r="Q299" s="7" t="s">
        <v>4781</v>
      </c>
      <c r="R299" s="7" t="s">
        <v>203</v>
      </c>
      <c r="S299" s="7" t="s">
        <v>234</v>
      </c>
      <c r="T299" s="7" t="s">
        <v>217</v>
      </c>
      <c r="U299" s="7" t="s">
        <v>207</v>
      </c>
      <c r="V299" s="7" t="s">
        <v>4782</v>
      </c>
      <c r="W299" s="7" t="s">
        <v>227</v>
      </c>
      <c r="X299" s="7" t="s">
        <v>200</v>
      </c>
      <c r="Y299" s="7" t="s">
        <v>3324</v>
      </c>
      <c r="Z299" s="7" t="s">
        <v>982</v>
      </c>
      <c r="AA299" s="7" t="s">
        <v>3623</v>
      </c>
      <c r="AB299" s="7" t="s">
        <v>3705</v>
      </c>
      <c r="AC299" s="7" t="s">
        <v>4783</v>
      </c>
      <c r="AD299" s="8">
        <v>45488</v>
      </c>
      <c r="AE299" s="8">
        <v>45544</v>
      </c>
      <c r="AF299" s="7" t="s">
        <v>3611</v>
      </c>
    </row>
    <row r="300" spans="1:32" ht="409.5" customHeight="1" x14ac:dyDescent="0.3">
      <c r="A300" s="5">
        <v>5004918</v>
      </c>
      <c r="B300" s="5" t="s">
        <v>2571</v>
      </c>
      <c r="C300" s="5" t="s">
        <v>4784</v>
      </c>
      <c r="D300" s="5" t="s">
        <v>198</v>
      </c>
      <c r="E300" s="5" t="s">
        <v>203</v>
      </c>
      <c r="F300" s="5" t="s">
        <v>234</v>
      </c>
      <c r="G300" s="5" t="s">
        <v>208</v>
      </c>
      <c r="H300" s="5" t="s">
        <v>207</v>
      </c>
      <c r="I300" s="5" t="s">
        <v>553</v>
      </c>
      <c r="J300" s="5" t="s">
        <v>227</v>
      </c>
      <c r="K300" s="5" t="s">
        <v>200</v>
      </c>
      <c r="L300" s="5" t="s">
        <v>2572</v>
      </c>
      <c r="M300" s="5" t="s">
        <v>594</v>
      </c>
      <c r="N300" s="5" t="s">
        <v>3623</v>
      </c>
      <c r="O300" s="5" t="s">
        <v>3919</v>
      </c>
      <c r="P300" s="5">
        <v>5276098</v>
      </c>
      <c r="Q300" s="5" t="s">
        <v>4785</v>
      </c>
      <c r="R300" s="5" t="s">
        <v>751</v>
      </c>
      <c r="S300" s="5" t="s">
        <v>234</v>
      </c>
      <c r="T300" s="5" t="s">
        <v>217</v>
      </c>
      <c r="U300" s="5" t="s">
        <v>207</v>
      </c>
      <c r="V300" s="5" t="s">
        <v>4786</v>
      </c>
      <c r="W300" s="5" t="s">
        <v>227</v>
      </c>
      <c r="X300" s="5" t="s">
        <v>200</v>
      </c>
      <c r="Y300" s="5" t="s">
        <v>4787</v>
      </c>
      <c r="Z300" s="5" t="s">
        <v>4327</v>
      </c>
      <c r="AA300" s="5" t="s">
        <v>3623</v>
      </c>
      <c r="AB300" s="5" t="s">
        <v>4328</v>
      </c>
      <c r="AC300" s="5" t="s">
        <v>4788</v>
      </c>
      <c r="AD300" s="6">
        <v>45492</v>
      </c>
      <c r="AE300" s="5"/>
      <c r="AF300" s="5"/>
    </row>
    <row r="301" spans="1:32" ht="71.25" customHeight="1" x14ac:dyDescent="0.3">
      <c r="A301" s="7">
        <v>2746573</v>
      </c>
      <c r="B301" s="7" t="s">
        <v>924</v>
      </c>
      <c r="C301" s="7" t="s">
        <v>4789</v>
      </c>
      <c r="D301" s="7" t="s">
        <v>198</v>
      </c>
      <c r="E301" s="7" t="s">
        <v>203</v>
      </c>
      <c r="F301" s="7" t="s">
        <v>418</v>
      </c>
      <c r="G301" s="7" t="s">
        <v>208</v>
      </c>
      <c r="H301" s="7" t="s">
        <v>245</v>
      </c>
      <c r="I301" s="7" t="s">
        <v>883</v>
      </c>
      <c r="J301" s="7" t="s">
        <v>227</v>
      </c>
      <c r="K301" s="7" t="s">
        <v>200</v>
      </c>
      <c r="L301" s="7" t="s">
        <v>884</v>
      </c>
      <c r="M301" s="7" t="s">
        <v>926</v>
      </c>
      <c r="N301" s="7" t="s">
        <v>3602</v>
      </c>
      <c r="O301" s="7" t="s">
        <v>3763</v>
      </c>
      <c r="P301" s="7">
        <v>5614031</v>
      </c>
      <c r="Q301" s="7" t="s">
        <v>4790</v>
      </c>
      <c r="R301" s="7" t="s">
        <v>203</v>
      </c>
      <c r="S301" s="7" t="s">
        <v>444</v>
      </c>
      <c r="T301" s="7" t="s">
        <v>217</v>
      </c>
      <c r="U301" s="7" t="s">
        <v>207</v>
      </c>
      <c r="V301" s="7" t="s">
        <v>4791</v>
      </c>
      <c r="W301" s="7" t="s">
        <v>227</v>
      </c>
      <c r="X301" s="7" t="s">
        <v>200</v>
      </c>
      <c r="Y301" s="7" t="s">
        <v>3534</v>
      </c>
      <c r="Z301" s="7" t="s">
        <v>1031</v>
      </c>
      <c r="AA301" s="7" t="s">
        <v>3612</v>
      </c>
      <c r="AB301" s="7" t="s">
        <v>3627</v>
      </c>
      <c r="AC301" s="7" t="s">
        <v>4792</v>
      </c>
      <c r="AD301" s="8">
        <v>44965</v>
      </c>
      <c r="AE301" s="8">
        <v>45334</v>
      </c>
      <c r="AF301" s="7"/>
    </row>
    <row r="302" spans="1:32" ht="111.75" customHeight="1" x14ac:dyDescent="0.3">
      <c r="A302" s="5">
        <v>5020964</v>
      </c>
      <c r="B302" s="5" t="s">
        <v>2589</v>
      </c>
      <c r="C302" s="5" t="s">
        <v>4793</v>
      </c>
      <c r="D302" s="5" t="s">
        <v>198</v>
      </c>
      <c r="E302" s="5" t="s">
        <v>203</v>
      </c>
      <c r="F302" s="5" t="s">
        <v>433</v>
      </c>
      <c r="G302" s="5" t="s">
        <v>217</v>
      </c>
      <c r="H302" s="5" t="s">
        <v>207</v>
      </c>
      <c r="I302" s="5" t="s">
        <v>2590</v>
      </c>
      <c r="J302" s="5" t="s">
        <v>227</v>
      </c>
      <c r="K302" s="5" t="s">
        <v>200</v>
      </c>
      <c r="L302" s="5" t="s">
        <v>2591</v>
      </c>
      <c r="M302" s="5" t="s">
        <v>2592</v>
      </c>
      <c r="N302" s="5" t="s">
        <v>3623</v>
      </c>
      <c r="O302" s="5" t="s">
        <v>3960</v>
      </c>
      <c r="P302" s="5">
        <v>5023157</v>
      </c>
      <c r="Q302" s="5" t="s">
        <v>4794</v>
      </c>
      <c r="R302" s="5" t="s">
        <v>203</v>
      </c>
      <c r="S302" s="5" t="s">
        <v>418</v>
      </c>
      <c r="T302" s="5" t="s">
        <v>217</v>
      </c>
      <c r="U302" s="5" t="s">
        <v>207</v>
      </c>
      <c r="V302" s="5" t="s">
        <v>4795</v>
      </c>
      <c r="W302" s="5" t="s">
        <v>227</v>
      </c>
      <c r="X302" s="5" t="s">
        <v>413</v>
      </c>
      <c r="Y302" s="5" t="s">
        <v>550</v>
      </c>
      <c r="Z302" s="5" t="s">
        <v>4796</v>
      </c>
      <c r="AA302" s="5" t="s">
        <v>3608</v>
      </c>
      <c r="AB302" s="5" t="s">
        <v>3843</v>
      </c>
      <c r="AC302" s="5" t="s">
        <v>4797</v>
      </c>
      <c r="AD302" s="6">
        <v>45505</v>
      </c>
      <c r="AE302" s="6">
        <v>45898</v>
      </c>
      <c r="AF302" s="5"/>
    </row>
    <row r="303" spans="1:32" ht="409.5" customHeight="1" x14ac:dyDescent="0.3">
      <c r="A303" s="7">
        <v>4532031</v>
      </c>
      <c r="B303" s="7" t="s">
        <v>1826</v>
      </c>
      <c r="C303" s="7" t="s">
        <v>4798</v>
      </c>
      <c r="D303" s="7" t="s">
        <v>198</v>
      </c>
      <c r="E303" s="7" t="s">
        <v>203</v>
      </c>
      <c r="F303" s="7" t="s">
        <v>234</v>
      </c>
      <c r="G303" s="7" t="s">
        <v>217</v>
      </c>
      <c r="H303" s="7" t="s">
        <v>245</v>
      </c>
      <c r="I303" s="7" t="s">
        <v>1827</v>
      </c>
      <c r="J303" s="7" t="s">
        <v>227</v>
      </c>
      <c r="K303" s="7" t="s">
        <v>413</v>
      </c>
      <c r="L303" s="7" t="s">
        <v>1828</v>
      </c>
      <c r="M303" s="7" t="s">
        <v>1829</v>
      </c>
      <c r="N303" s="7" t="s">
        <v>3602</v>
      </c>
      <c r="O303" s="7" t="s">
        <v>4767</v>
      </c>
      <c r="P303" s="7">
        <v>5606969</v>
      </c>
      <c r="Q303" s="7" t="s">
        <v>4799</v>
      </c>
      <c r="R303" s="7"/>
      <c r="S303" s="7" t="s">
        <v>234</v>
      </c>
      <c r="T303" s="7" t="s">
        <v>208</v>
      </c>
      <c r="U303" s="7" t="s">
        <v>2330</v>
      </c>
      <c r="V303" s="7"/>
      <c r="W303" s="7" t="s">
        <v>227</v>
      </c>
      <c r="X303" s="7"/>
      <c r="Y303" s="7"/>
      <c r="Z303" s="7"/>
      <c r="AA303" s="7" t="s">
        <v>3729</v>
      </c>
      <c r="AB303" s="7"/>
      <c r="AC303" s="7" t="s">
        <v>4800</v>
      </c>
      <c r="AD303" s="8">
        <v>45505</v>
      </c>
      <c r="AE303" s="7"/>
      <c r="AF303" s="7"/>
    </row>
    <row r="304" spans="1:32" ht="193.5" customHeight="1" x14ac:dyDescent="0.3">
      <c r="A304" s="5">
        <v>3279359</v>
      </c>
      <c r="B304" s="5" t="s">
        <v>706</v>
      </c>
      <c r="C304" s="5" t="s">
        <v>4801</v>
      </c>
      <c r="D304" s="5" t="s">
        <v>198</v>
      </c>
      <c r="E304" s="5" t="s">
        <v>203</v>
      </c>
      <c r="F304" s="5" t="s">
        <v>234</v>
      </c>
      <c r="G304" s="5" t="s">
        <v>208</v>
      </c>
      <c r="H304" s="5" t="s">
        <v>245</v>
      </c>
      <c r="I304" s="5" t="s">
        <v>707</v>
      </c>
      <c r="J304" s="5" t="s">
        <v>227</v>
      </c>
      <c r="K304" s="5" t="s">
        <v>200</v>
      </c>
      <c r="L304" s="5" t="s">
        <v>708</v>
      </c>
      <c r="M304" s="5" t="s">
        <v>709</v>
      </c>
      <c r="N304" s="5" t="s">
        <v>3602</v>
      </c>
      <c r="O304" s="5" t="s">
        <v>3705</v>
      </c>
      <c r="P304" s="5">
        <v>3726762</v>
      </c>
      <c r="Q304" s="5" t="s">
        <v>4802</v>
      </c>
      <c r="R304" s="5" t="s">
        <v>737</v>
      </c>
      <c r="S304" s="5" t="s">
        <v>234</v>
      </c>
      <c r="T304" s="5" t="s">
        <v>217</v>
      </c>
      <c r="U304" s="5" t="s">
        <v>245</v>
      </c>
      <c r="V304" s="5" t="s">
        <v>4803</v>
      </c>
      <c r="W304" s="5" t="s">
        <v>227</v>
      </c>
      <c r="X304" s="5" t="s">
        <v>200</v>
      </c>
      <c r="Y304" s="5" t="s">
        <v>2336</v>
      </c>
      <c r="Z304" s="5" t="s">
        <v>1624</v>
      </c>
      <c r="AA304" s="5" t="s">
        <v>3608</v>
      </c>
      <c r="AB304" s="5" t="s">
        <v>3646</v>
      </c>
      <c r="AC304" s="5" t="s">
        <v>4804</v>
      </c>
      <c r="AD304" s="6">
        <v>45505</v>
      </c>
      <c r="AE304" s="6">
        <v>45870</v>
      </c>
      <c r="AF304" s="5"/>
    </row>
    <row r="305" spans="1:32" ht="122.25" customHeight="1" x14ac:dyDescent="0.3">
      <c r="A305" s="7">
        <v>4612590</v>
      </c>
      <c r="B305" s="7" t="s">
        <v>1858</v>
      </c>
      <c r="C305" s="7" t="s">
        <v>4805</v>
      </c>
      <c r="D305" s="7" t="s">
        <v>198</v>
      </c>
      <c r="E305" s="7" t="s">
        <v>203</v>
      </c>
      <c r="F305" s="7" t="s">
        <v>234</v>
      </c>
      <c r="G305" s="7" t="s">
        <v>208</v>
      </c>
      <c r="H305" s="7" t="s">
        <v>233</v>
      </c>
      <c r="I305" s="7" t="s">
        <v>1859</v>
      </c>
      <c r="J305" s="7" t="s">
        <v>227</v>
      </c>
      <c r="K305" s="7" t="s">
        <v>200</v>
      </c>
      <c r="L305" s="7" t="s">
        <v>1860</v>
      </c>
      <c r="M305" s="7" t="s">
        <v>1861</v>
      </c>
      <c r="N305" s="7" t="s">
        <v>3652</v>
      </c>
      <c r="O305" s="7" t="s">
        <v>3763</v>
      </c>
      <c r="P305" s="7">
        <v>3867897</v>
      </c>
      <c r="Q305" s="7" t="s">
        <v>4806</v>
      </c>
      <c r="R305" s="7" t="s">
        <v>203</v>
      </c>
      <c r="S305" s="7" t="s">
        <v>234</v>
      </c>
      <c r="T305" s="7" t="s">
        <v>217</v>
      </c>
      <c r="U305" s="7" t="s">
        <v>245</v>
      </c>
      <c r="V305" s="7" t="s">
        <v>4807</v>
      </c>
      <c r="W305" s="7" t="s">
        <v>227</v>
      </c>
      <c r="X305" s="7" t="s">
        <v>200</v>
      </c>
      <c r="Y305" s="7" t="s">
        <v>1268</v>
      </c>
      <c r="Z305" s="7" t="s">
        <v>617</v>
      </c>
      <c r="AA305" s="7" t="s">
        <v>3608</v>
      </c>
      <c r="AB305" s="7" t="s">
        <v>3635</v>
      </c>
      <c r="AC305" s="7" t="s">
        <v>4808</v>
      </c>
      <c r="AD305" s="8">
        <v>45505</v>
      </c>
      <c r="AE305" s="8">
        <v>45869</v>
      </c>
      <c r="AF305" s="7"/>
    </row>
    <row r="306" spans="1:32" ht="162.75" customHeight="1" x14ac:dyDescent="0.3">
      <c r="A306" s="5">
        <v>3678482</v>
      </c>
      <c r="B306" s="5" t="s">
        <v>1571</v>
      </c>
      <c r="C306" s="5" t="s">
        <v>4809</v>
      </c>
      <c r="D306" s="5" t="s">
        <v>198</v>
      </c>
      <c r="E306" s="5" t="s">
        <v>203</v>
      </c>
      <c r="F306" s="5" t="s">
        <v>444</v>
      </c>
      <c r="G306" s="5" t="s">
        <v>208</v>
      </c>
      <c r="H306" s="5" t="s">
        <v>207</v>
      </c>
      <c r="I306" s="5" t="s">
        <v>1572</v>
      </c>
      <c r="J306" s="5" t="s">
        <v>227</v>
      </c>
      <c r="K306" s="5" t="s">
        <v>200</v>
      </c>
      <c r="L306" s="5" t="s">
        <v>1573</v>
      </c>
      <c r="M306" s="5" t="s">
        <v>1574</v>
      </c>
      <c r="N306" s="5" t="s">
        <v>3608</v>
      </c>
      <c r="O306" s="5" t="s">
        <v>3824</v>
      </c>
      <c r="P306" s="5">
        <v>3661954</v>
      </c>
      <c r="Q306" s="5" t="s">
        <v>4810</v>
      </c>
      <c r="R306" s="5" t="s">
        <v>203</v>
      </c>
      <c r="S306" s="5" t="s">
        <v>444</v>
      </c>
      <c r="T306" s="5" t="s">
        <v>217</v>
      </c>
      <c r="U306" s="5" t="s">
        <v>207</v>
      </c>
      <c r="V306" s="5" t="s">
        <v>4811</v>
      </c>
      <c r="W306" s="5" t="s">
        <v>227</v>
      </c>
      <c r="X306" s="5" t="s">
        <v>200</v>
      </c>
      <c r="Y306" s="5" t="s">
        <v>4812</v>
      </c>
      <c r="Z306" s="5" t="s">
        <v>2618</v>
      </c>
      <c r="AA306" s="5" t="s">
        <v>3623</v>
      </c>
      <c r="AB306" s="5" t="s">
        <v>3853</v>
      </c>
      <c r="AC306" s="5" t="s">
        <v>4813</v>
      </c>
      <c r="AD306" s="6">
        <v>45499</v>
      </c>
      <c r="AE306" s="6">
        <v>45863</v>
      </c>
      <c r="AF306" s="5"/>
    </row>
    <row r="307" spans="1:32" ht="71.25" customHeight="1" x14ac:dyDescent="0.3">
      <c r="A307" s="7">
        <v>3678482</v>
      </c>
      <c r="B307" s="7" t="s">
        <v>1571</v>
      </c>
      <c r="C307" s="7" t="s">
        <v>4814</v>
      </c>
      <c r="D307" s="7" t="s">
        <v>198</v>
      </c>
      <c r="E307" s="7" t="s">
        <v>203</v>
      </c>
      <c r="F307" s="7" t="s">
        <v>444</v>
      </c>
      <c r="G307" s="7" t="s">
        <v>208</v>
      </c>
      <c r="H307" s="7" t="s">
        <v>207</v>
      </c>
      <c r="I307" s="7" t="s">
        <v>1572</v>
      </c>
      <c r="J307" s="7" t="s">
        <v>227</v>
      </c>
      <c r="K307" s="7" t="s">
        <v>200</v>
      </c>
      <c r="L307" s="7" t="s">
        <v>1573</v>
      </c>
      <c r="M307" s="7" t="s">
        <v>1574</v>
      </c>
      <c r="N307" s="7" t="s">
        <v>3608</v>
      </c>
      <c r="O307" s="7" t="s">
        <v>3824</v>
      </c>
      <c r="P307" s="7">
        <v>8871054</v>
      </c>
      <c r="Q307" s="7" t="s">
        <v>4815</v>
      </c>
      <c r="R307" s="7" t="s">
        <v>203</v>
      </c>
      <c r="S307" s="7" t="s">
        <v>234</v>
      </c>
      <c r="T307" s="7" t="s">
        <v>208</v>
      </c>
      <c r="U307" s="7" t="s">
        <v>207</v>
      </c>
      <c r="V307" s="7" t="s">
        <v>4816</v>
      </c>
      <c r="W307" s="7" t="s">
        <v>227</v>
      </c>
      <c r="X307" s="7" t="s">
        <v>200</v>
      </c>
      <c r="Y307" s="7" t="s">
        <v>1051</v>
      </c>
      <c r="Z307" s="7" t="s">
        <v>4817</v>
      </c>
      <c r="AA307" s="7" t="s">
        <v>3732</v>
      </c>
      <c r="AB307" s="7" t="s">
        <v>4426</v>
      </c>
      <c r="AC307" s="7" t="s">
        <v>4818</v>
      </c>
      <c r="AD307" s="8">
        <v>45504</v>
      </c>
      <c r="AE307" s="8">
        <v>45596</v>
      </c>
      <c r="AF307" s="7"/>
    </row>
    <row r="308" spans="1:32" ht="30" customHeight="1" x14ac:dyDescent="0.3">
      <c r="A308" s="5">
        <v>3519570</v>
      </c>
      <c r="B308" s="5" t="s">
        <v>1415</v>
      </c>
      <c r="C308" s="5"/>
      <c r="D308" s="5" t="s">
        <v>198</v>
      </c>
      <c r="E308" s="5" t="s">
        <v>203</v>
      </c>
      <c r="F308" s="5" t="s">
        <v>234</v>
      </c>
      <c r="G308" s="5" t="s">
        <v>208</v>
      </c>
      <c r="H308" s="5" t="s">
        <v>245</v>
      </c>
      <c r="I308" s="5" t="s">
        <v>1417</v>
      </c>
      <c r="J308" s="5" t="s">
        <v>227</v>
      </c>
      <c r="K308" s="5" t="s">
        <v>200</v>
      </c>
      <c r="L308" s="5" t="s">
        <v>1418</v>
      </c>
      <c r="M308" s="5" t="s">
        <v>540</v>
      </c>
      <c r="N308" s="5" t="s">
        <v>3602</v>
      </c>
      <c r="O308" s="5" t="s">
        <v>3894</v>
      </c>
      <c r="P308" s="5">
        <v>5382564</v>
      </c>
      <c r="Q308" s="5" t="s">
        <v>4819</v>
      </c>
      <c r="R308" s="5" t="s">
        <v>203</v>
      </c>
      <c r="S308" s="5" t="s">
        <v>234</v>
      </c>
      <c r="T308" s="5" t="s">
        <v>208</v>
      </c>
      <c r="U308" s="5" t="s">
        <v>207</v>
      </c>
      <c r="V308" s="5" t="s">
        <v>4820</v>
      </c>
      <c r="W308" s="5" t="s">
        <v>227</v>
      </c>
      <c r="X308" s="5" t="s">
        <v>200</v>
      </c>
      <c r="Y308" s="5" t="s">
        <v>4821</v>
      </c>
      <c r="Z308" s="5" t="s">
        <v>1328</v>
      </c>
      <c r="AA308" s="5" t="s">
        <v>3612</v>
      </c>
      <c r="AB308" s="5" t="s">
        <v>3894</v>
      </c>
      <c r="AC308" s="5" t="s">
        <v>4822</v>
      </c>
      <c r="AD308" s="6">
        <v>45443</v>
      </c>
      <c r="AE308" s="5"/>
      <c r="AF308" s="5"/>
    </row>
    <row r="309" spans="1:32" ht="397.5" customHeight="1" x14ac:dyDescent="0.3">
      <c r="A309" s="7">
        <v>5414032</v>
      </c>
      <c r="B309" s="7" t="s">
        <v>3194</v>
      </c>
      <c r="C309" s="7" t="s">
        <v>4823</v>
      </c>
      <c r="D309" s="7" t="s">
        <v>198</v>
      </c>
      <c r="E309" s="7" t="s">
        <v>203</v>
      </c>
      <c r="F309" s="7" t="s">
        <v>234</v>
      </c>
      <c r="G309" s="7" t="s">
        <v>217</v>
      </c>
      <c r="H309" s="7" t="s">
        <v>245</v>
      </c>
      <c r="I309" s="7" t="s">
        <v>3195</v>
      </c>
      <c r="J309" s="7" t="s">
        <v>227</v>
      </c>
      <c r="K309" s="7" t="s">
        <v>413</v>
      </c>
      <c r="L309" s="7" t="s">
        <v>3196</v>
      </c>
      <c r="M309" s="7" t="s">
        <v>3197</v>
      </c>
      <c r="N309" s="7" t="s">
        <v>3612</v>
      </c>
      <c r="O309" s="7" t="s">
        <v>3928</v>
      </c>
      <c r="P309" s="7">
        <v>8874820</v>
      </c>
      <c r="Q309" s="7" t="s">
        <v>4824</v>
      </c>
      <c r="R309" s="7" t="s">
        <v>203</v>
      </c>
      <c r="S309" s="7" t="s">
        <v>234</v>
      </c>
      <c r="T309" s="7" t="s">
        <v>208</v>
      </c>
      <c r="U309" s="7" t="s">
        <v>2330</v>
      </c>
      <c r="V309" s="7" t="s">
        <v>4825</v>
      </c>
      <c r="W309" s="7" t="s">
        <v>227</v>
      </c>
      <c r="X309" s="7" t="s">
        <v>413</v>
      </c>
      <c r="Y309" s="7" t="s">
        <v>4826</v>
      </c>
      <c r="Z309" s="7" t="s">
        <v>4827</v>
      </c>
      <c r="AA309" s="7" t="s">
        <v>3617</v>
      </c>
      <c r="AB309" s="7" t="s">
        <v>3763</v>
      </c>
      <c r="AC309" s="7" t="s">
        <v>4828</v>
      </c>
      <c r="AD309" s="8">
        <v>45505</v>
      </c>
      <c r="AE309" s="7"/>
      <c r="AF309" s="7"/>
    </row>
    <row r="310" spans="1:32" ht="409.5" customHeight="1" x14ac:dyDescent="0.3">
      <c r="A310" s="5">
        <v>4651685</v>
      </c>
      <c r="B310" s="5" t="s">
        <v>1928</v>
      </c>
      <c r="C310" s="5" t="s">
        <v>4829</v>
      </c>
      <c r="D310" s="5" t="s">
        <v>198</v>
      </c>
      <c r="E310" s="5" t="s">
        <v>203</v>
      </c>
      <c r="F310" s="5" t="s">
        <v>1929</v>
      </c>
      <c r="G310" s="5" t="s">
        <v>208</v>
      </c>
      <c r="H310" s="5" t="s">
        <v>207</v>
      </c>
      <c r="I310" s="5" t="s">
        <v>609</v>
      </c>
      <c r="J310" s="5" t="s">
        <v>608</v>
      </c>
      <c r="K310" s="5" t="s">
        <v>200</v>
      </c>
      <c r="L310" s="5" t="s">
        <v>610</v>
      </c>
      <c r="M310" s="5" t="s">
        <v>611</v>
      </c>
      <c r="N310" s="5" t="s">
        <v>3608</v>
      </c>
      <c r="O310" s="5" t="s">
        <v>3630</v>
      </c>
      <c r="P310" s="5">
        <v>5641748</v>
      </c>
      <c r="Q310" s="5" t="s">
        <v>4830</v>
      </c>
      <c r="R310" s="5" t="s">
        <v>203</v>
      </c>
      <c r="S310" s="5" t="s">
        <v>613</v>
      </c>
      <c r="T310" s="5" t="s">
        <v>208</v>
      </c>
      <c r="U310" s="5" t="s">
        <v>207</v>
      </c>
      <c r="V310" s="5" t="s">
        <v>4831</v>
      </c>
      <c r="W310" s="5" t="s">
        <v>608</v>
      </c>
      <c r="X310" s="5" t="s">
        <v>200</v>
      </c>
      <c r="Y310" s="5" t="s">
        <v>4372</v>
      </c>
      <c r="Z310" s="5" t="s">
        <v>4373</v>
      </c>
      <c r="AA310" s="5" t="s">
        <v>3617</v>
      </c>
      <c r="AB310" s="5" t="s">
        <v>3603</v>
      </c>
      <c r="AC310" s="5" t="s">
        <v>4832</v>
      </c>
      <c r="AD310" s="6">
        <v>45499</v>
      </c>
      <c r="AE310" s="6">
        <v>47325</v>
      </c>
      <c r="AF310" s="5"/>
    </row>
    <row r="311" spans="1:32" ht="142.5" customHeight="1" x14ac:dyDescent="0.3">
      <c r="A311" s="7">
        <v>3209105</v>
      </c>
      <c r="B311" s="7" t="s">
        <v>434</v>
      </c>
      <c r="C311" s="7" t="s">
        <v>4833</v>
      </c>
      <c r="D311" s="7" t="s">
        <v>198</v>
      </c>
      <c r="E311" s="7" t="s">
        <v>203</v>
      </c>
      <c r="F311" s="7" t="s">
        <v>418</v>
      </c>
      <c r="G311" s="7" t="s">
        <v>217</v>
      </c>
      <c r="H311" s="7" t="s">
        <v>245</v>
      </c>
      <c r="I311" s="7" t="s">
        <v>435</v>
      </c>
      <c r="J311" s="7" t="s">
        <v>227</v>
      </c>
      <c r="K311" s="7" t="s">
        <v>200</v>
      </c>
      <c r="L311" s="7" t="s">
        <v>436</v>
      </c>
      <c r="M311" s="7" t="s">
        <v>437</v>
      </c>
      <c r="N311" s="7" t="s">
        <v>3602</v>
      </c>
      <c r="O311" s="7" t="s">
        <v>3763</v>
      </c>
      <c r="P311" s="7">
        <v>4822366</v>
      </c>
      <c r="Q311" s="7" t="s">
        <v>4834</v>
      </c>
      <c r="R311" s="7" t="s">
        <v>203</v>
      </c>
      <c r="S311" s="7" t="s">
        <v>444</v>
      </c>
      <c r="T311" s="7" t="s">
        <v>217</v>
      </c>
      <c r="U311" s="7" t="s">
        <v>245</v>
      </c>
      <c r="V311" s="7" t="s">
        <v>4835</v>
      </c>
      <c r="W311" s="7" t="s">
        <v>227</v>
      </c>
      <c r="X311" s="7" t="s">
        <v>200</v>
      </c>
      <c r="Y311" s="7" t="s">
        <v>4836</v>
      </c>
      <c r="Z311" s="7" t="s">
        <v>1319</v>
      </c>
      <c r="AA311" s="7" t="s">
        <v>3608</v>
      </c>
      <c r="AB311" s="7" t="s">
        <v>3763</v>
      </c>
      <c r="AC311" s="7" t="s">
        <v>4837</v>
      </c>
      <c r="AD311" s="8">
        <v>45474</v>
      </c>
      <c r="AE311" s="8">
        <v>45716</v>
      </c>
      <c r="AF311" s="7"/>
    </row>
    <row r="312" spans="1:32" ht="409.5" customHeight="1" x14ac:dyDescent="0.3">
      <c r="A312" s="5">
        <v>3243605</v>
      </c>
      <c r="B312" s="5" t="s">
        <v>314</v>
      </c>
      <c r="C312" s="5" t="s">
        <v>4798</v>
      </c>
      <c r="D312" s="5" t="s">
        <v>198</v>
      </c>
      <c r="E312" s="5" t="s">
        <v>203</v>
      </c>
      <c r="F312" s="5"/>
      <c r="G312" s="5" t="s">
        <v>217</v>
      </c>
      <c r="H312" s="5" t="s">
        <v>245</v>
      </c>
      <c r="I312" s="5" t="s">
        <v>241</v>
      </c>
      <c r="J312" s="5" t="s">
        <v>211</v>
      </c>
      <c r="K312" s="5" t="s">
        <v>200</v>
      </c>
      <c r="L312" s="5" t="s">
        <v>315</v>
      </c>
      <c r="M312" s="5" t="s">
        <v>317</v>
      </c>
      <c r="N312" s="5" t="s">
        <v>3623</v>
      </c>
      <c r="O312" s="5" t="s">
        <v>3783</v>
      </c>
      <c r="P312" s="5">
        <v>5606969</v>
      </c>
      <c r="Q312" s="5" t="s">
        <v>4799</v>
      </c>
      <c r="R312" s="5"/>
      <c r="S312" s="5" t="s">
        <v>234</v>
      </c>
      <c r="T312" s="5" t="s">
        <v>208</v>
      </c>
      <c r="U312" s="5" t="s">
        <v>2330</v>
      </c>
      <c r="V312" s="5"/>
      <c r="W312" s="5" t="s">
        <v>227</v>
      </c>
      <c r="X312" s="5"/>
      <c r="Y312" s="5"/>
      <c r="Z312" s="5"/>
      <c r="AA312" s="5" t="s">
        <v>3729</v>
      </c>
      <c r="AB312" s="5"/>
      <c r="AC312" s="5" t="s">
        <v>4838</v>
      </c>
      <c r="AD312" s="6">
        <v>45503</v>
      </c>
      <c r="AE312" s="5"/>
      <c r="AF312" s="5"/>
    </row>
    <row r="313" spans="1:32" ht="122.25" customHeight="1" x14ac:dyDescent="0.3">
      <c r="A313" s="7">
        <v>4936795</v>
      </c>
      <c r="B313" s="7" t="s">
        <v>2470</v>
      </c>
      <c r="C313" s="7" t="s">
        <v>4839</v>
      </c>
      <c r="D313" s="7" t="s">
        <v>198</v>
      </c>
      <c r="E313" s="7" t="s">
        <v>203</v>
      </c>
      <c r="F313" s="7" t="s">
        <v>234</v>
      </c>
      <c r="G313" s="7" t="s">
        <v>217</v>
      </c>
      <c r="H313" s="7" t="s">
        <v>207</v>
      </c>
      <c r="I313" s="7" t="s">
        <v>2471</v>
      </c>
      <c r="J313" s="7" t="s">
        <v>227</v>
      </c>
      <c r="K313" s="7" t="s">
        <v>200</v>
      </c>
      <c r="L313" s="7" t="s">
        <v>2472</v>
      </c>
      <c r="M313" s="7" t="s">
        <v>685</v>
      </c>
      <c r="N313" s="7" t="s">
        <v>3623</v>
      </c>
      <c r="O313" s="7" t="s">
        <v>3824</v>
      </c>
      <c r="P313" s="7">
        <v>5571995</v>
      </c>
      <c r="Q313" s="7" t="s">
        <v>4840</v>
      </c>
      <c r="R313" s="7" t="s">
        <v>203</v>
      </c>
      <c r="S313" s="7" t="s">
        <v>234</v>
      </c>
      <c r="T313" s="7" t="s">
        <v>217</v>
      </c>
      <c r="U313" s="7" t="s">
        <v>207</v>
      </c>
      <c r="V313" s="7" t="s">
        <v>3186</v>
      </c>
      <c r="W313" s="7" t="s">
        <v>227</v>
      </c>
      <c r="X313" s="7" t="s">
        <v>200</v>
      </c>
      <c r="Y313" s="7" t="s">
        <v>2210</v>
      </c>
      <c r="Z313" s="7" t="s">
        <v>982</v>
      </c>
      <c r="AA313" s="7" t="s">
        <v>3612</v>
      </c>
      <c r="AB313" s="7" t="s">
        <v>3705</v>
      </c>
      <c r="AC313" s="7" t="s">
        <v>4841</v>
      </c>
      <c r="AD313" s="8">
        <v>45505</v>
      </c>
      <c r="AE313" s="8">
        <v>45627</v>
      </c>
      <c r="AF313" s="7" t="s">
        <v>3881</v>
      </c>
    </row>
    <row r="314" spans="1:32" ht="306" customHeight="1" x14ac:dyDescent="0.3">
      <c r="A314" s="5">
        <v>3602915</v>
      </c>
      <c r="B314" s="5" t="s">
        <v>1513</v>
      </c>
      <c r="C314" s="5" t="s">
        <v>4842</v>
      </c>
      <c r="D314" s="5" t="s">
        <v>198</v>
      </c>
      <c r="E314" s="5" t="s">
        <v>203</v>
      </c>
      <c r="F314" s="5" t="s">
        <v>234</v>
      </c>
      <c r="G314" s="5" t="s">
        <v>208</v>
      </c>
      <c r="H314" s="5" t="s">
        <v>207</v>
      </c>
      <c r="I314" s="5" t="s">
        <v>1217</v>
      </c>
      <c r="J314" s="5" t="s">
        <v>227</v>
      </c>
      <c r="K314" s="5" t="s">
        <v>200</v>
      </c>
      <c r="L314" s="5" t="s">
        <v>1514</v>
      </c>
      <c r="M314" s="5" t="s">
        <v>1515</v>
      </c>
      <c r="N314" s="5" t="s">
        <v>3608</v>
      </c>
      <c r="O314" s="5" t="s">
        <v>3609</v>
      </c>
      <c r="P314" s="5">
        <v>4985559</v>
      </c>
      <c r="Q314" s="5" t="s">
        <v>4843</v>
      </c>
      <c r="R314" s="5" t="s">
        <v>203</v>
      </c>
      <c r="S314" s="5" t="s">
        <v>234</v>
      </c>
      <c r="T314" s="5" t="s">
        <v>217</v>
      </c>
      <c r="U314" s="5" t="s">
        <v>207</v>
      </c>
      <c r="V314" s="5" t="s">
        <v>4844</v>
      </c>
      <c r="W314" s="5" t="s">
        <v>227</v>
      </c>
      <c r="X314" s="5" t="s">
        <v>200</v>
      </c>
      <c r="Y314" s="5" t="s">
        <v>1937</v>
      </c>
      <c r="Z314" s="5" t="s">
        <v>3104</v>
      </c>
      <c r="AA314" s="5" t="s">
        <v>3623</v>
      </c>
      <c r="AB314" s="5" t="s">
        <v>3635</v>
      </c>
      <c r="AC314" s="5" t="s">
        <v>4845</v>
      </c>
      <c r="AD314" s="6">
        <v>45484</v>
      </c>
      <c r="AE314" s="5"/>
      <c r="AF314" s="5"/>
    </row>
    <row r="315" spans="1:32" ht="111.75" customHeight="1" x14ac:dyDescent="0.3">
      <c r="A315" s="7">
        <v>4613430</v>
      </c>
      <c r="B315" s="7" t="s">
        <v>1868</v>
      </c>
      <c r="C315" s="7" t="s">
        <v>4846</v>
      </c>
      <c r="D315" s="7" t="s">
        <v>198</v>
      </c>
      <c r="E315" s="7" t="s">
        <v>203</v>
      </c>
      <c r="F315" s="7" t="s">
        <v>418</v>
      </c>
      <c r="G315" s="7" t="s">
        <v>217</v>
      </c>
      <c r="H315" s="7" t="s">
        <v>233</v>
      </c>
      <c r="I315" s="7" t="s">
        <v>1869</v>
      </c>
      <c r="J315" s="7" t="s">
        <v>227</v>
      </c>
      <c r="K315" s="7" t="s">
        <v>200</v>
      </c>
      <c r="L315" s="7" t="s">
        <v>1870</v>
      </c>
      <c r="M315" s="7" t="s">
        <v>1045</v>
      </c>
      <c r="N315" s="7" t="s">
        <v>3652</v>
      </c>
      <c r="O315" s="7" t="s">
        <v>3912</v>
      </c>
      <c r="P315" s="7">
        <v>5313422</v>
      </c>
      <c r="Q315" s="7" t="s">
        <v>4847</v>
      </c>
      <c r="R315" s="7" t="s">
        <v>203</v>
      </c>
      <c r="S315" s="7" t="s">
        <v>418</v>
      </c>
      <c r="T315" s="7" t="s">
        <v>208</v>
      </c>
      <c r="U315" s="7" t="s">
        <v>245</v>
      </c>
      <c r="V315" s="7" t="s">
        <v>4848</v>
      </c>
      <c r="W315" s="7" t="s">
        <v>227</v>
      </c>
      <c r="X315" s="7" t="s">
        <v>200</v>
      </c>
      <c r="Y315" s="7" t="s">
        <v>2769</v>
      </c>
      <c r="Z315" s="7" t="s">
        <v>652</v>
      </c>
      <c r="AA315" s="7" t="s">
        <v>3623</v>
      </c>
      <c r="AB315" s="7" t="s">
        <v>3711</v>
      </c>
      <c r="AC315" s="7" t="s">
        <v>4849</v>
      </c>
      <c r="AD315" s="8">
        <v>45511</v>
      </c>
      <c r="AE315" s="8">
        <v>45749</v>
      </c>
      <c r="AF315" s="7" t="s">
        <v>3709</v>
      </c>
    </row>
    <row r="316" spans="1:32" ht="409.5" customHeight="1" x14ac:dyDescent="0.3">
      <c r="A316" s="5">
        <v>5180015</v>
      </c>
      <c r="B316" s="5" t="s">
        <v>2857</v>
      </c>
      <c r="C316" s="5" t="s">
        <v>4850</v>
      </c>
      <c r="D316" s="5" t="s">
        <v>198</v>
      </c>
      <c r="E316" s="5" t="s">
        <v>203</v>
      </c>
      <c r="F316" s="5" t="s">
        <v>433</v>
      </c>
      <c r="G316" s="5" t="s">
        <v>217</v>
      </c>
      <c r="H316" s="5" t="s">
        <v>654</v>
      </c>
      <c r="I316" s="5" t="s">
        <v>2858</v>
      </c>
      <c r="J316" s="5" t="s">
        <v>227</v>
      </c>
      <c r="K316" s="5" t="s">
        <v>200</v>
      </c>
      <c r="L316" s="5" t="s">
        <v>1745</v>
      </c>
      <c r="M316" s="5" t="s">
        <v>2859</v>
      </c>
      <c r="N316" s="5" t="s">
        <v>3602</v>
      </c>
      <c r="O316" s="5" t="s">
        <v>3727</v>
      </c>
      <c r="P316" s="5">
        <v>5585104</v>
      </c>
      <c r="Q316" s="5" t="s">
        <v>4851</v>
      </c>
      <c r="R316" s="5"/>
      <c r="S316" s="5" t="s">
        <v>234</v>
      </c>
      <c r="T316" s="5" t="s">
        <v>217</v>
      </c>
      <c r="U316" s="5" t="s">
        <v>207</v>
      </c>
      <c r="V316" s="5"/>
      <c r="W316" s="5" t="s">
        <v>227</v>
      </c>
      <c r="X316" s="5"/>
      <c r="Y316" s="5"/>
      <c r="Z316" s="5"/>
      <c r="AA316" s="5" t="s">
        <v>3732</v>
      </c>
      <c r="AB316" s="5"/>
      <c r="AC316" s="5" t="s">
        <v>4852</v>
      </c>
      <c r="AD316" s="6">
        <v>45505</v>
      </c>
      <c r="AE316" s="6">
        <v>45625</v>
      </c>
      <c r="AF316" s="5"/>
    </row>
    <row r="317" spans="1:32" ht="51" customHeight="1" x14ac:dyDescent="0.3">
      <c r="A317" s="7">
        <v>5603935</v>
      </c>
      <c r="B317" s="7" t="s">
        <v>3308</v>
      </c>
      <c r="C317" s="7" t="s">
        <v>4853</v>
      </c>
      <c r="D317" s="7" t="s">
        <v>862</v>
      </c>
      <c r="E317" s="7" t="s">
        <v>203</v>
      </c>
      <c r="F317" s="7" t="s">
        <v>433</v>
      </c>
      <c r="G317" s="7" t="s">
        <v>208</v>
      </c>
      <c r="H317" s="7" t="s">
        <v>2330</v>
      </c>
      <c r="I317" s="7" t="s">
        <v>3309</v>
      </c>
      <c r="J317" s="7" t="s">
        <v>227</v>
      </c>
      <c r="K317" s="7" t="s">
        <v>200</v>
      </c>
      <c r="L317" s="7" t="s">
        <v>3310</v>
      </c>
      <c r="M317" s="7" t="s">
        <v>1328</v>
      </c>
      <c r="N317" s="7" t="s">
        <v>3612</v>
      </c>
      <c r="O317" s="7" t="s">
        <v>3894</v>
      </c>
      <c r="P317" s="7">
        <v>5471516</v>
      </c>
      <c r="Q317" s="7" t="s">
        <v>4854</v>
      </c>
      <c r="R317" s="7"/>
      <c r="S317" s="7" t="s">
        <v>234</v>
      </c>
      <c r="T317" s="7" t="s">
        <v>208</v>
      </c>
      <c r="U317" s="7" t="s">
        <v>207</v>
      </c>
      <c r="V317" s="7"/>
      <c r="W317" s="7" t="s">
        <v>227</v>
      </c>
      <c r="X317" s="7"/>
      <c r="Y317" s="7"/>
      <c r="Z317" s="7"/>
      <c r="AA317" s="7" t="s">
        <v>3732</v>
      </c>
      <c r="AB317" s="7"/>
      <c r="AC317" s="7" t="s">
        <v>4855</v>
      </c>
      <c r="AD317" s="8">
        <v>45536</v>
      </c>
      <c r="AE317" s="8">
        <v>45838</v>
      </c>
      <c r="AF317" s="7"/>
    </row>
    <row r="318" spans="1:32" ht="387" customHeight="1" x14ac:dyDescent="0.3">
      <c r="A318" s="5">
        <v>4910117</v>
      </c>
      <c r="B318" s="5" t="s">
        <v>2418</v>
      </c>
      <c r="C318" s="5" t="s">
        <v>4515</v>
      </c>
      <c r="D318" s="5" t="s">
        <v>198</v>
      </c>
      <c r="E318" s="5" t="s">
        <v>203</v>
      </c>
      <c r="F318" s="5" t="s">
        <v>234</v>
      </c>
      <c r="G318" s="5" t="s">
        <v>208</v>
      </c>
      <c r="H318" s="5" t="s">
        <v>245</v>
      </c>
      <c r="I318" s="5" t="s">
        <v>1412</v>
      </c>
      <c r="J318" s="5" t="s">
        <v>227</v>
      </c>
      <c r="K318" s="5" t="s">
        <v>200</v>
      </c>
      <c r="L318" s="5" t="s">
        <v>1413</v>
      </c>
      <c r="M318" s="5" t="s">
        <v>2419</v>
      </c>
      <c r="N318" s="5" t="s">
        <v>3623</v>
      </c>
      <c r="O318" s="5" t="s">
        <v>3603</v>
      </c>
      <c r="P318" s="5">
        <v>5511097</v>
      </c>
      <c r="Q318" s="5" t="s">
        <v>4516</v>
      </c>
      <c r="R318" s="5" t="s">
        <v>203</v>
      </c>
      <c r="S318" s="5" t="s">
        <v>234</v>
      </c>
      <c r="T318" s="5" t="s">
        <v>217</v>
      </c>
      <c r="U318" s="5" t="s">
        <v>2330</v>
      </c>
      <c r="V318" s="5" t="s">
        <v>4517</v>
      </c>
      <c r="W318" s="5" t="s">
        <v>227</v>
      </c>
      <c r="X318" s="5" t="s">
        <v>200</v>
      </c>
      <c r="Y318" s="5" t="s">
        <v>2384</v>
      </c>
      <c r="Z318" s="5" t="s">
        <v>752</v>
      </c>
      <c r="AA318" s="5" t="s">
        <v>3612</v>
      </c>
      <c r="AB318" s="5" t="s">
        <v>3635</v>
      </c>
      <c r="AC318" s="5" t="s">
        <v>4856</v>
      </c>
      <c r="AD318" s="6">
        <v>45422</v>
      </c>
      <c r="AE318" s="5"/>
      <c r="AF318" s="5"/>
    </row>
    <row r="319" spans="1:32" ht="71.25" customHeight="1" x14ac:dyDescent="0.3">
      <c r="A319" s="7">
        <v>4649567</v>
      </c>
      <c r="B319" s="7" t="s">
        <v>1921</v>
      </c>
      <c r="C319" s="7" t="s">
        <v>4857</v>
      </c>
      <c r="D319" s="7" t="s">
        <v>198</v>
      </c>
      <c r="E319" s="7" t="s">
        <v>203</v>
      </c>
      <c r="F319" s="7" t="s">
        <v>234</v>
      </c>
      <c r="G319" s="7" t="s">
        <v>217</v>
      </c>
      <c r="H319" s="7" t="s">
        <v>207</v>
      </c>
      <c r="I319" s="7" t="s">
        <v>1922</v>
      </c>
      <c r="J319" s="7" t="s">
        <v>227</v>
      </c>
      <c r="K319" s="7" t="s">
        <v>200</v>
      </c>
      <c r="L319" s="7" t="s">
        <v>520</v>
      </c>
      <c r="M319" s="7" t="s">
        <v>330</v>
      </c>
      <c r="N319" s="7" t="s">
        <v>3608</v>
      </c>
      <c r="O319" s="7" t="s">
        <v>3630</v>
      </c>
      <c r="P319" s="7">
        <v>4633059</v>
      </c>
      <c r="Q319" s="7" t="s">
        <v>4858</v>
      </c>
      <c r="R319" s="7" t="s">
        <v>203</v>
      </c>
      <c r="S319" s="7" t="s">
        <v>234</v>
      </c>
      <c r="T319" s="7" t="s">
        <v>217</v>
      </c>
      <c r="U319" s="7" t="s">
        <v>207</v>
      </c>
      <c r="V319" s="7" t="s">
        <v>4859</v>
      </c>
      <c r="W319" s="7" t="s">
        <v>227</v>
      </c>
      <c r="X319" s="7" t="s">
        <v>200</v>
      </c>
      <c r="Y319" s="7" t="s">
        <v>1722</v>
      </c>
      <c r="Z319" s="7" t="s">
        <v>1904</v>
      </c>
      <c r="AA319" s="7" t="s">
        <v>3608</v>
      </c>
      <c r="AB319" s="7" t="s">
        <v>3613</v>
      </c>
      <c r="AC319" s="7" t="s">
        <v>4860</v>
      </c>
      <c r="AD319" s="8">
        <v>45474</v>
      </c>
      <c r="AE319" s="8">
        <v>45562</v>
      </c>
      <c r="AF319" s="7"/>
    </row>
    <row r="320" spans="1:32" ht="102" customHeight="1" x14ac:dyDescent="0.3">
      <c r="A320" s="5">
        <v>3519570</v>
      </c>
      <c r="B320" s="5" t="s">
        <v>1415</v>
      </c>
      <c r="C320" s="5" t="s">
        <v>4861</v>
      </c>
      <c r="D320" s="5" t="s">
        <v>198</v>
      </c>
      <c r="E320" s="5" t="s">
        <v>203</v>
      </c>
      <c r="F320" s="5" t="s">
        <v>234</v>
      </c>
      <c r="G320" s="5" t="s">
        <v>208</v>
      </c>
      <c r="H320" s="5" t="s">
        <v>245</v>
      </c>
      <c r="I320" s="5" t="s">
        <v>1417</v>
      </c>
      <c r="J320" s="5" t="s">
        <v>227</v>
      </c>
      <c r="K320" s="5" t="s">
        <v>200</v>
      </c>
      <c r="L320" s="5" t="s">
        <v>1418</v>
      </c>
      <c r="M320" s="5" t="s">
        <v>540</v>
      </c>
      <c r="N320" s="5" t="s">
        <v>3602</v>
      </c>
      <c r="O320" s="5" t="s">
        <v>3894</v>
      </c>
      <c r="P320" s="5">
        <v>5455065</v>
      </c>
      <c r="Q320" s="5" t="s">
        <v>4862</v>
      </c>
      <c r="R320" s="5" t="s">
        <v>203</v>
      </c>
      <c r="S320" s="5" t="s">
        <v>234</v>
      </c>
      <c r="T320" s="5" t="s">
        <v>217</v>
      </c>
      <c r="U320" s="5" t="s">
        <v>2330</v>
      </c>
      <c r="V320" s="5" t="s">
        <v>4863</v>
      </c>
      <c r="W320" s="5" t="s">
        <v>227</v>
      </c>
      <c r="X320" s="5" t="s">
        <v>200</v>
      </c>
      <c r="Y320" s="5" t="s">
        <v>4864</v>
      </c>
      <c r="Z320" s="5" t="s">
        <v>1328</v>
      </c>
      <c r="AA320" s="5" t="s">
        <v>3612</v>
      </c>
      <c r="AB320" s="5" t="s">
        <v>3894</v>
      </c>
      <c r="AC320" s="5" t="s">
        <v>4865</v>
      </c>
      <c r="AD320" s="6">
        <v>45432</v>
      </c>
      <c r="AE320" s="5"/>
      <c r="AF320" s="5"/>
    </row>
    <row r="321" spans="1:32" ht="40.5" customHeight="1" x14ac:dyDescent="0.3">
      <c r="A321" s="7">
        <v>4532031</v>
      </c>
      <c r="B321" s="7" t="s">
        <v>1826</v>
      </c>
      <c r="C321" s="7"/>
      <c r="D321" s="7" t="s">
        <v>198</v>
      </c>
      <c r="E321" s="7" t="s">
        <v>203</v>
      </c>
      <c r="F321" s="7" t="s">
        <v>234</v>
      </c>
      <c r="G321" s="7" t="s">
        <v>217</v>
      </c>
      <c r="H321" s="7" t="s">
        <v>245</v>
      </c>
      <c r="I321" s="7" t="s">
        <v>1827</v>
      </c>
      <c r="J321" s="7" t="s">
        <v>227</v>
      </c>
      <c r="K321" s="7" t="s">
        <v>413</v>
      </c>
      <c r="L321" s="7" t="s">
        <v>1828</v>
      </c>
      <c r="M321" s="7" t="s">
        <v>1829</v>
      </c>
      <c r="N321" s="7" t="s">
        <v>3602</v>
      </c>
      <c r="O321" s="7" t="s">
        <v>4767</v>
      </c>
      <c r="P321" s="7">
        <v>5151597</v>
      </c>
      <c r="Q321" s="7" t="s">
        <v>4866</v>
      </c>
      <c r="R321" s="7" t="s">
        <v>203</v>
      </c>
      <c r="S321" s="7" t="s">
        <v>234</v>
      </c>
      <c r="T321" s="7" t="s">
        <v>217</v>
      </c>
      <c r="U321" s="7" t="s">
        <v>207</v>
      </c>
      <c r="V321" s="7" t="s">
        <v>4867</v>
      </c>
      <c r="W321" s="7" t="s">
        <v>227</v>
      </c>
      <c r="X321" s="7" t="s">
        <v>413</v>
      </c>
      <c r="Y321" s="7" t="s">
        <v>4868</v>
      </c>
      <c r="Z321" s="7" t="s">
        <v>4869</v>
      </c>
      <c r="AA321" s="7" t="s">
        <v>3623</v>
      </c>
      <c r="AB321" s="7" t="s">
        <v>4870</v>
      </c>
      <c r="AC321" s="7" t="s">
        <v>4871</v>
      </c>
      <c r="AD321" s="8">
        <v>45566</v>
      </c>
      <c r="AE321" s="7"/>
      <c r="AF321" s="7"/>
    </row>
    <row r="322" spans="1:32" ht="409.5" customHeight="1" x14ac:dyDescent="0.3">
      <c r="A322" s="5">
        <v>2277042</v>
      </c>
      <c r="B322" s="5" t="s">
        <v>913</v>
      </c>
      <c r="C322" s="5" t="s">
        <v>4872</v>
      </c>
      <c r="D322" s="5" t="s">
        <v>198</v>
      </c>
      <c r="E322" s="5" t="s">
        <v>203</v>
      </c>
      <c r="F322" s="5" t="s">
        <v>433</v>
      </c>
      <c r="G322" s="5" t="s">
        <v>208</v>
      </c>
      <c r="H322" s="5" t="s">
        <v>233</v>
      </c>
      <c r="I322" s="5" t="s">
        <v>914</v>
      </c>
      <c r="J322" s="5" t="s">
        <v>227</v>
      </c>
      <c r="K322" s="5" t="s">
        <v>200</v>
      </c>
      <c r="L322" s="5" t="s">
        <v>915</v>
      </c>
      <c r="M322" s="5" t="s">
        <v>555</v>
      </c>
      <c r="N322" s="5" t="s">
        <v>3608</v>
      </c>
      <c r="O322" s="5" t="s">
        <v>3751</v>
      </c>
      <c r="P322" s="5">
        <v>5064775</v>
      </c>
      <c r="Q322" s="5" t="s">
        <v>4873</v>
      </c>
      <c r="R322" s="5" t="s">
        <v>203</v>
      </c>
      <c r="S322" s="5" t="s">
        <v>418</v>
      </c>
      <c r="T322" s="5" t="s">
        <v>217</v>
      </c>
      <c r="U322" s="5" t="s">
        <v>207</v>
      </c>
      <c r="V322" s="5" t="s">
        <v>4874</v>
      </c>
      <c r="W322" s="5" t="s">
        <v>227</v>
      </c>
      <c r="X322" s="5" t="s">
        <v>200</v>
      </c>
      <c r="Y322" s="5" t="s">
        <v>2282</v>
      </c>
      <c r="Z322" s="5" t="s">
        <v>594</v>
      </c>
      <c r="AA322" s="5" t="s">
        <v>3623</v>
      </c>
      <c r="AB322" s="5" t="s">
        <v>3919</v>
      </c>
      <c r="AC322" s="5" t="s">
        <v>4875</v>
      </c>
      <c r="AD322" s="6">
        <v>45554</v>
      </c>
      <c r="AE322" s="5"/>
      <c r="AF322" s="5"/>
    </row>
    <row r="323" spans="1:32" ht="326.25" customHeight="1" x14ac:dyDescent="0.3">
      <c r="A323" s="7">
        <v>5235049</v>
      </c>
      <c r="B323" s="7" t="s">
        <v>2939</v>
      </c>
      <c r="C323" s="7" t="s">
        <v>4876</v>
      </c>
      <c r="D323" s="7" t="s">
        <v>198</v>
      </c>
      <c r="E323" s="7" t="s">
        <v>203</v>
      </c>
      <c r="F323" s="7" t="s">
        <v>234</v>
      </c>
      <c r="G323" s="7" t="s">
        <v>217</v>
      </c>
      <c r="H323" s="7" t="s">
        <v>207</v>
      </c>
      <c r="I323" s="7" t="s">
        <v>1983</v>
      </c>
      <c r="J323" s="7" t="s">
        <v>227</v>
      </c>
      <c r="K323" s="7" t="s">
        <v>200</v>
      </c>
      <c r="L323" s="7" t="s">
        <v>1210</v>
      </c>
      <c r="M323" s="7" t="s">
        <v>1893</v>
      </c>
      <c r="N323" s="7" t="s">
        <v>3623</v>
      </c>
      <c r="O323" s="7" t="s">
        <v>3603</v>
      </c>
      <c r="P323" s="7">
        <v>5047676</v>
      </c>
      <c r="Q323" s="7" t="s">
        <v>4877</v>
      </c>
      <c r="R323" s="7" t="s">
        <v>203</v>
      </c>
      <c r="S323" s="7" t="s">
        <v>433</v>
      </c>
      <c r="T323" s="7" t="s">
        <v>217</v>
      </c>
      <c r="U323" s="7" t="s">
        <v>207</v>
      </c>
      <c r="V323" s="7" t="s">
        <v>3334</v>
      </c>
      <c r="W323" s="7" t="s">
        <v>227</v>
      </c>
      <c r="X323" s="7" t="s">
        <v>200</v>
      </c>
      <c r="Y323" s="7" t="s">
        <v>4878</v>
      </c>
      <c r="Z323" s="7" t="s">
        <v>1893</v>
      </c>
      <c r="AA323" s="7" t="s">
        <v>3623</v>
      </c>
      <c r="AB323" s="7" t="s">
        <v>3603</v>
      </c>
      <c r="AC323" s="7" t="s">
        <v>4879</v>
      </c>
      <c r="AD323" s="8">
        <v>45537</v>
      </c>
      <c r="AE323" s="8">
        <v>45716</v>
      </c>
      <c r="AF323" s="7"/>
    </row>
    <row r="324" spans="1:32" ht="30" customHeight="1" x14ac:dyDescent="0.3">
      <c r="A324" s="5">
        <v>4696360</v>
      </c>
      <c r="B324" s="5" t="s">
        <v>2011</v>
      </c>
      <c r="C324" s="5"/>
      <c r="D324" s="5" t="s">
        <v>862</v>
      </c>
      <c r="E324" s="5" t="s">
        <v>203</v>
      </c>
      <c r="F324" s="5" t="s">
        <v>433</v>
      </c>
      <c r="G324" s="5" t="s">
        <v>208</v>
      </c>
      <c r="H324" s="5" t="s">
        <v>233</v>
      </c>
      <c r="I324" s="5" t="s">
        <v>2012</v>
      </c>
      <c r="J324" s="5" t="s">
        <v>227</v>
      </c>
      <c r="K324" s="5" t="s">
        <v>200</v>
      </c>
      <c r="L324" s="5" t="s">
        <v>1870</v>
      </c>
      <c r="M324" s="5" t="s">
        <v>2013</v>
      </c>
      <c r="N324" s="5" t="s">
        <v>3608</v>
      </c>
      <c r="O324" s="5" t="s">
        <v>3743</v>
      </c>
      <c r="P324" s="5">
        <v>5265010</v>
      </c>
      <c r="Q324" s="5" t="s">
        <v>4880</v>
      </c>
      <c r="R324" s="5" t="s">
        <v>203</v>
      </c>
      <c r="S324" s="5" t="s">
        <v>234</v>
      </c>
      <c r="T324" s="5" t="s">
        <v>208</v>
      </c>
      <c r="U324" s="5" t="s">
        <v>207</v>
      </c>
      <c r="V324" s="5" t="s">
        <v>2012</v>
      </c>
      <c r="W324" s="5" t="s">
        <v>227</v>
      </c>
      <c r="X324" s="5" t="s">
        <v>200</v>
      </c>
      <c r="Y324" s="5" t="s">
        <v>1870</v>
      </c>
      <c r="Z324" s="5" t="s">
        <v>982</v>
      </c>
      <c r="AA324" s="5" t="s">
        <v>3623</v>
      </c>
      <c r="AB324" s="5" t="s">
        <v>3725</v>
      </c>
      <c r="AC324" s="5" t="s">
        <v>4881</v>
      </c>
      <c r="AD324" s="6">
        <v>45530</v>
      </c>
      <c r="AE324" s="5"/>
      <c r="AF324" s="5"/>
    </row>
    <row r="325" spans="1:32" ht="81" customHeight="1" x14ac:dyDescent="0.3">
      <c r="A325" s="7">
        <v>5062667</v>
      </c>
      <c r="B325" s="7" t="s">
        <v>2645</v>
      </c>
      <c r="C325" s="7" t="s">
        <v>4882</v>
      </c>
      <c r="D325" s="7" t="s">
        <v>198</v>
      </c>
      <c r="E325" s="7" t="s">
        <v>203</v>
      </c>
      <c r="F325" s="7" t="s">
        <v>234</v>
      </c>
      <c r="G325" s="7" t="s">
        <v>217</v>
      </c>
      <c r="H325" s="7" t="s">
        <v>207</v>
      </c>
      <c r="I325" s="7" t="s">
        <v>2646</v>
      </c>
      <c r="J325" s="7" t="s">
        <v>227</v>
      </c>
      <c r="K325" s="7" t="s">
        <v>200</v>
      </c>
      <c r="L325" s="7" t="s">
        <v>2647</v>
      </c>
      <c r="M325" s="7" t="s">
        <v>2162</v>
      </c>
      <c r="N325" s="7" t="s">
        <v>3623</v>
      </c>
      <c r="O325" s="7" t="s">
        <v>4330</v>
      </c>
      <c r="P325" s="7">
        <v>5368472</v>
      </c>
      <c r="Q325" s="7" t="s">
        <v>4883</v>
      </c>
      <c r="R325" s="7" t="s">
        <v>203</v>
      </c>
      <c r="S325" s="7" t="s">
        <v>234</v>
      </c>
      <c r="T325" s="7" t="s">
        <v>217</v>
      </c>
      <c r="U325" s="7" t="s">
        <v>207</v>
      </c>
      <c r="V325" s="7" t="s">
        <v>4884</v>
      </c>
      <c r="W325" s="7" t="s">
        <v>227</v>
      </c>
      <c r="X325" s="7" t="s">
        <v>200</v>
      </c>
      <c r="Y325" s="7" t="s">
        <v>2647</v>
      </c>
      <c r="Z325" s="7" t="s">
        <v>299</v>
      </c>
      <c r="AA325" s="7" t="s">
        <v>3612</v>
      </c>
      <c r="AB325" s="7" t="s">
        <v>3603</v>
      </c>
      <c r="AC325" s="7" t="s">
        <v>4885</v>
      </c>
      <c r="AD325" s="8">
        <v>45511</v>
      </c>
      <c r="AE325" s="7"/>
      <c r="AF325" s="7"/>
    </row>
    <row r="326" spans="1:32" ht="40.5" customHeight="1" x14ac:dyDescent="0.3">
      <c r="A326" s="5">
        <v>5159903</v>
      </c>
      <c r="B326" s="5" t="s">
        <v>2824</v>
      </c>
      <c r="C326" s="5" t="s">
        <v>4886</v>
      </c>
      <c r="D326" s="5" t="s">
        <v>198</v>
      </c>
      <c r="E326" s="5" t="s">
        <v>203</v>
      </c>
      <c r="F326" s="5" t="s">
        <v>234</v>
      </c>
      <c r="G326" s="5" t="s">
        <v>217</v>
      </c>
      <c r="H326" s="5" t="s">
        <v>207</v>
      </c>
      <c r="I326" s="5" t="s">
        <v>2825</v>
      </c>
      <c r="J326" s="5" t="s">
        <v>227</v>
      </c>
      <c r="K326" s="5" t="s">
        <v>413</v>
      </c>
      <c r="L326" s="5" t="s">
        <v>2826</v>
      </c>
      <c r="M326" s="5" t="s">
        <v>647</v>
      </c>
      <c r="N326" s="5" t="s">
        <v>3623</v>
      </c>
      <c r="O326" s="5" t="s">
        <v>3736</v>
      </c>
      <c r="P326" s="5">
        <v>5617405</v>
      </c>
      <c r="Q326" s="5" t="s">
        <v>4887</v>
      </c>
      <c r="R326" s="5" t="s">
        <v>203</v>
      </c>
      <c r="S326" s="5" t="s">
        <v>418</v>
      </c>
      <c r="T326" s="5" t="s">
        <v>208</v>
      </c>
      <c r="U326" s="5" t="s">
        <v>207</v>
      </c>
      <c r="V326" s="5" t="s">
        <v>4888</v>
      </c>
      <c r="W326" s="5" t="s">
        <v>227</v>
      </c>
      <c r="X326" s="5" t="s">
        <v>413</v>
      </c>
      <c r="Y326" s="5" t="s">
        <v>3047</v>
      </c>
      <c r="Z326" s="5" t="s">
        <v>521</v>
      </c>
      <c r="AA326" s="5" t="s">
        <v>3612</v>
      </c>
      <c r="AB326" s="5" t="s">
        <v>3609</v>
      </c>
      <c r="AC326" s="5" t="s">
        <v>4889</v>
      </c>
      <c r="AD326" s="6">
        <v>45530</v>
      </c>
      <c r="AE326" s="6">
        <v>45895</v>
      </c>
      <c r="AF326" s="5"/>
    </row>
    <row r="327" spans="1:32" ht="409.5" customHeight="1" x14ac:dyDescent="0.3">
      <c r="A327" s="7">
        <v>4967305</v>
      </c>
      <c r="B327" s="7" t="s">
        <v>2536</v>
      </c>
      <c r="C327" s="7" t="s">
        <v>4890</v>
      </c>
      <c r="D327" s="7" t="s">
        <v>198</v>
      </c>
      <c r="E327" s="7" t="s">
        <v>203</v>
      </c>
      <c r="F327" s="7" t="s">
        <v>234</v>
      </c>
      <c r="G327" s="7" t="s">
        <v>217</v>
      </c>
      <c r="H327" s="7" t="s">
        <v>207</v>
      </c>
      <c r="I327" s="7" t="s">
        <v>2537</v>
      </c>
      <c r="J327" s="7" t="s">
        <v>227</v>
      </c>
      <c r="K327" s="7" t="s">
        <v>200</v>
      </c>
      <c r="L327" s="7" t="s">
        <v>2538</v>
      </c>
      <c r="M327" s="7" t="s">
        <v>2539</v>
      </c>
      <c r="N327" s="7" t="s">
        <v>3623</v>
      </c>
      <c r="O327" s="7" t="s">
        <v>3754</v>
      </c>
      <c r="P327" s="7">
        <v>5585104</v>
      </c>
      <c r="Q327" s="7" t="s">
        <v>4851</v>
      </c>
      <c r="R327" s="7"/>
      <c r="S327" s="7" t="s">
        <v>234</v>
      </c>
      <c r="T327" s="7" t="s">
        <v>217</v>
      </c>
      <c r="U327" s="7" t="s">
        <v>207</v>
      </c>
      <c r="V327" s="7"/>
      <c r="W327" s="7" t="s">
        <v>227</v>
      </c>
      <c r="X327" s="7"/>
      <c r="Y327" s="7"/>
      <c r="Z327" s="7"/>
      <c r="AA327" s="7" t="s">
        <v>3732</v>
      </c>
      <c r="AB327" s="7"/>
      <c r="AC327" s="7" t="s">
        <v>4891</v>
      </c>
      <c r="AD327" s="8">
        <v>45519</v>
      </c>
      <c r="AE327" s="8">
        <v>45751</v>
      </c>
      <c r="AF327" s="7"/>
    </row>
    <row r="328" spans="1:32" ht="30" customHeight="1" x14ac:dyDescent="0.3">
      <c r="A328" s="5">
        <v>2964457</v>
      </c>
      <c r="B328" s="5" t="s">
        <v>790</v>
      </c>
      <c r="C328" s="5"/>
      <c r="D328" s="5" t="s">
        <v>354</v>
      </c>
      <c r="E328" s="5" t="s">
        <v>203</v>
      </c>
      <c r="F328" s="5" t="s">
        <v>418</v>
      </c>
      <c r="G328" s="5" t="s">
        <v>208</v>
      </c>
      <c r="H328" s="5" t="s">
        <v>245</v>
      </c>
      <c r="I328" s="5" t="s">
        <v>791</v>
      </c>
      <c r="J328" s="5" t="s">
        <v>227</v>
      </c>
      <c r="K328" s="5" t="s">
        <v>200</v>
      </c>
      <c r="L328" s="5" t="s">
        <v>792</v>
      </c>
      <c r="M328" s="5" t="s">
        <v>793</v>
      </c>
      <c r="N328" s="5" t="s">
        <v>3608</v>
      </c>
      <c r="O328" s="5" t="s">
        <v>3763</v>
      </c>
      <c r="P328" s="5">
        <v>4902629</v>
      </c>
      <c r="Q328" s="5" t="s">
        <v>4892</v>
      </c>
      <c r="R328" s="5" t="s">
        <v>203</v>
      </c>
      <c r="S328" s="5" t="s">
        <v>418</v>
      </c>
      <c r="T328" s="5" t="s">
        <v>208</v>
      </c>
      <c r="U328" s="5" t="s">
        <v>207</v>
      </c>
      <c r="V328" s="5" t="s">
        <v>4893</v>
      </c>
      <c r="W328" s="5" t="s">
        <v>227</v>
      </c>
      <c r="X328" s="5" t="s">
        <v>200</v>
      </c>
      <c r="Y328" s="5" t="s">
        <v>1536</v>
      </c>
      <c r="Z328" s="5" t="s">
        <v>238</v>
      </c>
      <c r="AA328" s="5" t="s">
        <v>3623</v>
      </c>
      <c r="AB328" s="5" t="s">
        <v>3635</v>
      </c>
      <c r="AC328" s="5" t="s">
        <v>4894</v>
      </c>
      <c r="AD328" s="6">
        <v>44986</v>
      </c>
      <c r="AE328" s="6">
        <v>45230</v>
      </c>
      <c r="AF328" s="5"/>
    </row>
    <row r="329" spans="1:32" ht="60.75" customHeight="1" x14ac:dyDescent="0.3">
      <c r="A329" s="7">
        <v>2053527</v>
      </c>
      <c r="B329" s="7" t="s">
        <v>659</v>
      </c>
      <c r="C329" s="7" t="s">
        <v>4895</v>
      </c>
      <c r="D329" s="7" t="s">
        <v>198</v>
      </c>
      <c r="E329" s="7" t="s">
        <v>203</v>
      </c>
      <c r="F329" s="7" t="s">
        <v>444</v>
      </c>
      <c r="G329" s="7" t="s">
        <v>208</v>
      </c>
      <c r="H329" s="7" t="s">
        <v>233</v>
      </c>
      <c r="I329" s="7" t="s">
        <v>660</v>
      </c>
      <c r="J329" s="7" t="s">
        <v>227</v>
      </c>
      <c r="K329" s="7" t="s">
        <v>200</v>
      </c>
      <c r="L329" s="7" t="s">
        <v>661</v>
      </c>
      <c r="M329" s="7" t="s">
        <v>662</v>
      </c>
      <c r="N329" s="7" t="s">
        <v>3652</v>
      </c>
      <c r="O329" s="7" t="s">
        <v>3736</v>
      </c>
      <c r="P329" s="7">
        <v>4920740</v>
      </c>
      <c r="Q329" s="7" t="s">
        <v>2436</v>
      </c>
      <c r="R329" s="7" t="s">
        <v>203</v>
      </c>
      <c r="S329" s="7" t="s">
        <v>433</v>
      </c>
      <c r="T329" s="7" t="s">
        <v>217</v>
      </c>
      <c r="U329" s="7" t="s">
        <v>245</v>
      </c>
      <c r="V329" s="7" t="s">
        <v>2437</v>
      </c>
      <c r="W329" s="7" t="s">
        <v>227</v>
      </c>
      <c r="X329" s="7" t="s">
        <v>200</v>
      </c>
      <c r="Y329" s="7" t="s">
        <v>2438</v>
      </c>
      <c r="Z329" s="7" t="s">
        <v>752</v>
      </c>
      <c r="AA329" s="7" t="s">
        <v>3623</v>
      </c>
      <c r="AB329" s="7" t="s">
        <v>3635</v>
      </c>
      <c r="AC329" s="7" t="s">
        <v>4896</v>
      </c>
      <c r="AD329" s="8">
        <v>45519</v>
      </c>
      <c r="AE329" s="8">
        <v>45626</v>
      </c>
      <c r="AF329" s="7"/>
    </row>
    <row r="330" spans="1:32" ht="40.5" customHeight="1" x14ac:dyDescent="0.3">
      <c r="A330" s="5">
        <v>4943899</v>
      </c>
      <c r="B330" s="5" t="s">
        <v>2482</v>
      </c>
      <c r="C330" s="5" t="s">
        <v>4897</v>
      </c>
      <c r="D330" s="5" t="s">
        <v>198</v>
      </c>
      <c r="E330" s="5" t="s">
        <v>203</v>
      </c>
      <c r="F330" s="5" t="s">
        <v>234</v>
      </c>
      <c r="G330" s="5" t="s">
        <v>208</v>
      </c>
      <c r="H330" s="5" t="s">
        <v>245</v>
      </c>
      <c r="I330" s="5" t="s">
        <v>2483</v>
      </c>
      <c r="J330" s="5" t="s">
        <v>227</v>
      </c>
      <c r="K330" s="5" t="s">
        <v>200</v>
      </c>
      <c r="L330" s="5" t="s">
        <v>2484</v>
      </c>
      <c r="M330" s="5" t="s">
        <v>2485</v>
      </c>
      <c r="N330" s="5" t="s">
        <v>3623</v>
      </c>
      <c r="O330" s="5" t="s">
        <v>3702</v>
      </c>
      <c r="P330" s="5">
        <v>5169402</v>
      </c>
      <c r="Q330" s="5" t="s">
        <v>4898</v>
      </c>
      <c r="R330" s="5" t="s">
        <v>203</v>
      </c>
      <c r="S330" s="5" t="s">
        <v>234</v>
      </c>
      <c r="T330" s="5" t="s">
        <v>217</v>
      </c>
      <c r="U330" s="5" t="s">
        <v>207</v>
      </c>
      <c r="V330" s="5" t="s">
        <v>914</v>
      </c>
      <c r="W330" s="5" t="s">
        <v>227</v>
      </c>
      <c r="X330" s="5" t="s">
        <v>200</v>
      </c>
      <c r="Y330" s="5" t="s">
        <v>4899</v>
      </c>
      <c r="Z330" s="5" t="s">
        <v>4900</v>
      </c>
      <c r="AA330" s="5" t="s">
        <v>3623</v>
      </c>
      <c r="AB330" s="5" t="s">
        <v>3763</v>
      </c>
      <c r="AC330" s="5" t="s">
        <v>4901</v>
      </c>
      <c r="AD330" s="6">
        <v>45545</v>
      </c>
      <c r="AE330" s="6">
        <v>45639</v>
      </c>
      <c r="AF330" s="5"/>
    </row>
    <row r="331" spans="1:32" ht="224.25" customHeight="1" x14ac:dyDescent="0.3">
      <c r="A331" s="7">
        <v>3452506</v>
      </c>
      <c r="B331" s="7" t="s">
        <v>1325</v>
      </c>
      <c r="C331" s="7" t="s">
        <v>4902</v>
      </c>
      <c r="D331" s="7" t="s">
        <v>198</v>
      </c>
      <c r="E331" s="7" t="s">
        <v>203</v>
      </c>
      <c r="F331" s="7" t="s">
        <v>433</v>
      </c>
      <c r="G331" s="7" t="s">
        <v>217</v>
      </c>
      <c r="H331" s="7" t="s">
        <v>245</v>
      </c>
      <c r="I331" s="7" t="s">
        <v>1326</v>
      </c>
      <c r="J331" s="7" t="s">
        <v>227</v>
      </c>
      <c r="K331" s="7" t="s">
        <v>200</v>
      </c>
      <c r="L331" s="7" t="s">
        <v>1327</v>
      </c>
      <c r="M331" s="7" t="s">
        <v>1328</v>
      </c>
      <c r="N331" s="7" t="s">
        <v>3623</v>
      </c>
      <c r="O331" s="7" t="s">
        <v>3894</v>
      </c>
      <c r="P331" s="7">
        <v>5604389</v>
      </c>
      <c r="Q331" s="7" t="s">
        <v>3312</v>
      </c>
      <c r="R331" s="7" t="s">
        <v>203</v>
      </c>
      <c r="S331" s="7" t="s">
        <v>234</v>
      </c>
      <c r="T331" s="7" t="s">
        <v>208</v>
      </c>
      <c r="U331" s="7" t="s">
        <v>2330</v>
      </c>
      <c r="V331" s="7" t="s">
        <v>3313</v>
      </c>
      <c r="W331" s="7" t="s">
        <v>227</v>
      </c>
      <c r="X331" s="7" t="s">
        <v>200</v>
      </c>
      <c r="Y331" s="7" t="s">
        <v>3314</v>
      </c>
      <c r="Z331" s="7" t="s">
        <v>1328</v>
      </c>
      <c r="AA331" s="7" t="s">
        <v>3612</v>
      </c>
      <c r="AB331" s="7" t="s">
        <v>3894</v>
      </c>
      <c r="AC331" s="7" t="s">
        <v>4903</v>
      </c>
      <c r="AD331" s="8">
        <v>45516</v>
      </c>
      <c r="AE331" s="8">
        <v>45596</v>
      </c>
      <c r="AF331" s="7"/>
    </row>
    <row r="332" spans="1:32" ht="409.5" customHeight="1" x14ac:dyDescent="0.3">
      <c r="A332" s="5">
        <v>3519570</v>
      </c>
      <c r="B332" s="5" t="s">
        <v>1415</v>
      </c>
      <c r="C332" s="5" t="s">
        <v>4904</v>
      </c>
      <c r="D332" s="5" t="s">
        <v>354</v>
      </c>
      <c r="E332" s="5" t="s">
        <v>203</v>
      </c>
      <c r="F332" s="5" t="s">
        <v>234</v>
      </c>
      <c r="G332" s="5" t="s">
        <v>208</v>
      </c>
      <c r="H332" s="5" t="s">
        <v>245</v>
      </c>
      <c r="I332" s="5" t="s">
        <v>1417</v>
      </c>
      <c r="J332" s="5" t="s">
        <v>227</v>
      </c>
      <c r="K332" s="5" t="s">
        <v>200</v>
      </c>
      <c r="L332" s="5" t="s">
        <v>1418</v>
      </c>
      <c r="M332" s="5" t="s">
        <v>540</v>
      </c>
      <c r="N332" s="5" t="s">
        <v>3602</v>
      </c>
      <c r="O332" s="5" t="s">
        <v>3894</v>
      </c>
      <c r="P332" s="5">
        <v>8873877</v>
      </c>
      <c r="Q332" s="5" t="s">
        <v>4905</v>
      </c>
      <c r="R332" s="5" t="s">
        <v>203</v>
      </c>
      <c r="S332" s="5" t="s">
        <v>418</v>
      </c>
      <c r="T332" s="5" t="s">
        <v>217</v>
      </c>
      <c r="U332" s="5" t="s">
        <v>207</v>
      </c>
      <c r="V332" s="5" t="s">
        <v>4906</v>
      </c>
      <c r="W332" s="5" t="s">
        <v>227</v>
      </c>
      <c r="X332" s="5" t="s">
        <v>200</v>
      </c>
      <c r="Y332" s="5" t="s">
        <v>4907</v>
      </c>
      <c r="Z332" s="5" t="s">
        <v>1574</v>
      </c>
      <c r="AA332" s="5" t="s">
        <v>3729</v>
      </c>
      <c r="AB332" s="5" t="s">
        <v>3824</v>
      </c>
      <c r="AC332" s="5" t="s">
        <v>4908</v>
      </c>
      <c r="AD332" s="6">
        <v>45560</v>
      </c>
      <c r="AE332" s="5"/>
      <c r="AF332" s="5"/>
    </row>
    <row r="333" spans="1:32" ht="409.5" customHeight="1" x14ac:dyDescent="0.3">
      <c r="A333" s="7">
        <v>5159903</v>
      </c>
      <c r="B333" s="7" t="s">
        <v>2824</v>
      </c>
      <c r="C333" s="7" t="s">
        <v>4909</v>
      </c>
      <c r="D333" s="7" t="s">
        <v>862</v>
      </c>
      <c r="E333" s="7" t="s">
        <v>203</v>
      </c>
      <c r="F333" s="7" t="s">
        <v>234</v>
      </c>
      <c r="G333" s="7" t="s">
        <v>217</v>
      </c>
      <c r="H333" s="7" t="s">
        <v>207</v>
      </c>
      <c r="I333" s="7" t="s">
        <v>2825</v>
      </c>
      <c r="J333" s="7" t="s">
        <v>227</v>
      </c>
      <c r="K333" s="7" t="s">
        <v>413</v>
      </c>
      <c r="L333" s="7" t="s">
        <v>2826</v>
      </c>
      <c r="M333" s="7" t="s">
        <v>647</v>
      </c>
      <c r="N333" s="7" t="s">
        <v>3623</v>
      </c>
      <c r="O333" s="7" t="s">
        <v>3736</v>
      </c>
      <c r="P333" s="7">
        <v>5643635</v>
      </c>
      <c r="Q333" s="7" t="s">
        <v>4910</v>
      </c>
      <c r="R333" s="7" t="s">
        <v>203</v>
      </c>
      <c r="S333" s="7"/>
      <c r="T333" s="7" t="s">
        <v>208</v>
      </c>
      <c r="U333" s="7" t="s">
        <v>207</v>
      </c>
      <c r="V333" s="7" t="s">
        <v>4911</v>
      </c>
      <c r="W333" s="7" t="s">
        <v>403</v>
      </c>
      <c r="X333" s="7" t="s">
        <v>200</v>
      </c>
      <c r="Y333" s="7" t="s">
        <v>4759</v>
      </c>
      <c r="Z333" s="7" t="s">
        <v>4912</v>
      </c>
      <c r="AA333" s="7" t="s">
        <v>3732</v>
      </c>
      <c r="AB333" s="7" t="s">
        <v>3919</v>
      </c>
      <c r="AC333" s="7" t="s">
        <v>4913</v>
      </c>
      <c r="AD333" s="8">
        <v>45566</v>
      </c>
      <c r="AE333" s="8">
        <v>45931</v>
      </c>
      <c r="AF333" s="7"/>
    </row>
    <row r="334" spans="1:32" ht="30" customHeight="1" x14ac:dyDescent="0.3">
      <c r="A334" s="5">
        <v>5275032</v>
      </c>
      <c r="B334" s="5" t="s">
        <v>3046</v>
      </c>
      <c r="C334" s="5"/>
      <c r="D334" s="5" t="s">
        <v>198</v>
      </c>
      <c r="E334" s="5" t="s">
        <v>203</v>
      </c>
      <c r="F334" s="5" t="s">
        <v>234</v>
      </c>
      <c r="G334" s="5" t="s">
        <v>217</v>
      </c>
      <c r="H334" s="5" t="s">
        <v>233</v>
      </c>
      <c r="I334" s="5" t="s">
        <v>2247</v>
      </c>
      <c r="J334" s="5" t="s">
        <v>227</v>
      </c>
      <c r="K334" s="5" t="s">
        <v>413</v>
      </c>
      <c r="L334" s="5" t="s">
        <v>3047</v>
      </c>
      <c r="M334" s="5" t="s">
        <v>3048</v>
      </c>
      <c r="N334" s="5" t="s">
        <v>3623</v>
      </c>
      <c r="O334" s="5" t="s">
        <v>3609</v>
      </c>
      <c r="P334" s="5">
        <v>4653955</v>
      </c>
      <c r="Q334" s="5" t="s">
        <v>4914</v>
      </c>
      <c r="R334" s="5" t="s">
        <v>203</v>
      </c>
      <c r="S334" s="5" t="s">
        <v>234</v>
      </c>
      <c r="T334" s="5" t="s">
        <v>217</v>
      </c>
      <c r="U334" s="5" t="s">
        <v>207</v>
      </c>
      <c r="V334" s="5" t="s">
        <v>4915</v>
      </c>
      <c r="W334" s="5" t="s">
        <v>227</v>
      </c>
      <c r="X334" s="5" t="s">
        <v>200</v>
      </c>
      <c r="Y334" s="5" t="s">
        <v>4916</v>
      </c>
      <c r="Z334" s="5" t="s">
        <v>3292</v>
      </c>
      <c r="AA334" s="5" t="s">
        <v>3623</v>
      </c>
      <c r="AB334" s="5" t="s">
        <v>3711</v>
      </c>
      <c r="AC334" s="5" t="s">
        <v>4917</v>
      </c>
      <c r="AD334" s="6">
        <v>45566</v>
      </c>
      <c r="AE334" s="6">
        <v>45747</v>
      </c>
      <c r="AF334" s="5"/>
    </row>
    <row r="335" spans="1:32" ht="91.5" customHeight="1" x14ac:dyDescent="0.3">
      <c r="A335" s="7">
        <v>4960351</v>
      </c>
      <c r="B335" s="7" t="s">
        <v>2518</v>
      </c>
      <c r="C335" s="7" t="s">
        <v>4918</v>
      </c>
      <c r="D335" s="7" t="s">
        <v>198</v>
      </c>
      <c r="E335" s="7" t="s">
        <v>203</v>
      </c>
      <c r="F335" s="7" t="s">
        <v>418</v>
      </c>
      <c r="G335" s="7" t="s">
        <v>217</v>
      </c>
      <c r="H335" s="7" t="s">
        <v>245</v>
      </c>
      <c r="I335" s="7" t="s">
        <v>2519</v>
      </c>
      <c r="J335" s="7" t="s">
        <v>227</v>
      </c>
      <c r="K335" s="7" t="s">
        <v>200</v>
      </c>
      <c r="L335" s="7" t="s">
        <v>2520</v>
      </c>
      <c r="M335" s="7" t="s">
        <v>2521</v>
      </c>
      <c r="N335" s="7" t="s">
        <v>3623</v>
      </c>
      <c r="O335" s="7" t="s">
        <v>3933</v>
      </c>
      <c r="P335" s="7">
        <v>5503604</v>
      </c>
      <c r="Q335" s="7" t="s">
        <v>4919</v>
      </c>
      <c r="R335" s="7" t="s">
        <v>737</v>
      </c>
      <c r="S335" s="7" t="s">
        <v>444</v>
      </c>
      <c r="T335" s="7" t="s">
        <v>217</v>
      </c>
      <c r="U335" s="7" t="s">
        <v>207</v>
      </c>
      <c r="V335" s="7" t="s">
        <v>4920</v>
      </c>
      <c r="W335" s="7" t="s">
        <v>227</v>
      </c>
      <c r="X335" s="7" t="s">
        <v>200</v>
      </c>
      <c r="Y335" s="7" t="s">
        <v>4921</v>
      </c>
      <c r="Z335" s="7" t="s">
        <v>4922</v>
      </c>
      <c r="AA335" s="7" t="s">
        <v>3612</v>
      </c>
      <c r="AB335" s="7" t="s">
        <v>3933</v>
      </c>
      <c r="AC335" s="7" t="s">
        <v>4923</v>
      </c>
      <c r="AD335" s="8">
        <v>45534</v>
      </c>
      <c r="AE335" s="7"/>
      <c r="AF335" s="7"/>
    </row>
    <row r="336" spans="1:32" ht="173.25" customHeight="1" x14ac:dyDescent="0.3">
      <c r="A336" s="5">
        <v>4967305</v>
      </c>
      <c r="B336" s="5" t="s">
        <v>2536</v>
      </c>
      <c r="C336" s="5" t="s">
        <v>4924</v>
      </c>
      <c r="D336" s="5" t="s">
        <v>198</v>
      </c>
      <c r="E336" s="5" t="s">
        <v>203</v>
      </c>
      <c r="F336" s="5" t="s">
        <v>234</v>
      </c>
      <c r="G336" s="5" t="s">
        <v>217</v>
      </c>
      <c r="H336" s="5" t="s">
        <v>207</v>
      </c>
      <c r="I336" s="5" t="s">
        <v>2537</v>
      </c>
      <c r="J336" s="5" t="s">
        <v>227</v>
      </c>
      <c r="K336" s="5" t="s">
        <v>200</v>
      </c>
      <c r="L336" s="5" t="s">
        <v>2538</v>
      </c>
      <c r="M336" s="5" t="s">
        <v>2539</v>
      </c>
      <c r="N336" s="5" t="s">
        <v>3623</v>
      </c>
      <c r="O336" s="5" t="s">
        <v>3754</v>
      </c>
      <c r="P336" s="5">
        <v>5310857</v>
      </c>
      <c r="Q336" s="5" t="s">
        <v>4925</v>
      </c>
      <c r="R336" s="5"/>
      <c r="S336" s="5" t="s">
        <v>234</v>
      </c>
      <c r="T336" s="5" t="s">
        <v>217</v>
      </c>
      <c r="U336" s="5" t="s">
        <v>207</v>
      </c>
      <c r="V336" s="5"/>
      <c r="W336" s="5" t="s">
        <v>227</v>
      </c>
      <c r="X336" s="5"/>
      <c r="Y336" s="5"/>
      <c r="Z336" s="5"/>
      <c r="AA336" s="5" t="s">
        <v>3623</v>
      </c>
      <c r="AB336" s="5"/>
      <c r="AC336" s="5" t="s">
        <v>4926</v>
      </c>
      <c r="AD336" s="6">
        <v>45566</v>
      </c>
      <c r="AE336" s="5"/>
      <c r="AF336" s="5"/>
    </row>
    <row r="337" spans="1:32" ht="275.25" customHeight="1" x14ac:dyDescent="0.3">
      <c r="A337" s="7">
        <v>3384292</v>
      </c>
      <c r="B337" s="7" t="s">
        <v>1264</v>
      </c>
      <c r="C337" s="7" t="s">
        <v>4927</v>
      </c>
      <c r="D337" s="7" t="s">
        <v>198</v>
      </c>
      <c r="E337" s="7" t="s">
        <v>203</v>
      </c>
      <c r="F337" s="7" t="s">
        <v>613</v>
      </c>
      <c r="G337" s="7" t="s">
        <v>217</v>
      </c>
      <c r="H337" s="7" t="s">
        <v>233</v>
      </c>
      <c r="I337" s="7" t="s">
        <v>1261</v>
      </c>
      <c r="J337" s="7" t="s">
        <v>608</v>
      </c>
      <c r="K337" s="7" t="s">
        <v>200</v>
      </c>
      <c r="L337" s="7" t="s">
        <v>610</v>
      </c>
      <c r="M337" s="7" t="s">
        <v>789</v>
      </c>
      <c r="N337" s="7" t="s">
        <v>3608</v>
      </c>
      <c r="O337" s="7" t="s">
        <v>3727</v>
      </c>
      <c r="P337" s="7">
        <v>4874862</v>
      </c>
      <c r="Q337" s="7" t="s">
        <v>4928</v>
      </c>
      <c r="R337" s="7" t="s">
        <v>203</v>
      </c>
      <c r="S337" s="7" t="s">
        <v>613</v>
      </c>
      <c r="T337" s="7" t="s">
        <v>217</v>
      </c>
      <c r="U337" s="7" t="s">
        <v>207</v>
      </c>
      <c r="V337" s="7" t="s">
        <v>4929</v>
      </c>
      <c r="W337" s="7" t="s">
        <v>608</v>
      </c>
      <c r="X337" s="7" t="s">
        <v>200</v>
      </c>
      <c r="Y337" s="7" t="s">
        <v>4930</v>
      </c>
      <c r="Z337" s="7" t="s">
        <v>4931</v>
      </c>
      <c r="AA337" s="7" t="s">
        <v>3623</v>
      </c>
      <c r="AB337" s="7" t="s">
        <v>3853</v>
      </c>
      <c r="AC337" s="7" t="s">
        <v>4932</v>
      </c>
      <c r="AD337" s="8">
        <v>45566</v>
      </c>
      <c r="AE337" s="8">
        <v>45687</v>
      </c>
      <c r="AF337" s="7"/>
    </row>
    <row r="338" spans="1:32" ht="285" customHeight="1" x14ac:dyDescent="0.3">
      <c r="A338" s="5">
        <v>5319579</v>
      </c>
      <c r="B338" s="5" t="s">
        <v>3115</v>
      </c>
      <c r="C338" s="5" t="s">
        <v>4933</v>
      </c>
      <c r="D338" s="5" t="s">
        <v>198</v>
      </c>
      <c r="E338" s="5" t="s">
        <v>203</v>
      </c>
      <c r="F338" s="5" t="s">
        <v>444</v>
      </c>
      <c r="G338" s="5" t="s">
        <v>217</v>
      </c>
      <c r="H338" s="5" t="s">
        <v>245</v>
      </c>
      <c r="I338" s="5" t="s">
        <v>3116</v>
      </c>
      <c r="J338" s="5" t="s">
        <v>227</v>
      </c>
      <c r="K338" s="5" t="s">
        <v>200</v>
      </c>
      <c r="L338" s="5" t="s">
        <v>1623</v>
      </c>
      <c r="M338" s="5" t="s">
        <v>1624</v>
      </c>
      <c r="N338" s="5" t="s">
        <v>3623</v>
      </c>
      <c r="O338" s="5" t="s">
        <v>3613</v>
      </c>
      <c r="P338" s="5">
        <v>5230772</v>
      </c>
      <c r="Q338" s="5" t="s">
        <v>4934</v>
      </c>
      <c r="R338" s="5" t="s">
        <v>203</v>
      </c>
      <c r="S338" s="5" t="s">
        <v>234</v>
      </c>
      <c r="T338" s="5" t="s">
        <v>217</v>
      </c>
      <c r="U338" s="5" t="s">
        <v>207</v>
      </c>
      <c r="V338" s="5" t="s">
        <v>4935</v>
      </c>
      <c r="W338" s="5" t="s">
        <v>227</v>
      </c>
      <c r="X338" s="5" t="s">
        <v>200</v>
      </c>
      <c r="Y338" s="5" t="s">
        <v>4936</v>
      </c>
      <c r="Z338" s="5" t="s">
        <v>1624</v>
      </c>
      <c r="AA338" s="5" t="s">
        <v>3623</v>
      </c>
      <c r="AB338" s="5" t="s">
        <v>3646</v>
      </c>
      <c r="AC338" s="5" t="s">
        <v>4937</v>
      </c>
      <c r="AD338" s="6">
        <v>45561</v>
      </c>
      <c r="AE338" s="6">
        <v>45992</v>
      </c>
      <c r="AF338" s="5"/>
    </row>
    <row r="339" spans="1:32" ht="183" customHeight="1" x14ac:dyDescent="0.3">
      <c r="A339" s="7">
        <v>2024721</v>
      </c>
      <c r="B339" s="7" t="s">
        <v>1129</v>
      </c>
      <c r="C339" s="7" t="s">
        <v>4938</v>
      </c>
      <c r="D339" s="7" t="s">
        <v>198</v>
      </c>
      <c r="E339" s="7" t="s">
        <v>203</v>
      </c>
      <c r="F339" s="7" t="s">
        <v>433</v>
      </c>
      <c r="G339" s="7" t="s">
        <v>208</v>
      </c>
      <c r="H339" s="7" t="s">
        <v>233</v>
      </c>
      <c r="I339" s="7" t="s">
        <v>514</v>
      </c>
      <c r="J339" s="7" t="s">
        <v>227</v>
      </c>
      <c r="K339" s="7" t="s">
        <v>200</v>
      </c>
      <c r="L339" s="7" t="s">
        <v>515</v>
      </c>
      <c r="M339" s="7" t="s">
        <v>516</v>
      </c>
      <c r="N339" s="7" t="s">
        <v>3608</v>
      </c>
      <c r="O339" s="7" t="s">
        <v>3711</v>
      </c>
      <c r="P339" s="7">
        <v>5604729</v>
      </c>
      <c r="Q339" s="7" t="s">
        <v>4939</v>
      </c>
      <c r="R339" s="7" t="s">
        <v>203</v>
      </c>
      <c r="S339" s="7" t="s">
        <v>234</v>
      </c>
      <c r="T339" s="7" t="s">
        <v>208</v>
      </c>
      <c r="U339" s="7" t="s">
        <v>2330</v>
      </c>
      <c r="V339" s="7" t="s">
        <v>4940</v>
      </c>
      <c r="W339" s="7" t="s">
        <v>227</v>
      </c>
      <c r="X339" s="7" t="s">
        <v>200</v>
      </c>
      <c r="Y339" s="7" t="s">
        <v>4941</v>
      </c>
      <c r="Z339" s="7" t="s">
        <v>1445</v>
      </c>
      <c r="AA339" s="7" t="s">
        <v>3612</v>
      </c>
      <c r="AB339" s="7" t="s">
        <v>3705</v>
      </c>
      <c r="AC339" s="7" t="s">
        <v>4942</v>
      </c>
      <c r="AD339" s="8">
        <v>45572</v>
      </c>
      <c r="AE339" s="8">
        <v>45930</v>
      </c>
      <c r="AF339" s="7"/>
    </row>
    <row r="340" spans="1:32" ht="409.5" customHeight="1" x14ac:dyDescent="0.3">
      <c r="A340" s="5">
        <v>4911296</v>
      </c>
      <c r="B340" s="5" t="s">
        <v>2424</v>
      </c>
      <c r="C340" s="5" t="s">
        <v>4943</v>
      </c>
      <c r="D340" s="5" t="s">
        <v>198</v>
      </c>
      <c r="E340" s="5" t="s">
        <v>203</v>
      </c>
      <c r="F340" s="5" t="s">
        <v>433</v>
      </c>
      <c r="G340" s="5" t="s">
        <v>217</v>
      </c>
      <c r="H340" s="5" t="s">
        <v>207</v>
      </c>
      <c r="I340" s="5" t="s">
        <v>2425</v>
      </c>
      <c r="J340" s="5" t="s">
        <v>227</v>
      </c>
      <c r="K340" s="5" t="s">
        <v>200</v>
      </c>
      <c r="L340" s="5" t="s">
        <v>2426</v>
      </c>
      <c r="M340" s="5" t="s">
        <v>555</v>
      </c>
      <c r="N340" s="5" t="s">
        <v>3623</v>
      </c>
      <c r="O340" s="5" t="s">
        <v>3751</v>
      </c>
      <c r="P340" s="5">
        <v>5126703</v>
      </c>
      <c r="Q340" s="5" t="s">
        <v>2763</v>
      </c>
      <c r="R340" s="5" t="s">
        <v>203</v>
      </c>
      <c r="S340" s="5" t="s">
        <v>234</v>
      </c>
      <c r="T340" s="5" t="s">
        <v>217</v>
      </c>
      <c r="U340" s="5" t="s">
        <v>207</v>
      </c>
      <c r="V340" s="5" t="s">
        <v>2764</v>
      </c>
      <c r="W340" s="5" t="s">
        <v>227</v>
      </c>
      <c r="X340" s="5" t="s">
        <v>200</v>
      </c>
      <c r="Y340" s="5" t="s">
        <v>2765</v>
      </c>
      <c r="Z340" s="5" t="s">
        <v>442</v>
      </c>
      <c r="AA340" s="5" t="s">
        <v>3623</v>
      </c>
      <c r="AB340" s="5" t="s">
        <v>3627</v>
      </c>
      <c r="AC340" s="5" t="s">
        <v>4944</v>
      </c>
      <c r="AD340" s="6">
        <v>45566</v>
      </c>
      <c r="AE340" s="6">
        <v>45777</v>
      </c>
      <c r="AF340" s="5"/>
    </row>
    <row r="341" spans="1:32" ht="234" customHeight="1" x14ac:dyDescent="0.3">
      <c r="A341" s="7">
        <v>5251443</v>
      </c>
      <c r="B341" s="7" t="s">
        <v>2997</v>
      </c>
      <c r="C341" s="7" t="s">
        <v>4945</v>
      </c>
      <c r="D341" s="7" t="s">
        <v>198</v>
      </c>
      <c r="E341" s="7" t="s">
        <v>203</v>
      </c>
      <c r="F341" s="7" t="s">
        <v>433</v>
      </c>
      <c r="G341" s="7" t="s">
        <v>217</v>
      </c>
      <c r="H341" s="7" t="s">
        <v>233</v>
      </c>
      <c r="I341" s="7" t="s">
        <v>2998</v>
      </c>
      <c r="J341" s="7" t="s">
        <v>227</v>
      </c>
      <c r="K341" s="7" t="s">
        <v>200</v>
      </c>
      <c r="L341" s="7" t="s">
        <v>2999</v>
      </c>
      <c r="M341" s="7" t="s">
        <v>3000</v>
      </c>
      <c r="N341" s="7" t="s">
        <v>3652</v>
      </c>
      <c r="O341" s="7" t="s">
        <v>3609</v>
      </c>
      <c r="P341" s="7">
        <v>4768299</v>
      </c>
      <c r="Q341" s="7" t="s">
        <v>4946</v>
      </c>
      <c r="R341" s="7" t="s">
        <v>203</v>
      </c>
      <c r="S341" s="7" t="s">
        <v>234</v>
      </c>
      <c r="T341" s="7" t="s">
        <v>217</v>
      </c>
      <c r="U341" s="7" t="s">
        <v>245</v>
      </c>
      <c r="V341" s="7" t="s">
        <v>3533</v>
      </c>
      <c r="W341" s="7" t="s">
        <v>227</v>
      </c>
      <c r="X341" s="7" t="s">
        <v>200</v>
      </c>
      <c r="Y341" s="7" t="s">
        <v>3534</v>
      </c>
      <c r="Z341" s="7" t="s">
        <v>1031</v>
      </c>
      <c r="AA341" s="7" t="s">
        <v>3623</v>
      </c>
      <c r="AB341" s="7" t="s">
        <v>3627</v>
      </c>
      <c r="AC341" s="7" t="s">
        <v>4947</v>
      </c>
      <c r="AD341" s="8">
        <v>45566</v>
      </c>
      <c r="AE341" s="7"/>
      <c r="AF341" s="7"/>
    </row>
    <row r="342" spans="1:32" ht="102" customHeight="1" x14ac:dyDescent="0.3">
      <c r="A342" s="5">
        <v>5546885</v>
      </c>
      <c r="B342" s="5" t="s">
        <v>3282</v>
      </c>
      <c r="C342" s="5" t="s">
        <v>4948</v>
      </c>
      <c r="D342" s="5" t="s">
        <v>198</v>
      </c>
      <c r="E342" s="5" t="s">
        <v>203</v>
      </c>
      <c r="F342" s="5" t="s">
        <v>234</v>
      </c>
      <c r="G342" s="5" t="s">
        <v>208</v>
      </c>
      <c r="H342" s="5" t="s">
        <v>207</v>
      </c>
      <c r="I342" s="5" t="s">
        <v>3283</v>
      </c>
      <c r="J342" s="5" t="s">
        <v>227</v>
      </c>
      <c r="K342" s="5" t="s">
        <v>200</v>
      </c>
      <c r="L342" s="5" t="s">
        <v>3284</v>
      </c>
      <c r="M342" s="5" t="s">
        <v>594</v>
      </c>
      <c r="N342" s="5" t="s">
        <v>3612</v>
      </c>
      <c r="O342" s="5" t="s">
        <v>3919</v>
      </c>
      <c r="P342" s="5">
        <v>5578019</v>
      </c>
      <c r="Q342" s="5" t="s">
        <v>4763</v>
      </c>
      <c r="R342" s="5"/>
      <c r="S342" s="5" t="s">
        <v>234</v>
      </c>
      <c r="T342" s="5" t="s">
        <v>217</v>
      </c>
      <c r="U342" s="5" t="s">
        <v>2330</v>
      </c>
      <c r="V342" s="5"/>
      <c r="W342" s="5" t="s">
        <v>227</v>
      </c>
      <c r="X342" s="5"/>
      <c r="Y342" s="5"/>
      <c r="Z342" s="5"/>
      <c r="AA342" s="5" t="s">
        <v>3732</v>
      </c>
      <c r="AB342" s="5"/>
      <c r="AC342" s="5" t="s">
        <v>4949</v>
      </c>
      <c r="AD342" s="6">
        <v>45565</v>
      </c>
      <c r="AE342" s="6">
        <v>45626</v>
      </c>
      <c r="AF342" s="5"/>
    </row>
    <row r="343" spans="1:32" ht="30" customHeight="1" x14ac:dyDescent="0.3">
      <c r="A343" s="7">
        <v>5464692</v>
      </c>
      <c r="B343" s="7" t="s">
        <v>3239</v>
      </c>
      <c r="C343" s="7"/>
      <c r="D343" s="7" t="s">
        <v>198</v>
      </c>
      <c r="E343" s="7" t="s">
        <v>203</v>
      </c>
      <c r="F343" s="7" t="s">
        <v>234</v>
      </c>
      <c r="G343" s="7" t="s">
        <v>217</v>
      </c>
      <c r="H343" s="7" t="s">
        <v>207</v>
      </c>
      <c r="I343" s="7" t="s">
        <v>3240</v>
      </c>
      <c r="J343" s="7" t="s">
        <v>227</v>
      </c>
      <c r="K343" s="7" t="s">
        <v>200</v>
      </c>
      <c r="L343" s="7" t="s">
        <v>3241</v>
      </c>
      <c r="M343" s="7" t="s">
        <v>3242</v>
      </c>
      <c r="N343" s="7" t="s">
        <v>3612</v>
      </c>
      <c r="O343" s="7" t="s">
        <v>3711</v>
      </c>
      <c r="P343" s="7">
        <v>4659678</v>
      </c>
      <c r="Q343" s="7" t="s">
        <v>4950</v>
      </c>
      <c r="R343" s="7" t="s">
        <v>203</v>
      </c>
      <c r="S343" s="7" t="s">
        <v>234</v>
      </c>
      <c r="T343" s="7" t="s">
        <v>208</v>
      </c>
      <c r="U343" s="7" t="s">
        <v>207</v>
      </c>
      <c r="V343" s="7" t="s">
        <v>4951</v>
      </c>
      <c r="W343" s="7" t="s">
        <v>227</v>
      </c>
      <c r="X343" s="7" t="s">
        <v>200</v>
      </c>
      <c r="Y343" s="7" t="s">
        <v>4952</v>
      </c>
      <c r="Z343" s="7" t="s">
        <v>700</v>
      </c>
      <c r="AA343" s="7" t="s">
        <v>3608</v>
      </c>
      <c r="AB343" s="7" t="s">
        <v>4478</v>
      </c>
      <c r="AC343" s="7" t="s">
        <v>4953</v>
      </c>
      <c r="AD343" s="8">
        <v>45572</v>
      </c>
      <c r="AE343" s="7"/>
      <c r="AF343" s="7"/>
    </row>
    <row r="344" spans="1:32" ht="285" customHeight="1" x14ac:dyDescent="0.3">
      <c r="A344" s="5">
        <v>4873033</v>
      </c>
      <c r="B344" s="5" t="s">
        <v>279</v>
      </c>
      <c r="C344" s="5" t="s">
        <v>4954</v>
      </c>
      <c r="D344" s="5" t="s">
        <v>198</v>
      </c>
      <c r="E344" s="5" t="s">
        <v>203</v>
      </c>
      <c r="F344" s="5"/>
      <c r="G344" s="5" t="s">
        <v>208</v>
      </c>
      <c r="H344" s="5" t="s">
        <v>207</v>
      </c>
      <c r="I344" s="5" t="s">
        <v>281</v>
      </c>
      <c r="J344" s="5" t="s">
        <v>211</v>
      </c>
      <c r="K344" s="5" t="s">
        <v>200</v>
      </c>
      <c r="L344" s="5" t="s">
        <v>282</v>
      </c>
      <c r="M344" s="5" t="s">
        <v>283</v>
      </c>
      <c r="N344" s="5" t="s">
        <v>3623</v>
      </c>
      <c r="O344" s="5" t="s">
        <v>3646</v>
      </c>
      <c r="P344" s="5">
        <v>8870507</v>
      </c>
      <c r="Q344" s="5" t="s">
        <v>4955</v>
      </c>
      <c r="R344" s="5" t="s">
        <v>651</v>
      </c>
      <c r="S344" s="5" t="s">
        <v>218</v>
      </c>
      <c r="T344" s="5" t="s">
        <v>208</v>
      </c>
      <c r="U344" s="5" t="s">
        <v>2330</v>
      </c>
      <c r="V344" s="5" t="s">
        <v>4956</v>
      </c>
      <c r="W344" s="5" t="s">
        <v>211</v>
      </c>
      <c r="X344" s="5" t="s">
        <v>200</v>
      </c>
      <c r="Y344" s="5" t="s">
        <v>4957</v>
      </c>
      <c r="Z344" s="5" t="s">
        <v>370</v>
      </c>
      <c r="AA344" s="5" t="s">
        <v>3617</v>
      </c>
      <c r="AB344" s="5" t="s">
        <v>3853</v>
      </c>
      <c r="AC344" s="5" t="s">
        <v>4958</v>
      </c>
      <c r="AD344" s="6">
        <v>45572</v>
      </c>
      <c r="AE344" s="6">
        <v>45657</v>
      </c>
      <c r="AF344" s="5"/>
    </row>
    <row r="345" spans="1:32" ht="71.25" customHeight="1" x14ac:dyDescent="0.3">
      <c r="A345" s="7">
        <v>3575977</v>
      </c>
      <c r="B345" s="7" t="s">
        <v>4750</v>
      </c>
      <c r="C345" s="7" t="s">
        <v>4959</v>
      </c>
      <c r="D345" s="7" t="s">
        <v>198</v>
      </c>
      <c r="E345" s="7" t="s">
        <v>203</v>
      </c>
      <c r="F345" s="7" t="s">
        <v>418</v>
      </c>
      <c r="G345" s="7" t="s">
        <v>217</v>
      </c>
      <c r="H345" s="7" t="s">
        <v>207</v>
      </c>
      <c r="I345" s="7" t="s">
        <v>4752</v>
      </c>
      <c r="J345" s="7" t="s">
        <v>227</v>
      </c>
      <c r="K345" s="7" t="s">
        <v>200</v>
      </c>
      <c r="L345" s="7" t="s">
        <v>4753</v>
      </c>
      <c r="M345" s="7" t="s">
        <v>1045</v>
      </c>
      <c r="N345" s="7" t="s">
        <v>3608</v>
      </c>
      <c r="O345" s="7" t="s">
        <v>3912</v>
      </c>
      <c r="P345" s="7">
        <v>8872029</v>
      </c>
      <c r="Q345" s="7" t="s">
        <v>4960</v>
      </c>
      <c r="R345" s="7" t="s">
        <v>203</v>
      </c>
      <c r="S345" s="7" t="s">
        <v>418</v>
      </c>
      <c r="T345" s="7" t="s">
        <v>217</v>
      </c>
      <c r="U345" s="7" t="s">
        <v>207</v>
      </c>
      <c r="V345" s="7" t="s">
        <v>4961</v>
      </c>
      <c r="W345" s="7" t="s">
        <v>227</v>
      </c>
      <c r="X345" s="7" t="s">
        <v>200</v>
      </c>
      <c r="Y345" s="7" t="s">
        <v>1870</v>
      </c>
      <c r="Z345" s="7" t="s">
        <v>1445</v>
      </c>
      <c r="AA345" s="7" t="s">
        <v>3729</v>
      </c>
      <c r="AB345" s="7" t="s">
        <v>3705</v>
      </c>
      <c r="AC345" s="7" t="s">
        <v>4962</v>
      </c>
      <c r="AD345" s="8">
        <v>45569</v>
      </c>
      <c r="AE345" s="8">
        <v>46477</v>
      </c>
      <c r="AF345" s="7" t="s">
        <v>3709</v>
      </c>
    </row>
    <row r="346" spans="1:32" ht="409.5" customHeight="1" x14ac:dyDescent="0.3">
      <c r="A346" s="5">
        <v>3415546</v>
      </c>
      <c r="B346" s="5" t="s">
        <v>1266</v>
      </c>
      <c r="C346" s="5" t="s">
        <v>4963</v>
      </c>
      <c r="D346" s="5" t="s">
        <v>354</v>
      </c>
      <c r="E346" s="5" t="s">
        <v>203</v>
      </c>
      <c r="F346" s="5" t="s">
        <v>234</v>
      </c>
      <c r="G346" s="5" t="s">
        <v>217</v>
      </c>
      <c r="H346" s="5" t="s">
        <v>245</v>
      </c>
      <c r="I346" s="5" t="s">
        <v>1267</v>
      </c>
      <c r="J346" s="5" t="s">
        <v>227</v>
      </c>
      <c r="K346" s="5" t="s">
        <v>200</v>
      </c>
      <c r="L346" s="5" t="s">
        <v>1268</v>
      </c>
      <c r="M346" s="5" t="s">
        <v>815</v>
      </c>
      <c r="N346" s="5" t="s">
        <v>3602</v>
      </c>
      <c r="O346" s="5" t="s">
        <v>3613</v>
      </c>
      <c r="P346" s="5">
        <v>4791789</v>
      </c>
      <c r="Q346" s="5" t="s">
        <v>4964</v>
      </c>
      <c r="R346" s="5"/>
      <c r="S346" s="5" t="s">
        <v>234</v>
      </c>
      <c r="T346" s="5" t="s">
        <v>217</v>
      </c>
      <c r="U346" s="5" t="s">
        <v>245</v>
      </c>
      <c r="V346" s="5"/>
      <c r="W346" s="5" t="s">
        <v>227</v>
      </c>
      <c r="X346" s="5"/>
      <c r="Y346" s="5"/>
      <c r="Z346" s="5"/>
      <c r="AA346" s="5" t="s">
        <v>3623</v>
      </c>
      <c r="AB346" s="5"/>
      <c r="AC346" s="5" t="s">
        <v>4965</v>
      </c>
      <c r="AD346" s="6">
        <v>45579</v>
      </c>
      <c r="AE346" s="6">
        <v>46011</v>
      </c>
      <c r="AF346" s="5"/>
    </row>
    <row r="347" spans="1:32" ht="40.5" customHeight="1" x14ac:dyDescent="0.3">
      <c r="A347" s="7">
        <v>2874792</v>
      </c>
      <c r="B347" s="7" t="s">
        <v>1049</v>
      </c>
      <c r="C347" s="7"/>
      <c r="D347" s="7" t="s">
        <v>198</v>
      </c>
      <c r="E347" s="7" t="s">
        <v>203</v>
      </c>
      <c r="F347" s="7" t="s">
        <v>234</v>
      </c>
      <c r="G347" s="7" t="s">
        <v>208</v>
      </c>
      <c r="H347" s="7" t="s">
        <v>233</v>
      </c>
      <c r="I347" s="7" t="s">
        <v>1050</v>
      </c>
      <c r="J347" s="7" t="s">
        <v>227</v>
      </c>
      <c r="K347" s="7" t="s">
        <v>200</v>
      </c>
      <c r="L347" s="7" t="s">
        <v>1051</v>
      </c>
      <c r="M347" s="7" t="s">
        <v>967</v>
      </c>
      <c r="N347" s="7" t="s">
        <v>3652</v>
      </c>
      <c r="O347" s="7" t="s">
        <v>4181</v>
      </c>
      <c r="P347" s="7">
        <v>4814762</v>
      </c>
      <c r="Q347" s="7" t="s">
        <v>4966</v>
      </c>
      <c r="R347" s="7" t="s">
        <v>203</v>
      </c>
      <c r="S347" s="7" t="s">
        <v>444</v>
      </c>
      <c r="T347" s="7" t="s">
        <v>208</v>
      </c>
      <c r="U347" s="7" t="s">
        <v>207</v>
      </c>
      <c r="V347" s="7" t="s">
        <v>4967</v>
      </c>
      <c r="W347" s="7" t="s">
        <v>227</v>
      </c>
      <c r="X347" s="7" t="s">
        <v>200</v>
      </c>
      <c r="Y347" s="7" t="s">
        <v>4968</v>
      </c>
      <c r="Z347" s="7" t="s">
        <v>1319</v>
      </c>
      <c r="AA347" s="7" t="s">
        <v>3608</v>
      </c>
      <c r="AB347" s="7" t="s">
        <v>3763</v>
      </c>
      <c r="AC347" s="7" t="s">
        <v>4969</v>
      </c>
      <c r="AD347" s="8">
        <v>45588</v>
      </c>
      <c r="AE347" s="8">
        <v>45629</v>
      </c>
      <c r="AF347" s="7"/>
    </row>
    <row r="348" spans="1:32" ht="40.5" customHeight="1" x14ac:dyDescent="0.3">
      <c r="A348" s="5">
        <v>4735897</v>
      </c>
      <c r="B348" s="5" t="s">
        <v>2079</v>
      </c>
      <c r="C348" s="5" t="s">
        <v>4970</v>
      </c>
      <c r="D348" s="5" t="s">
        <v>862</v>
      </c>
      <c r="E348" s="5" t="s">
        <v>203</v>
      </c>
      <c r="F348" s="5" t="s">
        <v>433</v>
      </c>
      <c r="G348" s="5" t="s">
        <v>208</v>
      </c>
      <c r="H348" s="5" t="s">
        <v>207</v>
      </c>
      <c r="I348" s="5" t="s">
        <v>1345</v>
      </c>
      <c r="J348" s="5" t="s">
        <v>227</v>
      </c>
      <c r="K348" s="5" t="s">
        <v>413</v>
      </c>
      <c r="L348" s="5" t="s">
        <v>1346</v>
      </c>
      <c r="M348" s="5" t="s">
        <v>422</v>
      </c>
      <c r="N348" s="5" t="s">
        <v>3608</v>
      </c>
      <c r="O348" s="5" t="s">
        <v>3886</v>
      </c>
      <c r="P348" s="5">
        <v>3436470</v>
      </c>
      <c r="Q348" s="5" t="s">
        <v>4971</v>
      </c>
      <c r="R348" s="5" t="s">
        <v>203</v>
      </c>
      <c r="S348" s="5" t="s">
        <v>234</v>
      </c>
      <c r="T348" s="5" t="s">
        <v>208</v>
      </c>
      <c r="U348" s="5" t="s">
        <v>233</v>
      </c>
      <c r="V348" s="5" t="s">
        <v>4972</v>
      </c>
      <c r="W348" s="5" t="s">
        <v>227</v>
      </c>
      <c r="X348" s="5" t="s">
        <v>413</v>
      </c>
      <c r="Y348" s="5" t="s">
        <v>1427</v>
      </c>
      <c r="Z348" s="5" t="s">
        <v>254</v>
      </c>
      <c r="AA348" s="5" t="s">
        <v>3612</v>
      </c>
      <c r="AB348" s="5" t="s">
        <v>3886</v>
      </c>
      <c r="AC348" s="5" t="s">
        <v>4973</v>
      </c>
      <c r="AD348" s="6">
        <v>45572</v>
      </c>
      <c r="AE348" s="6">
        <v>45961</v>
      </c>
      <c r="AF348" s="5"/>
    </row>
    <row r="349" spans="1:32" ht="30" customHeight="1" x14ac:dyDescent="0.3">
      <c r="A349" s="7">
        <v>4535286</v>
      </c>
      <c r="B349" s="7" t="s">
        <v>1837</v>
      </c>
      <c r="C349" s="7"/>
      <c r="D349" s="7" t="s">
        <v>198</v>
      </c>
      <c r="E349" s="7" t="s">
        <v>203</v>
      </c>
      <c r="F349" s="7" t="s">
        <v>433</v>
      </c>
      <c r="G349" s="7" t="s">
        <v>217</v>
      </c>
      <c r="H349" s="7" t="s">
        <v>233</v>
      </c>
      <c r="I349" s="7" t="s">
        <v>1838</v>
      </c>
      <c r="J349" s="7" t="s">
        <v>227</v>
      </c>
      <c r="K349" s="7" t="s">
        <v>200</v>
      </c>
      <c r="L349" s="7" t="s">
        <v>684</v>
      </c>
      <c r="M349" s="7" t="s">
        <v>1839</v>
      </c>
      <c r="N349" s="7" t="s">
        <v>3608</v>
      </c>
      <c r="O349" s="7" t="s">
        <v>3824</v>
      </c>
      <c r="P349" s="7">
        <v>5508576</v>
      </c>
      <c r="Q349" s="7" t="s">
        <v>4974</v>
      </c>
      <c r="R349" s="7" t="s">
        <v>203</v>
      </c>
      <c r="S349" s="7" t="s">
        <v>234</v>
      </c>
      <c r="T349" s="7" t="s">
        <v>208</v>
      </c>
      <c r="U349" s="7" t="s">
        <v>245</v>
      </c>
      <c r="V349" s="7" t="s">
        <v>4975</v>
      </c>
      <c r="W349" s="7" t="s">
        <v>227</v>
      </c>
      <c r="X349" s="7" t="s">
        <v>200</v>
      </c>
      <c r="Y349" s="7" t="s">
        <v>4976</v>
      </c>
      <c r="Z349" s="7" t="s">
        <v>4977</v>
      </c>
      <c r="AA349" s="7" t="s">
        <v>3612</v>
      </c>
      <c r="AB349" s="7" t="s">
        <v>4637</v>
      </c>
      <c r="AC349" s="7" t="s">
        <v>4978</v>
      </c>
      <c r="AD349" s="8">
        <v>45596</v>
      </c>
      <c r="AE349" s="7"/>
      <c r="AF349" s="7"/>
    </row>
    <row r="350" spans="1:32" ht="244.5" customHeight="1" x14ac:dyDescent="0.3">
      <c r="A350" s="5">
        <v>2694972</v>
      </c>
      <c r="B350" s="5" t="s">
        <v>566</v>
      </c>
      <c r="C350" s="5" t="s">
        <v>4979</v>
      </c>
      <c r="D350" s="5" t="s">
        <v>354</v>
      </c>
      <c r="E350" s="5" t="s">
        <v>203</v>
      </c>
      <c r="F350" s="5" t="s">
        <v>433</v>
      </c>
      <c r="G350" s="5" t="s">
        <v>208</v>
      </c>
      <c r="H350" s="5" t="s">
        <v>245</v>
      </c>
      <c r="I350" s="5" t="s">
        <v>567</v>
      </c>
      <c r="J350" s="5" t="s">
        <v>227</v>
      </c>
      <c r="K350" s="5" t="s">
        <v>200</v>
      </c>
      <c r="L350" s="5" t="s">
        <v>568</v>
      </c>
      <c r="M350" s="5" t="s">
        <v>569</v>
      </c>
      <c r="N350" s="5" t="s">
        <v>3652</v>
      </c>
      <c r="O350" s="5" t="s">
        <v>3960</v>
      </c>
      <c r="P350" s="5">
        <v>5234824</v>
      </c>
      <c r="Q350" s="5" t="s">
        <v>4980</v>
      </c>
      <c r="R350" s="5" t="s">
        <v>203</v>
      </c>
      <c r="S350" s="5" t="s">
        <v>234</v>
      </c>
      <c r="T350" s="5" t="s">
        <v>208</v>
      </c>
      <c r="U350" s="5" t="s">
        <v>207</v>
      </c>
      <c r="V350" s="5" t="s">
        <v>4981</v>
      </c>
      <c r="W350" s="5" t="s">
        <v>227</v>
      </c>
      <c r="X350" s="5" t="s">
        <v>413</v>
      </c>
      <c r="Y350" s="5" t="s">
        <v>4982</v>
      </c>
      <c r="Z350" s="5" t="s">
        <v>1203</v>
      </c>
      <c r="AA350" s="5" t="s">
        <v>3729</v>
      </c>
      <c r="AB350" s="5" t="s">
        <v>3743</v>
      </c>
      <c r="AC350" s="5" t="s">
        <v>4983</v>
      </c>
      <c r="AD350" s="6">
        <v>45597</v>
      </c>
      <c r="AE350" s="6">
        <v>45930</v>
      </c>
      <c r="AF350" s="5"/>
    </row>
    <row r="351" spans="1:32" ht="40.5" customHeight="1" x14ac:dyDescent="0.3">
      <c r="A351" s="7">
        <v>4533151</v>
      </c>
      <c r="B351" s="7" t="s">
        <v>1830</v>
      </c>
      <c r="C351" s="7" t="s">
        <v>4984</v>
      </c>
      <c r="D351" s="7" t="s">
        <v>862</v>
      </c>
      <c r="E351" s="7" t="s">
        <v>203</v>
      </c>
      <c r="F351" s="7" t="s">
        <v>433</v>
      </c>
      <c r="G351" s="7" t="s">
        <v>208</v>
      </c>
      <c r="H351" s="7" t="s">
        <v>233</v>
      </c>
      <c r="I351" s="7" t="s">
        <v>1335</v>
      </c>
      <c r="J351" s="7" t="s">
        <v>227</v>
      </c>
      <c r="K351" s="7" t="s">
        <v>413</v>
      </c>
      <c r="L351" s="7" t="s">
        <v>1521</v>
      </c>
      <c r="M351" s="7" t="s">
        <v>1831</v>
      </c>
      <c r="N351" s="7" t="s">
        <v>3602</v>
      </c>
      <c r="O351" s="7" t="s">
        <v>3775</v>
      </c>
      <c r="P351" s="7">
        <v>4889320</v>
      </c>
      <c r="Q351" s="7" t="s">
        <v>4985</v>
      </c>
      <c r="R351" s="7"/>
      <c r="S351" s="7" t="s">
        <v>433</v>
      </c>
      <c r="T351" s="7" t="s">
        <v>208</v>
      </c>
      <c r="U351" s="7" t="s">
        <v>233</v>
      </c>
      <c r="V351" s="7"/>
      <c r="W351" s="7" t="s">
        <v>227</v>
      </c>
      <c r="X351" s="7"/>
      <c r="Y351" s="7"/>
      <c r="Z351" s="7"/>
      <c r="AA351" s="7" t="s">
        <v>3623</v>
      </c>
      <c r="AB351" s="7"/>
      <c r="AC351" s="7" t="s">
        <v>4986</v>
      </c>
      <c r="AD351" s="8">
        <v>45572</v>
      </c>
      <c r="AE351" s="8">
        <v>45936</v>
      </c>
      <c r="AF351" s="7"/>
    </row>
    <row r="352" spans="1:32" ht="60.75" customHeight="1" x14ac:dyDescent="0.3">
      <c r="A352" s="5">
        <v>5275032</v>
      </c>
      <c r="B352" s="5" t="s">
        <v>3046</v>
      </c>
      <c r="C352" s="5" t="s">
        <v>4987</v>
      </c>
      <c r="D352" s="5" t="s">
        <v>198</v>
      </c>
      <c r="E352" s="5" t="s">
        <v>203</v>
      </c>
      <c r="F352" s="5" t="s">
        <v>234</v>
      </c>
      <c r="G352" s="5" t="s">
        <v>217</v>
      </c>
      <c r="H352" s="5" t="s">
        <v>233</v>
      </c>
      <c r="I352" s="5" t="s">
        <v>2247</v>
      </c>
      <c r="J352" s="5" t="s">
        <v>227</v>
      </c>
      <c r="K352" s="5" t="s">
        <v>413</v>
      </c>
      <c r="L352" s="5" t="s">
        <v>3047</v>
      </c>
      <c r="M352" s="5" t="s">
        <v>3048</v>
      </c>
      <c r="N352" s="5" t="s">
        <v>3623</v>
      </c>
      <c r="O352" s="5" t="s">
        <v>3609</v>
      </c>
      <c r="P352" s="5">
        <v>4710169</v>
      </c>
      <c r="Q352" s="5" t="s">
        <v>4988</v>
      </c>
      <c r="R352" s="5" t="s">
        <v>203</v>
      </c>
      <c r="S352" s="5" t="s">
        <v>444</v>
      </c>
      <c r="T352" s="5" t="s">
        <v>217</v>
      </c>
      <c r="U352" s="5" t="s">
        <v>245</v>
      </c>
      <c r="V352" s="5" t="s">
        <v>4989</v>
      </c>
      <c r="W352" s="5" t="s">
        <v>227</v>
      </c>
      <c r="X352" s="5" t="s">
        <v>413</v>
      </c>
      <c r="Y352" s="5" t="s">
        <v>4990</v>
      </c>
      <c r="Z352" s="5" t="s">
        <v>4991</v>
      </c>
      <c r="AA352" s="5" t="s">
        <v>3608</v>
      </c>
      <c r="AB352" s="5" t="s">
        <v>3646</v>
      </c>
      <c r="AC352" s="5" t="s">
        <v>4992</v>
      </c>
      <c r="AD352" s="6">
        <v>45597</v>
      </c>
      <c r="AE352" s="6">
        <v>45716</v>
      </c>
      <c r="AF352" s="5"/>
    </row>
    <row r="353" spans="1:32" ht="51" customHeight="1" x14ac:dyDescent="0.3">
      <c r="A353" s="7">
        <v>3004473</v>
      </c>
      <c r="B353" s="7" t="s">
        <v>762</v>
      </c>
      <c r="C353" s="7" t="s">
        <v>4993</v>
      </c>
      <c r="D353" s="7" t="s">
        <v>198</v>
      </c>
      <c r="E353" s="7" t="s">
        <v>203</v>
      </c>
      <c r="F353" s="7" t="s">
        <v>444</v>
      </c>
      <c r="G353" s="7" t="s">
        <v>208</v>
      </c>
      <c r="H353" s="7" t="s">
        <v>245</v>
      </c>
      <c r="I353" s="7" t="s">
        <v>763</v>
      </c>
      <c r="J353" s="7" t="s">
        <v>227</v>
      </c>
      <c r="K353" s="7" t="s">
        <v>200</v>
      </c>
      <c r="L353" s="7" t="s">
        <v>764</v>
      </c>
      <c r="M353" s="7" t="s">
        <v>299</v>
      </c>
      <c r="N353" s="7" t="s">
        <v>3602</v>
      </c>
      <c r="O353" s="7" t="s">
        <v>3603</v>
      </c>
      <c r="P353" s="7">
        <v>3596826</v>
      </c>
      <c r="Q353" s="7" t="s">
        <v>4994</v>
      </c>
      <c r="R353" s="7" t="s">
        <v>203</v>
      </c>
      <c r="S353" s="7" t="s">
        <v>234</v>
      </c>
      <c r="T353" s="7" t="s">
        <v>217</v>
      </c>
      <c r="U353" s="7" t="s">
        <v>207</v>
      </c>
      <c r="V353" s="7" t="s">
        <v>4995</v>
      </c>
      <c r="W353" s="7" t="s">
        <v>227</v>
      </c>
      <c r="X353" s="7" t="s">
        <v>200</v>
      </c>
      <c r="Y353" s="7" t="s">
        <v>2484</v>
      </c>
      <c r="Z353" s="7" t="s">
        <v>4996</v>
      </c>
      <c r="AA353" s="7" t="s">
        <v>3608</v>
      </c>
      <c r="AB353" s="7" t="s">
        <v>4478</v>
      </c>
      <c r="AC353" s="7" t="s">
        <v>4997</v>
      </c>
      <c r="AD353" s="8">
        <v>45331</v>
      </c>
      <c r="AE353" s="7"/>
      <c r="AF353" s="7"/>
    </row>
    <row r="354" spans="1:32" ht="30" customHeight="1" x14ac:dyDescent="0.3">
      <c r="A354" s="5">
        <v>3830810</v>
      </c>
      <c r="B354" s="5" t="s">
        <v>1697</v>
      </c>
      <c r="C354" s="5" t="s">
        <v>4998</v>
      </c>
      <c r="D354" s="5" t="s">
        <v>198</v>
      </c>
      <c r="E354" s="5" t="s">
        <v>203</v>
      </c>
      <c r="F354" s="5" t="s">
        <v>418</v>
      </c>
      <c r="G354" s="5" t="s">
        <v>217</v>
      </c>
      <c r="H354" s="5" t="s">
        <v>207</v>
      </c>
      <c r="I354" s="5" t="s">
        <v>1698</v>
      </c>
      <c r="J354" s="5" t="s">
        <v>227</v>
      </c>
      <c r="K354" s="5" t="s">
        <v>200</v>
      </c>
      <c r="L354" s="5" t="s">
        <v>1699</v>
      </c>
      <c r="M354" s="5" t="s">
        <v>1700</v>
      </c>
      <c r="N354" s="5" t="s">
        <v>3608</v>
      </c>
      <c r="O354" s="5" t="s">
        <v>3763</v>
      </c>
      <c r="P354" s="5">
        <v>5514355</v>
      </c>
      <c r="Q354" s="5" t="s">
        <v>4999</v>
      </c>
      <c r="R354" s="5" t="s">
        <v>203</v>
      </c>
      <c r="S354" s="5" t="s">
        <v>418</v>
      </c>
      <c r="T354" s="5" t="s">
        <v>217</v>
      </c>
      <c r="U354" s="5" t="s">
        <v>2330</v>
      </c>
      <c r="V354" s="5" t="s">
        <v>5000</v>
      </c>
      <c r="W354" s="5" t="s">
        <v>227</v>
      </c>
      <c r="X354" s="5" t="s">
        <v>200</v>
      </c>
      <c r="Y354" s="5" t="s">
        <v>5001</v>
      </c>
      <c r="Z354" s="5" t="s">
        <v>5002</v>
      </c>
      <c r="AA354" s="5" t="s">
        <v>3612</v>
      </c>
      <c r="AB354" s="5" t="s">
        <v>3763</v>
      </c>
      <c r="AC354" s="5" t="s">
        <v>5003</v>
      </c>
      <c r="AD354" s="6">
        <v>45579</v>
      </c>
      <c r="AE354" s="5"/>
      <c r="AF354" s="5"/>
    </row>
    <row r="355" spans="1:32" ht="40.5" customHeight="1" x14ac:dyDescent="0.3">
      <c r="A355" s="7">
        <v>3527328</v>
      </c>
      <c r="B355" s="7" t="s">
        <v>1425</v>
      </c>
      <c r="C355" s="7" t="s">
        <v>5004</v>
      </c>
      <c r="D355" s="7" t="s">
        <v>862</v>
      </c>
      <c r="E355" s="7" t="s">
        <v>203</v>
      </c>
      <c r="F355" s="7" t="s">
        <v>433</v>
      </c>
      <c r="G355" s="7" t="s">
        <v>208</v>
      </c>
      <c r="H355" s="7" t="s">
        <v>233</v>
      </c>
      <c r="I355" s="7" t="s">
        <v>1426</v>
      </c>
      <c r="J355" s="7" t="s">
        <v>227</v>
      </c>
      <c r="K355" s="7" t="s">
        <v>413</v>
      </c>
      <c r="L355" s="7" t="s">
        <v>1427</v>
      </c>
      <c r="M355" s="7" t="s">
        <v>1428</v>
      </c>
      <c r="N355" s="7" t="s">
        <v>3608</v>
      </c>
      <c r="O355" s="7" t="s">
        <v>3886</v>
      </c>
      <c r="P355" s="7">
        <v>8870268</v>
      </c>
      <c r="Q355" s="7" t="s">
        <v>5005</v>
      </c>
      <c r="R355" s="7"/>
      <c r="S355" s="7" t="s">
        <v>234</v>
      </c>
      <c r="T355" s="7" t="s">
        <v>208</v>
      </c>
      <c r="U355" s="7" t="s">
        <v>2330</v>
      </c>
      <c r="V355" s="7"/>
      <c r="W355" s="7" t="s">
        <v>227</v>
      </c>
      <c r="X355" s="7"/>
      <c r="Y355" s="7"/>
      <c r="Z355" s="7"/>
      <c r="AA355" s="7" t="s">
        <v>3729</v>
      </c>
      <c r="AB355" s="7"/>
      <c r="AC355" s="7" t="s">
        <v>5006</v>
      </c>
      <c r="AD355" s="8">
        <v>45572</v>
      </c>
      <c r="AE355" s="7"/>
      <c r="AF355" s="7"/>
    </row>
    <row r="356" spans="1:32" ht="40.5" customHeight="1" x14ac:dyDescent="0.3">
      <c r="A356" s="5">
        <v>3458652</v>
      </c>
      <c r="B356" s="5" t="s">
        <v>1344</v>
      </c>
      <c r="C356" s="5" t="s">
        <v>5007</v>
      </c>
      <c r="D356" s="5" t="s">
        <v>862</v>
      </c>
      <c r="E356" s="5" t="s">
        <v>203</v>
      </c>
      <c r="F356" s="5" t="s">
        <v>234</v>
      </c>
      <c r="G356" s="5" t="s">
        <v>217</v>
      </c>
      <c r="H356" s="5" t="s">
        <v>245</v>
      </c>
      <c r="I356" s="5" t="s">
        <v>1345</v>
      </c>
      <c r="J356" s="5" t="s">
        <v>227</v>
      </c>
      <c r="K356" s="5" t="s">
        <v>413</v>
      </c>
      <c r="L356" s="5" t="s">
        <v>1346</v>
      </c>
      <c r="M356" s="5" t="s">
        <v>422</v>
      </c>
      <c r="N356" s="5" t="s">
        <v>3602</v>
      </c>
      <c r="O356" s="5" t="s">
        <v>3886</v>
      </c>
      <c r="P356" s="5">
        <v>8873260</v>
      </c>
      <c r="Q356" s="5" t="s">
        <v>5008</v>
      </c>
      <c r="R356" s="5" t="s">
        <v>203</v>
      </c>
      <c r="S356" s="5" t="s">
        <v>444</v>
      </c>
      <c r="T356" s="5" t="s">
        <v>217</v>
      </c>
      <c r="U356" s="5" t="s">
        <v>207</v>
      </c>
      <c r="V356" s="5" t="s">
        <v>4972</v>
      </c>
      <c r="W356" s="5" t="s">
        <v>227</v>
      </c>
      <c r="X356" s="5" t="s">
        <v>413</v>
      </c>
      <c r="Y356" s="5" t="s">
        <v>1427</v>
      </c>
      <c r="Z356" s="5" t="s">
        <v>254</v>
      </c>
      <c r="AA356" s="5" t="s">
        <v>3729</v>
      </c>
      <c r="AB356" s="5" t="s">
        <v>3886</v>
      </c>
      <c r="AC356" s="5" t="s">
        <v>5009</v>
      </c>
      <c r="AD356" s="6">
        <v>45574</v>
      </c>
      <c r="AE356" s="6">
        <v>45961</v>
      </c>
      <c r="AF356" s="5"/>
    </row>
    <row r="357" spans="1:32" ht="326.25" customHeight="1" x14ac:dyDescent="0.3">
      <c r="A357" s="7">
        <v>3434591</v>
      </c>
      <c r="B357" s="7" t="s">
        <v>1303</v>
      </c>
      <c r="C357" s="7" t="s">
        <v>5010</v>
      </c>
      <c r="D357" s="7" t="s">
        <v>198</v>
      </c>
      <c r="E357" s="7" t="s">
        <v>203</v>
      </c>
      <c r="F357" s="7" t="s">
        <v>418</v>
      </c>
      <c r="G357" s="7" t="s">
        <v>208</v>
      </c>
      <c r="H357" s="7" t="s">
        <v>245</v>
      </c>
      <c r="I357" s="7" t="s">
        <v>1304</v>
      </c>
      <c r="J357" s="7" t="s">
        <v>227</v>
      </c>
      <c r="K357" s="7" t="s">
        <v>200</v>
      </c>
      <c r="L357" s="7" t="s">
        <v>1305</v>
      </c>
      <c r="M357" s="7" t="s">
        <v>1026</v>
      </c>
      <c r="N357" s="7" t="s">
        <v>3608</v>
      </c>
      <c r="O357" s="7" t="s">
        <v>4181</v>
      </c>
      <c r="P357" s="7">
        <v>5578485</v>
      </c>
      <c r="Q357" s="7" t="s">
        <v>5011</v>
      </c>
      <c r="R357" s="7" t="s">
        <v>203</v>
      </c>
      <c r="S357" s="7" t="s">
        <v>418</v>
      </c>
      <c r="T357" s="7" t="s">
        <v>208</v>
      </c>
      <c r="U357" s="7" t="s">
        <v>207</v>
      </c>
      <c r="V357" s="7" t="s">
        <v>5012</v>
      </c>
      <c r="W357" s="7" t="s">
        <v>227</v>
      </c>
      <c r="X357" s="7" t="s">
        <v>200</v>
      </c>
      <c r="Y357" s="7" t="s">
        <v>5013</v>
      </c>
      <c r="Z357" s="7" t="s">
        <v>5014</v>
      </c>
      <c r="AA357" s="7" t="s">
        <v>3612</v>
      </c>
      <c r="AB357" s="7" t="s">
        <v>3912</v>
      </c>
      <c r="AC357" s="7" t="s">
        <v>5015</v>
      </c>
      <c r="AD357" s="8">
        <v>45597</v>
      </c>
      <c r="AE357" s="8">
        <v>45717</v>
      </c>
      <c r="AF357" s="7" t="s">
        <v>3611</v>
      </c>
    </row>
    <row r="358" spans="1:32" ht="40.5" customHeight="1" x14ac:dyDescent="0.3">
      <c r="A358" s="5">
        <v>3955125</v>
      </c>
      <c r="B358" s="5" t="s">
        <v>1771</v>
      </c>
      <c r="C358" s="5" t="s">
        <v>5016</v>
      </c>
      <c r="D358" s="5" t="s">
        <v>862</v>
      </c>
      <c r="E358" s="5" t="s">
        <v>203</v>
      </c>
      <c r="F358" s="5" t="s">
        <v>418</v>
      </c>
      <c r="G358" s="5" t="s">
        <v>208</v>
      </c>
      <c r="H358" s="5" t="s">
        <v>245</v>
      </c>
      <c r="I358" s="5" t="s">
        <v>1772</v>
      </c>
      <c r="J358" s="5" t="s">
        <v>227</v>
      </c>
      <c r="K358" s="5" t="s">
        <v>200</v>
      </c>
      <c r="L358" s="5" t="s">
        <v>1773</v>
      </c>
      <c r="M358" s="5" t="s">
        <v>1774</v>
      </c>
      <c r="N358" s="5" t="s">
        <v>3608</v>
      </c>
      <c r="O358" s="5" t="s">
        <v>4181</v>
      </c>
      <c r="P358" s="5">
        <v>5348366</v>
      </c>
      <c r="Q358" s="5" t="s">
        <v>5017</v>
      </c>
      <c r="R358" s="5" t="s">
        <v>203</v>
      </c>
      <c r="S358" s="5" t="s">
        <v>418</v>
      </c>
      <c r="T358" s="5" t="s">
        <v>208</v>
      </c>
      <c r="U358" s="5" t="s">
        <v>207</v>
      </c>
      <c r="V358" s="5" t="s">
        <v>5018</v>
      </c>
      <c r="W358" s="5" t="s">
        <v>227</v>
      </c>
      <c r="X358" s="5" t="s">
        <v>200</v>
      </c>
      <c r="Y358" s="5" t="s">
        <v>1025</v>
      </c>
      <c r="Z358" s="5" t="s">
        <v>1542</v>
      </c>
      <c r="AA358" s="5" t="s">
        <v>3612</v>
      </c>
      <c r="AB358" s="5" t="s">
        <v>3711</v>
      </c>
      <c r="AC358" s="5" t="s">
        <v>5019</v>
      </c>
      <c r="AD358" s="6">
        <v>45555</v>
      </c>
      <c r="AE358" s="6">
        <v>45708</v>
      </c>
      <c r="AF358" s="5"/>
    </row>
    <row r="359" spans="1:32" ht="60.75" customHeight="1" x14ac:dyDescent="0.3">
      <c r="A359" s="7">
        <v>5391458</v>
      </c>
      <c r="B359" s="7" t="s">
        <v>3190</v>
      </c>
      <c r="C359" s="7" t="s">
        <v>5020</v>
      </c>
      <c r="D359" s="7" t="s">
        <v>1351</v>
      </c>
      <c r="E359" s="7" t="s">
        <v>203</v>
      </c>
      <c r="F359" s="7" t="s">
        <v>234</v>
      </c>
      <c r="G359" s="7" t="s">
        <v>208</v>
      </c>
      <c r="H359" s="7" t="s">
        <v>207</v>
      </c>
      <c r="I359" s="7" t="s">
        <v>3191</v>
      </c>
      <c r="J359" s="7" t="s">
        <v>227</v>
      </c>
      <c r="K359" s="7" t="s">
        <v>200</v>
      </c>
      <c r="L359" s="7" t="s">
        <v>1699</v>
      </c>
      <c r="M359" s="7" t="s">
        <v>2570</v>
      </c>
      <c r="N359" s="7" t="s">
        <v>3612</v>
      </c>
      <c r="O359" s="7" t="s">
        <v>3763</v>
      </c>
      <c r="P359" s="7">
        <v>5512026</v>
      </c>
      <c r="Q359" s="7" t="s">
        <v>5021</v>
      </c>
      <c r="R359" s="7" t="s">
        <v>737</v>
      </c>
      <c r="S359" s="7" t="s">
        <v>234</v>
      </c>
      <c r="T359" s="7" t="s">
        <v>217</v>
      </c>
      <c r="U359" s="7" t="s">
        <v>207</v>
      </c>
      <c r="V359" s="7" t="s">
        <v>4690</v>
      </c>
      <c r="W359" s="7" t="s">
        <v>227</v>
      </c>
      <c r="X359" s="7" t="s">
        <v>200</v>
      </c>
      <c r="Y359" s="7" t="s">
        <v>4691</v>
      </c>
      <c r="Z359" s="7" t="s">
        <v>2063</v>
      </c>
      <c r="AA359" s="7" t="s">
        <v>3612</v>
      </c>
      <c r="AB359" s="7" t="s">
        <v>3635</v>
      </c>
      <c r="AC359" s="7" t="s">
        <v>5022</v>
      </c>
      <c r="AD359" s="8">
        <v>45597</v>
      </c>
      <c r="AE359" s="7"/>
      <c r="AF359" s="7"/>
    </row>
    <row r="360" spans="1:32" ht="40.5" customHeight="1" x14ac:dyDescent="0.3">
      <c r="A360" s="5">
        <v>4735897</v>
      </c>
      <c r="B360" s="5" t="s">
        <v>2079</v>
      </c>
      <c r="C360" s="5" t="s">
        <v>5023</v>
      </c>
      <c r="D360" s="5" t="s">
        <v>862</v>
      </c>
      <c r="E360" s="5" t="s">
        <v>203</v>
      </c>
      <c r="F360" s="5" t="s">
        <v>433</v>
      </c>
      <c r="G360" s="5" t="s">
        <v>208</v>
      </c>
      <c r="H360" s="5" t="s">
        <v>207</v>
      </c>
      <c r="I360" s="5" t="s">
        <v>1345</v>
      </c>
      <c r="J360" s="5" t="s">
        <v>227</v>
      </c>
      <c r="K360" s="5" t="s">
        <v>413</v>
      </c>
      <c r="L360" s="5" t="s">
        <v>1346</v>
      </c>
      <c r="M360" s="5" t="s">
        <v>422</v>
      </c>
      <c r="N360" s="5" t="s">
        <v>3608</v>
      </c>
      <c r="O360" s="5" t="s">
        <v>3886</v>
      </c>
      <c r="P360" s="5">
        <v>5335280</v>
      </c>
      <c r="Q360" s="5" t="s">
        <v>5024</v>
      </c>
      <c r="R360" s="5" t="s">
        <v>203</v>
      </c>
      <c r="S360" s="5" t="s">
        <v>418</v>
      </c>
      <c r="T360" s="5" t="s">
        <v>217</v>
      </c>
      <c r="U360" s="5" t="s">
        <v>207</v>
      </c>
      <c r="V360" s="5" t="s">
        <v>1426</v>
      </c>
      <c r="W360" s="5" t="s">
        <v>227</v>
      </c>
      <c r="X360" s="5" t="s">
        <v>413</v>
      </c>
      <c r="Y360" s="5" t="s">
        <v>1427</v>
      </c>
      <c r="Z360" s="5" t="s">
        <v>1428</v>
      </c>
      <c r="AA360" s="5" t="s">
        <v>3623</v>
      </c>
      <c r="AB360" s="5" t="s">
        <v>3886</v>
      </c>
      <c r="AC360" s="5" t="s">
        <v>5025</v>
      </c>
      <c r="AD360" s="6">
        <v>45581</v>
      </c>
      <c r="AE360" s="6">
        <v>46022</v>
      </c>
      <c r="AF360" s="5"/>
    </row>
    <row r="361" spans="1:32" ht="40.5" customHeight="1" x14ac:dyDescent="0.3">
      <c r="A361" s="7">
        <v>4527798</v>
      </c>
      <c r="B361" s="7" t="s">
        <v>1816</v>
      </c>
      <c r="C361" s="7" t="s">
        <v>5004</v>
      </c>
      <c r="D361" s="7" t="s">
        <v>693</v>
      </c>
      <c r="E361" s="7" t="s">
        <v>203</v>
      </c>
      <c r="F361" s="7" t="s">
        <v>433</v>
      </c>
      <c r="G361" s="7" t="s">
        <v>208</v>
      </c>
      <c r="H361" s="7" t="s">
        <v>245</v>
      </c>
      <c r="I361" s="7" t="s">
        <v>694</v>
      </c>
      <c r="J361" s="7" t="s">
        <v>227</v>
      </c>
      <c r="K361" s="7" t="s">
        <v>413</v>
      </c>
      <c r="L361" s="7" t="s">
        <v>695</v>
      </c>
      <c r="M361" s="7" t="s">
        <v>1817</v>
      </c>
      <c r="N361" s="7" t="s">
        <v>3608</v>
      </c>
      <c r="O361" s="7" t="s">
        <v>3886</v>
      </c>
      <c r="P361" s="7">
        <v>5632838</v>
      </c>
      <c r="Q361" s="7" t="s">
        <v>5026</v>
      </c>
      <c r="R361" s="7"/>
      <c r="S361" s="7" t="s">
        <v>234</v>
      </c>
      <c r="T361" s="7" t="s">
        <v>208</v>
      </c>
      <c r="U361" s="7" t="s">
        <v>207</v>
      </c>
      <c r="V361" s="7"/>
      <c r="W361" s="7" t="s">
        <v>227</v>
      </c>
      <c r="X361" s="7"/>
      <c r="Y361" s="7"/>
      <c r="Z361" s="7"/>
      <c r="AA361" s="7" t="s">
        <v>3729</v>
      </c>
      <c r="AB361" s="7"/>
      <c r="AC361" s="7" t="s">
        <v>5027</v>
      </c>
      <c r="AD361" s="8">
        <v>45566</v>
      </c>
      <c r="AE361" s="8">
        <v>45931</v>
      </c>
      <c r="AF361" s="7"/>
    </row>
    <row r="362" spans="1:32" ht="30" customHeight="1" x14ac:dyDescent="0.3">
      <c r="A362" s="5">
        <v>4519523</v>
      </c>
      <c r="B362" s="5" t="s">
        <v>1795</v>
      </c>
      <c r="C362" s="5" t="s">
        <v>5028</v>
      </c>
      <c r="D362" s="5" t="s">
        <v>693</v>
      </c>
      <c r="E362" s="5" t="s">
        <v>203</v>
      </c>
      <c r="F362" s="5" t="s">
        <v>433</v>
      </c>
      <c r="G362" s="5" t="s">
        <v>208</v>
      </c>
      <c r="H362" s="5" t="s">
        <v>233</v>
      </c>
      <c r="I362" s="5" t="s">
        <v>1335</v>
      </c>
      <c r="J362" s="5" t="s">
        <v>227</v>
      </c>
      <c r="K362" s="5" t="s">
        <v>413</v>
      </c>
      <c r="L362" s="5" t="s">
        <v>1346</v>
      </c>
      <c r="M362" s="5" t="s">
        <v>1337</v>
      </c>
      <c r="N362" s="5" t="s">
        <v>3652</v>
      </c>
      <c r="O362" s="5" t="s">
        <v>3886</v>
      </c>
      <c r="P362" s="5">
        <v>5100038</v>
      </c>
      <c r="Q362" s="5" t="s">
        <v>5029</v>
      </c>
      <c r="R362" s="5" t="s">
        <v>203</v>
      </c>
      <c r="S362" s="5" t="s">
        <v>234</v>
      </c>
      <c r="T362" s="5" t="s">
        <v>217</v>
      </c>
      <c r="U362" s="5" t="s">
        <v>207</v>
      </c>
      <c r="V362" s="5" t="s">
        <v>5030</v>
      </c>
      <c r="W362" s="5" t="s">
        <v>227</v>
      </c>
      <c r="X362" s="5" t="s">
        <v>200</v>
      </c>
      <c r="Y362" s="5" t="s">
        <v>5031</v>
      </c>
      <c r="Z362" s="5" t="s">
        <v>5032</v>
      </c>
      <c r="AA362" s="5" t="s">
        <v>3623</v>
      </c>
      <c r="AB362" s="5" t="s">
        <v>3763</v>
      </c>
      <c r="AC362" s="5" t="s">
        <v>5033</v>
      </c>
      <c r="AD362" s="6">
        <v>45579</v>
      </c>
      <c r="AE362" s="6">
        <v>45930</v>
      </c>
      <c r="AF362" s="5"/>
    </row>
    <row r="363" spans="1:32" ht="30" customHeight="1" x14ac:dyDescent="0.3">
      <c r="A363" s="7">
        <v>3455920</v>
      </c>
      <c r="B363" s="7" t="s">
        <v>1334</v>
      </c>
      <c r="C363" s="7" t="s">
        <v>5004</v>
      </c>
      <c r="D363" s="7" t="s">
        <v>693</v>
      </c>
      <c r="E363" s="7" t="s">
        <v>203</v>
      </c>
      <c r="F363" s="7" t="s">
        <v>234</v>
      </c>
      <c r="G363" s="7" t="s">
        <v>217</v>
      </c>
      <c r="H363" s="7" t="s">
        <v>233</v>
      </c>
      <c r="I363" s="7" t="s">
        <v>1335</v>
      </c>
      <c r="J363" s="7" t="s">
        <v>227</v>
      </c>
      <c r="K363" s="7" t="s">
        <v>413</v>
      </c>
      <c r="L363" s="7" t="s">
        <v>1336</v>
      </c>
      <c r="M363" s="7" t="s">
        <v>1337</v>
      </c>
      <c r="N363" s="7" t="s">
        <v>3602</v>
      </c>
      <c r="O363" s="7" t="s">
        <v>3886</v>
      </c>
      <c r="P363" s="7">
        <v>5640555</v>
      </c>
      <c r="Q363" s="7" t="s">
        <v>5034</v>
      </c>
      <c r="R363" s="7" t="s">
        <v>203</v>
      </c>
      <c r="S363" s="7" t="s">
        <v>234</v>
      </c>
      <c r="T363" s="7" t="s">
        <v>217</v>
      </c>
      <c r="U363" s="7" t="s">
        <v>207</v>
      </c>
      <c r="V363" s="7" t="s">
        <v>4972</v>
      </c>
      <c r="W363" s="7" t="s">
        <v>227</v>
      </c>
      <c r="X363" s="7" t="s">
        <v>413</v>
      </c>
      <c r="Y363" s="7" t="s">
        <v>1427</v>
      </c>
      <c r="Z363" s="7" t="s">
        <v>254</v>
      </c>
      <c r="AA363" s="7" t="s">
        <v>3732</v>
      </c>
      <c r="AB363" s="7" t="s">
        <v>3886</v>
      </c>
      <c r="AC363" s="7" t="s">
        <v>5035</v>
      </c>
      <c r="AD363" s="8">
        <v>45566</v>
      </c>
      <c r="AE363" s="8">
        <v>45931</v>
      </c>
      <c r="AF363" s="7"/>
    </row>
    <row r="364" spans="1:32" ht="40.5" customHeight="1" x14ac:dyDescent="0.3">
      <c r="A364" s="5">
        <v>4526058</v>
      </c>
      <c r="B364" s="5" t="s">
        <v>1811</v>
      </c>
      <c r="C364" s="5" t="s">
        <v>5028</v>
      </c>
      <c r="D364" s="5" t="s">
        <v>693</v>
      </c>
      <c r="E364" s="5" t="s">
        <v>203</v>
      </c>
      <c r="F364" s="5" t="s">
        <v>433</v>
      </c>
      <c r="G364" s="5" t="s">
        <v>208</v>
      </c>
      <c r="H364" s="5" t="s">
        <v>233</v>
      </c>
      <c r="I364" s="5" t="s">
        <v>1335</v>
      </c>
      <c r="J364" s="5" t="s">
        <v>227</v>
      </c>
      <c r="K364" s="5" t="s">
        <v>413</v>
      </c>
      <c r="L364" s="5" t="s">
        <v>1521</v>
      </c>
      <c r="M364" s="5" t="s">
        <v>1423</v>
      </c>
      <c r="N364" s="5" t="s">
        <v>3602</v>
      </c>
      <c r="O364" s="5" t="s">
        <v>3886</v>
      </c>
      <c r="P364" s="5">
        <v>5389984</v>
      </c>
      <c r="Q364" s="5" t="s">
        <v>5036</v>
      </c>
      <c r="R364" s="5" t="s">
        <v>203</v>
      </c>
      <c r="S364" s="5" t="s">
        <v>234</v>
      </c>
      <c r="T364" s="5" t="s">
        <v>217</v>
      </c>
      <c r="U364" s="5" t="s">
        <v>207</v>
      </c>
      <c r="V364" s="5" t="s">
        <v>5037</v>
      </c>
      <c r="W364" s="5" t="s">
        <v>227</v>
      </c>
      <c r="X364" s="5" t="s">
        <v>413</v>
      </c>
      <c r="Y364" s="5" t="s">
        <v>2718</v>
      </c>
      <c r="Z364" s="5" t="s">
        <v>2551</v>
      </c>
      <c r="AA364" s="5" t="s">
        <v>3612</v>
      </c>
      <c r="AB364" s="5" t="s">
        <v>3928</v>
      </c>
      <c r="AC364" s="5" t="s">
        <v>5038</v>
      </c>
      <c r="AD364" s="6">
        <v>45566</v>
      </c>
      <c r="AE364" s="6">
        <v>45931</v>
      </c>
      <c r="AF364" s="5"/>
    </row>
    <row r="365" spans="1:32" ht="40.5" customHeight="1" x14ac:dyDescent="0.3">
      <c r="A365" s="7">
        <v>3259803</v>
      </c>
      <c r="B365" s="7" t="s">
        <v>692</v>
      </c>
      <c r="C365" s="7" t="s">
        <v>5004</v>
      </c>
      <c r="D365" s="7" t="s">
        <v>693</v>
      </c>
      <c r="E365" s="7" t="s">
        <v>203</v>
      </c>
      <c r="F365" s="7" t="s">
        <v>433</v>
      </c>
      <c r="G365" s="7" t="s">
        <v>208</v>
      </c>
      <c r="H365" s="7" t="s">
        <v>245</v>
      </c>
      <c r="I365" s="7" t="s">
        <v>694</v>
      </c>
      <c r="J365" s="7" t="s">
        <v>227</v>
      </c>
      <c r="K365" s="7" t="s">
        <v>413</v>
      </c>
      <c r="L365" s="7" t="s">
        <v>695</v>
      </c>
      <c r="M365" s="7" t="s">
        <v>422</v>
      </c>
      <c r="N365" s="7" t="s">
        <v>3602</v>
      </c>
      <c r="O365" s="7" t="s">
        <v>3886</v>
      </c>
      <c r="P365" s="7">
        <v>5091853</v>
      </c>
      <c r="Q365" s="7" t="s">
        <v>5039</v>
      </c>
      <c r="R365" s="7"/>
      <c r="S365" s="7" t="s">
        <v>234</v>
      </c>
      <c r="T365" s="7" t="s">
        <v>217</v>
      </c>
      <c r="U365" s="7" t="s">
        <v>207</v>
      </c>
      <c r="V365" s="7"/>
      <c r="W365" s="7" t="s">
        <v>403</v>
      </c>
      <c r="X365" s="7"/>
      <c r="Y365" s="7"/>
      <c r="Z365" s="7"/>
      <c r="AA365" s="7" t="s">
        <v>3732</v>
      </c>
      <c r="AB365" s="7"/>
      <c r="AC365" s="7" t="s">
        <v>5040</v>
      </c>
      <c r="AD365" s="8">
        <v>45566</v>
      </c>
      <c r="AE365" s="8">
        <v>45566</v>
      </c>
      <c r="AF365" s="7"/>
    </row>
    <row r="366" spans="1:32" ht="30" customHeight="1" x14ac:dyDescent="0.3">
      <c r="A366" s="5">
        <v>4521250</v>
      </c>
      <c r="B366" s="5" t="s">
        <v>1801</v>
      </c>
      <c r="C366" s="5" t="s">
        <v>5028</v>
      </c>
      <c r="D366" s="5" t="s">
        <v>693</v>
      </c>
      <c r="E366" s="5" t="s">
        <v>203</v>
      </c>
      <c r="F366" s="5" t="s">
        <v>433</v>
      </c>
      <c r="G366" s="5" t="s">
        <v>208</v>
      </c>
      <c r="H366" s="5" t="s">
        <v>233</v>
      </c>
      <c r="I366" s="5" t="s">
        <v>1335</v>
      </c>
      <c r="J366" s="5" t="s">
        <v>227</v>
      </c>
      <c r="K366" s="5" t="s">
        <v>413</v>
      </c>
      <c r="L366" s="5" t="s">
        <v>1346</v>
      </c>
      <c r="M366" s="5" t="s">
        <v>1337</v>
      </c>
      <c r="N366" s="5" t="s">
        <v>3652</v>
      </c>
      <c r="O366" s="5" t="s">
        <v>3886</v>
      </c>
      <c r="P366" s="5">
        <v>5335795</v>
      </c>
      <c r="Q366" s="5" t="s">
        <v>5041</v>
      </c>
      <c r="R366" s="5" t="s">
        <v>203</v>
      </c>
      <c r="S366" s="5" t="s">
        <v>433</v>
      </c>
      <c r="T366" s="5" t="s">
        <v>208</v>
      </c>
      <c r="U366" s="5" t="s">
        <v>207</v>
      </c>
      <c r="V366" s="5" t="s">
        <v>5042</v>
      </c>
      <c r="W366" s="5" t="s">
        <v>227</v>
      </c>
      <c r="X366" s="5" t="s">
        <v>413</v>
      </c>
      <c r="Y366" s="5" t="s">
        <v>1427</v>
      </c>
      <c r="Z366" s="5" t="s">
        <v>254</v>
      </c>
      <c r="AA366" s="5" t="s">
        <v>3623</v>
      </c>
      <c r="AB366" s="5" t="s">
        <v>3886</v>
      </c>
      <c r="AC366" s="5" t="s">
        <v>5043</v>
      </c>
      <c r="AD366" s="6">
        <v>45566</v>
      </c>
      <c r="AE366" s="6">
        <v>45931</v>
      </c>
      <c r="AF366" s="5"/>
    </row>
    <row r="367" spans="1:32" ht="193.5" customHeight="1" x14ac:dyDescent="0.3">
      <c r="A367" s="7">
        <v>2694972</v>
      </c>
      <c r="B367" s="7" t="s">
        <v>566</v>
      </c>
      <c r="C367" s="7" t="s">
        <v>5044</v>
      </c>
      <c r="D367" s="7" t="s">
        <v>198</v>
      </c>
      <c r="E367" s="7" t="s">
        <v>203</v>
      </c>
      <c r="F367" s="7" t="s">
        <v>433</v>
      </c>
      <c r="G367" s="7" t="s">
        <v>208</v>
      </c>
      <c r="H367" s="7" t="s">
        <v>245</v>
      </c>
      <c r="I367" s="7" t="s">
        <v>567</v>
      </c>
      <c r="J367" s="7" t="s">
        <v>227</v>
      </c>
      <c r="K367" s="7" t="s">
        <v>200</v>
      </c>
      <c r="L367" s="7" t="s">
        <v>568</v>
      </c>
      <c r="M367" s="7" t="s">
        <v>569</v>
      </c>
      <c r="N367" s="7" t="s">
        <v>3652</v>
      </c>
      <c r="O367" s="7" t="s">
        <v>3960</v>
      </c>
      <c r="P367" s="7">
        <v>4975189</v>
      </c>
      <c r="Q367" s="7" t="s">
        <v>5045</v>
      </c>
      <c r="R367" s="7" t="s">
        <v>203</v>
      </c>
      <c r="S367" s="7" t="s">
        <v>234</v>
      </c>
      <c r="T367" s="7" t="s">
        <v>217</v>
      </c>
      <c r="U367" s="7" t="s">
        <v>207</v>
      </c>
      <c r="V367" s="7" t="s">
        <v>2281</v>
      </c>
      <c r="W367" s="7" t="s">
        <v>227</v>
      </c>
      <c r="X367" s="7" t="s">
        <v>200</v>
      </c>
      <c r="Y367" s="7" t="s">
        <v>2282</v>
      </c>
      <c r="Z367" s="7" t="s">
        <v>2033</v>
      </c>
      <c r="AA367" s="7" t="s">
        <v>3612</v>
      </c>
      <c r="AB367" s="7" t="s">
        <v>3960</v>
      </c>
      <c r="AC367" s="7" t="s">
        <v>5046</v>
      </c>
      <c r="AD367" s="8">
        <v>45658</v>
      </c>
      <c r="AE367" s="7"/>
      <c r="AF367" s="7"/>
    </row>
    <row r="368" spans="1:32" ht="30" customHeight="1" x14ac:dyDescent="0.3">
      <c r="A368" s="5">
        <v>4519523</v>
      </c>
      <c r="B368" s="5" t="s">
        <v>1795</v>
      </c>
      <c r="C368" s="5" t="s">
        <v>5028</v>
      </c>
      <c r="D368" s="5" t="s">
        <v>693</v>
      </c>
      <c r="E368" s="5" t="s">
        <v>203</v>
      </c>
      <c r="F368" s="5" t="s">
        <v>433</v>
      </c>
      <c r="G368" s="5" t="s">
        <v>208</v>
      </c>
      <c r="H368" s="5" t="s">
        <v>233</v>
      </c>
      <c r="I368" s="5" t="s">
        <v>1335</v>
      </c>
      <c r="J368" s="5" t="s">
        <v>227</v>
      </c>
      <c r="K368" s="5" t="s">
        <v>413</v>
      </c>
      <c r="L368" s="5" t="s">
        <v>1346</v>
      </c>
      <c r="M368" s="5" t="s">
        <v>1337</v>
      </c>
      <c r="N368" s="5" t="s">
        <v>3652</v>
      </c>
      <c r="O368" s="5" t="s">
        <v>3886</v>
      </c>
      <c r="P368" s="5">
        <v>5493862</v>
      </c>
      <c r="Q368" s="5" t="s">
        <v>5047</v>
      </c>
      <c r="R368" s="5" t="s">
        <v>203</v>
      </c>
      <c r="S368" s="5" t="s">
        <v>234</v>
      </c>
      <c r="T368" s="5" t="s">
        <v>208</v>
      </c>
      <c r="U368" s="5" t="s">
        <v>2330</v>
      </c>
      <c r="V368" s="5" t="s">
        <v>5048</v>
      </c>
      <c r="W368" s="5" t="s">
        <v>227</v>
      </c>
      <c r="X368" s="5" t="s">
        <v>413</v>
      </c>
      <c r="Y368" s="5" t="s">
        <v>1427</v>
      </c>
      <c r="Z368" s="5" t="s">
        <v>254</v>
      </c>
      <c r="AA368" s="5" t="s">
        <v>3732</v>
      </c>
      <c r="AB368" s="5" t="s">
        <v>3886</v>
      </c>
      <c r="AC368" s="5" t="s">
        <v>5049</v>
      </c>
      <c r="AD368" s="6">
        <v>45579</v>
      </c>
      <c r="AE368" s="6">
        <v>45930</v>
      </c>
      <c r="AF368" s="5"/>
    </row>
    <row r="369" spans="1:32" ht="40.5" customHeight="1" x14ac:dyDescent="0.3">
      <c r="A369" s="7">
        <v>4521250</v>
      </c>
      <c r="B369" s="7" t="s">
        <v>1801</v>
      </c>
      <c r="C369" s="7" t="s">
        <v>5028</v>
      </c>
      <c r="D369" s="7" t="s">
        <v>693</v>
      </c>
      <c r="E369" s="7" t="s">
        <v>203</v>
      </c>
      <c r="F369" s="7" t="s">
        <v>433</v>
      </c>
      <c r="G369" s="7" t="s">
        <v>208</v>
      </c>
      <c r="H369" s="7" t="s">
        <v>233</v>
      </c>
      <c r="I369" s="7" t="s">
        <v>1335</v>
      </c>
      <c r="J369" s="7" t="s">
        <v>227</v>
      </c>
      <c r="K369" s="7" t="s">
        <v>413</v>
      </c>
      <c r="L369" s="7" t="s">
        <v>1346</v>
      </c>
      <c r="M369" s="7" t="s">
        <v>1337</v>
      </c>
      <c r="N369" s="7" t="s">
        <v>3652</v>
      </c>
      <c r="O369" s="7" t="s">
        <v>3886</v>
      </c>
      <c r="P369" s="7">
        <v>5400430</v>
      </c>
      <c r="Q369" s="7" t="s">
        <v>5050</v>
      </c>
      <c r="R369" s="7"/>
      <c r="S369" s="7" t="s">
        <v>234</v>
      </c>
      <c r="T369" s="7" t="s">
        <v>217</v>
      </c>
      <c r="U369" s="7" t="s">
        <v>207</v>
      </c>
      <c r="V369" s="7"/>
      <c r="W369" s="7" t="s">
        <v>227</v>
      </c>
      <c r="X369" s="7"/>
      <c r="Y369" s="7"/>
      <c r="Z369" s="7"/>
      <c r="AA369" s="7" t="s">
        <v>3612</v>
      </c>
      <c r="AB369" s="7"/>
      <c r="AC369" s="7" t="s">
        <v>5051</v>
      </c>
      <c r="AD369" s="8">
        <v>45566</v>
      </c>
      <c r="AE369" s="8">
        <v>45931</v>
      </c>
      <c r="AF369" s="7"/>
    </row>
    <row r="370" spans="1:32" ht="40.5" customHeight="1" x14ac:dyDescent="0.3">
      <c r="A370" s="5">
        <v>4516850</v>
      </c>
      <c r="B370" s="5" t="s">
        <v>1788</v>
      </c>
      <c r="C370" s="5"/>
      <c r="D370" s="5" t="s">
        <v>693</v>
      </c>
      <c r="E370" s="5" t="s">
        <v>203</v>
      </c>
      <c r="F370" s="5" t="s">
        <v>433</v>
      </c>
      <c r="G370" s="5" t="s">
        <v>208</v>
      </c>
      <c r="H370" s="5" t="s">
        <v>233</v>
      </c>
      <c r="I370" s="5" t="s">
        <v>1789</v>
      </c>
      <c r="J370" s="5" t="s">
        <v>227</v>
      </c>
      <c r="K370" s="5" t="s">
        <v>413</v>
      </c>
      <c r="L370" s="5" t="s">
        <v>1790</v>
      </c>
      <c r="M370" s="5" t="s">
        <v>1791</v>
      </c>
      <c r="N370" s="5" t="s">
        <v>3652</v>
      </c>
      <c r="O370" s="5" t="s">
        <v>3603</v>
      </c>
      <c r="P370" s="5">
        <v>4874129</v>
      </c>
      <c r="Q370" s="5" t="s">
        <v>5052</v>
      </c>
      <c r="R370" s="5" t="s">
        <v>203</v>
      </c>
      <c r="S370" s="5" t="s">
        <v>444</v>
      </c>
      <c r="T370" s="5" t="s">
        <v>208</v>
      </c>
      <c r="U370" s="5" t="s">
        <v>207</v>
      </c>
      <c r="V370" s="5" t="s">
        <v>1518</v>
      </c>
      <c r="W370" s="5" t="s">
        <v>227</v>
      </c>
      <c r="X370" s="5" t="s">
        <v>413</v>
      </c>
      <c r="Y370" s="5" t="s">
        <v>1427</v>
      </c>
      <c r="Z370" s="5" t="s">
        <v>1428</v>
      </c>
      <c r="AA370" s="5" t="s">
        <v>3623</v>
      </c>
      <c r="AB370" s="5" t="s">
        <v>3886</v>
      </c>
      <c r="AC370" s="5" t="s">
        <v>5053</v>
      </c>
      <c r="AD370" s="6">
        <v>45566</v>
      </c>
      <c r="AE370" s="6">
        <v>45931</v>
      </c>
      <c r="AF370" s="5"/>
    </row>
    <row r="371" spans="1:32" ht="30" customHeight="1" x14ac:dyDescent="0.3">
      <c r="A371" s="7">
        <v>4632303</v>
      </c>
      <c r="B371" s="7" t="s">
        <v>1905</v>
      </c>
      <c r="C371" s="7" t="s">
        <v>5004</v>
      </c>
      <c r="D371" s="7" t="s">
        <v>693</v>
      </c>
      <c r="E371" s="7" t="s">
        <v>203</v>
      </c>
      <c r="F371" s="7" t="s">
        <v>433</v>
      </c>
      <c r="G371" s="7" t="s">
        <v>208</v>
      </c>
      <c r="H371" s="7" t="s">
        <v>245</v>
      </c>
      <c r="I371" s="7" t="s">
        <v>1335</v>
      </c>
      <c r="J371" s="7" t="s">
        <v>227</v>
      </c>
      <c r="K371" s="7" t="s">
        <v>413</v>
      </c>
      <c r="L371" s="7" t="s">
        <v>1521</v>
      </c>
      <c r="M371" s="7" t="s">
        <v>1423</v>
      </c>
      <c r="N371" s="7" t="s">
        <v>3608</v>
      </c>
      <c r="O371" s="7" t="s">
        <v>3886</v>
      </c>
      <c r="P371" s="7">
        <v>5132649</v>
      </c>
      <c r="Q371" s="7" t="s">
        <v>5054</v>
      </c>
      <c r="R371" s="7"/>
      <c r="S371" s="7"/>
      <c r="T371" s="7" t="s">
        <v>208</v>
      </c>
      <c r="U371" s="7" t="s">
        <v>207</v>
      </c>
      <c r="V371" s="7" t="s">
        <v>5055</v>
      </c>
      <c r="W371" s="7" t="s">
        <v>5056</v>
      </c>
      <c r="X371" s="7" t="s">
        <v>413</v>
      </c>
      <c r="Y371" s="7" t="s">
        <v>5057</v>
      </c>
      <c r="Z371" s="7" t="s">
        <v>5058</v>
      </c>
      <c r="AA371" s="7" t="s">
        <v>3623</v>
      </c>
      <c r="AB371" s="7" t="s">
        <v>3886</v>
      </c>
      <c r="AC371" s="7" t="s">
        <v>5059</v>
      </c>
      <c r="AD371" s="8">
        <v>45566</v>
      </c>
      <c r="AE371" s="8">
        <v>45931</v>
      </c>
      <c r="AF371" s="7"/>
    </row>
    <row r="372" spans="1:32" ht="40.5" customHeight="1" x14ac:dyDescent="0.3">
      <c r="A372" s="5">
        <v>5186838</v>
      </c>
      <c r="B372" s="5" t="s">
        <v>2877</v>
      </c>
      <c r="C372" s="5" t="s">
        <v>5060</v>
      </c>
      <c r="D372" s="5" t="s">
        <v>354</v>
      </c>
      <c r="E372" s="5" t="s">
        <v>737</v>
      </c>
      <c r="F372" s="5" t="s">
        <v>234</v>
      </c>
      <c r="G372" s="5" t="s">
        <v>208</v>
      </c>
      <c r="H372" s="5" t="s">
        <v>207</v>
      </c>
      <c r="I372" s="5" t="s">
        <v>2878</v>
      </c>
      <c r="J372" s="5" t="s">
        <v>227</v>
      </c>
      <c r="K372" s="5" t="s">
        <v>200</v>
      </c>
      <c r="L372" s="5" t="s">
        <v>2336</v>
      </c>
      <c r="M372" s="5" t="s">
        <v>1692</v>
      </c>
      <c r="N372" s="5" t="s">
        <v>3623</v>
      </c>
      <c r="O372" s="5" t="s">
        <v>3763</v>
      </c>
      <c r="P372" s="5">
        <v>5330475</v>
      </c>
      <c r="Q372" s="5" t="s">
        <v>5061</v>
      </c>
      <c r="R372" s="5"/>
      <c r="S372" s="5" t="s">
        <v>418</v>
      </c>
      <c r="T372" s="5" t="s">
        <v>208</v>
      </c>
      <c r="U372" s="5" t="s">
        <v>207</v>
      </c>
      <c r="V372" s="5"/>
      <c r="W372" s="5" t="s">
        <v>227</v>
      </c>
      <c r="X372" s="5"/>
      <c r="Y372" s="5"/>
      <c r="Z372" s="5"/>
      <c r="AA372" s="5" t="s">
        <v>3612</v>
      </c>
      <c r="AB372" s="5"/>
      <c r="AC372" s="5" t="s">
        <v>5062</v>
      </c>
      <c r="AD372" s="6">
        <v>45566</v>
      </c>
      <c r="AE372" s="6">
        <v>45838</v>
      </c>
      <c r="AF372" s="5"/>
    </row>
    <row r="373" spans="1:32" ht="30" customHeight="1" x14ac:dyDescent="0.3">
      <c r="A373" s="7">
        <v>2098423</v>
      </c>
      <c r="B373" s="7" t="s">
        <v>908</v>
      </c>
      <c r="C373" s="7" t="s">
        <v>5063</v>
      </c>
      <c r="D373" s="7" t="s">
        <v>354</v>
      </c>
      <c r="E373" s="7" t="s">
        <v>203</v>
      </c>
      <c r="F373" s="7" t="s">
        <v>444</v>
      </c>
      <c r="G373" s="7" t="s">
        <v>217</v>
      </c>
      <c r="H373" s="7" t="s">
        <v>233</v>
      </c>
      <c r="I373" s="7" t="s">
        <v>909</v>
      </c>
      <c r="J373" s="7" t="s">
        <v>227</v>
      </c>
      <c r="K373" s="7" t="s">
        <v>413</v>
      </c>
      <c r="L373" s="7" t="s">
        <v>910</v>
      </c>
      <c r="M373" s="7" t="s">
        <v>911</v>
      </c>
      <c r="N373" s="7" t="s">
        <v>3602</v>
      </c>
      <c r="O373" s="7" t="s">
        <v>3763</v>
      </c>
      <c r="P373" s="7">
        <v>3798305</v>
      </c>
      <c r="Q373" s="7" t="s">
        <v>5064</v>
      </c>
      <c r="R373" s="7" t="s">
        <v>203</v>
      </c>
      <c r="S373" s="7" t="s">
        <v>418</v>
      </c>
      <c r="T373" s="7" t="s">
        <v>217</v>
      </c>
      <c r="U373" s="7" t="s">
        <v>207</v>
      </c>
      <c r="V373" s="7" t="s">
        <v>5065</v>
      </c>
      <c r="W373" s="7" t="s">
        <v>227</v>
      </c>
      <c r="X373" s="7" t="s">
        <v>200</v>
      </c>
      <c r="Y373" s="7" t="s">
        <v>869</v>
      </c>
      <c r="Z373" s="7" t="s">
        <v>1067</v>
      </c>
      <c r="AA373" s="7" t="s">
        <v>3608</v>
      </c>
      <c r="AB373" s="7" t="s">
        <v>3715</v>
      </c>
      <c r="AC373" s="7" t="s">
        <v>5066</v>
      </c>
      <c r="AD373" s="8">
        <v>45587</v>
      </c>
      <c r="AE373" s="7"/>
      <c r="AF373" s="7"/>
    </row>
    <row r="374" spans="1:32" ht="40.5" customHeight="1" x14ac:dyDescent="0.3">
      <c r="A374" s="5">
        <v>4735897</v>
      </c>
      <c r="B374" s="5" t="s">
        <v>2079</v>
      </c>
      <c r="C374" s="5" t="s">
        <v>5004</v>
      </c>
      <c r="D374" s="5" t="s">
        <v>693</v>
      </c>
      <c r="E374" s="5" t="s">
        <v>203</v>
      </c>
      <c r="F374" s="5" t="s">
        <v>433</v>
      </c>
      <c r="G374" s="5" t="s">
        <v>208</v>
      </c>
      <c r="H374" s="5" t="s">
        <v>207</v>
      </c>
      <c r="I374" s="5" t="s">
        <v>1345</v>
      </c>
      <c r="J374" s="5" t="s">
        <v>227</v>
      </c>
      <c r="K374" s="5" t="s">
        <v>413</v>
      </c>
      <c r="L374" s="5" t="s">
        <v>1346</v>
      </c>
      <c r="M374" s="5" t="s">
        <v>422</v>
      </c>
      <c r="N374" s="5" t="s">
        <v>3608</v>
      </c>
      <c r="O374" s="5" t="s">
        <v>3886</v>
      </c>
      <c r="P374" s="5">
        <v>5335280</v>
      </c>
      <c r="Q374" s="5" t="s">
        <v>5024</v>
      </c>
      <c r="R374" s="5" t="s">
        <v>203</v>
      </c>
      <c r="S374" s="5" t="s">
        <v>418</v>
      </c>
      <c r="T374" s="5" t="s">
        <v>217</v>
      </c>
      <c r="U374" s="5" t="s">
        <v>207</v>
      </c>
      <c r="V374" s="5" t="s">
        <v>1426</v>
      </c>
      <c r="W374" s="5" t="s">
        <v>227</v>
      </c>
      <c r="X374" s="5" t="s">
        <v>413</v>
      </c>
      <c r="Y374" s="5" t="s">
        <v>1427</v>
      </c>
      <c r="Z374" s="5" t="s">
        <v>1428</v>
      </c>
      <c r="AA374" s="5" t="s">
        <v>3623</v>
      </c>
      <c r="AB374" s="5" t="s">
        <v>3886</v>
      </c>
      <c r="AC374" s="5" t="s">
        <v>5025</v>
      </c>
      <c r="AD374" s="6">
        <v>45587</v>
      </c>
      <c r="AE374" s="6">
        <v>45952</v>
      </c>
      <c r="AF374" s="5"/>
    </row>
    <row r="375" spans="1:32" ht="30" customHeight="1" x14ac:dyDescent="0.3">
      <c r="A375" s="7">
        <v>5136628</v>
      </c>
      <c r="B375" s="7" t="s">
        <v>2785</v>
      </c>
      <c r="C375" s="7" t="s">
        <v>5028</v>
      </c>
      <c r="D375" s="7" t="s">
        <v>693</v>
      </c>
      <c r="E375" s="7" t="s">
        <v>203</v>
      </c>
      <c r="F375" s="7" t="s">
        <v>418</v>
      </c>
      <c r="G375" s="7" t="s">
        <v>217</v>
      </c>
      <c r="H375" s="7" t="s">
        <v>207</v>
      </c>
      <c r="I375" s="7" t="s">
        <v>1518</v>
      </c>
      <c r="J375" s="7" t="s">
        <v>227</v>
      </c>
      <c r="K375" s="7" t="s">
        <v>413</v>
      </c>
      <c r="L375" s="7" t="s">
        <v>1427</v>
      </c>
      <c r="M375" s="7" t="s">
        <v>1428</v>
      </c>
      <c r="N375" s="7" t="s">
        <v>3623</v>
      </c>
      <c r="O375" s="7" t="s">
        <v>3886</v>
      </c>
      <c r="P375" s="7">
        <v>5623391</v>
      </c>
      <c r="Q375" s="7" t="s">
        <v>5067</v>
      </c>
      <c r="R375" s="7" t="s">
        <v>203</v>
      </c>
      <c r="S375" s="7" t="s">
        <v>418</v>
      </c>
      <c r="T375" s="7" t="s">
        <v>217</v>
      </c>
      <c r="U375" s="7" t="s">
        <v>2330</v>
      </c>
      <c r="V375" s="7" t="s">
        <v>5068</v>
      </c>
      <c r="W375" s="7" t="s">
        <v>227</v>
      </c>
      <c r="X375" s="7" t="s">
        <v>413</v>
      </c>
      <c r="Y375" s="7" t="s">
        <v>1427</v>
      </c>
      <c r="Z375" s="7" t="s">
        <v>254</v>
      </c>
      <c r="AA375" s="7" t="s">
        <v>3612</v>
      </c>
      <c r="AB375" s="7" t="s">
        <v>3886</v>
      </c>
      <c r="AC375" s="7" t="s">
        <v>5069</v>
      </c>
      <c r="AD375" s="8">
        <v>45579</v>
      </c>
      <c r="AE375" s="8">
        <v>45930</v>
      </c>
      <c r="AF375" s="7"/>
    </row>
    <row r="376" spans="1:32" ht="60.75" customHeight="1" x14ac:dyDescent="0.3">
      <c r="A376" s="5">
        <v>4657810</v>
      </c>
      <c r="B376" s="5" t="s">
        <v>1938</v>
      </c>
      <c r="C376" s="5" t="s">
        <v>5070</v>
      </c>
      <c r="D376" s="5" t="s">
        <v>198</v>
      </c>
      <c r="E376" s="5" t="s">
        <v>203</v>
      </c>
      <c r="F376" s="5" t="s">
        <v>433</v>
      </c>
      <c r="G376" s="5" t="s">
        <v>208</v>
      </c>
      <c r="H376" s="5" t="s">
        <v>233</v>
      </c>
      <c r="I376" s="5" t="s">
        <v>1939</v>
      </c>
      <c r="J376" s="5" t="s">
        <v>227</v>
      </c>
      <c r="K376" s="5" t="s">
        <v>200</v>
      </c>
      <c r="L376" s="5" t="s">
        <v>784</v>
      </c>
      <c r="M376" s="5" t="s">
        <v>785</v>
      </c>
      <c r="N376" s="5" t="s">
        <v>3608</v>
      </c>
      <c r="O376" s="5" t="s">
        <v>3715</v>
      </c>
      <c r="P376" s="5">
        <v>4886658</v>
      </c>
      <c r="Q376" s="5" t="s">
        <v>5071</v>
      </c>
      <c r="R376" s="5" t="s">
        <v>203</v>
      </c>
      <c r="S376" s="5" t="s">
        <v>418</v>
      </c>
      <c r="T376" s="5" t="s">
        <v>217</v>
      </c>
      <c r="U376" s="5" t="s">
        <v>245</v>
      </c>
      <c r="V376" s="5" t="s">
        <v>5072</v>
      </c>
      <c r="W376" s="5" t="s">
        <v>227</v>
      </c>
      <c r="X376" s="5" t="s">
        <v>200</v>
      </c>
      <c r="Y376" s="5" t="s">
        <v>2588</v>
      </c>
      <c r="Z376" s="5" t="s">
        <v>4900</v>
      </c>
      <c r="AA376" s="5" t="s">
        <v>3623</v>
      </c>
      <c r="AB376" s="5" t="s">
        <v>3763</v>
      </c>
      <c r="AC376" s="5" t="s">
        <v>5073</v>
      </c>
      <c r="AD376" s="6">
        <v>45603</v>
      </c>
      <c r="AE376" s="6">
        <v>46752</v>
      </c>
      <c r="AF376" s="5"/>
    </row>
    <row r="377" spans="1:32" ht="40.5" customHeight="1" x14ac:dyDescent="0.3">
      <c r="A377" s="7">
        <v>4735897</v>
      </c>
      <c r="B377" s="7" t="s">
        <v>2079</v>
      </c>
      <c r="C377" s="7" t="s">
        <v>5004</v>
      </c>
      <c r="D377" s="7" t="s">
        <v>693</v>
      </c>
      <c r="E377" s="7" t="s">
        <v>203</v>
      </c>
      <c r="F377" s="7" t="s">
        <v>433</v>
      </c>
      <c r="G377" s="7" t="s">
        <v>208</v>
      </c>
      <c r="H377" s="7" t="s">
        <v>207</v>
      </c>
      <c r="I377" s="7" t="s">
        <v>1345</v>
      </c>
      <c r="J377" s="7" t="s">
        <v>227</v>
      </c>
      <c r="K377" s="7" t="s">
        <v>413</v>
      </c>
      <c r="L377" s="7" t="s">
        <v>1346</v>
      </c>
      <c r="M377" s="7" t="s">
        <v>422</v>
      </c>
      <c r="N377" s="7" t="s">
        <v>3608</v>
      </c>
      <c r="O377" s="7" t="s">
        <v>3886</v>
      </c>
      <c r="P377" s="7">
        <v>5185270</v>
      </c>
      <c r="Q377" s="7" t="s">
        <v>5074</v>
      </c>
      <c r="R377" s="7" t="s">
        <v>203</v>
      </c>
      <c r="S377" s="7" t="s">
        <v>418</v>
      </c>
      <c r="T377" s="7" t="s">
        <v>217</v>
      </c>
      <c r="U377" s="7" t="s">
        <v>207</v>
      </c>
      <c r="V377" s="7" t="s">
        <v>1426</v>
      </c>
      <c r="W377" s="7" t="s">
        <v>227</v>
      </c>
      <c r="X377" s="7" t="s">
        <v>413</v>
      </c>
      <c r="Y377" s="7" t="s">
        <v>1427</v>
      </c>
      <c r="Z377" s="7" t="s">
        <v>1428</v>
      </c>
      <c r="AA377" s="7" t="s">
        <v>3623</v>
      </c>
      <c r="AB377" s="7" t="s">
        <v>3886</v>
      </c>
      <c r="AC377" s="7" t="s">
        <v>5075</v>
      </c>
      <c r="AD377" s="8">
        <v>45587</v>
      </c>
      <c r="AE377" s="8">
        <v>45952</v>
      </c>
      <c r="AF377" s="7"/>
    </row>
    <row r="378" spans="1:32" ht="30" customHeight="1" x14ac:dyDescent="0.3">
      <c r="A378" s="5">
        <v>5136628</v>
      </c>
      <c r="B378" s="5" t="s">
        <v>2785</v>
      </c>
      <c r="C378" s="5" t="s">
        <v>5004</v>
      </c>
      <c r="D378" s="5" t="s">
        <v>693</v>
      </c>
      <c r="E378" s="5" t="s">
        <v>203</v>
      </c>
      <c r="F378" s="5" t="s">
        <v>418</v>
      </c>
      <c r="G378" s="5" t="s">
        <v>217</v>
      </c>
      <c r="H378" s="5" t="s">
        <v>207</v>
      </c>
      <c r="I378" s="5" t="s">
        <v>1518</v>
      </c>
      <c r="J378" s="5" t="s">
        <v>227</v>
      </c>
      <c r="K378" s="5" t="s">
        <v>413</v>
      </c>
      <c r="L378" s="5" t="s">
        <v>1427</v>
      </c>
      <c r="M378" s="5" t="s">
        <v>1428</v>
      </c>
      <c r="N378" s="5" t="s">
        <v>3623</v>
      </c>
      <c r="O378" s="5" t="s">
        <v>3886</v>
      </c>
      <c r="P378" s="5">
        <v>5601088</v>
      </c>
      <c r="Q378" s="5" t="s">
        <v>5076</v>
      </c>
      <c r="R378" s="5" t="s">
        <v>203</v>
      </c>
      <c r="S378" s="5" t="s">
        <v>234</v>
      </c>
      <c r="T378" s="5" t="s">
        <v>217</v>
      </c>
      <c r="U378" s="5" t="s">
        <v>207</v>
      </c>
      <c r="V378" s="5" t="s">
        <v>5048</v>
      </c>
      <c r="W378" s="5" t="s">
        <v>227</v>
      </c>
      <c r="X378" s="5" t="s">
        <v>413</v>
      </c>
      <c r="Y378" s="5" t="s">
        <v>1427</v>
      </c>
      <c r="Z378" s="5" t="s">
        <v>254</v>
      </c>
      <c r="AA378" s="5" t="s">
        <v>3612</v>
      </c>
      <c r="AB378" s="5" t="s">
        <v>3886</v>
      </c>
      <c r="AC378" s="5" t="s">
        <v>5077</v>
      </c>
      <c r="AD378" s="6">
        <v>45566</v>
      </c>
      <c r="AE378" s="6">
        <v>45931</v>
      </c>
      <c r="AF378" s="5"/>
    </row>
    <row r="379" spans="1:32" ht="71.25" customHeight="1" x14ac:dyDescent="0.3">
      <c r="A379" s="7">
        <v>5184851</v>
      </c>
      <c r="B379" s="7" t="s">
        <v>2873</v>
      </c>
      <c r="C379" s="7" t="s">
        <v>5078</v>
      </c>
      <c r="D379" s="7" t="s">
        <v>198</v>
      </c>
      <c r="E379" s="7" t="s">
        <v>203</v>
      </c>
      <c r="F379" s="7" t="s">
        <v>433</v>
      </c>
      <c r="G379" s="7" t="s">
        <v>217</v>
      </c>
      <c r="H379" s="7" t="s">
        <v>245</v>
      </c>
      <c r="I379" s="7" t="s">
        <v>2874</v>
      </c>
      <c r="J379" s="7" t="s">
        <v>227</v>
      </c>
      <c r="K379" s="7" t="s">
        <v>413</v>
      </c>
      <c r="L379" s="7" t="s">
        <v>2875</v>
      </c>
      <c r="M379" s="7" t="s">
        <v>2876</v>
      </c>
      <c r="N379" s="7" t="s">
        <v>3623</v>
      </c>
      <c r="O379" s="7" t="s">
        <v>3743</v>
      </c>
      <c r="P379" s="7">
        <v>5660947</v>
      </c>
      <c r="Q379" s="7" t="s">
        <v>5079</v>
      </c>
      <c r="R379" s="7" t="s">
        <v>203</v>
      </c>
      <c r="S379" s="7" t="s">
        <v>234</v>
      </c>
      <c r="T379" s="7" t="s">
        <v>208</v>
      </c>
      <c r="U379" s="7" t="s">
        <v>207</v>
      </c>
      <c r="V379" s="7" t="s">
        <v>5080</v>
      </c>
      <c r="W379" s="7" t="s">
        <v>227</v>
      </c>
      <c r="X379" s="7" t="s">
        <v>413</v>
      </c>
      <c r="Y379" s="7" t="s">
        <v>2875</v>
      </c>
      <c r="Z379" s="7" t="s">
        <v>5081</v>
      </c>
      <c r="AA379" s="7" t="s">
        <v>3732</v>
      </c>
      <c r="AB379" s="7" t="s">
        <v>3743</v>
      </c>
      <c r="AC379" s="7" t="s">
        <v>5082</v>
      </c>
      <c r="AD379" s="8">
        <v>45887</v>
      </c>
      <c r="AE379" s="7"/>
      <c r="AF379" s="7"/>
    </row>
    <row r="380" spans="1:32" ht="30" customHeight="1" x14ac:dyDescent="0.3">
      <c r="A380" s="5">
        <v>4524136</v>
      </c>
      <c r="B380" s="5" t="s">
        <v>1810</v>
      </c>
      <c r="C380" s="5" t="s">
        <v>5004</v>
      </c>
      <c r="D380" s="5" t="s">
        <v>693</v>
      </c>
      <c r="E380" s="5" t="s">
        <v>203</v>
      </c>
      <c r="F380" s="5" t="s">
        <v>433</v>
      </c>
      <c r="G380" s="5" t="s">
        <v>208</v>
      </c>
      <c r="H380" s="5" t="s">
        <v>245</v>
      </c>
      <c r="I380" s="5" t="s">
        <v>1520</v>
      </c>
      <c r="J380" s="5" t="s">
        <v>227</v>
      </c>
      <c r="K380" s="5" t="s">
        <v>413</v>
      </c>
      <c r="L380" s="5" t="s">
        <v>1521</v>
      </c>
      <c r="M380" s="5" t="s">
        <v>422</v>
      </c>
      <c r="N380" s="5" t="s">
        <v>3602</v>
      </c>
      <c r="O380" s="5" t="s">
        <v>3886</v>
      </c>
      <c r="P380" s="5">
        <v>5058937</v>
      </c>
      <c r="Q380" s="5" t="s">
        <v>5083</v>
      </c>
      <c r="R380" s="5" t="s">
        <v>203</v>
      </c>
      <c r="S380" s="5" t="s">
        <v>234</v>
      </c>
      <c r="T380" s="5" t="s">
        <v>217</v>
      </c>
      <c r="U380" s="5" t="s">
        <v>207</v>
      </c>
      <c r="V380" s="5" t="s">
        <v>5084</v>
      </c>
      <c r="W380" s="5" t="s">
        <v>227</v>
      </c>
      <c r="X380" s="5" t="s">
        <v>413</v>
      </c>
      <c r="Y380" s="5" t="s">
        <v>5085</v>
      </c>
      <c r="Z380" s="5" t="s">
        <v>5086</v>
      </c>
      <c r="AA380" s="5" t="s">
        <v>3623</v>
      </c>
      <c r="AB380" s="5" t="s">
        <v>3886</v>
      </c>
      <c r="AC380" s="5" t="s">
        <v>5087</v>
      </c>
      <c r="AD380" s="6">
        <v>45566</v>
      </c>
      <c r="AE380" s="6">
        <v>45931</v>
      </c>
      <c r="AF380" s="5"/>
    </row>
    <row r="381" spans="1:32" ht="30" customHeight="1" x14ac:dyDescent="0.3">
      <c r="A381" s="7">
        <v>4524136</v>
      </c>
      <c r="B381" s="7" t="s">
        <v>1810</v>
      </c>
      <c r="C381" s="7" t="s">
        <v>5004</v>
      </c>
      <c r="D381" s="7" t="s">
        <v>693</v>
      </c>
      <c r="E381" s="7" t="s">
        <v>203</v>
      </c>
      <c r="F381" s="7" t="s">
        <v>433</v>
      </c>
      <c r="G381" s="7" t="s">
        <v>208</v>
      </c>
      <c r="H381" s="7" t="s">
        <v>245</v>
      </c>
      <c r="I381" s="7" t="s">
        <v>1520</v>
      </c>
      <c r="J381" s="7" t="s">
        <v>227</v>
      </c>
      <c r="K381" s="7" t="s">
        <v>413</v>
      </c>
      <c r="L381" s="7" t="s">
        <v>1521</v>
      </c>
      <c r="M381" s="7" t="s">
        <v>422</v>
      </c>
      <c r="N381" s="7" t="s">
        <v>3602</v>
      </c>
      <c r="O381" s="7" t="s">
        <v>3886</v>
      </c>
      <c r="P381" s="7">
        <v>5597862</v>
      </c>
      <c r="Q381" s="7" t="s">
        <v>5088</v>
      </c>
      <c r="R381" s="7" t="s">
        <v>203</v>
      </c>
      <c r="S381" s="7" t="s">
        <v>433</v>
      </c>
      <c r="T381" s="7" t="s">
        <v>217</v>
      </c>
      <c r="U381" s="7" t="s">
        <v>207</v>
      </c>
      <c r="V381" s="7" t="s">
        <v>5089</v>
      </c>
      <c r="W381" s="7" t="s">
        <v>227</v>
      </c>
      <c r="X381" s="7" t="s">
        <v>413</v>
      </c>
      <c r="Y381" s="7" t="s">
        <v>1427</v>
      </c>
      <c r="Z381" s="7" t="s">
        <v>5090</v>
      </c>
      <c r="AA381" s="7" t="s">
        <v>3612</v>
      </c>
      <c r="AB381" s="7" t="s">
        <v>3886</v>
      </c>
      <c r="AC381" s="7" t="s">
        <v>5091</v>
      </c>
      <c r="AD381" s="8">
        <v>45566</v>
      </c>
      <c r="AE381" s="8">
        <v>45931</v>
      </c>
      <c r="AF381" s="7"/>
    </row>
    <row r="382" spans="1:32" ht="40.5" customHeight="1" x14ac:dyDescent="0.3">
      <c r="A382" s="5">
        <v>3527018</v>
      </c>
      <c r="B382" s="5" t="s">
        <v>1421</v>
      </c>
      <c r="C382" s="5" t="s">
        <v>5028</v>
      </c>
      <c r="D382" s="5" t="s">
        <v>693</v>
      </c>
      <c r="E382" s="5" t="s">
        <v>203</v>
      </c>
      <c r="F382" s="5" t="s">
        <v>234</v>
      </c>
      <c r="G382" s="5" t="s">
        <v>208</v>
      </c>
      <c r="H382" s="5" t="s">
        <v>245</v>
      </c>
      <c r="I382" s="5" t="s">
        <v>1335</v>
      </c>
      <c r="J382" s="5" t="s">
        <v>227</v>
      </c>
      <c r="K382" s="5" t="s">
        <v>413</v>
      </c>
      <c r="L382" s="5" t="s">
        <v>1422</v>
      </c>
      <c r="M382" s="5" t="s">
        <v>1423</v>
      </c>
      <c r="N382" s="5" t="s">
        <v>3608</v>
      </c>
      <c r="O382" s="5" t="s">
        <v>3886</v>
      </c>
      <c r="P382" s="5">
        <v>5353793</v>
      </c>
      <c r="Q382" s="5" t="s">
        <v>5092</v>
      </c>
      <c r="R382" s="5" t="s">
        <v>203</v>
      </c>
      <c r="S382" s="5" t="s">
        <v>234</v>
      </c>
      <c r="T382" s="5" t="s">
        <v>217</v>
      </c>
      <c r="U382" s="5" t="s">
        <v>207</v>
      </c>
      <c r="V382" s="5" t="s">
        <v>5093</v>
      </c>
      <c r="W382" s="5" t="s">
        <v>227</v>
      </c>
      <c r="X382" s="5" t="s">
        <v>413</v>
      </c>
      <c r="Y382" s="5" t="s">
        <v>5094</v>
      </c>
      <c r="Z382" s="5" t="s">
        <v>2551</v>
      </c>
      <c r="AA382" s="5" t="s">
        <v>3612</v>
      </c>
      <c r="AB382" s="5" t="s">
        <v>3928</v>
      </c>
      <c r="AC382" s="5" t="s">
        <v>5095</v>
      </c>
      <c r="AD382" s="6">
        <v>45566</v>
      </c>
      <c r="AE382" s="6">
        <v>45931</v>
      </c>
      <c r="AF382" s="5"/>
    </row>
    <row r="383" spans="1:32" ht="40.5" customHeight="1" x14ac:dyDescent="0.3">
      <c r="A383" s="7">
        <v>3458652</v>
      </c>
      <c r="B383" s="7" t="s">
        <v>1344</v>
      </c>
      <c r="C383" s="7" t="s">
        <v>5028</v>
      </c>
      <c r="D383" s="7" t="s">
        <v>693</v>
      </c>
      <c r="E383" s="7" t="s">
        <v>203</v>
      </c>
      <c r="F383" s="7" t="s">
        <v>234</v>
      </c>
      <c r="G383" s="7" t="s">
        <v>217</v>
      </c>
      <c r="H383" s="7" t="s">
        <v>245</v>
      </c>
      <c r="I383" s="7" t="s">
        <v>1345</v>
      </c>
      <c r="J383" s="7" t="s">
        <v>227</v>
      </c>
      <c r="K383" s="7" t="s">
        <v>413</v>
      </c>
      <c r="L383" s="7" t="s">
        <v>1346</v>
      </c>
      <c r="M383" s="7" t="s">
        <v>422</v>
      </c>
      <c r="N383" s="7" t="s">
        <v>3602</v>
      </c>
      <c r="O383" s="7" t="s">
        <v>3886</v>
      </c>
      <c r="P383" s="7">
        <v>4830938</v>
      </c>
      <c r="Q383" s="7" t="s">
        <v>5096</v>
      </c>
      <c r="R383" s="7" t="s">
        <v>203</v>
      </c>
      <c r="S383" s="7" t="s">
        <v>234</v>
      </c>
      <c r="T383" s="7" t="s">
        <v>217</v>
      </c>
      <c r="U383" s="7" t="s">
        <v>207</v>
      </c>
      <c r="V383" s="7" t="s">
        <v>5097</v>
      </c>
      <c r="W383" s="7" t="s">
        <v>227</v>
      </c>
      <c r="X383" s="7" t="s">
        <v>413</v>
      </c>
      <c r="Y383" s="7" t="s">
        <v>5098</v>
      </c>
      <c r="Z383" s="7" t="s">
        <v>2451</v>
      </c>
      <c r="AA383" s="7" t="s">
        <v>3608</v>
      </c>
      <c r="AB383" s="7" t="s">
        <v>3702</v>
      </c>
      <c r="AC383" s="7" t="s">
        <v>5099</v>
      </c>
      <c r="AD383" s="8">
        <v>45566</v>
      </c>
      <c r="AE383" s="8">
        <v>45931</v>
      </c>
      <c r="AF383" s="7"/>
    </row>
    <row r="384" spans="1:32" ht="40.5" customHeight="1" x14ac:dyDescent="0.3">
      <c r="A384" s="5">
        <v>3458652</v>
      </c>
      <c r="B384" s="5" t="s">
        <v>1344</v>
      </c>
      <c r="C384" s="5" t="s">
        <v>5028</v>
      </c>
      <c r="D384" s="5" t="s">
        <v>693</v>
      </c>
      <c r="E384" s="5" t="s">
        <v>203</v>
      </c>
      <c r="F384" s="5" t="s">
        <v>234</v>
      </c>
      <c r="G384" s="5" t="s">
        <v>217</v>
      </c>
      <c r="H384" s="5" t="s">
        <v>245</v>
      </c>
      <c r="I384" s="5" t="s">
        <v>1345</v>
      </c>
      <c r="J384" s="5" t="s">
        <v>227</v>
      </c>
      <c r="K384" s="5" t="s">
        <v>413</v>
      </c>
      <c r="L384" s="5" t="s">
        <v>1346</v>
      </c>
      <c r="M384" s="5" t="s">
        <v>422</v>
      </c>
      <c r="N384" s="5" t="s">
        <v>3602</v>
      </c>
      <c r="O384" s="5" t="s">
        <v>3886</v>
      </c>
      <c r="P384" s="5">
        <v>5368243</v>
      </c>
      <c r="Q384" s="5" t="s">
        <v>5100</v>
      </c>
      <c r="R384" s="5" t="s">
        <v>203</v>
      </c>
      <c r="S384" s="5" t="s">
        <v>444</v>
      </c>
      <c r="T384" s="5" t="s">
        <v>208</v>
      </c>
      <c r="U384" s="5" t="s">
        <v>207</v>
      </c>
      <c r="V384" s="5" t="s">
        <v>1518</v>
      </c>
      <c r="W384" s="5" t="s">
        <v>227</v>
      </c>
      <c r="X384" s="5" t="s">
        <v>413</v>
      </c>
      <c r="Y384" s="5" t="s">
        <v>1427</v>
      </c>
      <c r="Z384" s="5" t="s">
        <v>1428</v>
      </c>
      <c r="AA384" s="5" t="s">
        <v>3612</v>
      </c>
      <c r="AB384" s="5" t="s">
        <v>3886</v>
      </c>
      <c r="AC384" s="5" t="s">
        <v>5101</v>
      </c>
      <c r="AD384" s="6">
        <v>45566</v>
      </c>
      <c r="AE384" s="6">
        <v>45931</v>
      </c>
      <c r="AF384" s="5"/>
    </row>
    <row r="385" spans="1:32" ht="40.5" customHeight="1" x14ac:dyDescent="0.3">
      <c r="A385" s="7">
        <v>3458652</v>
      </c>
      <c r="B385" s="7" t="s">
        <v>1344</v>
      </c>
      <c r="C385" s="7" t="s">
        <v>5004</v>
      </c>
      <c r="D385" s="7" t="s">
        <v>693</v>
      </c>
      <c r="E385" s="7" t="s">
        <v>203</v>
      </c>
      <c r="F385" s="7" t="s">
        <v>234</v>
      </c>
      <c r="G385" s="7" t="s">
        <v>217</v>
      </c>
      <c r="H385" s="7" t="s">
        <v>245</v>
      </c>
      <c r="I385" s="7" t="s">
        <v>1345</v>
      </c>
      <c r="J385" s="7" t="s">
        <v>227</v>
      </c>
      <c r="K385" s="7" t="s">
        <v>413</v>
      </c>
      <c r="L385" s="7" t="s">
        <v>1346</v>
      </c>
      <c r="M385" s="7" t="s">
        <v>422</v>
      </c>
      <c r="N385" s="7" t="s">
        <v>3602</v>
      </c>
      <c r="O385" s="7" t="s">
        <v>3886</v>
      </c>
      <c r="P385" s="7">
        <v>5136628</v>
      </c>
      <c r="Q385" s="7" t="s">
        <v>2785</v>
      </c>
      <c r="R385" s="7" t="s">
        <v>203</v>
      </c>
      <c r="S385" s="7" t="s">
        <v>418</v>
      </c>
      <c r="T385" s="7" t="s">
        <v>217</v>
      </c>
      <c r="U385" s="7" t="s">
        <v>207</v>
      </c>
      <c r="V385" s="7" t="s">
        <v>1518</v>
      </c>
      <c r="W385" s="7" t="s">
        <v>227</v>
      </c>
      <c r="X385" s="7" t="s">
        <v>413</v>
      </c>
      <c r="Y385" s="7" t="s">
        <v>1427</v>
      </c>
      <c r="Z385" s="7" t="s">
        <v>1428</v>
      </c>
      <c r="AA385" s="7" t="s">
        <v>3623</v>
      </c>
      <c r="AB385" s="7" t="s">
        <v>3886</v>
      </c>
      <c r="AC385" s="7" t="s">
        <v>5102</v>
      </c>
      <c r="AD385" s="8">
        <v>45587</v>
      </c>
      <c r="AE385" s="8">
        <v>45952</v>
      </c>
      <c r="AF385" s="7"/>
    </row>
    <row r="386" spans="1:32" ht="71.25" customHeight="1" x14ac:dyDescent="0.3">
      <c r="A386" s="5">
        <v>3725203</v>
      </c>
      <c r="B386" s="5" t="s">
        <v>1595</v>
      </c>
      <c r="C386" s="5" t="s">
        <v>5103</v>
      </c>
      <c r="D386" s="5" t="s">
        <v>3373</v>
      </c>
      <c r="E386" s="5" t="s">
        <v>203</v>
      </c>
      <c r="F386" s="5" t="s">
        <v>234</v>
      </c>
      <c r="G386" s="5" t="s">
        <v>217</v>
      </c>
      <c r="H386" s="5" t="s">
        <v>245</v>
      </c>
      <c r="I386" s="5" t="s">
        <v>1596</v>
      </c>
      <c r="J386" s="5" t="s">
        <v>227</v>
      </c>
      <c r="K386" s="5" t="s">
        <v>200</v>
      </c>
      <c r="L386" s="5" t="s">
        <v>1597</v>
      </c>
      <c r="M386" s="5" t="s">
        <v>442</v>
      </c>
      <c r="N386" s="5" t="s">
        <v>3608</v>
      </c>
      <c r="O386" s="5" t="s">
        <v>3627</v>
      </c>
      <c r="P386" s="5">
        <v>5397162</v>
      </c>
      <c r="Q386" s="5" t="s">
        <v>5104</v>
      </c>
      <c r="R386" s="5" t="s">
        <v>203</v>
      </c>
      <c r="S386" s="5" t="s">
        <v>234</v>
      </c>
      <c r="T386" s="5" t="s">
        <v>217</v>
      </c>
      <c r="U386" s="5" t="s">
        <v>207</v>
      </c>
      <c r="V386" s="5" t="s">
        <v>5105</v>
      </c>
      <c r="W386" s="5" t="s">
        <v>227</v>
      </c>
      <c r="X386" s="5" t="s">
        <v>200</v>
      </c>
      <c r="Y386" s="5" t="s">
        <v>5106</v>
      </c>
      <c r="Z386" s="5" t="s">
        <v>1445</v>
      </c>
      <c r="AA386" s="5" t="s">
        <v>3612</v>
      </c>
      <c r="AB386" s="5" t="s">
        <v>3705</v>
      </c>
      <c r="AC386" s="5" t="s">
        <v>5107</v>
      </c>
      <c r="AD386" s="6">
        <v>45664</v>
      </c>
      <c r="AE386" s="6">
        <v>45997</v>
      </c>
      <c r="AF386" s="5"/>
    </row>
    <row r="387" spans="1:32" ht="40.5" customHeight="1" x14ac:dyDescent="0.3">
      <c r="A387" s="7">
        <v>3458652</v>
      </c>
      <c r="B387" s="7" t="s">
        <v>1344</v>
      </c>
      <c r="C387" s="7" t="s">
        <v>5028</v>
      </c>
      <c r="D387" s="7" t="s">
        <v>693</v>
      </c>
      <c r="E387" s="7" t="s">
        <v>203</v>
      </c>
      <c r="F387" s="7" t="s">
        <v>234</v>
      </c>
      <c r="G387" s="7" t="s">
        <v>217</v>
      </c>
      <c r="H387" s="7" t="s">
        <v>245</v>
      </c>
      <c r="I387" s="7" t="s">
        <v>1345</v>
      </c>
      <c r="J387" s="7" t="s">
        <v>227</v>
      </c>
      <c r="K387" s="7" t="s">
        <v>413</v>
      </c>
      <c r="L387" s="7" t="s">
        <v>1346</v>
      </c>
      <c r="M387" s="7" t="s">
        <v>422</v>
      </c>
      <c r="N387" s="7" t="s">
        <v>3602</v>
      </c>
      <c r="O387" s="7" t="s">
        <v>3886</v>
      </c>
      <c r="P387" s="7">
        <v>3458342</v>
      </c>
      <c r="Q387" s="7" t="s">
        <v>5108</v>
      </c>
      <c r="R387" s="7"/>
      <c r="S387" s="7" t="s">
        <v>234</v>
      </c>
      <c r="T387" s="7" t="s">
        <v>208</v>
      </c>
      <c r="U387" s="7" t="s">
        <v>207</v>
      </c>
      <c r="V387" s="7"/>
      <c r="W387" s="7" t="s">
        <v>227</v>
      </c>
      <c r="X387" s="7"/>
      <c r="Y387" s="7"/>
      <c r="Z387" s="7"/>
      <c r="AA387" s="7" t="s">
        <v>3623</v>
      </c>
      <c r="AB387" s="7"/>
      <c r="AC387" s="7" t="s">
        <v>5109</v>
      </c>
      <c r="AD387" s="8">
        <v>45566</v>
      </c>
      <c r="AE387" s="8">
        <v>45931</v>
      </c>
      <c r="AF387" s="7"/>
    </row>
    <row r="388" spans="1:32" ht="40.5" customHeight="1" x14ac:dyDescent="0.3">
      <c r="A388" s="5">
        <v>5163536</v>
      </c>
      <c r="B388" s="5" t="s">
        <v>2830</v>
      </c>
      <c r="C388" s="5" t="s">
        <v>5110</v>
      </c>
      <c r="D388" s="5" t="s">
        <v>198</v>
      </c>
      <c r="E388" s="5" t="s">
        <v>203</v>
      </c>
      <c r="F388" s="5" t="s">
        <v>234</v>
      </c>
      <c r="G388" s="5" t="s">
        <v>208</v>
      </c>
      <c r="H388" s="5" t="s">
        <v>2330</v>
      </c>
      <c r="I388" s="5" t="s">
        <v>2831</v>
      </c>
      <c r="J388" s="5" t="s">
        <v>227</v>
      </c>
      <c r="K388" s="5" t="s">
        <v>200</v>
      </c>
      <c r="L388" s="5" t="s">
        <v>2832</v>
      </c>
      <c r="M388" s="5" t="s">
        <v>2833</v>
      </c>
      <c r="N388" s="5" t="s">
        <v>3623</v>
      </c>
      <c r="O388" s="5" t="s">
        <v>4426</v>
      </c>
      <c r="P388" s="5">
        <v>5443032</v>
      </c>
      <c r="Q388" s="5" t="s">
        <v>5111</v>
      </c>
      <c r="R388" s="5" t="s">
        <v>203</v>
      </c>
      <c r="S388" s="5" t="s">
        <v>234</v>
      </c>
      <c r="T388" s="5" t="s">
        <v>217</v>
      </c>
      <c r="U388" s="5" t="s">
        <v>2330</v>
      </c>
      <c r="V388" s="5" t="s">
        <v>5112</v>
      </c>
      <c r="W388" s="5" t="s">
        <v>227</v>
      </c>
      <c r="X388" s="5" t="s">
        <v>200</v>
      </c>
      <c r="Y388" s="5" t="s">
        <v>5113</v>
      </c>
      <c r="Z388" s="5" t="s">
        <v>5114</v>
      </c>
      <c r="AA388" s="5" t="s">
        <v>3617</v>
      </c>
      <c r="AB388" s="5" t="s">
        <v>3930</v>
      </c>
      <c r="AC388" s="5" t="s">
        <v>5115</v>
      </c>
      <c r="AD388" s="6">
        <v>45600</v>
      </c>
      <c r="AE388" s="5"/>
      <c r="AF388" s="5"/>
    </row>
    <row r="389" spans="1:32" ht="40.5" customHeight="1" x14ac:dyDescent="0.3">
      <c r="A389" s="7">
        <v>3526399</v>
      </c>
      <c r="B389" s="7" t="s">
        <v>1419</v>
      </c>
      <c r="C389" s="7" t="s">
        <v>5004</v>
      </c>
      <c r="D389" s="7" t="s">
        <v>693</v>
      </c>
      <c r="E389" s="7" t="s">
        <v>203</v>
      </c>
      <c r="F389" s="7" t="s">
        <v>444</v>
      </c>
      <c r="G389" s="7" t="s">
        <v>208</v>
      </c>
      <c r="H389" s="7" t="s">
        <v>245</v>
      </c>
      <c r="I389" s="7" t="s">
        <v>1335</v>
      </c>
      <c r="J389" s="7" t="s">
        <v>227</v>
      </c>
      <c r="K389" s="7" t="s">
        <v>413</v>
      </c>
      <c r="L389" s="7" t="s">
        <v>1346</v>
      </c>
      <c r="M389" s="7" t="s">
        <v>422</v>
      </c>
      <c r="N389" s="7" t="s">
        <v>3608</v>
      </c>
      <c r="O389" s="7" t="s">
        <v>3886</v>
      </c>
      <c r="P389" s="7">
        <v>5484898</v>
      </c>
      <c r="Q389" s="7" t="s">
        <v>5116</v>
      </c>
      <c r="R389" s="7" t="s">
        <v>203</v>
      </c>
      <c r="S389" s="7" t="s">
        <v>234</v>
      </c>
      <c r="T389" s="7" t="s">
        <v>208</v>
      </c>
      <c r="U389" s="7" t="s">
        <v>207</v>
      </c>
      <c r="V389" s="7" t="s">
        <v>5117</v>
      </c>
      <c r="W389" s="7" t="s">
        <v>227</v>
      </c>
      <c r="X389" s="7" t="s">
        <v>413</v>
      </c>
      <c r="Y389" s="7" t="s">
        <v>1427</v>
      </c>
      <c r="Z389" s="7" t="s">
        <v>5090</v>
      </c>
      <c r="AA389" s="7" t="s">
        <v>3612</v>
      </c>
      <c r="AB389" s="7" t="s">
        <v>3886</v>
      </c>
      <c r="AC389" s="7" t="s">
        <v>5118</v>
      </c>
      <c r="AD389" s="8">
        <v>45566</v>
      </c>
      <c r="AE389" s="8">
        <v>45931</v>
      </c>
      <c r="AF389" s="7"/>
    </row>
    <row r="390" spans="1:32" ht="30" customHeight="1" x14ac:dyDescent="0.3">
      <c r="A390" s="5">
        <v>4522990</v>
      </c>
      <c r="B390" s="5" t="s">
        <v>1803</v>
      </c>
      <c r="C390" s="5" t="s">
        <v>5004</v>
      </c>
      <c r="D390" s="5" t="s">
        <v>693</v>
      </c>
      <c r="E390" s="5" t="s">
        <v>203</v>
      </c>
      <c r="F390" s="5" t="s">
        <v>433</v>
      </c>
      <c r="G390" s="5" t="s">
        <v>208</v>
      </c>
      <c r="H390" s="5" t="s">
        <v>233</v>
      </c>
      <c r="I390" s="5" t="s">
        <v>1520</v>
      </c>
      <c r="J390" s="5" t="s">
        <v>227</v>
      </c>
      <c r="K390" s="5" t="s">
        <v>413</v>
      </c>
      <c r="L390" s="5" t="s">
        <v>1521</v>
      </c>
      <c r="M390" s="5" t="s">
        <v>1423</v>
      </c>
      <c r="N390" s="5" t="s">
        <v>3652</v>
      </c>
      <c r="O390" s="5" t="s">
        <v>3886</v>
      </c>
      <c r="P390" s="5">
        <v>3526747</v>
      </c>
      <c r="Q390" s="5" t="s">
        <v>5119</v>
      </c>
      <c r="R390" s="5" t="s">
        <v>203</v>
      </c>
      <c r="S390" s="5" t="s">
        <v>433</v>
      </c>
      <c r="T390" s="5" t="s">
        <v>208</v>
      </c>
      <c r="U390" s="5" t="s">
        <v>207</v>
      </c>
      <c r="V390" s="5" t="s">
        <v>5120</v>
      </c>
      <c r="W390" s="5" t="s">
        <v>227</v>
      </c>
      <c r="X390" s="5" t="s">
        <v>413</v>
      </c>
      <c r="Y390" s="5" t="s">
        <v>5085</v>
      </c>
      <c r="Z390" s="5" t="s">
        <v>5121</v>
      </c>
      <c r="AA390" s="5" t="s">
        <v>3608</v>
      </c>
      <c r="AB390" s="5" t="s">
        <v>3886</v>
      </c>
      <c r="AC390" s="5" t="s">
        <v>5122</v>
      </c>
      <c r="AD390" s="6">
        <v>45566</v>
      </c>
      <c r="AE390" s="6">
        <v>45931</v>
      </c>
      <c r="AF390" s="5"/>
    </row>
    <row r="391" spans="1:32" ht="30" customHeight="1" x14ac:dyDescent="0.3">
      <c r="A391" s="7">
        <v>3604721</v>
      </c>
      <c r="B391" s="7" t="s">
        <v>1519</v>
      </c>
      <c r="C391" s="7" t="s">
        <v>5004</v>
      </c>
      <c r="D391" s="7" t="s">
        <v>693</v>
      </c>
      <c r="E391" s="7" t="s">
        <v>203</v>
      </c>
      <c r="F391" s="7" t="s">
        <v>418</v>
      </c>
      <c r="G391" s="7" t="s">
        <v>217</v>
      </c>
      <c r="H391" s="7" t="s">
        <v>245</v>
      </c>
      <c r="I391" s="7" t="s">
        <v>1520</v>
      </c>
      <c r="J391" s="7" t="s">
        <v>227</v>
      </c>
      <c r="K391" s="7" t="s">
        <v>413</v>
      </c>
      <c r="L391" s="7" t="s">
        <v>1521</v>
      </c>
      <c r="M391" s="7" t="s">
        <v>1423</v>
      </c>
      <c r="N391" s="7" t="s">
        <v>3608</v>
      </c>
      <c r="O391" s="7" t="s">
        <v>3886</v>
      </c>
      <c r="P391" s="7">
        <v>5465508</v>
      </c>
      <c r="Q391" s="7" t="s">
        <v>5123</v>
      </c>
      <c r="R391" s="7" t="s">
        <v>203</v>
      </c>
      <c r="S391" s="7" t="s">
        <v>418</v>
      </c>
      <c r="T391" s="7" t="s">
        <v>208</v>
      </c>
      <c r="U391" s="7" t="s">
        <v>207</v>
      </c>
      <c r="V391" s="7" t="s">
        <v>5042</v>
      </c>
      <c r="W391" s="7" t="s">
        <v>227</v>
      </c>
      <c r="X391" s="7" t="s">
        <v>413</v>
      </c>
      <c r="Y391" s="7" t="s">
        <v>1427</v>
      </c>
      <c r="Z391" s="7" t="s">
        <v>5090</v>
      </c>
      <c r="AA391" s="7" t="s">
        <v>3612</v>
      </c>
      <c r="AB391" s="7" t="s">
        <v>3886</v>
      </c>
      <c r="AC391" s="7" t="s">
        <v>5124</v>
      </c>
      <c r="AD391" s="8">
        <v>45566</v>
      </c>
      <c r="AE391" s="8">
        <v>45931</v>
      </c>
      <c r="AF391" s="7"/>
    </row>
    <row r="392" spans="1:32" ht="81" customHeight="1" x14ac:dyDescent="0.3">
      <c r="A392" s="5">
        <v>3300943</v>
      </c>
      <c r="B392" s="5" t="s">
        <v>687</v>
      </c>
      <c r="C392" s="5" t="s">
        <v>5125</v>
      </c>
      <c r="D392" s="5" t="s">
        <v>862</v>
      </c>
      <c r="E392" s="5" t="s">
        <v>203</v>
      </c>
      <c r="F392" s="5" t="s">
        <v>418</v>
      </c>
      <c r="G392" s="5" t="s">
        <v>208</v>
      </c>
      <c r="H392" s="5" t="s">
        <v>245</v>
      </c>
      <c r="I392" s="5" t="s">
        <v>688</v>
      </c>
      <c r="J392" s="5" t="s">
        <v>227</v>
      </c>
      <c r="K392" s="5" t="s">
        <v>200</v>
      </c>
      <c r="L392" s="5" t="s">
        <v>689</v>
      </c>
      <c r="M392" s="5" t="s">
        <v>690</v>
      </c>
      <c r="N392" s="5" t="s">
        <v>3623</v>
      </c>
      <c r="O392" s="5" t="s">
        <v>3824</v>
      </c>
      <c r="P392" s="5">
        <v>5570603</v>
      </c>
      <c r="Q392" s="5" t="s">
        <v>5126</v>
      </c>
      <c r="R392" s="5" t="s">
        <v>203</v>
      </c>
      <c r="S392" s="5" t="s">
        <v>234</v>
      </c>
      <c r="T392" s="5" t="s">
        <v>208</v>
      </c>
      <c r="U392" s="5" t="s">
        <v>207</v>
      </c>
      <c r="V392" s="5" t="s">
        <v>5127</v>
      </c>
      <c r="W392" s="5" t="s">
        <v>227</v>
      </c>
      <c r="X392" s="5" t="s">
        <v>200</v>
      </c>
      <c r="Y392" s="5" t="s">
        <v>5128</v>
      </c>
      <c r="Z392" s="5" t="s">
        <v>1328</v>
      </c>
      <c r="AA392" s="5" t="s">
        <v>3612</v>
      </c>
      <c r="AB392" s="5" t="s">
        <v>3894</v>
      </c>
      <c r="AC392" s="5" t="s">
        <v>5129</v>
      </c>
      <c r="AD392" s="6">
        <v>45627</v>
      </c>
      <c r="AE392" s="6">
        <v>45991</v>
      </c>
      <c r="AF392" s="5"/>
    </row>
    <row r="393" spans="1:32" ht="30" customHeight="1" x14ac:dyDescent="0.3">
      <c r="A393" s="7">
        <v>5030374</v>
      </c>
      <c r="B393" s="7" t="s">
        <v>2602</v>
      </c>
      <c r="C393" s="7" t="s">
        <v>5004</v>
      </c>
      <c r="D393" s="7" t="s">
        <v>693</v>
      </c>
      <c r="E393" s="7" t="s">
        <v>203</v>
      </c>
      <c r="F393" s="7" t="s">
        <v>234</v>
      </c>
      <c r="G393" s="7" t="s">
        <v>208</v>
      </c>
      <c r="H393" s="7" t="s">
        <v>207</v>
      </c>
      <c r="I393" s="7" t="s">
        <v>2604</v>
      </c>
      <c r="J393" s="7" t="s">
        <v>227</v>
      </c>
      <c r="K393" s="7" t="s">
        <v>413</v>
      </c>
      <c r="L393" s="7" t="s">
        <v>2605</v>
      </c>
      <c r="M393" s="7" t="s">
        <v>2551</v>
      </c>
      <c r="N393" s="7" t="s">
        <v>3623</v>
      </c>
      <c r="O393" s="7" t="s">
        <v>3928</v>
      </c>
      <c r="P393" s="7">
        <v>8871890</v>
      </c>
      <c r="Q393" s="7" t="s">
        <v>5130</v>
      </c>
      <c r="R393" s="7" t="s">
        <v>203</v>
      </c>
      <c r="S393" s="7" t="s">
        <v>234</v>
      </c>
      <c r="T393" s="7" t="s">
        <v>208</v>
      </c>
      <c r="U393" s="7" t="s">
        <v>2330</v>
      </c>
      <c r="V393" s="7" t="s">
        <v>5131</v>
      </c>
      <c r="W393" s="7" t="s">
        <v>227</v>
      </c>
      <c r="X393" s="7" t="s">
        <v>413</v>
      </c>
      <c r="Y393" s="7" t="s">
        <v>1786</v>
      </c>
      <c r="Z393" s="7" t="s">
        <v>254</v>
      </c>
      <c r="AA393" s="7" t="s">
        <v>3732</v>
      </c>
      <c r="AB393" s="7" t="s">
        <v>3886</v>
      </c>
      <c r="AC393" s="7" t="s">
        <v>5132</v>
      </c>
      <c r="AD393" s="8">
        <v>45566</v>
      </c>
      <c r="AE393" s="8">
        <v>45931</v>
      </c>
      <c r="AF393" s="7"/>
    </row>
    <row r="394" spans="1:32" ht="30" customHeight="1" x14ac:dyDescent="0.3">
      <c r="A394" s="5">
        <v>4522990</v>
      </c>
      <c r="B394" s="5" t="s">
        <v>1803</v>
      </c>
      <c r="C394" s="5" t="s">
        <v>5004</v>
      </c>
      <c r="D394" s="5" t="s">
        <v>693</v>
      </c>
      <c r="E394" s="5" t="s">
        <v>203</v>
      </c>
      <c r="F394" s="5" t="s">
        <v>433</v>
      </c>
      <c r="G394" s="5" t="s">
        <v>208</v>
      </c>
      <c r="H394" s="5" t="s">
        <v>233</v>
      </c>
      <c r="I394" s="5" t="s">
        <v>1520</v>
      </c>
      <c r="J394" s="5" t="s">
        <v>227</v>
      </c>
      <c r="K394" s="5" t="s">
        <v>413</v>
      </c>
      <c r="L394" s="5" t="s">
        <v>1521</v>
      </c>
      <c r="M394" s="5" t="s">
        <v>1423</v>
      </c>
      <c r="N394" s="5" t="s">
        <v>3652</v>
      </c>
      <c r="O394" s="5" t="s">
        <v>3886</v>
      </c>
      <c r="P394" s="5">
        <v>5671159</v>
      </c>
      <c r="Q394" s="5" t="s">
        <v>5133</v>
      </c>
      <c r="R394" s="5" t="s">
        <v>203</v>
      </c>
      <c r="S394" s="5" t="s">
        <v>234</v>
      </c>
      <c r="T394" s="5" t="s">
        <v>208</v>
      </c>
      <c r="U394" s="5" t="s">
        <v>207</v>
      </c>
      <c r="V394" s="5" t="s">
        <v>5089</v>
      </c>
      <c r="W394" s="5" t="s">
        <v>227</v>
      </c>
      <c r="X394" s="5" t="s">
        <v>413</v>
      </c>
      <c r="Y394" s="5" t="s">
        <v>1427</v>
      </c>
      <c r="Z394" s="5" t="s">
        <v>254</v>
      </c>
      <c r="AA394" s="5" t="s">
        <v>3732</v>
      </c>
      <c r="AB394" s="5" t="s">
        <v>3886</v>
      </c>
      <c r="AC394" s="5" t="s">
        <v>5134</v>
      </c>
      <c r="AD394" s="6">
        <v>45931</v>
      </c>
      <c r="AE394" s="6">
        <v>45931</v>
      </c>
      <c r="AF394" s="5"/>
    </row>
    <row r="395" spans="1:32" ht="30" customHeight="1" x14ac:dyDescent="0.3">
      <c r="A395" s="7">
        <v>4529537</v>
      </c>
      <c r="B395" s="7" t="s">
        <v>1824</v>
      </c>
      <c r="C395" s="7" t="s">
        <v>5004</v>
      </c>
      <c r="D395" s="7" t="s">
        <v>693</v>
      </c>
      <c r="E395" s="7" t="s">
        <v>203</v>
      </c>
      <c r="F395" s="7" t="s">
        <v>433</v>
      </c>
      <c r="G395" s="7" t="s">
        <v>208</v>
      </c>
      <c r="H395" s="7" t="s">
        <v>233</v>
      </c>
      <c r="I395" s="7" t="s">
        <v>1335</v>
      </c>
      <c r="J395" s="7" t="s">
        <v>227</v>
      </c>
      <c r="K395" s="7" t="s">
        <v>413</v>
      </c>
      <c r="L395" s="7" t="s">
        <v>1521</v>
      </c>
      <c r="M395" s="7" t="s">
        <v>1423</v>
      </c>
      <c r="N395" s="7" t="s">
        <v>3602</v>
      </c>
      <c r="O395" s="7" t="s">
        <v>3886</v>
      </c>
      <c r="P395" s="7">
        <v>5267986</v>
      </c>
      <c r="Q395" s="7" t="s">
        <v>3042</v>
      </c>
      <c r="R395" s="7" t="s">
        <v>203</v>
      </c>
      <c r="S395" s="7" t="s">
        <v>234</v>
      </c>
      <c r="T395" s="7" t="s">
        <v>208</v>
      </c>
      <c r="U395" s="7" t="s">
        <v>207</v>
      </c>
      <c r="V395" s="7" t="s">
        <v>1518</v>
      </c>
      <c r="W395" s="7" t="s">
        <v>227</v>
      </c>
      <c r="X395" s="7" t="s">
        <v>413</v>
      </c>
      <c r="Y395" s="7" t="s">
        <v>1427</v>
      </c>
      <c r="Z395" s="7" t="s">
        <v>1428</v>
      </c>
      <c r="AA395" s="7" t="s">
        <v>3623</v>
      </c>
      <c r="AB395" s="7" t="s">
        <v>3886</v>
      </c>
      <c r="AC395" s="7" t="s">
        <v>5135</v>
      </c>
      <c r="AD395" s="8">
        <v>45566</v>
      </c>
      <c r="AE395" s="8">
        <v>45931</v>
      </c>
      <c r="AF395" s="7"/>
    </row>
    <row r="396" spans="1:32" ht="40.5" customHeight="1" x14ac:dyDescent="0.3">
      <c r="A396" s="5">
        <v>5087112</v>
      </c>
      <c r="B396" s="5" t="s">
        <v>2694</v>
      </c>
      <c r="C396" s="5" t="s">
        <v>4707</v>
      </c>
      <c r="D396" s="5" t="s">
        <v>198</v>
      </c>
      <c r="E396" s="5" t="s">
        <v>203</v>
      </c>
      <c r="F396" s="5" t="s">
        <v>234</v>
      </c>
      <c r="G396" s="5" t="s">
        <v>217</v>
      </c>
      <c r="H396" s="5" t="s">
        <v>245</v>
      </c>
      <c r="I396" s="5" t="s">
        <v>2695</v>
      </c>
      <c r="J396" s="5" t="s">
        <v>227</v>
      </c>
      <c r="K396" s="5" t="s">
        <v>200</v>
      </c>
      <c r="L396" s="5" t="s">
        <v>2696</v>
      </c>
      <c r="M396" s="5" t="s">
        <v>2697</v>
      </c>
      <c r="N396" s="5" t="s">
        <v>3623</v>
      </c>
      <c r="O396" s="5" t="s">
        <v>3635</v>
      </c>
      <c r="P396" s="5">
        <v>5088844</v>
      </c>
      <c r="Q396" s="5" t="s">
        <v>5136</v>
      </c>
      <c r="R396" s="5" t="s">
        <v>203</v>
      </c>
      <c r="S396" s="5" t="s">
        <v>234</v>
      </c>
      <c r="T396" s="5" t="s">
        <v>217</v>
      </c>
      <c r="U396" s="5" t="s">
        <v>245</v>
      </c>
      <c r="V396" s="5" t="s">
        <v>5137</v>
      </c>
      <c r="W396" s="5" t="s">
        <v>227</v>
      </c>
      <c r="X396" s="5" t="s">
        <v>200</v>
      </c>
      <c r="Y396" s="5" t="s">
        <v>3036</v>
      </c>
      <c r="Z396" s="5" t="s">
        <v>2169</v>
      </c>
      <c r="AA396" s="5" t="s">
        <v>3623</v>
      </c>
      <c r="AB396" s="5" t="s">
        <v>3715</v>
      </c>
      <c r="AC396" s="5" t="s">
        <v>5138</v>
      </c>
      <c r="AD396" s="6">
        <v>45398</v>
      </c>
      <c r="AE396" s="6">
        <v>45688</v>
      </c>
      <c r="AF396" s="5"/>
    </row>
    <row r="397" spans="1:32" ht="173.25" customHeight="1" x14ac:dyDescent="0.3">
      <c r="A397" s="7">
        <v>3529924</v>
      </c>
      <c r="B397" s="7" t="s">
        <v>5139</v>
      </c>
      <c r="C397" s="7" t="s">
        <v>5140</v>
      </c>
      <c r="D397" s="7" t="s">
        <v>198</v>
      </c>
      <c r="E397" s="7"/>
      <c r="F397" s="7" t="s">
        <v>234</v>
      </c>
      <c r="G397" s="7" t="s">
        <v>217</v>
      </c>
      <c r="H397" s="7" t="s">
        <v>245</v>
      </c>
      <c r="I397" s="7"/>
      <c r="J397" s="7" t="s">
        <v>227</v>
      </c>
      <c r="K397" s="7"/>
      <c r="L397" s="7"/>
      <c r="M397" s="7"/>
      <c r="N397" s="7" t="s">
        <v>3623</v>
      </c>
      <c r="O397" s="7"/>
      <c r="P397" s="7">
        <v>4943899</v>
      </c>
      <c r="Q397" s="7" t="s">
        <v>2482</v>
      </c>
      <c r="R397" s="7" t="s">
        <v>203</v>
      </c>
      <c r="S397" s="7" t="s">
        <v>234</v>
      </c>
      <c r="T397" s="7" t="s">
        <v>208</v>
      </c>
      <c r="U397" s="7" t="s">
        <v>245</v>
      </c>
      <c r="V397" s="7" t="s">
        <v>2483</v>
      </c>
      <c r="W397" s="7" t="s">
        <v>227</v>
      </c>
      <c r="X397" s="7" t="s">
        <v>200</v>
      </c>
      <c r="Y397" s="7" t="s">
        <v>2484</v>
      </c>
      <c r="Z397" s="7" t="s">
        <v>2485</v>
      </c>
      <c r="AA397" s="7" t="s">
        <v>3623</v>
      </c>
      <c r="AB397" s="7" t="s">
        <v>3702</v>
      </c>
      <c r="AC397" s="7" t="s">
        <v>5141</v>
      </c>
      <c r="AD397" s="8">
        <v>45658</v>
      </c>
      <c r="AE397" s="8">
        <v>45838</v>
      </c>
      <c r="AF397" s="7"/>
    </row>
    <row r="398" spans="1:32" ht="40.5" customHeight="1" x14ac:dyDescent="0.3">
      <c r="A398" s="5">
        <v>5171164</v>
      </c>
      <c r="B398" s="5" t="s">
        <v>2842</v>
      </c>
      <c r="C398" s="5"/>
      <c r="D398" s="5" t="s">
        <v>198</v>
      </c>
      <c r="E398" s="5" t="s">
        <v>203</v>
      </c>
      <c r="F398" s="5" t="s">
        <v>418</v>
      </c>
      <c r="G398" s="5" t="s">
        <v>217</v>
      </c>
      <c r="H398" s="5" t="s">
        <v>207</v>
      </c>
      <c r="I398" s="5" t="s">
        <v>2843</v>
      </c>
      <c r="J398" s="5" t="s">
        <v>227</v>
      </c>
      <c r="K398" s="5" t="s">
        <v>200</v>
      </c>
      <c r="L398" s="5" t="s">
        <v>2844</v>
      </c>
      <c r="M398" s="5" t="s">
        <v>442</v>
      </c>
      <c r="N398" s="5" t="s">
        <v>3623</v>
      </c>
      <c r="O398" s="5" t="s">
        <v>3627</v>
      </c>
      <c r="P398" s="5">
        <v>5502357</v>
      </c>
      <c r="Q398" s="5" t="s">
        <v>5142</v>
      </c>
      <c r="R398" s="5" t="s">
        <v>203</v>
      </c>
      <c r="S398" s="5" t="s">
        <v>418</v>
      </c>
      <c r="T398" s="5" t="s">
        <v>217</v>
      </c>
      <c r="U398" s="5" t="s">
        <v>207</v>
      </c>
      <c r="V398" s="5" t="s">
        <v>5143</v>
      </c>
      <c r="W398" s="5" t="s">
        <v>227</v>
      </c>
      <c r="X398" s="5" t="s">
        <v>200</v>
      </c>
      <c r="Y398" s="5" t="s">
        <v>1118</v>
      </c>
      <c r="Z398" s="5" t="s">
        <v>1031</v>
      </c>
      <c r="AA398" s="5" t="s">
        <v>3612</v>
      </c>
      <c r="AB398" s="5" t="s">
        <v>3627</v>
      </c>
      <c r="AC398" s="5" t="s">
        <v>5144</v>
      </c>
      <c r="AD398" s="6">
        <v>45590</v>
      </c>
      <c r="AE398" s="5"/>
      <c r="AF398" s="5"/>
    </row>
    <row r="399" spans="1:32" ht="30" customHeight="1" x14ac:dyDescent="0.3">
      <c r="A399" s="7">
        <v>3604675</v>
      </c>
      <c r="B399" s="7" t="s">
        <v>1517</v>
      </c>
      <c r="C399" s="7" t="s">
        <v>5004</v>
      </c>
      <c r="D399" s="7" t="s">
        <v>693</v>
      </c>
      <c r="E399" s="7" t="s">
        <v>203</v>
      </c>
      <c r="F399" s="7" t="s">
        <v>433</v>
      </c>
      <c r="G399" s="7" t="s">
        <v>208</v>
      </c>
      <c r="H399" s="7" t="s">
        <v>207</v>
      </c>
      <c r="I399" s="7" t="s">
        <v>1518</v>
      </c>
      <c r="J399" s="7" t="s">
        <v>227</v>
      </c>
      <c r="K399" s="7" t="s">
        <v>413</v>
      </c>
      <c r="L399" s="7" t="s">
        <v>1427</v>
      </c>
      <c r="M399" s="7" t="s">
        <v>1428</v>
      </c>
      <c r="N399" s="7" t="s">
        <v>3608</v>
      </c>
      <c r="O399" s="7" t="s">
        <v>3886</v>
      </c>
      <c r="P399" s="7">
        <v>5547253</v>
      </c>
      <c r="Q399" s="7" t="s">
        <v>5145</v>
      </c>
      <c r="R399" s="7" t="s">
        <v>203</v>
      </c>
      <c r="S399" s="7" t="s">
        <v>418</v>
      </c>
      <c r="T399" s="7" t="s">
        <v>217</v>
      </c>
      <c r="U399" s="7" t="s">
        <v>207</v>
      </c>
      <c r="V399" s="7" t="s">
        <v>5146</v>
      </c>
      <c r="W399" s="7" t="s">
        <v>227</v>
      </c>
      <c r="X399" s="7" t="s">
        <v>413</v>
      </c>
      <c r="Y399" s="7" t="s">
        <v>1427</v>
      </c>
      <c r="Z399" s="7" t="s">
        <v>5090</v>
      </c>
      <c r="AA399" s="7" t="s">
        <v>3612</v>
      </c>
      <c r="AB399" s="7" t="s">
        <v>3886</v>
      </c>
      <c r="AC399" s="7" t="s">
        <v>5147</v>
      </c>
      <c r="AD399" s="8">
        <v>45587</v>
      </c>
      <c r="AE399" s="8">
        <v>45931</v>
      </c>
      <c r="AF399" s="7"/>
    </row>
    <row r="400" spans="1:32" ht="30" customHeight="1" x14ac:dyDescent="0.3">
      <c r="A400" s="5">
        <v>5001439</v>
      </c>
      <c r="B400" s="5" t="s">
        <v>2569</v>
      </c>
      <c r="C400" s="5"/>
      <c r="D400" s="5" t="s">
        <v>198</v>
      </c>
      <c r="E400" s="5" t="s">
        <v>203</v>
      </c>
      <c r="F400" s="5" t="s">
        <v>418</v>
      </c>
      <c r="G400" s="5" t="s">
        <v>208</v>
      </c>
      <c r="H400" s="5" t="s">
        <v>245</v>
      </c>
      <c r="I400" s="5" t="s">
        <v>1580</v>
      </c>
      <c r="J400" s="5" t="s">
        <v>227</v>
      </c>
      <c r="K400" s="5" t="s">
        <v>200</v>
      </c>
      <c r="L400" s="5" t="s">
        <v>1581</v>
      </c>
      <c r="M400" s="5" t="s">
        <v>2570</v>
      </c>
      <c r="N400" s="5" t="s">
        <v>3623</v>
      </c>
      <c r="O400" s="5" t="s">
        <v>3763</v>
      </c>
      <c r="P400" s="5">
        <v>5586585</v>
      </c>
      <c r="Q400" s="5" t="s">
        <v>5148</v>
      </c>
      <c r="R400" s="5" t="s">
        <v>203</v>
      </c>
      <c r="S400" s="5"/>
      <c r="T400" s="5" t="s">
        <v>208</v>
      </c>
      <c r="U400" s="5" t="s">
        <v>207</v>
      </c>
      <c r="V400" s="5" t="s">
        <v>5149</v>
      </c>
      <c r="W400" s="5" t="s">
        <v>199</v>
      </c>
      <c r="X400" s="5" t="s">
        <v>200</v>
      </c>
      <c r="Y400" s="5" t="s">
        <v>202</v>
      </c>
      <c r="Z400" s="5" t="s">
        <v>1369</v>
      </c>
      <c r="AA400" s="5" t="s">
        <v>3612</v>
      </c>
      <c r="AB400" s="5" t="s">
        <v>3912</v>
      </c>
      <c r="AC400" s="5" t="s">
        <v>5150</v>
      </c>
      <c r="AD400" s="6">
        <v>45474</v>
      </c>
      <c r="AE400" s="5"/>
      <c r="AF400" s="5"/>
    </row>
    <row r="401" spans="1:32" ht="40.5" customHeight="1" x14ac:dyDescent="0.3">
      <c r="A401" s="7">
        <v>3834654</v>
      </c>
      <c r="B401" s="7" t="s">
        <v>1702</v>
      </c>
      <c r="C401" s="7" t="s">
        <v>5151</v>
      </c>
      <c r="D401" s="7" t="s">
        <v>198</v>
      </c>
      <c r="E401" s="7" t="s">
        <v>203</v>
      </c>
      <c r="F401" s="7" t="s">
        <v>234</v>
      </c>
      <c r="G401" s="7" t="s">
        <v>217</v>
      </c>
      <c r="H401" s="7" t="s">
        <v>245</v>
      </c>
      <c r="I401" s="7" t="s">
        <v>1703</v>
      </c>
      <c r="J401" s="7" t="s">
        <v>227</v>
      </c>
      <c r="K401" s="7" t="s">
        <v>200</v>
      </c>
      <c r="L401" s="7" t="s">
        <v>646</v>
      </c>
      <c r="M401" s="7" t="s">
        <v>1704</v>
      </c>
      <c r="N401" s="7" t="s">
        <v>3608</v>
      </c>
      <c r="O401" s="7" t="s">
        <v>3783</v>
      </c>
      <c r="P401" s="7">
        <v>5429331</v>
      </c>
      <c r="Q401" s="7" t="s">
        <v>5152</v>
      </c>
      <c r="R401" s="7" t="s">
        <v>203</v>
      </c>
      <c r="S401" s="7" t="s">
        <v>234</v>
      </c>
      <c r="T401" s="7" t="s">
        <v>208</v>
      </c>
      <c r="U401" s="7" t="s">
        <v>2330</v>
      </c>
      <c r="V401" s="7" t="s">
        <v>5153</v>
      </c>
      <c r="W401" s="7" t="s">
        <v>227</v>
      </c>
      <c r="X401" s="7" t="s">
        <v>200</v>
      </c>
      <c r="Y401" s="7" t="s">
        <v>3310</v>
      </c>
      <c r="Z401" s="7" t="s">
        <v>2459</v>
      </c>
      <c r="AA401" s="7" t="s">
        <v>3612</v>
      </c>
      <c r="AB401" s="7" t="s">
        <v>3843</v>
      </c>
      <c r="AC401" s="7" t="s">
        <v>5154</v>
      </c>
      <c r="AD401" s="8">
        <v>45603</v>
      </c>
      <c r="AE401" s="8">
        <v>45688</v>
      </c>
      <c r="AF401" s="7"/>
    </row>
    <row r="402" spans="1:32" ht="81" customHeight="1" x14ac:dyDescent="0.3">
      <c r="A402" s="5">
        <v>3760073</v>
      </c>
      <c r="B402" s="5" t="s">
        <v>1615</v>
      </c>
      <c r="C402" s="5" t="s">
        <v>5155</v>
      </c>
      <c r="D402" s="5" t="s">
        <v>198</v>
      </c>
      <c r="E402" s="5" t="s">
        <v>203</v>
      </c>
      <c r="F402" s="5" t="s">
        <v>418</v>
      </c>
      <c r="G402" s="5" t="s">
        <v>208</v>
      </c>
      <c r="H402" s="5" t="s">
        <v>207</v>
      </c>
      <c r="I402" s="5" t="s">
        <v>1616</v>
      </c>
      <c r="J402" s="5" t="s">
        <v>227</v>
      </c>
      <c r="K402" s="5" t="s">
        <v>200</v>
      </c>
      <c r="L402" s="5" t="s">
        <v>1146</v>
      </c>
      <c r="M402" s="5" t="s">
        <v>705</v>
      </c>
      <c r="N402" s="5" t="s">
        <v>3623</v>
      </c>
      <c r="O402" s="5" t="s">
        <v>3743</v>
      </c>
      <c r="P402" s="5">
        <v>4992903</v>
      </c>
      <c r="Q402" s="5" t="s">
        <v>5156</v>
      </c>
      <c r="R402" s="5" t="s">
        <v>203</v>
      </c>
      <c r="S402" s="5" t="s">
        <v>444</v>
      </c>
      <c r="T402" s="5" t="s">
        <v>217</v>
      </c>
      <c r="U402" s="5" t="s">
        <v>207</v>
      </c>
      <c r="V402" s="5" t="s">
        <v>5157</v>
      </c>
      <c r="W402" s="5" t="s">
        <v>227</v>
      </c>
      <c r="X402" s="5" t="s">
        <v>200</v>
      </c>
      <c r="Y402" s="5" t="s">
        <v>1146</v>
      </c>
      <c r="Z402" s="5" t="s">
        <v>5158</v>
      </c>
      <c r="AA402" s="5" t="s">
        <v>3623</v>
      </c>
      <c r="AB402" s="5" t="s">
        <v>3711</v>
      </c>
      <c r="AC402" s="5" t="s">
        <v>5159</v>
      </c>
      <c r="AD402" s="6">
        <v>45615</v>
      </c>
      <c r="AE402" s="6">
        <v>45992</v>
      </c>
      <c r="AF402" s="5"/>
    </row>
    <row r="403" spans="1:32" ht="111.75" customHeight="1" x14ac:dyDescent="0.3">
      <c r="A403" s="7">
        <v>4960351</v>
      </c>
      <c r="B403" s="7" t="s">
        <v>2518</v>
      </c>
      <c r="C403" s="7" t="s">
        <v>5160</v>
      </c>
      <c r="D403" s="7" t="s">
        <v>198</v>
      </c>
      <c r="E403" s="7" t="s">
        <v>203</v>
      </c>
      <c r="F403" s="7" t="s">
        <v>418</v>
      </c>
      <c r="G403" s="7" t="s">
        <v>217</v>
      </c>
      <c r="H403" s="7" t="s">
        <v>245</v>
      </c>
      <c r="I403" s="7" t="s">
        <v>2519</v>
      </c>
      <c r="J403" s="7" t="s">
        <v>227</v>
      </c>
      <c r="K403" s="7" t="s">
        <v>200</v>
      </c>
      <c r="L403" s="7" t="s">
        <v>2520</v>
      </c>
      <c r="M403" s="7" t="s">
        <v>2521</v>
      </c>
      <c r="N403" s="7" t="s">
        <v>3623</v>
      </c>
      <c r="O403" s="7" t="s">
        <v>3933</v>
      </c>
      <c r="P403" s="7">
        <v>5583136</v>
      </c>
      <c r="Q403" s="7" t="s">
        <v>5161</v>
      </c>
      <c r="R403" s="7" t="s">
        <v>203</v>
      </c>
      <c r="S403" s="7" t="s">
        <v>234</v>
      </c>
      <c r="T403" s="7" t="s">
        <v>208</v>
      </c>
      <c r="U403" s="7" t="s">
        <v>207</v>
      </c>
      <c r="V403" s="7" t="s">
        <v>5162</v>
      </c>
      <c r="W403" s="7" t="s">
        <v>227</v>
      </c>
      <c r="X403" s="7" t="s">
        <v>200</v>
      </c>
      <c r="Y403" s="7" t="s">
        <v>4921</v>
      </c>
      <c r="Z403" s="7" t="s">
        <v>5163</v>
      </c>
      <c r="AA403" s="7" t="s">
        <v>3612</v>
      </c>
      <c r="AB403" s="7" t="s">
        <v>3933</v>
      </c>
      <c r="AC403" s="7" t="s">
        <v>5164</v>
      </c>
      <c r="AD403" s="8">
        <v>45617</v>
      </c>
      <c r="AE403" s="8">
        <v>46014</v>
      </c>
      <c r="AF403" s="7"/>
    </row>
    <row r="404" spans="1:32" ht="409.5" customHeight="1" x14ac:dyDescent="0.3">
      <c r="A404" s="5">
        <v>2745232</v>
      </c>
      <c r="B404" s="5" t="s">
        <v>795</v>
      </c>
      <c r="C404" s="5" t="s">
        <v>5165</v>
      </c>
      <c r="D404" s="5" t="s">
        <v>198</v>
      </c>
      <c r="E404" s="5" t="s">
        <v>203</v>
      </c>
      <c r="F404" s="5" t="s">
        <v>433</v>
      </c>
      <c r="G404" s="5" t="s">
        <v>208</v>
      </c>
      <c r="H404" s="5" t="s">
        <v>245</v>
      </c>
      <c r="I404" s="5" t="s">
        <v>797</v>
      </c>
      <c r="J404" s="5" t="s">
        <v>227</v>
      </c>
      <c r="K404" s="5" t="s">
        <v>200</v>
      </c>
      <c r="L404" s="5" t="s">
        <v>798</v>
      </c>
      <c r="M404" s="5" t="s">
        <v>521</v>
      </c>
      <c r="N404" s="5" t="s">
        <v>3652</v>
      </c>
      <c r="O404" s="5" t="s">
        <v>3609</v>
      </c>
      <c r="P404" s="5">
        <v>4919157</v>
      </c>
      <c r="Q404" s="5" t="s">
        <v>5166</v>
      </c>
      <c r="R404" s="5" t="s">
        <v>203</v>
      </c>
      <c r="S404" s="5" t="s">
        <v>444</v>
      </c>
      <c r="T404" s="5" t="s">
        <v>217</v>
      </c>
      <c r="U404" s="5" t="s">
        <v>207</v>
      </c>
      <c r="V404" s="5" t="s">
        <v>5167</v>
      </c>
      <c r="W404" s="5" t="s">
        <v>227</v>
      </c>
      <c r="X404" s="5" t="s">
        <v>200</v>
      </c>
      <c r="Y404" s="5" t="s">
        <v>5013</v>
      </c>
      <c r="Z404" s="5" t="s">
        <v>5014</v>
      </c>
      <c r="AA404" s="5" t="s">
        <v>3608</v>
      </c>
      <c r="AB404" s="5" t="s">
        <v>3912</v>
      </c>
      <c r="AC404" s="5" t="s">
        <v>5168</v>
      </c>
      <c r="AD404" s="6">
        <v>45619</v>
      </c>
      <c r="AE404" s="6">
        <v>45716</v>
      </c>
      <c r="AF404" s="5" t="s">
        <v>3881</v>
      </c>
    </row>
    <row r="405" spans="1:32" ht="30" customHeight="1" x14ac:dyDescent="0.3">
      <c r="A405" s="7">
        <v>5189365</v>
      </c>
      <c r="B405" s="7" t="s">
        <v>2888</v>
      </c>
      <c r="C405" s="7"/>
      <c r="D405" s="7" t="s">
        <v>198</v>
      </c>
      <c r="E405" s="7" t="s">
        <v>203</v>
      </c>
      <c r="F405" s="7" t="s">
        <v>433</v>
      </c>
      <c r="G405" s="7" t="s">
        <v>208</v>
      </c>
      <c r="H405" s="7" t="s">
        <v>207</v>
      </c>
      <c r="I405" s="7" t="s">
        <v>2359</v>
      </c>
      <c r="J405" s="7" t="s">
        <v>227</v>
      </c>
      <c r="K405" s="7" t="s">
        <v>200</v>
      </c>
      <c r="L405" s="7" t="s">
        <v>2889</v>
      </c>
      <c r="M405" s="7" t="s">
        <v>635</v>
      </c>
      <c r="N405" s="7" t="s">
        <v>3623</v>
      </c>
      <c r="O405" s="7" t="s">
        <v>3609</v>
      </c>
      <c r="P405" s="7">
        <v>8876149</v>
      </c>
      <c r="Q405" s="7" t="s">
        <v>5169</v>
      </c>
      <c r="R405" s="7" t="s">
        <v>203</v>
      </c>
      <c r="S405" s="7" t="s">
        <v>234</v>
      </c>
      <c r="T405" s="7" t="s">
        <v>208</v>
      </c>
      <c r="U405" s="7" t="s">
        <v>207</v>
      </c>
      <c r="V405" s="7" t="s">
        <v>5170</v>
      </c>
      <c r="W405" s="7" t="s">
        <v>227</v>
      </c>
      <c r="X405" s="7" t="s">
        <v>200</v>
      </c>
      <c r="Y405" s="7" t="s">
        <v>1368</v>
      </c>
      <c r="Z405" s="7" t="s">
        <v>1369</v>
      </c>
      <c r="AA405" s="7" t="s">
        <v>3729</v>
      </c>
      <c r="AB405" s="7" t="s">
        <v>3912</v>
      </c>
      <c r="AC405" s="7" t="s">
        <v>5171</v>
      </c>
      <c r="AD405" s="8">
        <v>45658</v>
      </c>
      <c r="AE405" s="7"/>
      <c r="AF405" s="7"/>
    </row>
    <row r="406" spans="1:32" ht="336" customHeight="1" x14ac:dyDescent="0.3">
      <c r="A406" s="5">
        <v>4657810</v>
      </c>
      <c r="B406" s="5" t="s">
        <v>1938</v>
      </c>
      <c r="C406" s="5" t="s">
        <v>5172</v>
      </c>
      <c r="D406" s="5" t="s">
        <v>198</v>
      </c>
      <c r="E406" s="5" t="s">
        <v>203</v>
      </c>
      <c r="F406" s="5" t="s">
        <v>433</v>
      </c>
      <c r="G406" s="5" t="s">
        <v>208</v>
      </c>
      <c r="H406" s="5" t="s">
        <v>233</v>
      </c>
      <c r="I406" s="5" t="s">
        <v>1939</v>
      </c>
      <c r="J406" s="5" t="s">
        <v>227</v>
      </c>
      <c r="K406" s="5" t="s">
        <v>200</v>
      </c>
      <c r="L406" s="5" t="s">
        <v>784</v>
      </c>
      <c r="M406" s="5" t="s">
        <v>785</v>
      </c>
      <c r="N406" s="5" t="s">
        <v>3608</v>
      </c>
      <c r="O406" s="5" t="s">
        <v>3715</v>
      </c>
      <c r="P406" s="5">
        <v>4749073</v>
      </c>
      <c r="Q406" s="5" t="s">
        <v>5173</v>
      </c>
      <c r="R406" s="5" t="s">
        <v>203</v>
      </c>
      <c r="S406" s="5" t="s">
        <v>418</v>
      </c>
      <c r="T406" s="5" t="s">
        <v>217</v>
      </c>
      <c r="U406" s="5" t="s">
        <v>207</v>
      </c>
      <c r="V406" s="5" t="s">
        <v>5174</v>
      </c>
      <c r="W406" s="5" t="s">
        <v>227</v>
      </c>
      <c r="X406" s="5" t="s">
        <v>200</v>
      </c>
      <c r="Y406" s="5" t="s">
        <v>4753</v>
      </c>
      <c r="Z406" s="5" t="s">
        <v>1445</v>
      </c>
      <c r="AA406" s="5" t="s">
        <v>3623</v>
      </c>
      <c r="AB406" s="5" t="s">
        <v>3705</v>
      </c>
      <c r="AC406" s="5" t="s">
        <v>5175</v>
      </c>
      <c r="AD406" s="6">
        <v>45712</v>
      </c>
      <c r="AE406" s="6">
        <v>45804</v>
      </c>
      <c r="AF406" s="5"/>
    </row>
    <row r="407" spans="1:32" ht="40.5" customHeight="1" x14ac:dyDescent="0.3">
      <c r="A407" s="7">
        <v>4834070</v>
      </c>
      <c r="B407" s="7" t="s">
        <v>5176</v>
      </c>
      <c r="C407" s="7"/>
      <c r="D407" s="7" t="s">
        <v>354</v>
      </c>
      <c r="E407" s="7"/>
      <c r="F407" s="7" t="s">
        <v>433</v>
      </c>
      <c r="G407" s="7" t="s">
        <v>217</v>
      </c>
      <c r="H407" s="7" t="s">
        <v>233</v>
      </c>
      <c r="I407" s="7"/>
      <c r="J407" s="7" t="s">
        <v>227</v>
      </c>
      <c r="K407" s="7"/>
      <c r="L407" s="7"/>
      <c r="M407" s="7"/>
      <c r="N407" s="7" t="s">
        <v>3623</v>
      </c>
      <c r="O407" s="7"/>
      <c r="P407" s="7">
        <v>2856204</v>
      </c>
      <c r="Q407" s="7" t="s">
        <v>5177</v>
      </c>
      <c r="R407" s="7" t="s">
        <v>203</v>
      </c>
      <c r="S407" s="7" t="s">
        <v>418</v>
      </c>
      <c r="T407" s="7" t="s">
        <v>217</v>
      </c>
      <c r="U407" s="7" t="s">
        <v>245</v>
      </c>
      <c r="V407" s="7" t="s">
        <v>2404</v>
      </c>
      <c r="W407" s="7" t="s">
        <v>227</v>
      </c>
      <c r="X407" s="7" t="s">
        <v>200</v>
      </c>
      <c r="Y407" s="7" t="s">
        <v>5178</v>
      </c>
      <c r="Z407" s="7" t="s">
        <v>5179</v>
      </c>
      <c r="AA407" s="7" t="s">
        <v>3652</v>
      </c>
      <c r="AB407" s="7" t="s">
        <v>3763</v>
      </c>
      <c r="AC407" s="7" t="s">
        <v>5180</v>
      </c>
      <c r="AD407" s="8">
        <v>45684</v>
      </c>
      <c r="AE407" s="8">
        <v>46022</v>
      </c>
      <c r="AF407" s="7"/>
    </row>
    <row r="408" spans="1:32" ht="30" customHeight="1" x14ac:dyDescent="0.3">
      <c r="A408" s="5">
        <v>4709179</v>
      </c>
      <c r="B408" s="5" t="s">
        <v>2035</v>
      </c>
      <c r="C408" s="5" t="s">
        <v>5181</v>
      </c>
      <c r="D408" s="5" t="s">
        <v>354</v>
      </c>
      <c r="E408" s="5" t="s">
        <v>203</v>
      </c>
      <c r="F408" s="5" t="s">
        <v>433</v>
      </c>
      <c r="G408" s="5" t="s">
        <v>217</v>
      </c>
      <c r="H408" s="5" t="s">
        <v>233</v>
      </c>
      <c r="I408" s="5" t="s">
        <v>1217</v>
      </c>
      <c r="J408" s="5" t="s">
        <v>227</v>
      </c>
      <c r="K408" s="5" t="s">
        <v>200</v>
      </c>
      <c r="L408" s="5" t="s">
        <v>1514</v>
      </c>
      <c r="M408" s="5" t="s">
        <v>662</v>
      </c>
      <c r="N408" s="5" t="s">
        <v>3608</v>
      </c>
      <c r="O408" s="5" t="s">
        <v>3736</v>
      </c>
      <c r="P408" s="5">
        <v>5003520</v>
      </c>
      <c r="Q408" s="5" t="s">
        <v>5182</v>
      </c>
      <c r="R408" s="5" t="s">
        <v>203</v>
      </c>
      <c r="S408" s="5" t="s">
        <v>234</v>
      </c>
      <c r="T408" s="5" t="s">
        <v>217</v>
      </c>
      <c r="U408" s="5" t="s">
        <v>207</v>
      </c>
      <c r="V408" s="5" t="s">
        <v>2103</v>
      </c>
      <c r="W408" s="5" t="s">
        <v>227</v>
      </c>
      <c r="X408" s="5" t="s">
        <v>200</v>
      </c>
      <c r="Y408" s="5" t="s">
        <v>2104</v>
      </c>
      <c r="Z408" s="5" t="s">
        <v>922</v>
      </c>
      <c r="AA408" s="5" t="s">
        <v>3623</v>
      </c>
      <c r="AB408" s="5" t="s">
        <v>3736</v>
      </c>
      <c r="AC408" s="5" t="s">
        <v>5183</v>
      </c>
      <c r="AD408" s="6">
        <v>45679</v>
      </c>
      <c r="AE408" s="6">
        <v>45869</v>
      </c>
      <c r="AF408" s="5"/>
    </row>
    <row r="409" spans="1:32" ht="30" customHeight="1" x14ac:dyDescent="0.3">
      <c r="A409" s="7">
        <v>4784545</v>
      </c>
      <c r="B409" s="7" t="s">
        <v>381</v>
      </c>
      <c r="C409" s="7" t="s">
        <v>5184</v>
      </c>
      <c r="D409" s="7" t="s">
        <v>198</v>
      </c>
      <c r="E409" s="7" t="s">
        <v>203</v>
      </c>
      <c r="F409" s="7"/>
      <c r="G409" s="7" t="s">
        <v>217</v>
      </c>
      <c r="H409" s="7" t="s">
        <v>207</v>
      </c>
      <c r="I409" s="7" t="s">
        <v>382</v>
      </c>
      <c r="J409" s="7" t="s">
        <v>211</v>
      </c>
      <c r="K409" s="7" t="s">
        <v>200</v>
      </c>
      <c r="L409" s="7" t="s">
        <v>297</v>
      </c>
      <c r="M409" s="7" t="s">
        <v>272</v>
      </c>
      <c r="N409" s="7" t="s">
        <v>3623</v>
      </c>
      <c r="O409" s="7" t="s">
        <v>3609</v>
      </c>
      <c r="P409" s="7">
        <v>5028337</v>
      </c>
      <c r="Q409" s="7" t="s">
        <v>5185</v>
      </c>
      <c r="R409" s="7" t="s">
        <v>203</v>
      </c>
      <c r="S409" s="7"/>
      <c r="T409" s="7" t="s">
        <v>217</v>
      </c>
      <c r="U409" s="7" t="s">
        <v>207</v>
      </c>
      <c r="V409" s="7" t="s">
        <v>5186</v>
      </c>
      <c r="W409" s="7" t="s">
        <v>211</v>
      </c>
      <c r="X409" s="7" t="s">
        <v>200</v>
      </c>
      <c r="Y409" s="7" t="s">
        <v>395</v>
      </c>
      <c r="Z409" s="7" t="s">
        <v>1692</v>
      </c>
      <c r="AA409" s="7" t="s">
        <v>3623</v>
      </c>
      <c r="AB409" s="7" t="s">
        <v>3763</v>
      </c>
      <c r="AC409" s="7" t="s">
        <v>5187</v>
      </c>
      <c r="AD409" s="8">
        <v>45627</v>
      </c>
      <c r="AE409" s="8">
        <v>46022</v>
      </c>
      <c r="AF409" s="7"/>
    </row>
    <row r="410" spans="1:32" ht="30" customHeight="1" x14ac:dyDescent="0.3">
      <c r="A410" s="5">
        <v>5244552</v>
      </c>
      <c r="B410" s="5" t="s">
        <v>2966</v>
      </c>
      <c r="C410" s="5"/>
      <c r="D410" s="5" t="s">
        <v>198</v>
      </c>
      <c r="E410" s="5" t="s">
        <v>203</v>
      </c>
      <c r="F410" s="5" t="s">
        <v>444</v>
      </c>
      <c r="G410" s="5" t="s">
        <v>208</v>
      </c>
      <c r="H410" s="5" t="s">
        <v>245</v>
      </c>
      <c r="I410" s="5" t="s">
        <v>2967</v>
      </c>
      <c r="J410" s="5" t="s">
        <v>227</v>
      </c>
      <c r="K410" s="5" t="s">
        <v>200</v>
      </c>
      <c r="L410" s="5" t="s">
        <v>1988</v>
      </c>
      <c r="M410" s="5" t="s">
        <v>1328</v>
      </c>
      <c r="N410" s="5" t="s">
        <v>3608</v>
      </c>
      <c r="O410" s="5" t="s">
        <v>3894</v>
      </c>
      <c r="P410" s="5">
        <v>5604672</v>
      </c>
      <c r="Q410" s="5" t="s">
        <v>5188</v>
      </c>
      <c r="R410" s="5" t="s">
        <v>203</v>
      </c>
      <c r="S410" s="5" t="s">
        <v>234</v>
      </c>
      <c r="T410" s="5" t="s">
        <v>217</v>
      </c>
      <c r="U410" s="5" t="s">
        <v>2330</v>
      </c>
      <c r="V410" s="5" t="s">
        <v>2967</v>
      </c>
      <c r="W410" s="5" t="s">
        <v>227</v>
      </c>
      <c r="X410" s="5" t="s">
        <v>200</v>
      </c>
      <c r="Y410" s="5" t="s">
        <v>1726</v>
      </c>
      <c r="Z410" s="5" t="s">
        <v>1328</v>
      </c>
      <c r="AA410" s="5" t="s">
        <v>3612</v>
      </c>
      <c r="AB410" s="5" t="s">
        <v>3894</v>
      </c>
      <c r="AC410" s="5" t="s">
        <v>5189</v>
      </c>
      <c r="AD410" s="6">
        <v>45555</v>
      </c>
      <c r="AE410" s="6">
        <v>45807</v>
      </c>
      <c r="AF410" s="5"/>
    </row>
    <row r="411" spans="1:32" ht="60.75" customHeight="1" x14ac:dyDescent="0.3">
      <c r="A411" s="7">
        <v>2024721</v>
      </c>
      <c r="B411" s="7" t="s">
        <v>1129</v>
      </c>
      <c r="C411" s="7" t="s">
        <v>5190</v>
      </c>
      <c r="D411" s="7" t="s">
        <v>198</v>
      </c>
      <c r="E411" s="7" t="s">
        <v>203</v>
      </c>
      <c r="F411" s="7" t="s">
        <v>433</v>
      </c>
      <c r="G411" s="7" t="s">
        <v>208</v>
      </c>
      <c r="H411" s="7" t="s">
        <v>233</v>
      </c>
      <c r="I411" s="7" t="s">
        <v>514</v>
      </c>
      <c r="J411" s="7" t="s">
        <v>227</v>
      </c>
      <c r="K411" s="7" t="s">
        <v>200</v>
      </c>
      <c r="L411" s="7" t="s">
        <v>515</v>
      </c>
      <c r="M411" s="7" t="s">
        <v>516</v>
      </c>
      <c r="N411" s="7" t="s">
        <v>3608</v>
      </c>
      <c r="O411" s="7" t="s">
        <v>3711</v>
      </c>
      <c r="P411" s="7">
        <v>3821889</v>
      </c>
      <c r="Q411" s="7" t="s">
        <v>5191</v>
      </c>
      <c r="R411" s="7" t="s">
        <v>203</v>
      </c>
      <c r="S411" s="7" t="s">
        <v>433</v>
      </c>
      <c r="T411" s="7" t="s">
        <v>217</v>
      </c>
      <c r="U411" s="7" t="s">
        <v>207</v>
      </c>
      <c r="V411" s="7" t="s">
        <v>5192</v>
      </c>
      <c r="W411" s="7" t="s">
        <v>227</v>
      </c>
      <c r="X411" s="7" t="s">
        <v>200</v>
      </c>
      <c r="Y411" s="7" t="s">
        <v>4941</v>
      </c>
      <c r="Z411" s="7" t="s">
        <v>705</v>
      </c>
      <c r="AA411" s="7" t="s">
        <v>3608</v>
      </c>
      <c r="AB411" s="7" t="s">
        <v>3743</v>
      </c>
      <c r="AC411" s="7" t="s">
        <v>5193</v>
      </c>
      <c r="AD411" s="8">
        <v>45678</v>
      </c>
      <c r="AE411" s="7"/>
      <c r="AF411" s="7"/>
    </row>
    <row r="412" spans="1:32" ht="377.25" customHeight="1" x14ac:dyDescent="0.3">
      <c r="A412" s="5">
        <v>3516377</v>
      </c>
      <c r="B412" s="5" t="s">
        <v>1411</v>
      </c>
      <c r="C412" s="5" t="s">
        <v>5194</v>
      </c>
      <c r="D412" s="5" t="s">
        <v>198</v>
      </c>
      <c r="E412" s="5" t="s">
        <v>203</v>
      </c>
      <c r="F412" s="5" t="s">
        <v>433</v>
      </c>
      <c r="G412" s="5" t="s">
        <v>217</v>
      </c>
      <c r="H412" s="5" t="s">
        <v>245</v>
      </c>
      <c r="I412" s="5" t="s">
        <v>1412</v>
      </c>
      <c r="J412" s="5" t="s">
        <v>227</v>
      </c>
      <c r="K412" s="5" t="s">
        <v>200</v>
      </c>
      <c r="L412" s="5" t="s">
        <v>1413</v>
      </c>
      <c r="M412" s="5" t="s">
        <v>793</v>
      </c>
      <c r="N412" s="5" t="s">
        <v>3602</v>
      </c>
      <c r="O412" s="5" t="s">
        <v>3763</v>
      </c>
      <c r="P412" s="5">
        <v>5569982</v>
      </c>
      <c r="Q412" s="5" t="s">
        <v>5195</v>
      </c>
      <c r="R412" s="5" t="s">
        <v>203</v>
      </c>
      <c r="S412" s="5" t="s">
        <v>418</v>
      </c>
      <c r="T412" s="5" t="s">
        <v>208</v>
      </c>
      <c r="U412" s="5" t="s">
        <v>207</v>
      </c>
      <c r="V412" s="5" t="s">
        <v>5196</v>
      </c>
      <c r="W412" s="5" t="s">
        <v>227</v>
      </c>
      <c r="X412" s="5" t="s">
        <v>200</v>
      </c>
      <c r="Y412" s="5" t="s">
        <v>1851</v>
      </c>
      <c r="Z412" s="5" t="s">
        <v>299</v>
      </c>
      <c r="AA412" s="5" t="s">
        <v>3612</v>
      </c>
      <c r="AB412" s="5" t="s">
        <v>3603</v>
      </c>
      <c r="AC412" s="5" t="s">
        <v>5197</v>
      </c>
      <c r="AD412" s="6">
        <v>45658</v>
      </c>
      <c r="AE412" s="5"/>
      <c r="AF412" s="5"/>
    </row>
    <row r="413" spans="1:32" ht="357" customHeight="1" x14ac:dyDescent="0.3">
      <c r="A413" s="7">
        <v>5590949</v>
      </c>
      <c r="B413" s="7" t="s">
        <v>3303</v>
      </c>
      <c r="C413" s="7" t="s">
        <v>5198</v>
      </c>
      <c r="D413" s="7" t="s">
        <v>354</v>
      </c>
      <c r="E413" s="7" t="s">
        <v>203</v>
      </c>
      <c r="F413" s="7" t="s">
        <v>234</v>
      </c>
      <c r="G413" s="7" t="s">
        <v>208</v>
      </c>
      <c r="H413" s="7" t="s">
        <v>245</v>
      </c>
      <c r="I413" s="7" t="s">
        <v>3304</v>
      </c>
      <c r="J413" s="7" t="s">
        <v>227</v>
      </c>
      <c r="K413" s="7" t="s">
        <v>413</v>
      </c>
      <c r="L413" s="7" t="s">
        <v>3305</v>
      </c>
      <c r="M413" s="7" t="s">
        <v>437</v>
      </c>
      <c r="N413" s="7" t="s">
        <v>3612</v>
      </c>
      <c r="O413" s="7" t="s">
        <v>3763</v>
      </c>
      <c r="P413" s="7">
        <v>5617839</v>
      </c>
      <c r="Q413" s="7" t="s">
        <v>5199</v>
      </c>
      <c r="R413" s="7" t="s">
        <v>203</v>
      </c>
      <c r="S413" s="7" t="s">
        <v>234</v>
      </c>
      <c r="T413" s="7" t="s">
        <v>217</v>
      </c>
      <c r="U413" s="7" t="s">
        <v>245</v>
      </c>
      <c r="V413" s="7" t="s">
        <v>5200</v>
      </c>
      <c r="W413" s="7" t="s">
        <v>227</v>
      </c>
      <c r="X413" s="7" t="s">
        <v>413</v>
      </c>
      <c r="Y413" s="7" t="s">
        <v>5201</v>
      </c>
      <c r="Z413" s="7" t="s">
        <v>5202</v>
      </c>
      <c r="AA413" s="7" t="s">
        <v>3732</v>
      </c>
      <c r="AB413" s="7" t="s">
        <v>3763</v>
      </c>
      <c r="AC413" s="7" t="s">
        <v>5203</v>
      </c>
      <c r="AD413" s="8">
        <v>45597</v>
      </c>
      <c r="AE413" s="7"/>
      <c r="AF413" s="7"/>
    </row>
    <row r="414" spans="1:32" ht="40.5" customHeight="1" x14ac:dyDescent="0.3">
      <c r="A414" s="5">
        <v>4535286</v>
      </c>
      <c r="B414" s="5" t="s">
        <v>1837</v>
      </c>
      <c r="C414" s="5" t="s">
        <v>5204</v>
      </c>
      <c r="D414" s="5" t="s">
        <v>198</v>
      </c>
      <c r="E414" s="5" t="s">
        <v>203</v>
      </c>
      <c r="F414" s="5" t="s">
        <v>433</v>
      </c>
      <c r="G414" s="5" t="s">
        <v>217</v>
      </c>
      <c r="H414" s="5" t="s">
        <v>233</v>
      </c>
      <c r="I414" s="5" t="s">
        <v>1838</v>
      </c>
      <c r="J414" s="5" t="s">
        <v>227</v>
      </c>
      <c r="K414" s="5" t="s">
        <v>200</v>
      </c>
      <c r="L414" s="5" t="s">
        <v>684</v>
      </c>
      <c r="M414" s="5" t="s">
        <v>1839</v>
      </c>
      <c r="N414" s="5" t="s">
        <v>3608</v>
      </c>
      <c r="O414" s="5" t="s">
        <v>3824</v>
      </c>
      <c r="P414" s="5">
        <v>5023157</v>
      </c>
      <c r="Q414" s="5" t="s">
        <v>4794</v>
      </c>
      <c r="R414" s="5" t="s">
        <v>203</v>
      </c>
      <c r="S414" s="5" t="s">
        <v>418</v>
      </c>
      <c r="T414" s="5" t="s">
        <v>217</v>
      </c>
      <c r="U414" s="5" t="s">
        <v>207</v>
      </c>
      <c r="V414" s="5" t="s">
        <v>4795</v>
      </c>
      <c r="W414" s="5" t="s">
        <v>227</v>
      </c>
      <c r="X414" s="5" t="s">
        <v>413</v>
      </c>
      <c r="Y414" s="5" t="s">
        <v>550</v>
      </c>
      <c r="Z414" s="5" t="s">
        <v>4796</v>
      </c>
      <c r="AA414" s="5" t="s">
        <v>3608</v>
      </c>
      <c r="AB414" s="5" t="s">
        <v>3843</v>
      </c>
      <c r="AC414" s="5" t="s">
        <v>5205</v>
      </c>
      <c r="AD414" s="6">
        <v>45621</v>
      </c>
      <c r="AE414" s="6">
        <v>46022</v>
      </c>
      <c r="AF414" s="5"/>
    </row>
    <row r="415" spans="1:32" ht="40.5" customHeight="1" x14ac:dyDescent="0.3">
      <c r="A415" s="7">
        <v>5149584</v>
      </c>
      <c r="B415" s="7" t="s">
        <v>2805</v>
      </c>
      <c r="C415" s="7" t="s">
        <v>5206</v>
      </c>
      <c r="D415" s="7" t="s">
        <v>198</v>
      </c>
      <c r="E415" s="7" t="s">
        <v>203</v>
      </c>
      <c r="F415" s="7" t="s">
        <v>418</v>
      </c>
      <c r="G415" s="7" t="s">
        <v>217</v>
      </c>
      <c r="H415" s="7" t="s">
        <v>207</v>
      </c>
      <c r="I415" s="7" t="s">
        <v>2806</v>
      </c>
      <c r="J415" s="7" t="s">
        <v>227</v>
      </c>
      <c r="K415" s="7" t="s">
        <v>200</v>
      </c>
      <c r="L415" s="7" t="s">
        <v>2807</v>
      </c>
      <c r="M415" s="7" t="s">
        <v>452</v>
      </c>
      <c r="N415" s="7" t="s">
        <v>3623</v>
      </c>
      <c r="O415" s="7" t="s">
        <v>3702</v>
      </c>
      <c r="P415" s="7">
        <v>5169402</v>
      </c>
      <c r="Q415" s="7" t="s">
        <v>4898</v>
      </c>
      <c r="R415" s="7" t="s">
        <v>203</v>
      </c>
      <c r="S415" s="7" t="s">
        <v>234</v>
      </c>
      <c r="T415" s="7" t="s">
        <v>217</v>
      </c>
      <c r="U415" s="7" t="s">
        <v>207</v>
      </c>
      <c r="V415" s="7" t="s">
        <v>914</v>
      </c>
      <c r="W415" s="7" t="s">
        <v>227</v>
      </c>
      <c r="X415" s="7" t="s">
        <v>200</v>
      </c>
      <c r="Y415" s="7" t="s">
        <v>4899</v>
      </c>
      <c r="Z415" s="7" t="s">
        <v>4900</v>
      </c>
      <c r="AA415" s="7" t="s">
        <v>3623</v>
      </c>
      <c r="AB415" s="7" t="s">
        <v>3763</v>
      </c>
      <c r="AC415" s="7" t="s">
        <v>5207</v>
      </c>
      <c r="AD415" s="8">
        <v>45566</v>
      </c>
      <c r="AE415" s="8">
        <v>45596</v>
      </c>
      <c r="AF415" s="7"/>
    </row>
    <row r="416" spans="1:32" ht="224.25" customHeight="1" x14ac:dyDescent="0.3">
      <c r="A416" s="5">
        <v>5612217</v>
      </c>
      <c r="B416" s="5" t="s">
        <v>3319</v>
      </c>
      <c r="C416" s="5" t="s">
        <v>5208</v>
      </c>
      <c r="D416" s="5" t="s">
        <v>862</v>
      </c>
      <c r="E416" s="5" t="s">
        <v>203</v>
      </c>
      <c r="F416" s="5" t="s">
        <v>433</v>
      </c>
      <c r="G416" s="5" t="s">
        <v>217</v>
      </c>
      <c r="H416" s="5" t="s">
        <v>233</v>
      </c>
      <c r="I416" s="5" t="s">
        <v>3320</v>
      </c>
      <c r="J416" s="5" t="s">
        <v>227</v>
      </c>
      <c r="K416" s="5" t="s">
        <v>200</v>
      </c>
      <c r="L416" s="5" t="s">
        <v>3138</v>
      </c>
      <c r="M416" s="5" t="s">
        <v>1203</v>
      </c>
      <c r="N416" s="5" t="s">
        <v>3612</v>
      </c>
      <c r="O416" s="5" t="s">
        <v>3743</v>
      </c>
      <c r="P416" s="5">
        <v>5335450</v>
      </c>
      <c r="Q416" s="5" t="s">
        <v>5209</v>
      </c>
      <c r="R416" s="5" t="s">
        <v>203</v>
      </c>
      <c r="S416" s="5" t="s">
        <v>444</v>
      </c>
      <c r="T416" s="5" t="s">
        <v>217</v>
      </c>
      <c r="U416" s="5" t="s">
        <v>2330</v>
      </c>
      <c r="V416" s="5" t="s">
        <v>5210</v>
      </c>
      <c r="W416" s="5" t="s">
        <v>227</v>
      </c>
      <c r="X416" s="5" t="s">
        <v>200</v>
      </c>
      <c r="Y416" s="5" t="s">
        <v>2351</v>
      </c>
      <c r="Z416" s="5" t="s">
        <v>1758</v>
      </c>
      <c r="AA416" s="5" t="s">
        <v>3623</v>
      </c>
      <c r="AB416" s="5" t="s">
        <v>3743</v>
      </c>
      <c r="AC416" s="5" t="s">
        <v>5211</v>
      </c>
      <c r="AD416" s="6">
        <v>45635</v>
      </c>
      <c r="AE416" s="6">
        <v>46006</v>
      </c>
      <c r="AF416" s="5"/>
    </row>
    <row r="417" spans="1:32" ht="244.5" customHeight="1" x14ac:dyDescent="0.3">
      <c r="A417" s="7">
        <v>4674308</v>
      </c>
      <c r="B417" s="7" t="s">
        <v>1965</v>
      </c>
      <c r="C417" s="7" t="s">
        <v>5212</v>
      </c>
      <c r="D417" s="7" t="s">
        <v>198</v>
      </c>
      <c r="E417" s="7" t="s">
        <v>203</v>
      </c>
      <c r="F417" s="7" t="s">
        <v>433</v>
      </c>
      <c r="G417" s="7" t="s">
        <v>217</v>
      </c>
      <c r="H417" s="7" t="s">
        <v>245</v>
      </c>
      <c r="I417" s="7" t="s">
        <v>1966</v>
      </c>
      <c r="J417" s="7" t="s">
        <v>227</v>
      </c>
      <c r="K417" s="7" t="s">
        <v>200</v>
      </c>
      <c r="L417" s="7" t="s">
        <v>1967</v>
      </c>
      <c r="M417" s="7" t="s">
        <v>521</v>
      </c>
      <c r="N417" s="7" t="s">
        <v>3608</v>
      </c>
      <c r="O417" s="7" t="s">
        <v>3609</v>
      </c>
      <c r="P417" s="7">
        <v>4811992</v>
      </c>
      <c r="Q417" s="7" t="s">
        <v>5213</v>
      </c>
      <c r="R417" s="7" t="s">
        <v>203</v>
      </c>
      <c r="S417" s="7" t="s">
        <v>234</v>
      </c>
      <c r="T417" s="7" t="s">
        <v>217</v>
      </c>
      <c r="U417" s="7" t="s">
        <v>207</v>
      </c>
      <c r="V417" s="7" t="s">
        <v>5214</v>
      </c>
      <c r="W417" s="7" t="s">
        <v>227</v>
      </c>
      <c r="X417" s="7" t="s">
        <v>200</v>
      </c>
      <c r="Y417" s="7" t="s">
        <v>5215</v>
      </c>
      <c r="Z417" s="7" t="s">
        <v>5216</v>
      </c>
      <c r="AA417" s="7" t="s">
        <v>3623</v>
      </c>
      <c r="AB417" s="7" t="s">
        <v>4523</v>
      </c>
      <c r="AC417" s="7" t="s">
        <v>5217</v>
      </c>
      <c r="AD417" s="8">
        <v>45597</v>
      </c>
      <c r="AE417" s="8">
        <v>46010</v>
      </c>
      <c r="AF417" s="7"/>
    </row>
    <row r="418" spans="1:32" ht="71.25" customHeight="1" x14ac:dyDescent="0.3">
      <c r="A418" s="5">
        <v>8020797</v>
      </c>
      <c r="B418" s="5" t="s">
        <v>3364</v>
      </c>
      <c r="C418" s="5" t="s">
        <v>5218</v>
      </c>
      <c r="D418" s="5" t="s">
        <v>198</v>
      </c>
      <c r="E418" s="5" t="s">
        <v>203</v>
      </c>
      <c r="F418" s="5" t="s">
        <v>418</v>
      </c>
      <c r="G418" s="5" t="s">
        <v>217</v>
      </c>
      <c r="H418" s="5" t="s">
        <v>233</v>
      </c>
      <c r="I418" s="5" t="s">
        <v>3365</v>
      </c>
      <c r="J418" s="5" t="s">
        <v>227</v>
      </c>
      <c r="K418" s="5" t="s">
        <v>888</v>
      </c>
      <c r="L418" s="5" t="s">
        <v>2340</v>
      </c>
      <c r="M418" s="5" t="s">
        <v>3366</v>
      </c>
      <c r="N418" s="5" t="s">
        <v>3623</v>
      </c>
      <c r="O418" s="5" t="s">
        <v>3837</v>
      </c>
      <c r="P418" s="5">
        <v>5557305</v>
      </c>
      <c r="Q418" s="5" t="s">
        <v>5219</v>
      </c>
      <c r="R418" s="5" t="s">
        <v>203</v>
      </c>
      <c r="S418" s="5" t="s">
        <v>418</v>
      </c>
      <c r="T418" s="5" t="s">
        <v>217</v>
      </c>
      <c r="U418" s="5" t="s">
        <v>245</v>
      </c>
      <c r="V418" s="5" t="s">
        <v>5220</v>
      </c>
      <c r="W418" s="5" t="s">
        <v>227</v>
      </c>
      <c r="X418" s="5" t="s">
        <v>200</v>
      </c>
      <c r="Y418" s="5" t="s">
        <v>4821</v>
      </c>
      <c r="Z418" s="5" t="s">
        <v>4546</v>
      </c>
      <c r="AA418" s="5" t="s">
        <v>3612</v>
      </c>
      <c r="AB418" s="5" t="s">
        <v>3837</v>
      </c>
      <c r="AC418" s="5" t="s">
        <v>5221</v>
      </c>
      <c r="AD418" s="6">
        <v>45636</v>
      </c>
      <c r="AE418" s="6">
        <v>46001</v>
      </c>
      <c r="AF418" s="5"/>
    </row>
    <row r="419" spans="1:32" ht="30" customHeight="1" x14ac:dyDescent="0.3">
      <c r="A419" s="7">
        <v>3458555</v>
      </c>
      <c r="B419" s="7" t="s">
        <v>1339</v>
      </c>
      <c r="C419" s="7" t="s">
        <v>5028</v>
      </c>
      <c r="D419" s="7" t="s">
        <v>693</v>
      </c>
      <c r="E419" s="7" t="s">
        <v>203</v>
      </c>
      <c r="F419" s="7" t="s">
        <v>234</v>
      </c>
      <c r="G419" s="7" t="s">
        <v>208</v>
      </c>
      <c r="H419" s="7" t="s">
        <v>245</v>
      </c>
      <c r="I419" s="7" t="s">
        <v>1340</v>
      </c>
      <c r="J419" s="7" t="s">
        <v>227</v>
      </c>
      <c r="K419" s="7" t="s">
        <v>413</v>
      </c>
      <c r="L419" s="7" t="s">
        <v>1341</v>
      </c>
      <c r="M419" s="7" t="s">
        <v>1342</v>
      </c>
      <c r="N419" s="7" t="s">
        <v>3602</v>
      </c>
      <c r="O419" s="7" t="s">
        <v>3886</v>
      </c>
      <c r="P419" s="7">
        <v>5389992</v>
      </c>
      <c r="Q419" s="7" t="s">
        <v>5222</v>
      </c>
      <c r="R419" s="7" t="s">
        <v>203</v>
      </c>
      <c r="S419" s="7" t="s">
        <v>234</v>
      </c>
      <c r="T419" s="7" t="s">
        <v>217</v>
      </c>
      <c r="U419" s="7" t="s">
        <v>207</v>
      </c>
      <c r="V419" s="7" t="s">
        <v>5089</v>
      </c>
      <c r="W419" s="7" t="s">
        <v>227</v>
      </c>
      <c r="X419" s="7" t="s">
        <v>413</v>
      </c>
      <c r="Y419" s="7" t="s">
        <v>1427</v>
      </c>
      <c r="Z419" s="7" t="s">
        <v>5090</v>
      </c>
      <c r="AA419" s="7" t="s">
        <v>3612</v>
      </c>
      <c r="AB419" s="7" t="s">
        <v>3886</v>
      </c>
      <c r="AC419" s="7" t="s">
        <v>5223</v>
      </c>
      <c r="AD419" s="8">
        <v>45566</v>
      </c>
      <c r="AE419" s="8">
        <v>45931</v>
      </c>
      <c r="AF419" s="7"/>
    </row>
    <row r="420" spans="1:32" ht="30" customHeight="1" x14ac:dyDescent="0.3">
      <c r="A420" s="5">
        <v>3458555</v>
      </c>
      <c r="B420" s="5" t="s">
        <v>1339</v>
      </c>
      <c r="C420" s="5" t="s">
        <v>5028</v>
      </c>
      <c r="D420" s="5" t="s">
        <v>693</v>
      </c>
      <c r="E420" s="5" t="s">
        <v>203</v>
      </c>
      <c r="F420" s="5" t="s">
        <v>234</v>
      </c>
      <c r="G420" s="5" t="s">
        <v>208</v>
      </c>
      <c r="H420" s="5" t="s">
        <v>245</v>
      </c>
      <c r="I420" s="5" t="s">
        <v>1340</v>
      </c>
      <c r="J420" s="5" t="s">
        <v>227</v>
      </c>
      <c r="K420" s="5" t="s">
        <v>413</v>
      </c>
      <c r="L420" s="5" t="s">
        <v>1341</v>
      </c>
      <c r="M420" s="5" t="s">
        <v>1342</v>
      </c>
      <c r="N420" s="5" t="s">
        <v>3602</v>
      </c>
      <c r="O420" s="5" t="s">
        <v>3886</v>
      </c>
      <c r="P420" s="5">
        <v>5030374</v>
      </c>
      <c r="Q420" s="5" t="s">
        <v>2602</v>
      </c>
      <c r="R420" s="5" t="s">
        <v>203</v>
      </c>
      <c r="S420" s="5" t="s">
        <v>234</v>
      </c>
      <c r="T420" s="5" t="s">
        <v>208</v>
      </c>
      <c r="U420" s="5" t="s">
        <v>207</v>
      </c>
      <c r="V420" s="5" t="s">
        <v>2604</v>
      </c>
      <c r="W420" s="5" t="s">
        <v>227</v>
      </c>
      <c r="X420" s="5" t="s">
        <v>413</v>
      </c>
      <c r="Y420" s="5" t="s">
        <v>2605</v>
      </c>
      <c r="Z420" s="5" t="s">
        <v>2551</v>
      </c>
      <c r="AA420" s="5" t="s">
        <v>3623</v>
      </c>
      <c r="AB420" s="5" t="s">
        <v>3928</v>
      </c>
      <c r="AC420" s="5" t="s">
        <v>5224</v>
      </c>
      <c r="AD420" s="6">
        <v>45566</v>
      </c>
      <c r="AE420" s="6">
        <v>45931</v>
      </c>
      <c r="AF420" s="5"/>
    </row>
    <row r="421" spans="1:32" ht="51" customHeight="1" x14ac:dyDescent="0.3">
      <c r="A421" s="7">
        <v>4612590</v>
      </c>
      <c r="B421" s="7" t="s">
        <v>1858</v>
      </c>
      <c r="C421" s="7" t="s">
        <v>5225</v>
      </c>
      <c r="D421" s="7" t="s">
        <v>198</v>
      </c>
      <c r="E421" s="7" t="s">
        <v>203</v>
      </c>
      <c r="F421" s="7" t="s">
        <v>234</v>
      </c>
      <c r="G421" s="7" t="s">
        <v>208</v>
      </c>
      <c r="H421" s="7" t="s">
        <v>233</v>
      </c>
      <c r="I421" s="7" t="s">
        <v>1859</v>
      </c>
      <c r="J421" s="7" t="s">
        <v>227</v>
      </c>
      <c r="K421" s="7" t="s">
        <v>200</v>
      </c>
      <c r="L421" s="7" t="s">
        <v>1860</v>
      </c>
      <c r="M421" s="7" t="s">
        <v>1861</v>
      </c>
      <c r="N421" s="7" t="s">
        <v>3652</v>
      </c>
      <c r="O421" s="7" t="s">
        <v>3763</v>
      </c>
      <c r="P421" s="7">
        <v>5078660</v>
      </c>
      <c r="Q421" s="7" t="s">
        <v>5226</v>
      </c>
      <c r="R421" s="7" t="s">
        <v>203</v>
      </c>
      <c r="S421" s="7" t="s">
        <v>234</v>
      </c>
      <c r="T421" s="7" t="s">
        <v>208</v>
      </c>
      <c r="U421" s="7" t="s">
        <v>207</v>
      </c>
      <c r="V421" s="7" t="s">
        <v>4915</v>
      </c>
      <c r="W421" s="7" t="s">
        <v>227</v>
      </c>
      <c r="X421" s="7" t="s">
        <v>200</v>
      </c>
      <c r="Y421" s="7" t="s">
        <v>4916</v>
      </c>
      <c r="Z421" s="7" t="s">
        <v>3292</v>
      </c>
      <c r="AA421" s="7" t="s">
        <v>3612</v>
      </c>
      <c r="AB421" s="7" t="s">
        <v>3711</v>
      </c>
      <c r="AC421" s="7" t="s">
        <v>5227</v>
      </c>
      <c r="AD421" s="8">
        <v>45684</v>
      </c>
      <c r="AE421" s="7"/>
      <c r="AF421" s="7"/>
    </row>
    <row r="422" spans="1:32" ht="30" customHeight="1" x14ac:dyDescent="0.3">
      <c r="A422" s="5">
        <v>2285681</v>
      </c>
      <c r="B422" s="5" t="s">
        <v>950</v>
      </c>
      <c r="C422" s="5" t="s">
        <v>5228</v>
      </c>
      <c r="D422" s="5" t="s">
        <v>198</v>
      </c>
      <c r="E422" s="5" t="s">
        <v>203</v>
      </c>
      <c r="F422" s="5" t="s">
        <v>433</v>
      </c>
      <c r="G422" s="5" t="s">
        <v>208</v>
      </c>
      <c r="H422" s="5" t="s">
        <v>233</v>
      </c>
      <c r="I422" s="5" t="s">
        <v>951</v>
      </c>
      <c r="J422" s="5" t="s">
        <v>227</v>
      </c>
      <c r="K422" s="5" t="s">
        <v>200</v>
      </c>
      <c r="L422" s="5" t="s">
        <v>952</v>
      </c>
      <c r="M422" s="5" t="s">
        <v>953</v>
      </c>
      <c r="N422" s="5" t="s">
        <v>3652</v>
      </c>
      <c r="O422" s="5" t="s">
        <v>3727</v>
      </c>
      <c r="P422" s="5">
        <v>5294258</v>
      </c>
      <c r="Q422" s="5" t="s">
        <v>5229</v>
      </c>
      <c r="R422" s="5" t="s">
        <v>737</v>
      </c>
      <c r="S422" s="5" t="s">
        <v>418</v>
      </c>
      <c r="T422" s="5" t="s">
        <v>208</v>
      </c>
      <c r="U422" s="5" t="s">
        <v>207</v>
      </c>
      <c r="V422" s="5" t="s">
        <v>5230</v>
      </c>
      <c r="W422" s="5" t="s">
        <v>227</v>
      </c>
      <c r="X422" s="5" t="s">
        <v>200</v>
      </c>
      <c r="Y422" s="5" t="s">
        <v>5231</v>
      </c>
      <c r="Z422" s="5" t="s">
        <v>3016</v>
      </c>
      <c r="AA422" s="5" t="s">
        <v>3623</v>
      </c>
      <c r="AB422" s="5" t="s">
        <v>3775</v>
      </c>
      <c r="AC422" s="5" t="s">
        <v>5232</v>
      </c>
      <c r="AD422" s="6">
        <v>45689</v>
      </c>
      <c r="AE422" s="6">
        <v>46081</v>
      </c>
      <c r="AF422" s="5"/>
    </row>
    <row r="423" spans="1:32" ht="30" customHeight="1" x14ac:dyDescent="0.3">
      <c r="A423" s="7">
        <v>4751795</v>
      </c>
      <c r="B423" s="7" t="s">
        <v>2110</v>
      </c>
      <c r="C423" s="7" t="s">
        <v>5004</v>
      </c>
      <c r="D423" s="7" t="s">
        <v>693</v>
      </c>
      <c r="E423" s="7" t="s">
        <v>203</v>
      </c>
      <c r="F423" s="7" t="s">
        <v>234</v>
      </c>
      <c r="G423" s="7" t="s">
        <v>208</v>
      </c>
      <c r="H423" s="7" t="s">
        <v>207</v>
      </c>
      <c r="I423" s="7" t="s">
        <v>694</v>
      </c>
      <c r="J423" s="7" t="s">
        <v>227</v>
      </c>
      <c r="K423" s="7" t="s">
        <v>413</v>
      </c>
      <c r="L423" s="7" t="s">
        <v>695</v>
      </c>
      <c r="M423" s="7" t="s">
        <v>422</v>
      </c>
      <c r="N423" s="7" t="s">
        <v>3608</v>
      </c>
      <c r="O423" s="7" t="s">
        <v>3886</v>
      </c>
      <c r="P423" s="7">
        <v>5669189</v>
      </c>
      <c r="Q423" s="7" t="s">
        <v>5233</v>
      </c>
      <c r="R423" s="7" t="s">
        <v>203</v>
      </c>
      <c r="S423" s="7" t="s">
        <v>234</v>
      </c>
      <c r="T423" s="7" t="s">
        <v>208</v>
      </c>
      <c r="U423" s="7" t="s">
        <v>207</v>
      </c>
      <c r="V423" s="7" t="s">
        <v>5048</v>
      </c>
      <c r="W423" s="7" t="s">
        <v>227</v>
      </c>
      <c r="X423" s="7" t="s">
        <v>413</v>
      </c>
      <c r="Y423" s="7" t="s">
        <v>1427</v>
      </c>
      <c r="Z423" s="7" t="s">
        <v>254</v>
      </c>
      <c r="AA423" s="7" t="s">
        <v>3732</v>
      </c>
      <c r="AB423" s="7" t="s">
        <v>3886</v>
      </c>
      <c r="AC423" s="7" t="s">
        <v>5234</v>
      </c>
      <c r="AD423" s="8">
        <v>45566</v>
      </c>
      <c r="AE423" s="8">
        <v>45931</v>
      </c>
      <c r="AF423" s="7"/>
    </row>
    <row r="424" spans="1:32" ht="30" customHeight="1" x14ac:dyDescent="0.3">
      <c r="A424" s="5">
        <v>4751795</v>
      </c>
      <c r="B424" s="5" t="s">
        <v>2110</v>
      </c>
      <c r="C424" s="5" t="s">
        <v>5004</v>
      </c>
      <c r="D424" s="5" t="s">
        <v>693</v>
      </c>
      <c r="E424" s="5" t="s">
        <v>203</v>
      </c>
      <c r="F424" s="5" t="s">
        <v>234</v>
      </c>
      <c r="G424" s="5" t="s">
        <v>208</v>
      </c>
      <c r="H424" s="5" t="s">
        <v>207</v>
      </c>
      <c r="I424" s="5" t="s">
        <v>694</v>
      </c>
      <c r="J424" s="5" t="s">
        <v>227</v>
      </c>
      <c r="K424" s="5" t="s">
        <v>413</v>
      </c>
      <c r="L424" s="5" t="s">
        <v>695</v>
      </c>
      <c r="M424" s="5" t="s">
        <v>422</v>
      </c>
      <c r="N424" s="5" t="s">
        <v>3608</v>
      </c>
      <c r="O424" s="5" t="s">
        <v>3886</v>
      </c>
      <c r="P424" s="5">
        <v>5379830</v>
      </c>
      <c r="Q424" s="5" t="s">
        <v>5235</v>
      </c>
      <c r="R424" s="5" t="s">
        <v>203</v>
      </c>
      <c r="S424" s="5" t="s">
        <v>234</v>
      </c>
      <c r="T424" s="5" t="s">
        <v>208</v>
      </c>
      <c r="U424" s="5" t="s">
        <v>207</v>
      </c>
      <c r="V424" s="5" t="s">
        <v>5236</v>
      </c>
      <c r="W424" s="5" t="s">
        <v>227</v>
      </c>
      <c r="X424" s="5" t="s">
        <v>413</v>
      </c>
      <c r="Y424" s="5" t="s">
        <v>5237</v>
      </c>
      <c r="Z424" s="5" t="s">
        <v>5058</v>
      </c>
      <c r="AA424" s="5" t="s">
        <v>3612</v>
      </c>
      <c r="AB424" s="5" t="s">
        <v>3886</v>
      </c>
      <c r="AC424" s="5" t="s">
        <v>5238</v>
      </c>
      <c r="AD424" s="6">
        <v>45566</v>
      </c>
      <c r="AE424" s="6">
        <v>45931</v>
      </c>
      <c r="AF424" s="5"/>
    </row>
    <row r="425" spans="1:32" ht="122.25" customHeight="1" x14ac:dyDescent="0.3">
      <c r="A425" s="7">
        <v>5546885</v>
      </c>
      <c r="B425" s="7" t="s">
        <v>3282</v>
      </c>
      <c r="C425" s="7" t="s">
        <v>5239</v>
      </c>
      <c r="D425" s="7" t="s">
        <v>198</v>
      </c>
      <c r="E425" s="7" t="s">
        <v>203</v>
      </c>
      <c r="F425" s="7" t="s">
        <v>234</v>
      </c>
      <c r="G425" s="7" t="s">
        <v>208</v>
      </c>
      <c r="H425" s="7" t="s">
        <v>207</v>
      </c>
      <c r="I425" s="7" t="s">
        <v>3283</v>
      </c>
      <c r="J425" s="7" t="s">
        <v>227</v>
      </c>
      <c r="K425" s="7" t="s">
        <v>200</v>
      </c>
      <c r="L425" s="7" t="s">
        <v>3284</v>
      </c>
      <c r="M425" s="7" t="s">
        <v>594</v>
      </c>
      <c r="N425" s="7" t="s">
        <v>3612</v>
      </c>
      <c r="O425" s="7" t="s">
        <v>3919</v>
      </c>
      <c r="P425" s="7">
        <v>8877032</v>
      </c>
      <c r="Q425" s="7" t="s">
        <v>5240</v>
      </c>
      <c r="R425" s="7" t="s">
        <v>203</v>
      </c>
      <c r="S425" s="7" t="s">
        <v>234</v>
      </c>
      <c r="T425" s="7" t="s">
        <v>208</v>
      </c>
      <c r="U425" s="7" t="s">
        <v>2330</v>
      </c>
      <c r="V425" s="7" t="s">
        <v>5241</v>
      </c>
      <c r="W425" s="7" t="s">
        <v>227</v>
      </c>
      <c r="X425" s="7" t="s">
        <v>200</v>
      </c>
      <c r="Y425" s="7" t="s">
        <v>5242</v>
      </c>
      <c r="Z425" s="7" t="s">
        <v>410</v>
      </c>
      <c r="AA425" s="7" t="s">
        <v>3729</v>
      </c>
      <c r="AB425" s="7" t="s">
        <v>3609</v>
      </c>
      <c r="AC425" s="7" t="s">
        <v>5243</v>
      </c>
      <c r="AD425" s="8">
        <v>45672</v>
      </c>
      <c r="AE425" s="8">
        <v>45731</v>
      </c>
      <c r="AF425" s="7"/>
    </row>
    <row r="426" spans="1:32" ht="213.75" customHeight="1" x14ac:dyDescent="0.3">
      <c r="A426" s="5">
        <v>5414032</v>
      </c>
      <c r="B426" s="5" t="s">
        <v>3194</v>
      </c>
      <c r="C426" s="5" t="s">
        <v>5244</v>
      </c>
      <c r="D426" s="5" t="s">
        <v>198</v>
      </c>
      <c r="E426" s="5" t="s">
        <v>203</v>
      </c>
      <c r="F426" s="5" t="s">
        <v>234</v>
      </c>
      <c r="G426" s="5" t="s">
        <v>217</v>
      </c>
      <c r="H426" s="5" t="s">
        <v>245</v>
      </c>
      <c r="I426" s="5" t="s">
        <v>3195</v>
      </c>
      <c r="J426" s="5" t="s">
        <v>227</v>
      </c>
      <c r="K426" s="5" t="s">
        <v>413</v>
      </c>
      <c r="L426" s="5" t="s">
        <v>3196</v>
      </c>
      <c r="M426" s="5" t="s">
        <v>3197</v>
      </c>
      <c r="N426" s="5" t="s">
        <v>3612</v>
      </c>
      <c r="O426" s="5" t="s">
        <v>3928</v>
      </c>
      <c r="P426" s="5">
        <v>5354595</v>
      </c>
      <c r="Q426" s="5" t="s">
        <v>5245</v>
      </c>
      <c r="R426" s="5" t="s">
        <v>203</v>
      </c>
      <c r="S426" s="5" t="s">
        <v>234</v>
      </c>
      <c r="T426" s="5" t="s">
        <v>208</v>
      </c>
      <c r="U426" s="5" t="s">
        <v>207</v>
      </c>
      <c r="V426" s="5" t="s">
        <v>5068</v>
      </c>
      <c r="W426" s="5" t="s">
        <v>227</v>
      </c>
      <c r="X426" s="5" t="s">
        <v>413</v>
      </c>
      <c r="Y426" s="5" t="s">
        <v>1427</v>
      </c>
      <c r="Z426" s="5" t="s">
        <v>254</v>
      </c>
      <c r="AA426" s="5" t="s">
        <v>3729</v>
      </c>
      <c r="AB426" s="5" t="s">
        <v>3886</v>
      </c>
      <c r="AC426" s="5" t="s">
        <v>5246</v>
      </c>
      <c r="AD426" s="6">
        <v>45664</v>
      </c>
      <c r="AE426" s="6">
        <v>46210</v>
      </c>
      <c r="AF426" s="5"/>
    </row>
    <row r="427" spans="1:32" ht="409.5" customHeight="1" x14ac:dyDescent="0.3">
      <c r="A427" s="7">
        <v>3678482</v>
      </c>
      <c r="B427" s="7" t="s">
        <v>1571</v>
      </c>
      <c r="C427" s="7" t="s">
        <v>5247</v>
      </c>
      <c r="D427" s="7" t="s">
        <v>862</v>
      </c>
      <c r="E427" s="7" t="s">
        <v>203</v>
      </c>
      <c r="F427" s="7" t="s">
        <v>444</v>
      </c>
      <c r="G427" s="7" t="s">
        <v>208</v>
      </c>
      <c r="H427" s="7" t="s">
        <v>207</v>
      </c>
      <c r="I427" s="7" t="s">
        <v>1572</v>
      </c>
      <c r="J427" s="7" t="s">
        <v>227</v>
      </c>
      <c r="K427" s="7" t="s">
        <v>200</v>
      </c>
      <c r="L427" s="7" t="s">
        <v>1573</v>
      </c>
      <c r="M427" s="7" t="s">
        <v>1574</v>
      </c>
      <c r="N427" s="7" t="s">
        <v>3608</v>
      </c>
      <c r="O427" s="7" t="s">
        <v>3824</v>
      </c>
      <c r="P427" s="7">
        <v>8870969</v>
      </c>
      <c r="Q427" s="7" t="s">
        <v>5248</v>
      </c>
      <c r="R427" s="7" t="s">
        <v>203</v>
      </c>
      <c r="S427" s="7" t="s">
        <v>234</v>
      </c>
      <c r="T427" s="7" t="s">
        <v>208</v>
      </c>
      <c r="U427" s="7" t="s">
        <v>2330</v>
      </c>
      <c r="V427" s="7" t="s">
        <v>5249</v>
      </c>
      <c r="W427" s="7" t="s">
        <v>227</v>
      </c>
      <c r="X427" s="7" t="s">
        <v>200</v>
      </c>
      <c r="Y427" s="7" t="s">
        <v>3113</v>
      </c>
      <c r="Z427" s="7" t="s">
        <v>3114</v>
      </c>
      <c r="AA427" s="7" t="s">
        <v>3729</v>
      </c>
      <c r="AB427" s="7" t="s">
        <v>3646</v>
      </c>
      <c r="AC427" s="7" t="s">
        <v>5250</v>
      </c>
      <c r="AD427" s="8">
        <v>45666</v>
      </c>
      <c r="AE427" s="8">
        <v>46029</v>
      </c>
      <c r="AF427" s="7"/>
    </row>
    <row r="428" spans="1:32" ht="193.5" customHeight="1" x14ac:dyDescent="0.3">
      <c r="A428" s="5">
        <v>2962233</v>
      </c>
      <c r="B428" s="5" t="s">
        <v>786</v>
      </c>
      <c r="C428" s="5" t="s">
        <v>5251</v>
      </c>
      <c r="D428" s="5" t="s">
        <v>862</v>
      </c>
      <c r="E428" s="5" t="s">
        <v>203</v>
      </c>
      <c r="F428" s="5" t="s">
        <v>433</v>
      </c>
      <c r="G428" s="5" t="s">
        <v>208</v>
      </c>
      <c r="H428" s="5" t="s">
        <v>233</v>
      </c>
      <c r="I428" s="5" t="s">
        <v>787</v>
      </c>
      <c r="J428" s="5" t="s">
        <v>227</v>
      </c>
      <c r="K428" s="5" t="s">
        <v>200</v>
      </c>
      <c r="L428" s="5" t="s">
        <v>788</v>
      </c>
      <c r="M428" s="5" t="s">
        <v>789</v>
      </c>
      <c r="N428" s="5" t="s">
        <v>3602</v>
      </c>
      <c r="O428" s="5" t="s">
        <v>3727</v>
      </c>
      <c r="P428" s="5">
        <v>5430496</v>
      </c>
      <c r="Q428" s="5" t="s">
        <v>5252</v>
      </c>
      <c r="R428" s="5" t="s">
        <v>203</v>
      </c>
      <c r="S428" s="5" t="s">
        <v>234</v>
      </c>
      <c r="T428" s="5" t="s">
        <v>217</v>
      </c>
      <c r="U428" s="5" t="s">
        <v>207</v>
      </c>
      <c r="V428" s="5" t="s">
        <v>5253</v>
      </c>
      <c r="W428" s="5" t="s">
        <v>227</v>
      </c>
      <c r="X428" s="5" t="s">
        <v>200</v>
      </c>
      <c r="Y428" s="5" t="s">
        <v>1418</v>
      </c>
      <c r="Z428" s="5" t="s">
        <v>1328</v>
      </c>
      <c r="AA428" s="5" t="s">
        <v>3612</v>
      </c>
      <c r="AB428" s="5" t="s">
        <v>3894</v>
      </c>
      <c r="AC428" s="5" t="s">
        <v>5254</v>
      </c>
      <c r="AD428" s="6">
        <v>45689</v>
      </c>
      <c r="AE428" s="6">
        <v>46003</v>
      </c>
      <c r="AF428" s="5"/>
    </row>
    <row r="429" spans="1:32" ht="71.25" customHeight="1" x14ac:dyDescent="0.3">
      <c r="A429" s="7">
        <v>3459519</v>
      </c>
      <c r="B429" s="7" t="s">
        <v>1347</v>
      </c>
      <c r="C429" s="7" t="s">
        <v>5255</v>
      </c>
      <c r="D429" s="7" t="s">
        <v>198</v>
      </c>
      <c r="E429" s="7" t="s">
        <v>203</v>
      </c>
      <c r="F429" s="7" t="s">
        <v>418</v>
      </c>
      <c r="G429" s="7" t="s">
        <v>208</v>
      </c>
      <c r="H429" s="7" t="s">
        <v>207</v>
      </c>
      <c r="I429" s="7" t="s">
        <v>1348</v>
      </c>
      <c r="J429" s="7" t="s">
        <v>227</v>
      </c>
      <c r="K429" s="7" t="s">
        <v>200</v>
      </c>
      <c r="L429" s="7" t="s">
        <v>1349</v>
      </c>
      <c r="M429" s="7" t="s">
        <v>922</v>
      </c>
      <c r="N429" s="7" t="s">
        <v>3602</v>
      </c>
      <c r="O429" s="7" t="s">
        <v>3736</v>
      </c>
      <c r="P429" s="7">
        <v>5113741</v>
      </c>
      <c r="Q429" s="7" t="s">
        <v>5256</v>
      </c>
      <c r="R429" s="7" t="s">
        <v>737</v>
      </c>
      <c r="S429" s="7" t="s">
        <v>234</v>
      </c>
      <c r="T429" s="7" t="s">
        <v>217</v>
      </c>
      <c r="U429" s="7" t="s">
        <v>207</v>
      </c>
      <c r="V429" s="7" t="s">
        <v>5257</v>
      </c>
      <c r="W429" s="7" t="s">
        <v>227</v>
      </c>
      <c r="X429" s="7" t="s">
        <v>200</v>
      </c>
      <c r="Y429" s="7" t="s">
        <v>1349</v>
      </c>
      <c r="Z429" s="7" t="s">
        <v>5258</v>
      </c>
      <c r="AA429" s="7" t="s">
        <v>3623</v>
      </c>
      <c r="AB429" s="7" t="s">
        <v>3635</v>
      </c>
      <c r="AC429" s="7" t="s">
        <v>5259</v>
      </c>
      <c r="AD429" s="8">
        <v>45703</v>
      </c>
      <c r="AE429" s="7"/>
      <c r="AF429" s="7"/>
    </row>
    <row r="430" spans="1:32" ht="30" customHeight="1" x14ac:dyDescent="0.3">
      <c r="A430" s="5">
        <v>2862212</v>
      </c>
      <c r="B430" s="5" t="s">
        <v>571</v>
      </c>
      <c r="C430" s="5"/>
      <c r="D430" s="5" t="s">
        <v>354</v>
      </c>
      <c r="E430" s="5" t="s">
        <v>203</v>
      </c>
      <c r="F430" s="5" t="s">
        <v>234</v>
      </c>
      <c r="G430" s="5" t="s">
        <v>208</v>
      </c>
      <c r="H430" s="5" t="s">
        <v>245</v>
      </c>
      <c r="I430" s="5" t="s">
        <v>573</v>
      </c>
      <c r="J430" s="5" t="s">
        <v>227</v>
      </c>
      <c r="K430" s="5" t="s">
        <v>200</v>
      </c>
      <c r="L430" s="5" t="s">
        <v>574</v>
      </c>
      <c r="M430" s="5" t="s">
        <v>575</v>
      </c>
      <c r="N430" s="5" t="s">
        <v>3652</v>
      </c>
      <c r="O430" s="5" t="s">
        <v>3736</v>
      </c>
      <c r="P430" s="5">
        <v>5056853</v>
      </c>
      <c r="Q430" s="5" t="s">
        <v>5260</v>
      </c>
      <c r="R430" s="5" t="s">
        <v>203</v>
      </c>
      <c r="S430" s="5" t="s">
        <v>234</v>
      </c>
      <c r="T430" s="5" t="s">
        <v>217</v>
      </c>
      <c r="U430" s="5" t="s">
        <v>207</v>
      </c>
      <c r="V430" s="5" t="s">
        <v>5261</v>
      </c>
      <c r="W430" s="5" t="s">
        <v>227</v>
      </c>
      <c r="X430" s="5" t="s">
        <v>200</v>
      </c>
      <c r="Y430" s="5" t="s">
        <v>5262</v>
      </c>
      <c r="Z430" s="5" t="s">
        <v>5263</v>
      </c>
      <c r="AA430" s="5" t="s">
        <v>3623</v>
      </c>
      <c r="AB430" s="5" t="s">
        <v>3609</v>
      </c>
      <c r="AC430" s="5" t="s">
        <v>5264</v>
      </c>
      <c r="AD430" s="6">
        <v>45692</v>
      </c>
      <c r="AE430" s="6">
        <v>45835</v>
      </c>
      <c r="AF430" s="5"/>
    </row>
    <row r="431" spans="1:32" ht="30" customHeight="1" x14ac:dyDescent="0.3">
      <c r="A431" s="7">
        <v>5151058</v>
      </c>
      <c r="B431" s="7" t="s">
        <v>2810</v>
      </c>
      <c r="C431" s="7"/>
      <c r="D431" s="7" t="s">
        <v>862</v>
      </c>
      <c r="E431" s="7" t="s">
        <v>203</v>
      </c>
      <c r="F431" s="7" t="s">
        <v>234</v>
      </c>
      <c r="G431" s="7" t="s">
        <v>208</v>
      </c>
      <c r="H431" s="7" t="s">
        <v>207</v>
      </c>
      <c r="I431" s="7" t="s">
        <v>2811</v>
      </c>
      <c r="J431" s="7" t="s">
        <v>227</v>
      </c>
      <c r="K431" s="7" t="s">
        <v>413</v>
      </c>
      <c r="L431" s="7" t="s">
        <v>2812</v>
      </c>
      <c r="M431" s="7" t="s">
        <v>2813</v>
      </c>
      <c r="N431" s="7" t="s">
        <v>3623</v>
      </c>
      <c r="O431" s="7" t="s">
        <v>3960</v>
      </c>
      <c r="P431" s="7">
        <v>8875474</v>
      </c>
      <c r="Q431" s="7" t="s">
        <v>5265</v>
      </c>
      <c r="R431" s="7" t="s">
        <v>203</v>
      </c>
      <c r="S431" s="7" t="s">
        <v>234</v>
      </c>
      <c r="T431" s="7" t="s">
        <v>217</v>
      </c>
      <c r="U431" s="7" t="s">
        <v>207</v>
      </c>
      <c r="V431" s="7" t="s">
        <v>5266</v>
      </c>
      <c r="W431" s="7" t="s">
        <v>227</v>
      </c>
      <c r="X431" s="7" t="s">
        <v>413</v>
      </c>
      <c r="Y431" s="7" t="s">
        <v>2826</v>
      </c>
      <c r="Z431" s="7" t="s">
        <v>5267</v>
      </c>
      <c r="AA431" s="7" t="s">
        <v>3729</v>
      </c>
      <c r="AB431" s="7" t="s">
        <v>4637</v>
      </c>
      <c r="AC431" s="7" t="s">
        <v>5268</v>
      </c>
      <c r="AD431" s="8">
        <v>45658</v>
      </c>
      <c r="AE431" s="8">
        <v>46022</v>
      </c>
      <c r="AF431" s="7"/>
    </row>
    <row r="432" spans="1:32" ht="30" customHeight="1" x14ac:dyDescent="0.3">
      <c r="A432" s="5">
        <v>5334187</v>
      </c>
      <c r="B432" s="5" t="s">
        <v>3145</v>
      </c>
      <c r="C432" s="5" t="s">
        <v>5028</v>
      </c>
      <c r="D432" s="5" t="s">
        <v>693</v>
      </c>
      <c r="E432" s="5" t="s">
        <v>203</v>
      </c>
      <c r="F432" s="5" t="s">
        <v>433</v>
      </c>
      <c r="G432" s="5" t="s">
        <v>208</v>
      </c>
      <c r="H432" s="5" t="s">
        <v>2330</v>
      </c>
      <c r="I432" s="5" t="s">
        <v>3146</v>
      </c>
      <c r="J432" s="5" t="s">
        <v>227</v>
      </c>
      <c r="K432" s="5" t="s">
        <v>413</v>
      </c>
      <c r="L432" s="5" t="s">
        <v>3147</v>
      </c>
      <c r="M432" s="5" t="s">
        <v>2551</v>
      </c>
      <c r="N432" s="5" t="s">
        <v>3623</v>
      </c>
      <c r="O432" s="5" t="s">
        <v>3928</v>
      </c>
      <c r="P432" s="5">
        <v>5354595</v>
      </c>
      <c r="Q432" s="5" t="s">
        <v>5245</v>
      </c>
      <c r="R432" s="5" t="s">
        <v>203</v>
      </c>
      <c r="S432" s="5" t="s">
        <v>234</v>
      </c>
      <c r="T432" s="5" t="s">
        <v>208</v>
      </c>
      <c r="U432" s="5" t="s">
        <v>207</v>
      </c>
      <c r="V432" s="5" t="s">
        <v>5068</v>
      </c>
      <c r="W432" s="5" t="s">
        <v>227</v>
      </c>
      <c r="X432" s="5" t="s">
        <v>413</v>
      </c>
      <c r="Y432" s="5" t="s">
        <v>1427</v>
      </c>
      <c r="Z432" s="5" t="s">
        <v>254</v>
      </c>
      <c r="AA432" s="5" t="s">
        <v>3729</v>
      </c>
      <c r="AB432" s="5" t="s">
        <v>3886</v>
      </c>
      <c r="AC432" s="5" t="s">
        <v>5269</v>
      </c>
      <c r="AD432" s="6">
        <v>45566</v>
      </c>
      <c r="AE432" s="6">
        <v>45931</v>
      </c>
      <c r="AF432" s="5"/>
    </row>
    <row r="433" spans="1:32" ht="409.5" customHeight="1" x14ac:dyDescent="0.3">
      <c r="A433" s="7">
        <v>5645840</v>
      </c>
      <c r="B433" s="7" t="s">
        <v>3329</v>
      </c>
      <c r="C433" s="7" t="s">
        <v>5270</v>
      </c>
      <c r="D433" s="7" t="s">
        <v>3373</v>
      </c>
      <c r="E433" s="7" t="s">
        <v>203</v>
      </c>
      <c r="F433" s="7" t="s">
        <v>234</v>
      </c>
      <c r="G433" s="7" t="s">
        <v>208</v>
      </c>
      <c r="H433" s="7" t="s">
        <v>207</v>
      </c>
      <c r="I433" s="7" t="s">
        <v>3330</v>
      </c>
      <c r="J433" s="7" t="s">
        <v>227</v>
      </c>
      <c r="K433" s="7" t="s">
        <v>200</v>
      </c>
      <c r="L433" s="7" t="s">
        <v>3331</v>
      </c>
      <c r="M433" s="7" t="s">
        <v>3179</v>
      </c>
      <c r="N433" s="7" t="s">
        <v>3732</v>
      </c>
      <c r="O433" s="7" t="s">
        <v>3743</v>
      </c>
      <c r="P433" s="7">
        <v>4980654</v>
      </c>
      <c r="Q433" s="7" t="s">
        <v>5271</v>
      </c>
      <c r="R433" s="7" t="s">
        <v>203</v>
      </c>
      <c r="S433" s="7" t="s">
        <v>234</v>
      </c>
      <c r="T433" s="7" t="s">
        <v>217</v>
      </c>
      <c r="U433" s="7" t="s">
        <v>207</v>
      </c>
      <c r="V433" s="7" t="s">
        <v>5272</v>
      </c>
      <c r="W433" s="7" t="s">
        <v>227</v>
      </c>
      <c r="X433" s="7" t="s">
        <v>200</v>
      </c>
      <c r="Y433" s="7" t="s">
        <v>1679</v>
      </c>
      <c r="Z433" s="7" t="s">
        <v>5273</v>
      </c>
      <c r="AA433" s="7" t="s">
        <v>3623</v>
      </c>
      <c r="AB433" s="7" t="s">
        <v>4426</v>
      </c>
      <c r="AC433" s="7" t="s">
        <v>5274</v>
      </c>
      <c r="AD433" s="8">
        <v>45698</v>
      </c>
      <c r="AE433" s="7"/>
      <c r="AF433" s="7"/>
    </row>
    <row r="434" spans="1:32" ht="81" customHeight="1" x14ac:dyDescent="0.3">
      <c r="A434" s="5">
        <v>5150175</v>
      </c>
      <c r="B434" s="5" t="s">
        <v>2809</v>
      </c>
      <c r="C434" s="5" t="s">
        <v>5275</v>
      </c>
      <c r="D434" s="5" t="s">
        <v>862</v>
      </c>
      <c r="E434" s="5" t="s">
        <v>203</v>
      </c>
      <c r="F434" s="5" t="s">
        <v>433</v>
      </c>
      <c r="G434" s="5" t="s">
        <v>208</v>
      </c>
      <c r="H434" s="5" t="s">
        <v>245</v>
      </c>
      <c r="I434" s="5" t="s">
        <v>1065</v>
      </c>
      <c r="J434" s="5" t="s">
        <v>227</v>
      </c>
      <c r="K434" s="5" t="s">
        <v>200</v>
      </c>
      <c r="L434" s="5" t="s">
        <v>1066</v>
      </c>
      <c r="M434" s="5" t="s">
        <v>2712</v>
      </c>
      <c r="N434" s="5" t="s">
        <v>3602</v>
      </c>
      <c r="O434" s="5" t="s">
        <v>4181</v>
      </c>
      <c r="P434" s="5">
        <v>8877581</v>
      </c>
      <c r="Q434" s="5" t="s">
        <v>5276</v>
      </c>
      <c r="R434" s="5"/>
      <c r="S434" s="5" t="s">
        <v>5277</v>
      </c>
      <c r="T434" s="5" t="s">
        <v>208</v>
      </c>
      <c r="U434" s="5" t="s">
        <v>2330</v>
      </c>
      <c r="V434" s="5"/>
      <c r="W434" s="5" t="s">
        <v>5278</v>
      </c>
      <c r="X434" s="5"/>
      <c r="Y434" s="5"/>
      <c r="Z434" s="5"/>
      <c r="AA434" s="5" t="s">
        <v>3617</v>
      </c>
      <c r="AB434" s="5"/>
      <c r="AC434" s="5" t="s">
        <v>5279</v>
      </c>
      <c r="AD434" s="6">
        <v>45677</v>
      </c>
      <c r="AE434" s="6">
        <v>45708</v>
      </c>
      <c r="AF434" s="5"/>
    </row>
    <row r="435" spans="1:32" ht="173.25" customHeight="1" x14ac:dyDescent="0.3">
      <c r="A435" s="7">
        <v>5414032</v>
      </c>
      <c r="B435" s="7" t="s">
        <v>3194</v>
      </c>
      <c r="C435" s="7" t="s">
        <v>5280</v>
      </c>
      <c r="D435" s="7" t="s">
        <v>198</v>
      </c>
      <c r="E435" s="7" t="s">
        <v>203</v>
      </c>
      <c r="F435" s="7" t="s">
        <v>234</v>
      </c>
      <c r="G435" s="7" t="s">
        <v>217</v>
      </c>
      <c r="H435" s="7" t="s">
        <v>245</v>
      </c>
      <c r="I435" s="7" t="s">
        <v>3195</v>
      </c>
      <c r="J435" s="7" t="s">
        <v>227</v>
      </c>
      <c r="K435" s="7" t="s">
        <v>413</v>
      </c>
      <c r="L435" s="7" t="s">
        <v>3196</v>
      </c>
      <c r="M435" s="7" t="s">
        <v>3197</v>
      </c>
      <c r="N435" s="7" t="s">
        <v>3612</v>
      </c>
      <c r="O435" s="7" t="s">
        <v>3928</v>
      </c>
      <c r="P435" s="7">
        <v>5353610</v>
      </c>
      <c r="Q435" s="7" t="s">
        <v>5281</v>
      </c>
      <c r="R435" s="7"/>
      <c r="S435" s="7" t="s">
        <v>5277</v>
      </c>
      <c r="T435" s="7" t="s">
        <v>208</v>
      </c>
      <c r="U435" s="7" t="s">
        <v>207</v>
      </c>
      <c r="V435" s="7"/>
      <c r="W435" s="7" t="s">
        <v>5278</v>
      </c>
      <c r="X435" s="7"/>
      <c r="Y435" s="7"/>
      <c r="Z435" s="7"/>
      <c r="AA435" s="7" t="s">
        <v>3623</v>
      </c>
      <c r="AB435" s="7"/>
      <c r="AC435" s="7" t="s">
        <v>5282</v>
      </c>
      <c r="AD435" s="8">
        <v>45566</v>
      </c>
      <c r="AE435" s="8">
        <v>45869</v>
      </c>
      <c r="AF435" s="7"/>
    </row>
    <row r="436" spans="1:32" ht="30" customHeight="1" x14ac:dyDescent="0.3">
      <c r="A436" s="5">
        <v>3847764</v>
      </c>
      <c r="B436" s="5" t="s">
        <v>1724</v>
      </c>
      <c r="C436" s="5" t="s">
        <v>5283</v>
      </c>
      <c r="D436" s="5" t="s">
        <v>354</v>
      </c>
      <c r="E436" s="5" t="s">
        <v>203</v>
      </c>
      <c r="F436" s="5" t="s">
        <v>444</v>
      </c>
      <c r="G436" s="5" t="s">
        <v>208</v>
      </c>
      <c r="H436" s="5" t="s">
        <v>207</v>
      </c>
      <c r="I436" s="5" t="s">
        <v>1725</v>
      </c>
      <c r="J436" s="5" t="s">
        <v>227</v>
      </c>
      <c r="K436" s="5" t="s">
        <v>200</v>
      </c>
      <c r="L436" s="5" t="s">
        <v>1726</v>
      </c>
      <c r="M436" s="5" t="s">
        <v>1215</v>
      </c>
      <c r="N436" s="5" t="s">
        <v>3608</v>
      </c>
      <c r="O436" s="5" t="s">
        <v>3763</v>
      </c>
      <c r="P436" s="5">
        <v>4968700</v>
      </c>
      <c r="Q436" s="5" t="s">
        <v>5284</v>
      </c>
      <c r="R436" s="5" t="s">
        <v>203</v>
      </c>
      <c r="S436" s="5" t="s">
        <v>234</v>
      </c>
      <c r="T436" s="5" t="s">
        <v>217</v>
      </c>
      <c r="U436" s="5" t="s">
        <v>207</v>
      </c>
      <c r="V436" s="5" t="s">
        <v>3396</v>
      </c>
      <c r="W436" s="5" t="s">
        <v>227</v>
      </c>
      <c r="X436" s="5" t="s">
        <v>200</v>
      </c>
      <c r="Y436" s="5" t="s">
        <v>1726</v>
      </c>
      <c r="Z436" s="5" t="s">
        <v>2459</v>
      </c>
      <c r="AA436" s="5" t="s">
        <v>3623</v>
      </c>
      <c r="AB436" s="5" t="s">
        <v>3843</v>
      </c>
      <c r="AC436" s="5" t="s">
        <v>5285</v>
      </c>
      <c r="AD436" s="6">
        <v>45658</v>
      </c>
      <c r="AE436" s="6">
        <v>46022</v>
      </c>
      <c r="AF436" s="5"/>
    </row>
    <row r="437" spans="1:32" ht="40.5" customHeight="1" x14ac:dyDescent="0.3">
      <c r="A437" s="7">
        <v>4979133</v>
      </c>
      <c r="B437" s="7" t="s">
        <v>5286</v>
      </c>
      <c r="C437" s="7"/>
      <c r="D437" s="7" t="s">
        <v>3373</v>
      </c>
      <c r="E437" s="7"/>
      <c r="F437" s="7" t="s">
        <v>234</v>
      </c>
      <c r="G437" s="7" t="s">
        <v>217</v>
      </c>
      <c r="H437" s="7" t="s">
        <v>654</v>
      </c>
      <c r="I437" s="7"/>
      <c r="J437" s="7" t="s">
        <v>227</v>
      </c>
      <c r="K437" s="7"/>
      <c r="L437" s="7"/>
      <c r="M437" s="7"/>
      <c r="N437" s="7" t="s">
        <v>3617</v>
      </c>
      <c r="O437" s="7"/>
      <c r="P437" s="7">
        <v>5591988</v>
      </c>
      <c r="Q437" s="7" t="s">
        <v>5287</v>
      </c>
      <c r="R437" s="7" t="s">
        <v>203</v>
      </c>
      <c r="S437" s="7" t="s">
        <v>418</v>
      </c>
      <c r="T437" s="7" t="s">
        <v>208</v>
      </c>
      <c r="U437" s="7" t="s">
        <v>207</v>
      </c>
      <c r="V437" s="7" t="s">
        <v>5288</v>
      </c>
      <c r="W437" s="7" t="s">
        <v>227</v>
      </c>
      <c r="X437" s="7" t="s">
        <v>200</v>
      </c>
      <c r="Y437" s="7" t="s">
        <v>5289</v>
      </c>
      <c r="Z437" s="7" t="s">
        <v>2240</v>
      </c>
      <c r="AA437" s="7" t="s">
        <v>3612</v>
      </c>
      <c r="AB437" s="7" t="s">
        <v>3613</v>
      </c>
      <c r="AC437" s="7" t="s">
        <v>5290</v>
      </c>
      <c r="AD437" s="8">
        <v>45292</v>
      </c>
      <c r="AE437" s="7"/>
      <c r="AF437" s="7"/>
    </row>
    <row r="438" spans="1:32" ht="40.5" customHeight="1" x14ac:dyDescent="0.3">
      <c r="A438" s="5">
        <v>4506367</v>
      </c>
      <c r="B438" s="5" t="s">
        <v>1784</v>
      </c>
      <c r="C438" s="5" t="s">
        <v>5028</v>
      </c>
      <c r="D438" s="5" t="s">
        <v>693</v>
      </c>
      <c r="E438" s="5" t="s">
        <v>203</v>
      </c>
      <c r="F438" s="5" t="s">
        <v>433</v>
      </c>
      <c r="G438" s="5" t="s">
        <v>208</v>
      </c>
      <c r="H438" s="5" t="s">
        <v>233</v>
      </c>
      <c r="I438" s="5" t="s">
        <v>1785</v>
      </c>
      <c r="J438" s="5" t="s">
        <v>227</v>
      </c>
      <c r="K438" s="5" t="s">
        <v>413</v>
      </c>
      <c r="L438" s="5" t="s">
        <v>1786</v>
      </c>
      <c r="M438" s="5" t="s">
        <v>422</v>
      </c>
      <c r="N438" s="5" t="s">
        <v>3652</v>
      </c>
      <c r="O438" s="5" t="s">
        <v>3886</v>
      </c>
      <c r="P438" s="5">
        <v>5632935</v>
      </c>
      <c r="Q438" s="5" t="s">
        <v>5291</v>
      </c>
      <c r="R438" s="5" t="s">
        <v>203</v>
      </c>
      <c r="S438" s="5" t="s">
        <v>234</v>
      </c>
      <c r="T438" s="5" t="s">
        <v>208</v>
      </c>
      <c r="U438" s="5" t="s">
        <v>2330</v>
      </c>
      <c r="V438" s="5" t="s">
        <v>5089</v>
      </c>
      <c r="W438" s="5" t="s">
        <v>227</v>
      </c>
      <c r="X438" s="5" t="s">
        <v>413</v>
      </c>
      <c r="Y438" s="5" t="s">
        <v>1427</v>
      </c>
      <c r="Z438" s="5" t="s">
        <v>254</v>
      </c>
      <c r="AA438" s="5" t="s">
        <v>3612</v>
      </c>
      <c r="AB438" s="5" t="s">
        <v>3886</v>
      </c>
      <c r="AC438" s="5" t="s">
        <v>5292</v>
      </c>
      <c r="AD438" s="6">
        <v>45566</v>
      </c>
      <c r="AE438" s="6">
        <v>45931</v>
      </c>
      <c r="AF438" s="5"/>
    </row>
    <row r="439" spans="1:32" ht="111.75" customHeight="1" x14ac:dyDescent="0.3">
      <c r="A439" s="7">
        <v>4776690</v>
      </c>
      <c r="B439" s="7" t="s">
        <v>2163</v>
      </c>
      <c r="C439" s="7" t="s">
        <v>5293</v>
      </c>
      <c r="D439" s="7" t="s">
        <v>198</v>
      </c>
      <c r="E439" s="7" t="s">
        <v>203</v>
      </c>
      <c r="F439" s="7" t="s">
        <v>433</v>
      </c>
      <c r="G439" s="7" t="s">
        <v>217</v>
      </c>
      <c r="H439" s="7" t="s">
        <v>245</v>
      </c>
      <c r="I439" s="7" t="s">
        <v>2164</v>
      </c>
      <c r="J439" s="7" t="s">
        <v>227</v>
      </c>
      <c r="K439" s="7" t="s">
        <v>200</v>
      </c>
      <c r="L439" s="7" t="s">
        <v>2165</v>
      </c>
      <c r="M439" s="7" t="s">
        <v>516</v>
      </c>
      <c r="N439" s="7" t="s">
        <v>3608</v>
      </c>
      <c r="O439" s="7" t="s">
        <v>3711</v>
      </c>
      <c r="P439" s="7">
        <v>5183340</v>
      </c>
      <c r="Q439" s="7" t="s">
        <v>5294</v>
      </c>
      <c r="R439" s="7" t="s">
        <v>203</v>
      </c>
      <c r="S439" s="7" t="s">
        <v>234</v>
      </c>
      <c r="T439" s="7" t="s">
        <v>208</v>
      </c>
      <c r="U439" s="7" t="s">
        <v>207</v>
      </c>
      <c r="V439" s="7" t="s">
        <v>5295</v>
      </c>
      <c r="W439" s="7" t="s">
        <v>227</v>
      </c>
      <c r="X439" s="7" t="s">
        <v>200</v>
      </c>
      <c r="Y439" s="7" t="s">
        <v>2832</v>
      </c>
      <c r="Z439" s="7" t="s">
        <v>2305</v>
      </c>
      <c r="AA439" s="7" t="s">
        <v>3623</v>
      </c>
      <c r="AB439" s="7" t="s">
        <v>4426</v>
      </c>
      <c r="AC439" s="7" t="s">
        <v>5296</v>
      </c>
      <c r="AD439" s="8">
        <v>45700</v>
      </c>
      <c r="AE439" s="8">
        <v>46022</v>
      </c>
      <c r="AF439" s="7"/>
    </row>
    <row r="440" spans="1:32" ht="91.5" customHeight="1" x14ac:dyDescent="0.3">
      <c r="A440" s="5">
        <v>5242444</v>
      </c>
      <c r="B440" s="5" t="s">
        <v>2960</v>
      </c>
      <c r="C440" s="5" t="s">
        <v>5297</v>
      </c>
      <c r="D440" s="5" t="s">
        <v>862</v>
      </c>
      <c r="E440" s="5" t="s">
        <v>203</v>
      </c>
      <c r="F440" s="5" t="s">
        <v>418</v>
      </c>
      <c r="G440" s="5" t="s">
        <v>217</v>
      </c>
      <c r="H440" s="5" t="s">
        <v>207</v>
      </c>
      <c r="I440" s="5" t="s">
        <v>2933</v>
      </c>
      <c r="J440" s="5" t="s">
        <v>227</v>
      </c>
      <c r="K440" s="5" t="s">
        <v>200</v>
      </c>
      <c r="L440" s="5" t="s">
        <v>2125</v>
      </c>
      <c r="M440" s="5" t="s">
        <v>2934</v>
      </c>
      <c r="N440" s="5" t="s">
        <v>3623</v>
      </c>
      <c r="O440" s="5" t="s">
        <v>3763</v>
      </c>
      <c r="P440" s="5">
        <v>5233003</v>
      </c>
      <c r="Q440" s="5" t="s">
        <v>5298</v>
      </c>
      <c r="R440" s="5" t="s">
        <v>203</v>
      </c>
      <c r="S440" s="5" t="s">
        <v>444</v>
      </c>
      <c r="T440" s="5" t="s">
        <v>208</v>
      </c>
      <c r="U440" s="5" t="s">
        <v>207</v>
      </c>
      <c r="V440" s="5" t="s">
        <v>5299</v>
      </c>
      <c r="W440" s="5" t="s">
        <v>227</v>
      </c>
      <c r="X440" s="5" t="s">
        <v>200</v>
      </c>
      <c r="Y440" s="5" t="s">
        <v>3004</v>
      </c>
      <c r="Z440" s="5" t="s">
        <v>5300</v>
      </c>
      <c r="AA440" s="5" t="s">
        <v>3623</v>
      </c>
      <c r="AB440" s="5" t="s">
        <v>3743</v>
      </c>
      <c r="AC440" s="5" t="s">
        <v>5301</v>
      </c>
      <c r="AD440" s="6">
        <v>45706</v>
      </c>
      <c r="AE440" s="6">
        <v>45744</v>
      </c>
      <c r="AF440" s="5"/>
    </row>
    <row r="441" spans="1:32" ht="30" customHeight="1" x14ac:dyDescent="0.3">
      <c r="A441" s="7">
        <v>5309409</v>
      </c>
      <c r="B441" s="7" t="s">
        <v>3086</v>
      </c>
      <c r="C441" s="7" t="s">
        <v>5302</v>
      </c>
      <c r="D441" s="7" t="s">
        <v>198</v>
      </c>
      <c r="E441" s="7" t="s">
        <v>203</v>
      </c>
      <c r="F441" s="7" t="s">
        <v>433</v>
      </c>
      <c r="G441" s="7" t="s">
        <v>208</v>
      </c>
      <c r="H441" s="7" t="s">
        <v>207</v>
      </c>
      <c r="I441" s="7" t="s">
        <v>3087</v>
      </c>
      <c r="J441" s="7" t="s">
        <v>227</v>
      </c>
      <c r="K441" s="7" t="s">
        <v>200</v>
      </c>
      <c r="L441" s="7" t="s">
        <v>1025</v>
      </c>
      <c r="M441" s="7" t="s">
        <v>723</v>
      </c>
      <c r="N441" s="7" t="s">
        <v>3623</v>
      </c>
      <c r="O441" s="7" t="s">
        <v>4181</v>
      </c>
      <c r="P441" s="7">
        <v>3106675</v>
      </c>
      <c r="Q441" s="7" t="s">
        <v>5303</v>
      </c>
      <c r="R441" s="7" t="s">
        <v>203</v>
      </c>
      <c r="S441" s="7" t="s">
        <v>234</v>
      </c>
      <c r="T441" s="7" t="s">
        <v>208</v>
      </c>
      <c r="U441" s="7" t="s">
        <v>245</v>
      </c>
      <c r="V441" s="7" t="s">
        <v>3109</v>
      </c>
      <c r="W441" s="7" t="s">
        <v>227</v>
      </c>
      <c r="X441" s="7" t="s">
        <v>200</v>
      </c>
      <c r="Y441" s="7" t="s">
        <v>1807</v>
      </c>
      <c r="Z441" s="7" t="s">
        <v>953</v>
      </c>
      <c r="AA441" s="7" t="s">
        <v>3602</v>
      </c>
      <c r="AB441" s="7" t="s">
        <v>3727</v>
      </c>
      <c r="AC441" s="7" t="s">
        <v>5304</v>
      </c>
      <c r="AD441" s="8">
        <v>45713</v>
      </c>
      <c r="AE441" s="7"/>
      <c r="AF441" s="7"/>
    </row>
    <row r="442" spans="1:32" ht="30" customHeight="1" x14ac:dyDescent="0.3">
      <c r="A442" s="5">
        <v>5385571</v>
      </c>
      <c r="B442" s="5" t="s">
        <v>332</v>
      </c>
      <c r="C442" s="5" t="s">
        <v>5305</v>
      </c>
      <c r="D442" s="5" t="s">
        <v>198</v>
      </c>
      <c r="E442" s="5" t="s">
        <v>203</v>
      </c>
      <c r="F442" s="5"/>
      <c r="G442" s="5" t="s">
        <v>217</v>
      </c>
      <c r="H442" s="5" t="s">
        <v>245</v>
      </c>
      <c r="I442" s="5" t="s">
        <v>321</v>
      </c>
      <c r="J442" s="5" t="s">
        <v>199</v>
      </c>
      <c r="K442" s="5" t="s">
        <v>200</v>
      </c>
      <c r="L442" s="5" t="s">
        <v>333</v>
      </c>
      <c r="M442" s="5" t="s">
        <v>334</v>
      </c>
      <c r="N442" s="5" t="s">
        <v>3612</v>
      </c>
      <c r="O442" s="5" t="s">
        <v>3635</v>
      </c>
      <c r="P442" s="5">
        <v>8871992</v>
      </c>
      <c r="Q442" s="5" t="s">
        <v>5306</v>
      </c>
      <c r="R442" s="5" t="s">
        <v>203</v>
      </c>
      <c r="S442" s="5" t="s">
        <v>209</v>
      </c>
      <c r="T442" s="5" t="s">
        <v>208</v>
      </c>
      <c r="U442" s="5" t="s">
        <v>2330</v>
      </c>
      <c r="V442" s="5" t="s">
        <v>5307</v>
      </c>
      <c r="W442" s="5" t="s">
        <v>199</v>
      </c>
      <c r="X442" s="5" t="s">
        <v>200</v>
      </c>
      <c r="Y442" s="5" t="s">
        <v>5308</v>
      </c>
      <c r="Z442" s="5" t="s">
        <v>339</v>
      </c>
      <c r="AA442" s="5" t="s">
        <v>3732</v>
      </c>
      <c r="AB442" s="5" t="s">
        <v>3609</v>
      </c>
      <c r="AC442" s="5" t="s">
        <v>5309</v>
      </c>
      <c r="AD442" s="6">
        <v>45740</v>
      </c>
      <c r="AE442" s="6">
        <v>45835</v>
      </c>
      <c r="AF442" s="5"/>
    </row>
    <row r="443" spans="1:32" ht="409.5" customHeight="1" x14ac:dyDescent="0.3">
      <c r="A443" s="7">
        <v>4535286</v>
      </c>
      <c r="B443" s="7" t="s">
        <v>1837</v>
      </c>
      <c r="C443" s="7" t="s">
        <v>5310</v>
      </c>
      <c r="D443" s="7" t="s">
        <v>198</v>
      </c>
      <c r="E443" s="7" t="s">
        <v>203</v>
      </c>
      <c r="F443" s="7" t="s">
        <v>433</v>
      </c>
      <c r="G443" s="7" t="s">
        <v>217</v>
      </c>
      <c r="H443" s="7" t="s">
        <v>233</v>
      </c>
      <c r="I443" s="7" t="s">
        <v>1838</v>
      </c>
      <c r="J443" s="7" t="s">
        <v>227</v>
      </c>
      <c r="K443" s="7" t="s">
        <v>200</v>
      </c>
      <c r="L443" s="7" t="s">
        <v>684</v>
      </c>
      <c r="M443" s="7" t="s">
        <v>1839</v>
      </c>
      <c r="N443" s="7" t="s">
        <v>3608</v>
      </c>
      <c r="O443" s="7" t="s">
        <v>3824</v>
      </c>
      <c r="P443" s="7">
        <v>5575486</v>
      </c>
      <c r="Q443" s="7" t="s">
        <v>5311</v>
      </c>
      <c r="R443" s="7" t="s">
        <v>203</v>
      </c>
      <c r="S443" s="7" t="s">
        <v>234</v>
      </c>
      <c r="T443" s="7" t="s">
        <v>217</v>
      </c>
      <c r="U443" s="7" t="s">
        <v>207</v>
      </c>
      <c r="V443" s="7" t="s">
        <v>5312</v>
      </c>
      <c r="W443" s="7" t="s">
        <v>227</v>
      </c>
      <c r="X443" s="7" t="s">
        <v>200</v>
      </c>
      <c r="Y443" s="7" t="s">
        <v>684</v>
      </c>
      <c r="Z443" s="7" t="s">
        <v>3078</v>
      </c>
      <c r="AA443" s="7" t="s">
        <v>3612</v>
      </c>
      <c r="AB443" s="7" t="s">
        <v>4356</v>
      </c>
      <c r="AC443" s="7" t="s">
        <v>5313</v>
      </c>
      <c r="AD443" s="8">
        <v>45712</v>
      </c>
      <c r="AE443" s="7"/>
      <c r="AF443" s="7"/>
    </row>
    <row r="444" spans="1:32" ht="51" customHeight="1" x14ac:dyDescent="0.3">
      <c r="A444" s="5">
        <v>4662458</v>
      </c>
      <c r="B444" s="5" t="s">
        <v>1947</v>
      </c>
      <c r="C444" s="5" t="s">
        <v>5314</v>
      </c>
      <c r="D444" s="5" t="s">
        <v>354</v>
      </c>
      <c r="E444" s="5" t="s">
        <v>203</v>
      </c>
      <c r="F444" s="5" t="s">
        <v>234</v>
      </c>
      <c r="G444" s="5" t="s">
        <v>208</v>
      </c>
      <c r="H444" s="5" t="s">
        <v>245</v>
      </c>
      <c r="I444" s="5" t="s">
        <v>756</v>
      </c>
      <c r="J444" s="5" t="s">
        <v>227</v>
      </c>
      <c r="K444" s="5" t="s">
        <v>413</v>
      </c>
      <c r="L444" s="5" t="s">
        <v>1948</v>
      </c>
      <c r="M444" s="5" t="s">
        <v>1949</v>
      </c>
      <c r="N444" s="5" t="s">
        <v>3612</v>
      </c>
      <c r="O444" s="5" t="s">
        <v>3743</v>
      </c>
      <c r="P444" s="5">
        <v>5388783</v>
      </c>
      <c r="Q444" s="5" t="s">
        <v>5315</v>
      </c>
      <c r="R444" s="5" t="s">
        <v>203</v>
      </c>
      <c r="S444" s="5" t="s">
        <v>234</v>
      </c>
      <c r="T444" s="5" t="s">
        <v>208</v>
      </c>
      <c r="U444" s="5" t="s">
        <v>207</v>
      </c>
      <c r="V444" s="5" t="s">
        <v>4448</v>
      </c>
      <c r="W444" s="5" t="s">
        <v>227</v>
      </c>
      <c r="X444" s="5" t="s">
        <v>200</v>
      </c>
      <c r="Y444" s="5" t="s">
        <v>684</v>
      </c>
      <c r="Z444" s="5" t="s">
        <v>690</v>
      </c>
      <c r="AA444" s="5" t="s">
        <v>3612</v>
      </c>
      <c r="AB444" s="5" t="s">
        <v>3824</v>
      </c>
      <c r="AC444" s="5" t="s">
        <v>5316</v>
      </c>
      <c r="AD444" s="6">
        <v>45713</v>
      </c>
      <c r="AE444" s="5"/>
      <c r="AF444" s="5"/>
    </row>
    <row r="445" spans="1:32" ht="51" customHeight="1" x14ac:dyDescent="0.3">
      <c r="A445" s="7">
        <v>5107547</v>
      </c>
      <c r="B445" s="7" t="s">
        <v>2733</v>
      </c>
      <c r="C445" s="7" t="s">
        <v>5317</v>
      </c>
      <c r="D445" s="7" t="s">
        <v>198</v>
      </c>
      <c r="E445" s="7" t="s">
        <v>203</v>
      </c>
      <c r="F445" s="7" t="s">
        <v>234</v>
      </c>
      <c r="G445" s="7" t="s">
        <v>217</v>
      </c>
      <c r="H445" s="7" t="s">
        <v>207</v>
      </c>
      <c r="I445" s="7" t="s">
        <v>2734</v>
      </c>
      <c r="J445" s="7" t="s">
        <v>227</v>
      </c>
      <c r="K445" s="7" t="s">
        <v>200</v>
      </c>
      <c r="L445" s="7" t="s">
        <v>2735</v>
      </c>
      <c r="M445" s="7" t="s">
        <v>672</v>
      </c>
      <c r="N445" s="7" t="s">
        <v>3623</v>
      </c>
      <c r="O445" s="7" t="s">
        <v>5318</v>
      </c>
      <c r="P445" s="7">
        <v>5049059</v>
      </c>
      <c r="Q445" s="7" t="s">
        <v>5319</v>
      </c>
      <c r="R445" s="7" t="s">
        <v>203</v>
      </c>
      <c r="S445" s="7" t="s">
        <v>234</v>
      </c>
      <c r="T445" s="7" t="s">
        <v>208</v>
      </c>
      <c r="U445" s="7" t="s">
        <v>207</v>
      </c>
      <c r="V445" s="7" t="s">
        <v>5320</v>
      </c>
      <c r="W445" s="7" t="s">
        <v>227</v>
      </c>
      <c r="X445" s="7" t="s">
        <v>200</v>
      </c>
      <c r="Y445" s="7" t="s">
        <v>2667</v>
      </c>
      <c r="Z445" s="7" t="s">
        <v>2040</v>
      </c>
      <c r="AA445" s="7" t="s">
        <v>3623</v>
      </c>
      <c r="AB445" s="7" t="s">
        <v>3646</v>
      </c>
      <c r="AC445" s="7" t="s">
        <v>5321</v>
      </c>
      <c r="AD445" s="8">
        <v>45707</v>
      </c>
      <c r="AE445" s="7"/>
      <c r="AF445" s="7"/>
    </row>
    <row r="446" spans="1:32" ht="40.5" customHeight="1" x14ac:dyDescent="0.3">
      <c r="A446" s="5">
        <v>4804325</v>
      </c>
      <c r="B446" s="5" t="s">
        <v>2192</v>
      </c>
      <c r="C446" s="5" t="s">
        <v>5322</v>
      </c>
      <c r="D446" s="5" t="s">
        <v>198</v>
      </c>
      <c r="E446" s="5" t="s">
        <v>203</v>
      </c>
      <c r="F446" s="5" t="s">
        <v>234</v>
      </c>
      <c r="G446" s="5" t="s">
        <v>208</v>
      </c>
      <c r="H446" s="5" t="s">
        <v>207</v>
      </c>
      <c r="I446" s="5" t="s">
        <v>2096</v>
      </c>
      <c r="J446" s="5" t="s">
        <v>227</v>
      </c>
      <c r="K446" s="5" t="s">
        <v>200</v>
      </c>
      <c r="L446" s="5" t="s">
        <v>1418</v>
      </c>
      <c r="M446" s="5" t="s">
        <v>2097</v>
      </c>
      <c r="N446" s="5" t="s">
        <v>3608</v>
      </c>
      <c r="O446" s="5" t="s">
        <v>3894</v>
      </c>
      <c r="P446" s="5">
        <v>5595371</v>
      </c>
      <c r="Q446" s="5" t="s">
        <v>5323</v>
      </c>
      <c r="R446" s="5" t="s">
        <v>203</v>
      </c>
      <c r="S446" s="5" t="s">
        <v>234</v>
      </c>
      <c r="T446" s="5" t="s">
        <v>217</v>
      </c>
      <c r="U446" s="5" t="s">
        <v>207</v>
      </c>
      <c r="V446" s="5" t="s">
        <v>5324</v>
      </c>
      <c r="W446" s="5" t="s">
        <v>227</v>
      </c>
      <c r="X446" s="5" t="s">
        <v>200</v>
      </c>
      <c r="Y446" s="5" t="s">
        <v>5325</v>
      </c>
      <c r="Z446" s="5" t="s">
        <v>1574</v>
      </c>
      <c r="AA446" s="5" t="s">
        <v>3612</v>
      </c>
      <c r="AB446" s="5" t="s">
        <v>3824</v>
      </c>
      <c r="AC446" s="5" t="s">
        <v>5326</v>
      </c>
      <c r="AD446" s="6">
        <v>45698</v>
      </c>
      <c r="AE446" s="6">
        <v>45869</v>
      </c>
      <c r="AF446" s="5"/>
    </row>
    <row r="447" spans="1:32" ht="30" customHeight="1" x14ac:dyDescent="0.3">
      <c r="A447" s="7">
        <v>3301834</v>
      </c>
      <c r="B447" s="7" t="s">
        <v>682</v>
      </c>
      <c r="C447" s="7" t="s">
        <v>5327</v>
      </c>
      <c r="D447" s="7" t="s">
        <v>354</v>
      </c>
      <c r="E447" s="7" t="s">
        <v>203</v>
      </c>
      <c r="F447" s="7" t="s">
        <v>234</v>
      </c>
      <c r="G447" s="7" t="s">
        <v>208</v>
      </c>
      <c r="H447" s="7" t="s">
        <v>245</v>
      </c>
      <c r="I447" s="7" t="s">
        <v>683</v>
      </c>
      <c r="J447" s="7" t="s">
        <v>227</v>
      </c>
      <c r="K447" s="7" t="s">
        <v>200</v>
      </c>
      <c r="L447" s="7" t="s">
        <v>684</v>
      </c>
      <c r="M447" s="7" t="s">
        <v>685</v>
      </c>
      <c r="N447" s="7" t="s">
        <v>3602</v>
      </c>
      <c r="O447" s="7" t="s">
        <v>3824</v>
      </c>
      <c r="P447" s="7">
        <v>5057884</v>
      </c>
      <c r="Q447" s="7" t="s">
        <v>5328</v>
      </c>
      <c r="R447" s="7" t="s">
        <v>203</v>
      </c>
      <c r="S447" s="7" t="s">
        <v>234</v>
      </c>
      <c r="T447" s="7" t="s">
        <v>217</v>
      </c>
      <c r="U447" s="7" t="s">
        <v>245</v>
      </c>
      <c r="V447" s="7" t="s">
        <v>3220</v>
      </c>
      <c r="W447" s="7" t="s">
        <v>227</v>
      </c>
      <c r="X447" s="7" t="s">
        <v>200</v>
      </c>
      <c r="Y447" s="7" t="s">
        <v>505</v>
      </c>
      <c r="Z447" s="7" t="s">
        <v>1455</v>
      </c>
      <c r="AA447" s="7" t="s">
        <v>3623</v>
      </c>
      <c r="AB447" s="7" t="s">
        <v>4356</v>
      </c>
      <c r="AC447" s="7" t="s">
        <v>5329</v>
      </c>
      <c r="AD447" s="8">
        <v>45706</v>
      </c>
      <c r="AE447" s="8">
        <v>46752</v>
      </c>
      <c r="AF447" s="7"/>
    </row>
    <row r="448" spans="1:32" ht="387" customHeight="1" x14ac:dyDescent="0.3">
      <c r="A448" s="5">
        <v>5527066</v>
      </c>
      <c r="B448" s="5" t="s">
        <v>3271</v>
      </c>
      <c r="C448" s="5" t="s">
        <v>5330</v>
      </c>
      <c r="D448" s="5" t="s">
        <v>198</v>
      </c>
      <c r="E448" s="5" t="s">
        <v>203</v>
      </c>
      <c r="F448" s="5" t="s">
        <v>444</v>
      </c>
      <c r="G448" s="5" t="s">
        <v>217</v>
      </c>
      <c r="H448" s="5" t="s">
        <v>245</v>
      </c>
      <c r="I448" s="5" t="s">
        <v>2541</v>
      </c>
      <c r="J448" s="5" t="s">
        <v>227</v>
      </c>
      <c r="K448" s="5" t="s">
        <v>200</v>
      </c>
      <c r="L448" s="5" t="s">
        <v>2538</v>
      </c>
      <c r="M448" s="5" t="s">
        <v>2539</v>
      </c>
      <c r="N448" s="5" t="s">
        <v>3612</v>
      </c>
      <c r="O448" s="5" t="s">
        <v>3754</v>
      </c>
      <c r="P448" s="5">
        <v>4768612</v>
      </c>
      <c r="Q448" s="5" t="s">
        <v>5331</v>
      </c>
      <c r="R448" s="5" t="s">
        <v>203</v>
      </c>
      <c r="S448" s="5" t="s">
        <v>234</v>
      </c>
      <c r="T448" s="5" t="s">
        <v>217</v>
      </c>
      <c r="U448" s="5" t="s">
        <v>207</v>
      </c>
      <c r="V448" s="5" t="s">
        <v>5332</v>
      </c>
      <c r="W448" s="5" t="s">
        <v>227</v>
      </c>
      <c r="X448" s="5" t="s">
        <v>200</v>
      </c>
      <c r="Y448" s="5" t="s">
        <v>5333</v>
      </c>
      <c r="Z448" s="5" t="s">
        <v>5334</v>
      </c>
      <c r="AA448" s="5" t="s">
        <v>3623</v>
      </c>
      <c r="AB448" s="5" t="s">
        <v>5318</v>
      </c>
      <c r="AC448" s="5" t="s">
        <v>5335</v>
      </c>
      <c r="AD448" s="6">
        <v>45707</v>
      </c>
      <c r="AE448" s="6">
        <v>45827</v>
      </c>
      <c r="AF448" s="5"/>
    </row>
    <row r="449" spans="1:32" ht="122.25" customHeight="1" x14ac:dyDescent="0.3">
      <c r="A449" s="7">
        <v>3799379</v>
      </c>
      <c r="B449" s="7" t="s">
        <v>1663</v>
      </c>
      <c r="C449" s="7" t="s">
        <v>5336</v>
      </c>
      <c r="D449" s="7" t="s">
        <v>198</v>
      </c>
      <c r="E449" s="7" t="s">
        <v>203</v>
      </c>
      <c r="F449" s="7" t="s">
        <v>234</v>
      </c>
      <c r="G449" s="7" t="s">
        <v>208</v>
      </c>
      <c r="H449" s="7" t="s">
        <v>207</v>
      </c>
      <c r="I449" s="7" t="s">
        <v>1664</v>
      </c>
      <c r="J449" s="7" t="s">
        <v>227</v>
      </c>
      <c r="K449" s="7" t="s">
        <v>200</v>
      </c>
      <c r="L449" s="7" t="s">
        <v>1665</v>
      </c>
      <c r="M449" s="7" t="s">
        <v>1666</v>
      </c>
      <c r="N449" s="7" t="s">
        <v>3608</v>
      </c>
      <c r="O449" s="7" t="s">
        <v>3824</v>
      </c>
      <c r="P449" s="7">
        <v>5308046</v>
      </c>
      <c r="Q449" s="7" t="s">
        <v>3076</v>
      </c>
      <c r="R449" s="7" t="s">
        <v>203</v>
      </c>
      <c r="S449" s="7" t="s">
        <v>418</v>
      </c>
      <c r="T449" s="7" t="s">
        <v>217</v>
      </c>
      <c r="U449" s="7" t="s">
        <v>245</v>
      </c>
      <c r="V449" s="7" t="s">
        <v>3077</v>
      </c>
      <c r="W449" s="7" t="s">
        <v>227</v>
      </c>
      <c r="X449" s="7" t="s">
        <v>200</v>
      </c>
      <c r="Y449" s="7" t="s">
        <v>3004</v>
      </c>
      <c r="Z449" s="7" t="s">
        <v>3078</v>
      </c>
      <c r="AA449" s="7" t="s">
        <v>3612</v>
      </c>
      <c r="AB449" s="7" t="s">
        <v>4356</v>
      </c>
      <c r="AC449" s="7" t="s">
        <v>5337</v>
      </c>
      <c r="AD449" s="8">
        <v>45714</v>
      </c>
      <c r="AE449" s="8">
        <v>46017</v>
      </c>
      <c r="AF449" s="7"/>
    </row>
    <row r="450" spans="1:32" ht="71.25" customHeight="1" x14ac:dyDescent="0.3">
      <c r="A450" s="5">
        <v>5004608</v>
      </c>
      <c r="B450" s="5" t="s">
        <v>353</v>
      </c>
      <c r="C450" s="5" t="s">
        <v>5338</v>
      </c>
      <c r="D450" s="5" t="s">
        <v>354</v>
      </c>
      <c r="E450" s="5" t="s">
        <v>203</v>
      </c>
      <c r="F450" s="5" t="s">
        <v>262</v>
      </c>
      <c r="G450" s="5" t="s">
        <v>217</v>
      </c>
      <c r="H450" s="5" t="s">
        <v>207</v>
      </c>
      <c r="I450" s="5" t="s">
        <v>355</v>
      </c>
      <c r="J450" s="5" t="s">
        <v>257</v>
      </c>
      <c r="K450" s="5" t="s">
        <v>200</v>
      </c>
      <c r="L450" s="5" t="s">
        <v>356</v>
      </c>
      <c r="M450" s="5" t="s">
        <v>357</v>
      </c>
      <c r="N450" s="5" t="s">
        <v>3623</v>
      </c>
      <c r="O450" s="5" t="s">
        <v>3763</v>
      </c>
      <c r="P450" s="5">
        <v>5035597</v>
      </c>
      <c r="Q450" s="5" t="s">
        <v>5339</v>
      </c>
      <c r="R450" s="5" t="s">
        <v>203</v>
      </c>
      <c r="S450" s="5" t="s">
        <v>234</v>
      </c>
      <c r="T450" s="5" t="s">
        <v>208</v>
      </c>
      <c r="U450" s="5" t="s">
        <v>207</v>
      </c>
      <c r="V450" s="5" t="s">
        <v>5340</v>
      </c>
      <c r="W450" s="5" t="s">
        <v>227</v>
      </c>
      <c r="X450" s="5" t="s">
        <v>413</v>
      </c>
      <c r="Y450" s="5" t="s">
        <v>3431</v>
      </c>
      <c r="Z450" s="5" t="s">
        <v>5341</v>
      </c>
      <c r="AA450" s="5" t="s">
        <v>3623</v>
      </c>
      <c r="AB450" s="5" t="s">
        <v>3725</v>
      </c>
      <c r="AC450" s="5" t="s">
        <v>5342</v>
      </c>
      <c r="AD450" s="6">
        <v>45723</v>
      </c>
      <c r="AE450" s="6">
        <v>45869</v>
      </c>
      <c r="AF450" s="5"/>
    </row>
    <row r="451" spans="1:32" ht="30" customHeight="1" x14ac:dyDescent="0.3">
      <c r="A451" s="7">
        <v>4613430</v>
      </c>
      <c r="B451" s="7" t="s">
        <v>1868</v>
      </c>
      <c r="C451" s="7" t="s">
        <v>5343</v>
      </c>
      <c r="D451" s="7" t="s">
        <v>354</v>
      </c>
      <c r="E451" s="7" t="s">
        <v>203</v>
      </c>
      <c r="F451" s="7" t="s">
        <v>418</v>
      </c>
      <c r="G451" s="7" t="s">
        <v>217</v>
      </c>
      <c r="H451" s="7" t="s">
        <v>233</v>
      </c>
      <c r="I451" s="7" t="s">
        <v>1869</v>
      </c>
      <c r="J451" s="7" t="s">
        <v>227</v>
      </c>
      <c r="K451" s="7" t="s">
        <v>200</v>
      </c>
      <c r="L451" s="7" t="s">
        <v>1870</v>
      </c>
      <c r="M451" s="7" t="s">
        <v>1045</v>
      </c>
      <c r="N451" s="7" t="s">
        <v>3652</v>
      </c>
      <c r="O451" s="7" t="s">
        <v>3912</v>
      </c>
      <c r="P451" s="7">
        <v>8872029</v>
      </c>
      <c r="Q451" s="7" t="s">
        <v>4960</v>
      </c>
      <c r="R451" s="7" t="s">
        <v>203</v>
      </c>
      <c r="S451" s="7" t="s">
        <v>418</v>
      </c>
      <c r="T451" s="7" t="s">
        <v>217</v>
      </c>
      <c r="U451" s="7" t="s">
        <v>207</v>
      </c>
      <c r="V451" s="7" t="s">
        <v>4961</v>
      </c>
      <c r="W451" s="7" t="s">
        <v>227</v>
      </c>
      <c r="X451" s="7" t="s">
        <v>200</v>
      </c>
      <c r="Y451" s="7" t="s">
        <v>1870</v>
      </c>
      <c r="Z451" s="7" t="s">
        <v>1445</v>
      </c>
      <c r="AA451" s="7" t="s">
        <v>3729</v>
      </c>
      <c r="AB451" s="7" t="s">
        <v>3705</v>
      </c>
      <c r="AC451" s="7" t="s">
        <v>5344</v>
      </c>
      <c r="AD451" s="8">
        <v>45712</v>
      </c>
      <c r="AE451" s="8">
        <v>46418</v>
      </c>
      <c r="AF451" s="7"/>
    </row>
    <row r="452" spans="1:32" ht="71.25" customHeight="1" x14ac:dyDescent="0.3">
      <c r="A452" s="5">
        <v>5448255</v>
      </c>
      <c r="B452" s="5" t="s">
        <v>3212</v>
      </c>
      <c r="C452" s="5" t="s">
        <v>5345</v>
      </c>
      <c r="D452" s="5" t="s">
        <v>862</v>
      </c>
      <c r="E452" s="5" t="s">
        <v>203</v>
      </c>
      <c r="F452" s="5" t="s">
        <v>234</v>
      </c>
      <c r="G452" s="5" t="s">
        <v>208</v>
      </c>
      <c r="H452" s="5" t="s">
        <v>207</v>
      </c>
      <c r="I452" s="5" t="s">
        <v>3213</v>
      </c>
      <c r="J452" s="5" t="s">
        <v>227</v>
      </c>
      <c r="K452" s="5" t="s">
        <v>200</v>
      </c>
      <c r="L452" s="5" t="s">
        <v>3214</v>
      </c>
      <c r="M452" s="5" t="s">
        <v>1328</v>
      </c>
      <c r="N452" s="5" t="s">
        <v>3729</v>
      </c>
      <c r="O452" s="5" t="s">
        <v>3894</v>
      </c>
      <c r="P452" s="5">
        <v>5604389</v>
      </c>
      <c r="Q452" s="5" t="s">
        <v>3312</v>
      </c>
      <c r="R452" s="5" t="s">
        <v>203</v>
      </c>
      <c r="S452" s="5" t="s">
        <v>234</v>
      </c>
      <c r="T452" s="5" t="s">
        <v>208</v>
      </c>
      <c r="U452" s="5" t="s">
        <v>2330</v>
      </c>
      <c r="V452" s="5" t="s">
        <v>3313</v>
      </c>
      <c r="W452" s="5" t="s">
        <v>227</v>
      </c>
      <c r="X452" s="5" t="s">
        <v>200</v>
      </c>
      <c r="Y452" s="5" t="s">
        <v>3314</v>
      </c>
      <c r="Z452" s="5" t="s">
        <v>1328</v>
      </c>
      <c r="AA452" s="5" t="s">
        <v>3612</v>
      </c>
      <c r="AB452" s="5" t="s">
        <v>3894</v>
      </c>
      <c r="AC452" s="5" t="s">
        <v>5346</v>
      </c>
      <c r="AD452" s="6">
        <v>45726</v>
      </c>
      <c r="AE452" s="5"/>
      <c r="AF452" s="5"/>
    </row>
    <row r="453" spans="1:32" ht="30" customHeight="1" x14ac:dyDescent="0.3">
      <c r="A453" s="7">
        <v>3301834</v>
      </c>
      <c r="B453" s="7" t="s">
        <v>682</v>
      </c>
      <c r="C453" s="7" t="s">
        <v>5347</v>
      </c>
      <c r="D453" s="7" t="s">
        <v>198</v>
      </c>
      <c r="E453" s="7" t="s">
        <v>203</v>
      </c>
      <c r="F453" s="7" t="s">
        <v>234</v>
      </c>
      <c r="G453" s="7" t="s">
        <v>208</v>
      </c>
      <c r="H453" s="7" t="s">
        <v>245</v>
      </c>
      <c r="I453" s="7" t="s">
        <v>683</v>
      </c>
      <c r="J453" s="7" t="s">
        <v>227</v>
      </c>
      <c r="K453" s="7" t="s">
        <v>200</v>
      </c>
      <c r="L453" s="7" t="s">
        <v>684</v>
      </c>
      <c r="M453" s="7" t="s">
        <v>685</v>
      </c>
      <c r="N453" s="7" t="s">
        <v>3602</v>
      </c>
      <c r="O453" s="7" t="s">
        <v>3824</v>
      </c>
      <c r="P453" s="7">
        <v>5057884</v>
      </c>
      <c r="Q453" s="7" t="s">
        <v>5328</v>
      </c>
      <c r="R453" s="7" t="s">
        <v>203</v>
      </c>
      <c r="S453" s="7" t="s">
        <v>234</v>
      </c>
      <c r="T453" s="7" t="s">
        <v>217</v>
      </c>
      <c r="U453" s="7" t="s">
        <v>245</v>
      </c>
      <c r="V453" s="7" t="s">
        <v>3220</v>
      </c>
      <c r="W453" s="7" t="s">
        <v>227</v>
      </c>
      <c r="X453" s="7" t="s">
        <v>200</v>
      </c>
      <c r="Y453" s="7" t="s">
        <v>505</v>
      </c>
      <c r="Z453" s="7" t="s">
        <v>1455</v>
      </c>
      <c r="AA453" s="7" t="s">
        <v>3623</v>
      </c>
      <c r="AB453" s="7" t="s">
        <v>4356</v>
      </c>
      <c r="AC453" s="7" t="s">
        <v>5329</v>
      </c>
      <c r="AD453" s="8">
        <v>45706</v>
      </c>
      <c r="AE453" s="8">
        <v>47117</v>
      </c>
      <c r="AF453" s="7"/>
    </row>
    <row r="454" spans="1:32" ht="40.5" customHeight="1" x14ac:dyDescent="0.3">
      <c r="A454" s="5">
        <v>4662458</v>
      </c>
      <c r="B454" s="5" t="s">
        <v>1947</v>
      </c>
      <c r="C454" s="5"/>
      <c r="D454" s="5" t="s">
        <v>354</v>
      </c>
      <c r="E454" s="5" t="s">
        <v>203</v>
      </c>
      <c r="F454" s="5" t="s">
        <v>234</v>
      </c>
      <c r="G454" s="5" t="s">
        <v>208</v>
      </c>
      <c r="H454" s="5" t="s">
        <v>245</v>
      </c>
      <c r="I454" s="5" t="s">
        <v>756</v>
      </c>
      <c r="J454" s="5" t="s">
        <v>227</v>
      </c>
      <c r="K454" s="5" t="s">
        <v>413</v>
      </c>
      <c r="L454" s="5" t="s">
        <v>1948</v>
      </c>
      <c r="M454" s="5" t="s">
        <v>1949</v>
      </c>
      <c r="N454" s="5" t="s">
        <v>3612</v>
      </c>
      <c r="O454" s="5" t="s">
        <v>3743</v>
      </c>
      <c r="P454" s="5">
        <v>5151120</v>
      </c>
      <c r="Q454" s="5" t="s">
        <v>5348</v>
      </c>
      <c r="R454" s="5" t="s">
        <v>203</v>
      </c>
      <c r="S454" s="5" t="s">
        <v>234</v>
      </c>
      <c r="T454" s="5" t="s">
        <v>208</v>
      </c>
      <c r="U454" s="5" t="s">
        <v>207</v>
      </c>
      <c r="V454" s="5" t="s">
        <v>5349</v>
      </c>
      <c r="W454" s="5" t="s">
        <v>227</v>
      </c>
      <c r="X454" s="5" t="s">
        <v>413</v>
      </c>
      <c r="Y454" s="5" t="s">
        <v>5350</v>
      </c>
      <c r="Z454" s="5" t="s">
        <v>5351</v>
      </c>
      <c r="AA454" s="5" t="s">
        <v>3623</v>
      </c>
      <c r="AB454" s="5" t="s">
        <v>3603</v>
      </c>
      <c r="AC454" s="5" t="s">
        <v>5352</v>
      </c>
      <c r="AD454" s="6">
        <v>45658</v>
      </c>
      <c r="AE454" s="6">
        <v>46022</v>
      </c>
      <c r="AF454" s="5"/>
    </row>
    <row r="455" spans="1:32" ht="409.5" customHeight="1" x14ac:dyDescent="0.3">
      <c r="A455" s="7">
        <v>4991583</v>
      </c>
      <c r="B455" s="7" t="s">
        <v>2552</v>
      </c>
      <c r="C455" s="7" t="s">
        <v>5353</v>
      </c>
      <c r="D455" s="7" t="s">
        <v>198</v>
      </c>
      <c r="E455" s="7" t="s">
        <v>203</v>
      </c>
      <c r="F455" s="7" t="s">
        <v>234</v>
      </c>
      <c r="G455" s="7" t="s">
        <v>217</v>
      </c>
      <c r="H455" s="7" t="s">
        <v>245</v>
      </c>
      <c r="I455" s="7" t="s">
        <v>2553</v>
      </c>
      <c r="J455" s="7" t="s">
        <v>227</v>
      </c>
      <c r="K455" s="7" t="s">
        <v>200</v>
      </c>
      <c r="L455" s="7" t="s">
        <v>2554</v>
      </c>
      <c r="M455" s="7" t="s">
        <v>1142</v>
      </c>
      <c r="N455" s="7" t="s">
        <v>3623</v>
      </c>
      <c r="O455" s="7" t="s">
        <v>3705</v>
      </c>
      <c r="P455" s="7">
        <v>4679253</v>
      </c>
      <c r="Q455" s="7" t="s">
        <v>5354</v>
      </c>
      <c r="R455" s="7" t="s">
        <v>203</v>
      </c>
      <c r="S455" s="7" t="s">
        <v>234</v>
      </c>
      <c r="T455" s="7" t="s">
        <v>217</v>
      </c>
      <c r="U455" s="7" t="s">
        <v>245</v>
      </c>
      <c r="V455" s="7" t="s">
        <v>4550</v>
      </c>
      <c r="W455" s="7" t="s">
        <v>227</v>
      </c>
      <c r="X455" s="7" t="s">
        <v>200</v>
      </c>
      <c r="Y455" s="7" t="s">
        <v>4551</v>
      </c>
      <c r="Z455" s="7" t="s">
        <v>4552</v>
      </c>
      <c r="AA455" s="7" t="s">
        <v>3623</v>
      </c>
      <c r="AB455" s="7" t="s">
        <v>3609</v>
      </c>
      <c r="AC455" s="7" t="s">
        <v>5355</v>
      </c>
      <c r="AD455" s="8">
        <v>45723</v>
      </c>
      <c r="AE455" s="8">
        <v>45869</v>
      </c>
      <c r="AF455" s="7" t="s">
        <v>5356</v>
      </c>
    </row>
    <row r="456" spans="1:32" ht="30" customHeight="1" x14ac:dyDescent="0.3">
      <c r="A456" s="5">
        <v>79332</v>
      </c>
      <c r="B456" s="5" t="s">
        <v>872</v>
      </c>
      <c r="C456" s="5" t="s">
        <v>5357</v>
      </c>
      <c r="D456" s="5" t="s">
        <v>354</v>
      </c>
      <c r="E456" s="5" t="s">
        <v>203</v>
      </c>
      <c r="F456" s="5" t="s">
        <v>433</v>
      </c>
      <c r="G456" s="5" t="s">
        <v>217</v>
      </c>
      <c r="H456" s="5" t="s">
        <v>233</v>
      </c>
      <c r="I456" s="5" t="s">
        <v>873</v>
      </c>
      <c r="J456" s="5" t="s">
        <v>227</v>
      </c>
      <c r="K456" s="5" t="s">
        <v>578</v>
      </c>
      <c r="L456" s="5" t="s">
        <v>874</v>
      </c>
      <c r="M456" s="5" t="s">
        <v>875</v>
      </c>
      <c r="N456" s="5" t="s">
        <v>3652</v>
      </c>
      <c r="O456" s="5" t="s">
        <v>3763</v>
      </c>
      <c r="P456" s="5">
        <v>5086078</v>
      </c>
      <c r="Q456" s="5" t="s">
        <v>5358</v>
      </c>
      <c r="R456" s="5" t="s">
        <v>203</v>
      </c>
      <c r="S456" s="5" t="s">
        <v>444</v>
      </c>
      <c r="T456" s="5" t="s">
        <v>217</v>
      </c>
      <c r="U456" s="5" t="s">
        <v>245</v>
      </c>
      <c r="V456" s="5" t="s">
        <v>1654</v>
      </c>
      <c r="W456" s="5" t="s">
        <v>227</v>
      </c>
      <c r="X456" s="5" t="s">
        <v>200</v>
      </c>
      <c r="Y456" s="5" t="s">
        <v>1655</v>
      </c>
      <c r="Z456" s="5" t="s">
        <v>3217</v>
      </c>
      <c r="AA456" s="5" t="s">
        <v>3623</v>
      </c>
      <c r="AB456" s="5" t="s">
        <v>3886</v>
      </c>
      <c r="AC456" s="5" t="s">
        <v>5359</v>
      </c>
      <c r="AD456" s="6">
        <v>45719</v>
      </c>
      <c r="AE456" s="6">
        <v>46053</v>
      </c>
      <c r="AF456" s="5"/>
    </row>
    <row r="457" spans="1:32" ht="153" customHeight="1" x14ac:dyDescent="0.3">
      <c r="A457" s="7">
        <v>5612217</v>
      </c>
      <c r="B457" s="7" t="s">
        <v>3319</v>
      </c>
      <c r="C457" s="7" t="s">
        <v>5360</v>
      </c>
      <c r="D457" s="7" t="s">
        <v>862</v>
      </c>
      <c r="E457" s="7" t="s">
        <v>203</v>
      </c>
      <c r="F457" s="7" t="s">
        <v>433</v>
      </c>
      <c r="G457" s="7" t="s">
        <v>217</v>
      </c>
      <c r="H457" s="7" t="s">
        <v>233</v>
      </c>
      <c r="I457" s="7" t="s">
        <v>3320</v>
      </c>
      <c r="J457" s="7" t="s">
        <v>227</v>
      </c>
      <c r="K457" s="7" t="s">
        <v>200</v>
      </c>
      <c r="L457" s="7" t="s">
        <v>3138</v>
      </c>
      <c r="M457" s="7" t="s">
        <v>1203</v>
      </c>
      <c r="N457" s="7" t="s">
        <v>3612</v>
      </c>
      <c r="O457" s="7" t="s">
        <v>3743</v>
      </c>
      <c r="P457" s="7">
        <v>4985621</v>
      </c>
      <c r="Q457" s="7" t="s">
        <v>5361</v>
      </c>
      <c r="R457" s="7" t="s">
        <v>203</v>
      </c>
      <c r="S457" s="7" t="s">
        <v>234</v>
      </c>
      <c r="T457" s="7" t="s">
        <v>217</v>
      </c>
      <c r="U457" s="7" t="s">
        <v>207</v>
      </c>
      <c r="V457" s="7" t="s">
        <v>5362</v>
      </c>
      <c r="W457" s="7" t="s">
        <v>227</v>
      </c>
      <c r="X457" s="7" t="s">
        <v>200</v>
      </c>
      <c r="Y457" s="7" t="s">
        <v>5363</v>
      </c>
      <c r="Z457" s="7" t="s">
        <v>5364</v>
      </c>
      <c r="AA457" s="7" t="s">
        <v>3623</v>
      </c>
      <c r="AB457" s="7" t="s">
        <v>3743</v>
      </c>
      <c r="AC457" s="7" t="s">
        <v>5365</v>
      </c>
      <c r="AD457" s="8">
        <v>45723</v>
      </c>
      <c r="AE457" s="8">
        <v>46087</v>
      </c>
      <c r="AF457" s="7"/>
    </row>
    <row r="458" spans="1:32" ht="40.5" customHeight="1" x14ac:dyDescent="0.3">
      <c r="A458" s="5">
        <v>3377326</v>
      </c>
      <c r="B458" s="5" t="s">
        <v>1256</v>
      </c>
      <c r="C458" s="5" t="s">
        <v>5366</v>
      </c>
      <c r="D458" s="5" t="s">
        <v>198</v>
      </c>
      <c r="E458" s="5" t="s">
        <v>203</v>
      </c>
      <c r="F458" s="5" t="s">
        <v>613</v>
      </c>
      <c r="G458" s="5" t="s">
        <v>217</v>
      </c>
      <c r="H458" s="5" t="s">
        <v>233</v>
      </c>
      <c r="I458" s="5" t="s">
        <v>1257</v>
      </c>
      <c r="J458" s="5" t="s">
        <v>608</v>
      </c>
      <c r="K458" s="5" t="s">
        <v>200</v>
      </c>
      <c r="L458" s="5" t="s">
        <v>1258</v>
      </c>
      <c r="M458" s="5" t="s">
        <v>855</v>
      </c>
      <c r="N458" s="5" t="s">
        <v>3623</v>
      </c>
      <c r="O458" s="5" t="s">
        <v>3837</v>
      </c>
      <c r="P458" s="5">
        <v>3389855</v>
      </c>
      <c r="Q458" s="5" t="s">
        <v>5367</v>
      </c>
      <c r="R458" s="5" t="s">
        <v>203</v>
      </c>
      <c r="S458" s="5" t="s">
        <v>613</v>
      </c>
      <c r="T458" s="5" t="s">
        <v>217</v>
      </c>
      <c r="U458" s="5" t="s">
        <v>207</v>
      </c>
      <c r="V458" s="5" t="s">
        <v>4831</v>
      </c>
      <c r="W458" s="5" t="s">
        <v>608</v>
      </c>
      <c r="X458" s="5" t="s">
        <v>200</v>
      </c>
      <c r="Y458" s="5" t="s">
        <v>4372</v>
      </c>
      <c r="Z458" s="5" t="s">
        <v>452</v>
      </c>
      <c r="AA458" s="5" t="s">
        <v>3608</v>
      </c>
      <c r="AB458" s="5" t="s">
        <v>3702</v>
      </c>
      <c r="AC458" s="5" t="s">
        <v>5368</v>
      </c>
      <c r="AD458" s="6">
        <v>45717</v>
      </c>
      <c r="AE458" s="5"/>
      <c r="AF458" s="5"/>
    </row>
    <row r="459" spans="1:32" ht="409.5" customHeight="1" x14ac:dyDescent="0.3">
      <c r="A459" s="7">
        <v>4754557</v>
      </c>
      <c r="B459" s="7" t="s">
        <v>2115</v>
      </c>
      <c r="C459" s="7" t="s">
        <v>5369</v>
      </c>
      <c r="D459" s="7" t="s">
        <v>198</v>
      </c>
      <c r="E459" s="7" t="s">
        <v>203</v>
      </c>
      <c r="F459" s="7" t="s">
        <v>234</v>
      </c>
      <c r="G459" s="7" t="s">
        <v>217</v>
      </c>
      <c r="H459" s="7" t="s">
        <v>207</v>
      </c>
      <c r="I459" s="7" t="s">
        <v>2116</v>
      </c>
      <c r="J459" s="7" t="s">
        <v>227</v>
      </c>
      <c r="K459" s="7" t="s">
        <v>200</v>
      </c>
      <c r="L459" s="7" t="s">
        <v>2117</v>
      </c>
      <c r="M459" s="7" t="s">
        <v>1369</v>
      </c>
      <c r="N459" s="7" t="s">
        <v>3623</v>
      </c>
      <c r="O459" s="7" t="s">
        <v>3912</v>
      </c>
      <c r="P459" s="7">
        <v>4679253</v>
      </c>
      <c r="Q459" s="7" t="s">
        <v>5354</v>
      </c>
      <c r="R459" s="7" t="s">
        <v>203</v>
      </c>
      <c r="S459" s="7" t="s">
        <v>234</v>
      </c>
      <c r="T459" s="7" t="s">
        <v>217</v>
      </c>
      <c r="U459" s="7" t="s">
        <v>245</v>
      </c>
      <c r="V459" s="7" t="s">
        <v>4550</v>
      </c>
      <c r="W459" s="7" t="s">
        <v>227</v>
      </c>
      <c r="X459" s="7" t="s">
        <v>200</v>
      </c>
      <c r="Y459" s="7" t="s">
        <v>4551</v>
      </c>
      <c r="Z459" s="7" t="s">
        <v>4552</v>
      </c>
      <c r="AA459" s="7" t="s">
        <v>3623</v>
      </c>
      <c r="AB459" s="7" t="s">
        <v>3609</v>
      </c>
      <c r="AC459" s="7" t="s">
        <v>5370</v>
      </c>
      <c r="AD459" s="8">
        <v>45723</v>
      </c>
      <c r="AE459" s="8">
        <v>45869</v>
      </c>
      <c r="AF459" s="7" t="s">
        <v>5356</v>
      </c>
    </row>
    <row r="460" spans="1:32" ht="255" customHeight="1" x14ac:dyDescent="0.3">
      <c r="A460" s="5">
        <v>4997751</v>
      </c>
      <c r="B460" s="5" t="s">
        <v>240</v>
      </c>
      <c r="C460" s="5" t="s">
        <v>5371</v>
      </c>
      <c r="D460" s="5" t="s">
        <v>198</v>
      </c>
      <c r="E460" s="5" t="s">
        <v>203</v>
      </c>
      <c r="F460" s="5"/>
      <c r="G460" s="5" t="s">
        <v>217</v>
      </c>
      <c r="H460" s="5" t="s">
        <v>245</v>
      </c>
      <c r="I460" s="5" t="s">
        <v>241</v>
      </c>
      <c r="J460" s="5" t="s">
        <v>211</v>
      </c>
      <c r="K460" s="5" t="s">
        <v>200</v>
      </c>
      <c r="L460" s="5" t="s">
        <v>242</v>
      </c>
      <c r="M460" s="5" t="s">
        <v>243</v>
      </c>
      <c r="N460" s="5" t="s">
        <v>3623</v>
      </c>
      <c r="O460" s="5" t="s">
        <v>3609</v>
      </c>
      <c r="P460" s="5">
        <v>8876991</v>
      </c>
      <c r="Q460" s="5" t="s">
        <v>5372</v>
      </c>
      <c r="R460" s="5" t="s">
        <v>203</v>
      </c>
      <c r="S460" s="5" t="s">
        <v>218</v>
      </c>
      <c r="T460" s="5" t="s">
        <v>217</v>
      </c>
      <c r="U460" s="5" t="s">
        <v>2330</v>
      </c>
      <c r="V460" s="5" t="s">
        <v>3639</v>
      </c>
      <c r="W460" s="5" t="s">
        <v>211</v>
      </c>
      <c r="X460" s="5" t="s">
        <v>200</v>
      </c>
      <c r="Y460" s="5" t="s">
        <v>395</v>
      </c>
      <c r="Z460" s="5" t="s">
        <v>1904</v>
      </c>
      <c r="AA460" s="5" t="s">
        <v>3617</v>
      </c>
      <c r="AB460" s="5" t="s">
        <v>3613</v>
      </c>
      <c r="AC460" s="5" t="s">
        <v>5373</v>
      </c>
      <c r="AD460" s="6">
        <v>45719</v>
      </c>
      <c r="AE460" s="5"/>
      <c r="AF460" s="5"/>
    </row>
    <row r="461" spans="1:32" ht="409.5" customHeight="1" x14ac:dyDescent="0.3">
      <c r="A461" s="7">
        <v>5056837</v>
      </c>
      <c r="B461" s="7" t="s">
        <v>2630</v>
      </c>
      <c r="C461" s="7" t="s">
        <v>5353</v>
      </c>
      <c r="D461" s="7" t="s">
        <v>198</v>
      </c>
      <c r="E461" s="7" t="s">
        <v>203</v>
      </c>
      <c r="F461" s="7" t="s">
        <v>234</v>
      </c>
      <c r="G461" s="7" t="s">
        <v>217</v>
      </c>
      <c r="H461" s="7" t="s">
        <v>207</v>
      </c>
      <c r="I461" s="7" t="s">
        <v>2631</v>
      </c>
      <c r="J461" s="7" t="s">
        <v>227</v>
      </c>
      <c r="K461" s="7" t="s">
        <v>578</v>
      </c>
      <c r="L461" s="7" t="s">
        <v>2632</v>
      </c>
      <c r="M461" s="7" t="s">
        <v>1369</v>
      </c>
      <c r="N461" s="7" t="s">
        <v>3623</v>
      </c>
      <c r="O461" s="7" t="s">
        <v>3912</v>
      </c>
      <c r="P461" s="7">
        <v>4679253</v>
      </c>
      <c r="Q461" s="7" t="s">
        <v>5354</v>
      </c>
      <c r="R461" s="7" t="s">
        <v>203</v>
      </c>
      <c r="S461" s="7" t="s">
        <v>234</v>
      </c>
      <c r="T461" s="7" t="s">
        <v>217</v>
      </c>
      <c r="U461" s="7" t="s">
        <v>245</v>
      </c>
      <c r="V461" s="7" t="s">
        <v>4550</v>
      </c>
      <c r="W461" s="7" t="s">
        <v>227</v>
      </c>
      <c r="X461" s="7" t="s">
        <v>200</v>
      </c>
      <c r="Y461" s="7" t="s">
        <v>4551</v>
      </c>
      <c r="Z461" s="7" t="s">
        <v>4552</v>
      </c>
      <c r="AA461" s="7" t="s">
        <v>3623</v>
      </c>
      <c r="AB461" s="7" t="s">
        <v>3609</v>
      </c>
      <c r="AC461" s="7" t="s">
        <v>5374</v>
      </c>
      <c r="AD461" s="8">
        <v>45723</v>
      </c>
      <c r="AE461" s="8">
        <v>45869</v>
      </c>
      <c r="AF461" s="7" t="s">
        <v>3881</v>
      </c>
    </row>
    <row r="462" spans="1:32" ht="409.5" customHeight="1" x14ac:dyDescent="0.3">
      <c r="A462" s="5">
        <v>3794687</v>
      </c>
      <c r="B462" s="5" t="s">
        <v>1642</v>
      </c>
      <c r="C462" s="5" t="s">
        <v>5375</v>
      </c>
      <c r="D462" s="5" t="s">
        <v>198</v>
      </c>
      <c r="E462" s="5" t="s">
        <v>203</v>
      </c>
      <c r="F462" s="5" t="s">
        <v>433</v>
      </c>
      <c r="G462" s="5" t="s">
        <v>217</v>
      </c>
      <c r="H462" s="5" t="s">
        <v>233</v>
      </c>
      <c r="I462" s="5" t="s">
        <v>1643</v>
      </c>
      <c r="J462" s="5" t="s">
        <v>227</v>
      </c>
      <c r="K462" s="5" t="s">
        <v>413</v>
      </c>
      <c r="L462" s="5" t="s">
        <v>1644</v>
      </c>
      <c r="M462" s="5" t="s">
        <v>1645</v>
      </c>
      <c r="N462" s="5" t="s">
        <v>3608</v>
      </c>
      <c r="O462" s="5" t="s">
        <v>3741</v>
      </c>
      <c r="P462" s="5">
        <v>5391466</v>
      </c>
      <c r="Q462" s="5" t="s">
        <v>5376</v>
      </c>
      <c r="R462" s="5" t="s">
        <v>203</v>
      </c>
      <c r="S462" s="5" t="s">
        <v>433</v>
      </c>
      <c r="T462" s="5" t="s">
        <v>208</v>
      </c>
      <c r="U462" s="5" t="s">
        <v>2330</v>
      </c>
      <c r="V462" s="5" t="s">
        <v>5377</v>
      </c>
      <c r="W462" s="5" t="s">
        <v>227</v>
      </c>
      <c r="X462" s="5" t="s">
        <v>200</v>
      </c>
      <c r="Y462" s="5" t="s">
        <v>1039</v>
      </c>
      <c r="Z462" s="5" t="s">
        <v>2305</v>
      </c>
      <c r="AA462" s="5" t="s">
        <v>3612</v>
      </c>
      <c r="AB462" s="5" t="s">
        <v>4426</v>
      </c>
      <c r="AC462" s="5" t="s">
        <v>5378</v>
      </c>
      <c r="AD462" s="6">
        <v>45733</v>
      </c>
      <c r="AE462" s="5"/>
      <c r="AF462" s="5"/>
    </row>
    <row r="463" spans="1:32" ht="71.25" customHeight="1" x14ac:dyDescent="0.3">
      <c r="A463" s="7">
        <v>5134358</v>
      </c>
      <c r="B463" s="7" t="s">
        <v>2782</v>
      </c>
      <c r="C463" s="7" t="s">
        <v>5379</v>
      </c>
      <c r="D463" s="7" t="s">
        <v>198</v>
      </c>
      <c r="E463" s="7" t="s">
        <v>203</v>
      </c>
      <c r="F463" s="7" t="s">
        <v>444</v>
      </c>
      <c r="G463" s="7" t="s">
        <v>217</v>
      </c>
      <c r="H463" s="7" t="s">
        <v>207</v>
      </c>
      <c r="I463" s="7" t="s">
        <v>2783</v>
      </c>
      <c r="J463" s="7" t="s">
        <v>227</v>
      </c>
      <c r="K463" s="7" t="s">
        <v>200</v>
      </c>
      <c r="L463" s="7" t="s">
        <v>2784</v>
      </c>
      <c r="M463" s="7" t="s">
        <v>521</v>
      </c>
      <c r="N463" s="7" t="s">
        <v>3623</v>
      </c>
      <c r="O463" s="7" t="s">
        <v>3609</v>
      </c>
      <c r="P463" s="7">
        <v>5532302</v>
      </c>
      <c r="Q463" s="7" t="s">
        <v>5380</v>
      </c>
      <c r="R463" s="7" t="s">
        <v>203</v>
      </c>
      <c r="S463" s="7" t="s">
        <v>444</v>
      </c>
      <c r="T463" s="7" t="s">
        <v>217</v>
      </c>
      <c r="U463" s="7" t="s">
        <v>245</v>
      </c>
      <c r="V463" s="7" t="s">
        <v>5381</v>
      </c>
      <c r="W463" s="7" t="s">
        <v>227</v>
      </c>
      <c r="X463" s="7" t="s">
        <v>200</v>
      </c>
      <c r="Y463" s="7" t="s">
        <v>5382</v>
      </c>
      <c r="Z463" s="7" t="s">
        <v>1319</v>
      </c>
      <c r="AA463" s="7" t="s">
        <v>3732</v>
      </c>
      <c r="AB463" s="7" t="s">
        <v>3763</v>
      </c>
      <c r="AC463" s="7" t="s">
        <v>5383</v>
      </c>
      <c r="AD463" s="8">
        <v>45615</v>
      </c>
      <c r="AE463" s="7"/>
      <c r="AF463" s="7"/>
    </row>
    <row r="464" spans="1:32" ht="255" customHeight="1" x14ac:dyDescent="0.3">
      <c r="A464" s="5">
        <v>5430577</v>
      </c>
      <c r="B464" s="5" t="s">
        <v>3202</v>
      </c>
      <c r="C464" s="5" t="s">
        <v>5384</v>
      </c>
      <c r="D464" s="5" t="s">
        <v>198</v>
      </c>
      <c r="E464" s="5" t="s">
        <v>203</v>
      </c>
      <c r="F464" s="5" t="s">
        <v>234</v>
      </c>
      <c r="G464" s="5" t="s">
        <v>208</v>
      </c>
      <c r="H464" s="5" t="s">
        <v>245</v>
      </c>
      <c r="I464" s="5" t="s">
        <v>3203</v>
      </c>
      <c r="J464" s="5" t="s">
        <v>227</v>
      </c>
      <c r="K464" s="5" t="s">
        <v>413</v>
      </c>
      <c r="L464" s="5" t="s">
        <v>3204</v>
      </c>
      <c r="M464" s="5" t="s">
        <v>3205</v>
      </c>
      <c r="N464" s="5" t="s">
        <v>3612</v>
      </c>
      <c r="O464" s="5" t="s">
        <v>3603</v>
      </c>
      <c r="P464" s="5">
        <v>8873619</v>
      </c>
      <c r="Q464" s="5" t="s">
        <v>5385</v>
      </c>
      <c r="R464" s="5" t="s">
        <v>203</v>
      </c>
      <c r="S464" s="5" t="s">
        <v>234</v>
      </c>
      <c r="T464" s="5" t="s">
        <v>208</v>
      </c>
      <c r="U464" s="5" t="s">
        <v>207</v>
      </c>
      <c r="V464" s="5" t="s">
        <v>5386</v>
      </c>
      <c r="W464" s="5" t="s">
        <v>227</v>
      </c>
      <c r="X464" s="5" t="s">
        <v>200</v>
      </c>
      <c r="Y464" s="5" t="s">
        <v>5387</v>
      </c>
      <c r="Z464" s="5" t="s">
        <v>1328</v>
      </c>
      <c r="AA464" s="5" t="s">
        <v>3729</v>
      </c>
      <c r="AB464" s="5" t="s">
        <v>3894</v>
      </c>
      <c r="AC464" s="5" t="s">
        <v>5388</v>
      </c>
      <c r="AD464" s="6">
        <v>45741</v>
      </c>
      <c r="AE464" s="5"/>
      <c r="AF464" s="5"/>
    </row>
    <row r="465" spans="1:32" ht="409.5" customHeight="1" x14ac:dyDescent="0.3">
      <c r="A465" s="7">
        <v>3336182</v>
      </c>
      <c r="B465" s="7" t="s">
        <v>1178</v>
      </c>
      <c r="C465" s="7" t="s">
        <v>5389</v>
      </c>
      <c r="D465" s="7" t="s">
        <v>198</v>
      </c>
      <c r="E465" s="7" t="s">
        <v>230</v>
      </c>
      <c r="F465" s="7" t="s">
        <v>1184</v>
      </c>
      <c r="G465" s="7" t="s">
        <v>217</v>
      </c>
      <c r="H465" s="7" t="s">
        <v>245</v>
      </c>
      <c r="I465" s="7" t="s">
        <v>1180</v>
      </c>
      <c r="J465" s="7" t="s">
        <v>1179</v>
      </c>
      <c r="K465" s="7" t="s">
        <v>200</v>
      </c>
      <c r="L465" s="7" t="s">
        <v>1181</v>
      </c>
      <c r="M465" s="7" t="s">
        <v>1182</v>
      </c>
      <c r="N465" s="7" t="s">
        <v>3602</v>
      </c>
      <c r="O465" s="7" t="s">
        <v>3630</v>
      </c>
      <c r="P465" s="7">
        <v>4789482</v>
      </c>
      <c r="Q465" s="7" t="s">
        <v>5390</v>
      </c>
      <c r="R465" s="7" t="s">
        <v>203</v>
      </c>
      <c r="S465" s="7" t="s">
        <v>234</v>
      </c>
      <c r="T465" s="7" t="s">
        <v>217</v>
      </c>
      <c r="U465" s="7" t="s">
        <v>207</v>
      </c>
      <c r="V465" s="7" t="s">
        <v>5391</v>
      </c>
      <c r="W465" s="7" t="s">
        <v>227</v>
      </c>
      <c r="X465" s="7" t="s">
        <v>200</v>
      </c>
      <c r="Y465" s="7" t="s">
        <v>5392</v>
      </c>
      <c r="Z465" s="7" t="s">
        <v>1904</v>
      </c>
      <c r="AA465" s="7" t="s">
        <v>3623</v>
      </c>
      <c r="AB465" s="7" t="s">
        <v>3613</v>
      </c>
      <c r="AC465" s="7" t="s">
        <v>5393</v>
      </c>
      <c r="AD465" s="8">
        <v>45748</v>
      </c>
      <c r="AE465" s="7"/>
      <c r="AF465" s="7"/>
    </row>
    <row r="466" spans="1:32" ht="377.25" customHeight="1" x14ac:dyDescent="0.3">
      <c r="A466" s="5">
        <v>4754557</v>
      </c>
      <c r="B466" s="5" t="s">
        <v>2115</v>
      </c>
      <c r="C466" s="5" t="s">
        <v>5394</v>
      </c>
      <c r="D466" s="5" t="s">
        <v>198</v>
      </c>
      <c r="E466" s="5" t="s">
        <v>203</v>
      </c>
      <c r="F466" s="5" t="s">
        <v>234</v>
      </c>
      <c r="G466" s="5" t="s">
        <v>217</v>
      </c>
      <c r="H466" s="5" t="s">
        <v>207</v>
      </c>
      <c r="I466" s="5" t="s">
        <v>2116</v>
      </c>
      <c r="J466" s="5" t="s">
        <v>227</v>
      </c>
      <c r="K466" s="5" t="s">
        <v>200</v>
      </c>
      <c r="L466" s="5" t="s">
        <v>2117</v>
      </c>
      <c r="M466" s="5" t="s">
        <v>1369</v>
      </c>
      <c r="N466" s="5" t="s">
        <v>3623</v>
      </c>
      <c r="O466" s="5" t="s">
        <v>3912</v>
      </c>
      <c r="P466" s="5">
        <v>8878703</v>
      </c>
      <c r="Q466" s="5" t="s">
        <v>5395</v>
      </c>
      <c r="R466" s="5" t="s">
        <v>737</v>
      </c>
      <c r="S466" s="5" t="s">
        <v>234</v>
      </c>
      <c r="T466" s="5" t="s">
        <v>217</v>
      </c>
      <c r="U466" s="5" t="s">
        <v>207</v>
      </c>
      <c r="V466" s="5" t="s">
        <v>5396</v>
      </c>
      <c r="W466" s="5" t="s">
        <v>227</v>
      </c>
      <c r="X466" s="5" t="s">
        <v>200</v>
      </c>
      <c r="Y466" s="5" t="s">
        <v>5397</v>
      </c>
      <c r="Z466" s="5" t="s">
        <v>5398</v>
      </c>
      <c r="AA466" s="5" t="s">
        <v>3729</v>
      </c>
      <c r="AB466" s="5" t="s">
        <v>3613</v>
      </c>
      <c r="AC466" s="5" t="s">
        <v>5399</v>
      </c>
      <c r="AD466" s="6">
        <v>45740</v>
      </c>
      <c r="AE466" s="5"/>
      <c r="AF466" s="5"/>
    </row>
    <row r="467" spans="1:32" ht="377.25" customHeight="1" x14ac:dyDescent="0.3">
      <c r="A467" s="7">
        <v>5391458</v>
      </c>
      <c r="B467" s="7" t="s">
        <v>3190</v>
      </c>
      <c r="C467" s="7" t="s">
        <v>5400</v>
      </c>
      <c r="D467" s="7" t="s">
        <v>198</v>
      </c>
      <c r="E467" s="7" t="s">
        <v>203</v>
      </c>
      <c r="F467" s="7" t="s">
        <v>234</v>
      </c>
      <c r="G467" s="7" t="s">
        <v>208</v>
      </c>
      <c r="H467" s="7" t="s">
        <v>207</v>
      </c>
      <c r="I467" s="7" t="s">
        <v>3191</v>
      </c>
      <c r="J467" s="7" t="s">
        <v>227</v>
      </c>
      <c r="K467" s="7" t="s">
        <v>200</v>
      </c>
      <c r="L467" s="7" t="s">
        <v>1699</v>
      </c>
      <c r="M467" s="7" t="s">
        <v>2570</v>
      </c>
      <c r="N467" s="7" t="s">
        <v>3612</v>
      </c>
      <c r="O467" s="7" t="s">
        <v>3763</v>
      </c>
      <c r="P467" s="7">
        <v>8878703</v>
      </c>
      <c r="Q467" s="7" t="s">
        <v>5395</v>
      </c>
      <c r="R467" s="7" t="s">
        <v>737</v>
      </c>
      <c r="S467" s="7" t="s">
        <v>234</v>
      </c>
      <c r="T467" s="7" t="s">
        <v>217</v>
      </c>
      <c r="U467" s="7" t="s">
        <v>207</v>
      </c>
      <c r="V467" s="7" t="s">
        <v>5396</v>
      </c>
      <c r="W467" s="7" t="s">
        <v>227</v>
      </c>
      <c r="X467" s="7" t="s">
        <v>200</v>
      </c>
      <c r="Y467" s="7" t="s">
        <v>5397</v>
      </c>
      <c r="Z467" s="7" t="s">
        <v>5398</v>
      </c>
      <c r="AA467" s="7" t="s">
        <v>3729</v>
      </c>
      <c r="AB467" s="7" t="s">
        <v>3613</v>
      </c>
      <c r="AC467" s="7" t="s">
        <v>5401</v>
      </c>
      <c r="AD467" s="8">
        <v>45741</v>
      </c>
      <c r="AE467" s="7"/>
      <c r="AF467" s="7"/>
    </row>
    <row r="468" spans="1:32" ht="40.5" customHeight="1" x14ac:dyDescent="0.3">
      <c r="A468" s="5">
        <v>5112575</v>
      </c>
      <c r="B468" s="5" t="s">
        <v>2740</v>
      </c>
      <c r="C468" s="5" t="s">
        <v>5402</v>
      </c>
      <c r="D468" s="5" t="s">
        <v>198</v>
      </c>
      <c r="E468" s="5" t="s">
        <v>203</v>
      </c>
      <c r="F468" s="5" t="s">
        <v>433</v>
      </c>
      <c r="G468" s="5" t="s">
        <v>208</v>
      </c>
      <c r="H468" s="5" t="s">
        <v>233</v>
      </c>
      <c r="I468" s="5" t="s">
        <v>756</v>
      </c>
      <c r="J468" s="5" t="s">
        <v>227</v>
      </c>
      <c r="K468" s="5" t="s">
        <v>413</v>
      </c>
      <c r="L468" s="5" t="s">
        <v>2741</v>
      </c>
      <c r="M468" s="5" t="s">
        <v>2742</v>
      </c>
      <c r="N468" s="5" t="s">
        <v>3623</v>
      </c>
      <c r="O468" s="5" t="s">
        <v>3743</v>
      </c>
      <c r="P468" s="5">
        <v>5388783</v>
      </c>
      <c r="Q468" s="5" t="s">
        <v>5315</v>
      </c>
      <c r="R468" s="5" t="s">
        <v>203</v>
      </c>
      <c r="S468" s="5" t="s">
        <v>234</v>
      </c>
      <c r="T468" s="5" t="s">
        <v>208</v>
      </c>
      <c r="U468" s="5" t="s">
        <v>207</v>
      </c>
      <c r="V468" s="5" t="s">
        <v>4448</v>
      </c>
      <c r="W468" s="5" t="s">
        <v>227</v>
      </c>
      <c r="X468" s="5" t="s">
        <v>200</v>
      </c>
      <c r="Y468" s="5" t="s">
        <v>684</v>
      </c>
      <c r="Z468" s="5" t="s">
        <v>690</v>
      </c>
      <c r="AA468" s="5" t="s">
        <v>3612</v>
      </c>
      <c r="AB468" s="5" t="s">
        <v>3824</v>
      </c>
      <c r="AC468" s="5" t="s">
        <v>5403</v>
      </c>
      <c r="AD468" s="6">
        <v>45712</v>
      </c>
      <c r="AE468" s="5"/>
      <c r="AF468" s="5"/>
    </row>
    <row r="469" spans="1:32" ht="40.5" customHeight="1" x14ac:dyDescent="0.3">
      <c r="A469" s="7">
        <v>5391458</v>
      </c>
      <c r="B469" s="7" t="s">
        <v>3190</v>
      </c>
      <c r="C469" s="7" t="s">
        <v>5404</v>
      </c>
      <c r="D469" s="7" t="s">
        <v>198</v>
      </c>
      <c r="E469" s="7" t="s">
        <v>203</v>
      </c>
      <c r="F469" s="7" t="s">
        <v>234</v>
      </c>
      <c r="G469" s="7" t="s">
        <v>208</v>
      </c>
      <c r="H469" s="7" t="s">
        <v>207</v>
      </c>
      <c r="I469" s="7" t="s">
        <v>3191</v>
      </c>
      <c r="J469" s="7" t="s">
        <v>227</v>
      </c>
      <c r="K469" s="7" t="s">
        <v>200</v>
      </c>
      <c r="L469" s="7" t="s">
        <v>1699</v>
      </c>
      <c r="M469" s="7" t="s">
        <v>2570</v>
      </c>
      <c r="N469" s="7" t="s">
        <v>3612</v>
      </c>
      <c r="O469" s="7" t="s">
        <v>3763</v>
      </c>
      <c r="P469" s="7">
        <v>5262135</v>
      </c>
      <c r="Q469" s="7" t="s">
        <v>5405</v>
      </c>
      <c r="R469" s="7" t="s">
        <v>203</v>
      </c>
      <c r="S469" s="7" t="s">
        <v>234</v>
      </c>
      <c r="T469" s="7" t="s">
        <v>208</v>
      </c>
      <c r="U469" s="7" t="s">
        <v>207</v>
      </c>
      <c r="V469" s="7" t="s">
        <v>5406</v>
      </c>
      <c r="W469" s="7" t="s">
        <v>227</v>
      </c>
      <c r="X469" s="7" t="s">
        <v>200</v>
      </c>
      <c r="Y469" s="7" t="s">
        <v>5407</v>
      </c>
      <c r="Z469" s="7" t="s">
        <v>5408</v>
      </c>
      <c r="AA469" s="7" t="s">
        <v>3612</v>
      </c>
      <c r="AB469" s="7" t="s">
        <v>3702</v>
      </c>
      <c r="AC469" s="7" t="s">
        <v>5409</v>
      </c>
      <c r="AD469" s="8">
        <v>45811</v>
      </c>
      <c r="AE469" s="8">
        <v>45976</v>
      </c>
      <c r="AF469" s="7"/>
    </row>
    <row r="470" spans="1:32" ht="326.25" customHeight="1" x14ac:dyDescent="0.3">
      <c r="A470" s="5">
        <v>2778041</v>
      </c>
      <c r="B470" s="5" t="s">
        <v>955</v>
      </c>
      <c r="C470" s="5" t="s">
        <v>5410</v>
      </c>
      <c r="D470" s="5" t="s">
        <v>354</v>
      </c>
      <c r="E470" s="5" t="s">
        <v>203</v>
      </c>
      <c r="F470" s="5" t="s">
        <v>418</v>
      </c>
      <c r="G470" s="5" t="s">
        <v>208</v>
      </c>
      <c r="H470" s="5" t="s">
        <v>233</v>
      </c>
      <c r="I470" s="5" t="s">
        <v>956</v>
      </c>
      <c r="J470" s="5" t="s">
        <v>227</v>
      </c>
      <c r="K470" s="5" t="s">
        <v>200</v>
      </c>
      <c r="L470" s="5" t="s">
        <v>957</v>
      </c>
      <c r="M470" s="5" t="s">
        <v>958</v>
      </c>
      <c r="N470" s="5" t="s">
        <v>3652</v>
      </c>
      <c r="O470" s="5" t="s">
        <v>3763</v>
      </c>
      <c r="P470" s="5">
        <v>4727479</v>
      </c>
      <c r="Q470" s="5" t="s">
        <v>5411</v>
      </c>
      <c r="R470" s="5" t="s">
        <v>203</v>
      </c>
      <c r="S470" s="5" t="s">
        <v>418</v>
      </c>
      <c r="T470" s="5" t="s">
        <v>217</v>
      </c>
      <c r="U470" s="5" t="s">
        <v>207</v>
      </c>
      <c r="V470" s="5" t="s">
        <v>1936</v>
      </c>
      <c r="W470" s="5" t="s">
        <v>227</v>
      </c>
      <c r="X470" s="5" t="s">
        <v>200</v>
      </c>
      <c r="Y470" s="5" t="s">
        <v>1937</v>
      </c>
      <c r="Z470" s="5" t="s">
        <v>1692</v>
      </c>
      <c r="AA470" s="5" t="s">
        <v>3608</v>
      </c>
      <c r="AB470" s="5" t="s">
        <v>3763</v>
      </c>
      <c r="AC470" s="5" t="s">
        <v>5412</v>
      </c>
      <c r="AD470" s="6">
        <v>45748</v>
      </c>
      <c r="AE470" s="6">
        <v>45808</v>
      </c>
      <c r="AF470" s="5"/>
    </row>
    <row r="471" spans="1:32" ht="40.5" customHeight="1" x14ac:dyDescent="0.3">
      <c r="A471" s="7">
        <v>3829073</v>
      </c>
      <c r="B471" s="7" t="s">
        <v>1694</v>
      </c>
      <c r="C471" s="7" t="s">
        <v>5413</v>
      </c>
      <c r="D471" s="7" t="s">
        <v>198</v>
      </c>
      <c r="E471" s="7" t="s">
        <v>203</v>
      </c>
      <c r="F471" s="7" t="s">
        <v>418</v>
      </c>
      <c r="G471" s="7" t="s">
        <v>208</v>
      </c>
      <c r="H471" s="7" t="s">
        <v>245</v>
      </c>
      <c r="I471" s="7" t="s">
        <v>1695</v>
      </c>
      <c r="J471" s="7" t="s">
        <v>227</v>
      </c>
      <c r="K471" s="7" t="s">
        <v>200</v>
      </c>
      <c r="L471" s="7" t="s">
        <v>1404</v>
      </c>
      <c r="M471" s="7" t="s">
        <v>1696</v>
      </c>
      <c r="N471" s="7" t="s">
        <v>3608</v>
      </c>
      <c r="O471" s="7" t="s">
        <v>4426</v>
      </c>
      <c r="P471" s="7">
        <v>3675653</v>
      </c>
      <c r="Q471" s="7" t="s">
        <v>5414</v>
      </c>
      <c r="R471" s="7" t="s">
        <v>203</v>
      </c>
      <c r="S471" s="7" t="s">
        <v>418</v>
      </c>
      <c r="T471" s="7" t="s">
        <v>208</v>
      </c>
      <c r="U471" s="7" t="s">
        <v>207</v>
      </c>
      <c r="V471" s="7" t="s">
        <v>5415</v>
      </c>
      <c r="W471" s="7" t="s">
        <v>227</v>
      </c>
      <c r="X471" s="7" t="s">
        <v>200</v>
      </c>
      <c r="Y471" s="7" t="s">
        <v>2364</v>
      </c>
      <c r="Z471" s="7" t="s">
        <v>5416</v>
      </c>
      <c r="AA471" s="7" t="s">
        <v>3608</v>
      </c>
      <c r="AB471" s="7" t="s">
        <v>3743</v>
      </c>
      <c r="AC471" s="7" t="s">
        <v>5417</v>
      </c>
      <c r="AD471" s="8">
        <v>45474</v>
      </c>
      <c r="AE471" s="7"/>
      <c r="AF471" s="7"/>
    </row>
    <row r="472" spans="1:32" ht="30" customHeight="1" x14ac:dyDescent="0.3">
      <c r="A472" s="5">
        <v>79332</v>
      </c>
      <c r="B472" s="5" t="s">
        <v>872</v>
      </c>
      <c r="C472" s="5" t="s">
        <v>5418</v>
      </c>
      <c r="D472" s="5" t="s">
        <v>354</v>
      </c>
      <c r="E472" s="5" t="s">
        <v>203</v>
      </c>
      <c r="F472" s="5" t="s">
        <v>433</v>
      </c>
      <c r="G472" s="5" t="s">
        <v>217</v>
      </c>
      <c r="H472" s="5" t="s">
        <v>233</v>
      </c>
      <c r="I472" s="5" t="s">
        <v>873</v>
      </c>
      <c r="J472" s="5" t="s">
        <v>227</v>
      </c>
      <c r="K472" s="5" t="s">
        <v>578</v>
      </c>
      <c r="L472" s="5" t="s">
        <v>874</v>
      </c>
      <c r="M472" s="5" t="s">
        <v>875</v>
      </c>
      <c r="N472" s="5" t="s">
        <v>3652</v>
      </c>
      <c r="O472" s="5" t="s">
        <v>3763</v>
      </c>
      <c r="P472" s="5">
        <v>2970295</v>
      </c>
      <c r="Q472" s="5" t="s">
        <v>5419</v>
      </c>
      <c r="R472" s="5" t="s">
        <v>203</v>
      </c>
      <c r="S472" s="5" t="s">
        <v>433</v>
      </c>
      <c r="T472" s="5" t="s">
        <v>208</v>
      </c>
      <c r="U472" s="5" t="s">
        <v>233</v>
      </c>
      <c r="V472" s="5" t="s">
        <v>1686</v>
      </c>
      <c r="W472" s="5" t="s">
        <v>227</v>
      </c>
      <c r="X472" s="5" t="s">
        <v>200</v>
      </c>
      <c r="Y472" s="5" t="s">
        <v>1687</v>
      </c>
      <c r="Z472" s="5" t="s">
        <v>769</v>
      </c>
      <c r="AA472" s="5" t="s">
        <v>3623</v>
      </c>
      <c r="AB472" s="5" t="s">
        <v>3715</v>
      </c>
      <c r="AC472" s="5" t="s">
        <v>5420</v>
      </c>
      <c r="AD472" s="6">
        <v>45748</v>
      </c>
      <c r="AE472" s="6">
        <v>45930</v>
      </c>
      <c r="AF472" s="5"/>
    </row>
    <row r="473" spans="1:32" ht="30" customHeight="1" x14ac:dyDescent="0.3">
      <c r="A473" s="7">
        <v>5604389</v>
      </c>
      <c r="B473" s="7" t="s">
        <v>3312</v>
      </c>
      <c r="C473" s="7" t="s">
        <v>5421</v>
      </c>
      <c r="D473" s="7" t="s">
        <v>862</v>
      </c>
      <c r="E473" s="7" t="s">
        <v>203</v>
      </c>
      <c r="F473" s="7" t="s">
        <v>234</v>
      </c>
      <c r="G473" s="7" t="s">
        <v>208</v>
      </c>
      <c r="H473" s="7" t="s">
        <v>2330</v>
      </c>
      <c r="I473" s="7" t="s">
        <v>3313</v>
      </c>
      <c r="J473" s="7" t="s">
        <v>227</v>
      </c>
      <c r="K473" s="7" t="s">
        <v>200</v>
      </c>
      <c r="L473" s="7" t="s">
        <v>3314</v>
      </c>
      <c r="M473" s="7" t="s">
        <v>1328</v>
      </c>
      <c r="N473" s="7" t="s">
        <v>3612</v>
      </c>
      <c r="O473" s="7" t="s">
        <v>3894</v>
      </c>
      <c r="P473" s="7">
        <v>8877103</v>
      </c>
      <c r="Q473" s="7" t="s">
        <v>5422</v>
      </c>
      <c r="R473" s="7" t="s">
        <v>203</v>
      </c>
      <c r="S473" s="7" t="s">
        <v>234</v>
      </c>
      <c r="T473" s="7" t="s">
        <v>208</v>
      </c>
      <c r="U473" s="7" t="s">
        <v>2330</v>
      </c>
      <c r="V473" s="7" t="s">
        <v>5423</v>
      </c>
      <c r="W473" s="7" t="s">
        <v>227</v>
      </c>
      <c r="X473" s="7" t="s">
        <v>200</v>
      </c>
      <c r="Y473" s="7" t="s">
        <v>3910</v>
      </c>
      <c r="Z473" s="7" t="s">
        <v>1328</v>
      </c>
      <c r="AA473" s="7" t="s">
        <v>3729</v>
      </c>
      <c r="AB473" s="7" t="s">
        <v>3894</v>
      </c>
      <c r="AC473" s="7" t="s">
        <v>5424</v>
      </c>
      <c r="AD473" s="8">
        <v>45717</v>
      </c>
      <c r="AE473" s="7"/>
      <c r="AF473" s="7"/>
    </row>
    <row r="474" spans="1:32" ht="30" customHeight="1" x14ac:dyDescent="0.3">
      <c r="A474" s="5">
        <v>2746573</v>
      </c>
      <c r="B474" s="5" t="s">
        <v>924</v>
      </c>
      <c r="C474" s="5"/>
      <c r="D474" s="5" t="s">
        <v>198</v>
      </c>
      <c r="E474" s="5" t="s">
        <v>203</v>
      </c>
      <c r="F474" s="5" t="s">
        <v>418</v>
      </c>
      <c r="G474" s="5" t="s">
        <v>208</v>
      </c>
      <c r="H474" s="5" t="s">
        <v>245</v>
      </c>
      <c r="I474" s="5" t="s">
        <v>883</v>
      </c>
      <c r="J474" s="5" t="s">
        <v>227</v>
      </c>
      <c r="K474" s="5" t="s">
        <v>200</v>
      </c>
      <c r="L474" s="5" t="s">
        <v>884</v>
      </c>
      <c r="M474" s="5" t="s">
        <v>926</v>
      </c>
      <c r="N474" s="5" t="s">
        <v>3602</v>
      </c>
      <c r="O474" s="5" t="s">
        <v>3763</v>
      </c>
      <c r="P474" s="5">
        <v>8876776</v>
      </c>
      <c r="Q474" s="5" t="s">
        <v>3481</v>
      </c>
      <c r="R474" s="5" t="s">
        <v>203</v>
      </c>
      <c r="S474" s="5" t="s">
        <v>433</v>
      </c>
      <c r="T474" s="5" t="s">
        <v>208</v>
      </c>
      <c r="U474" s="5" t="s">
        <v>2330</v>
      </c>
      <c r="V474" s="5" t="s">
        <v>3482</v>
      </c>
      <c r="W474" s="5" t="s">
        <v>227</v>
      </c>
      <c r="X474" s="5" t="s">
        <v>200</v>
      </c>
      <c r="Y474" s="5" t="s">
        <v>3483</v>
      </c>
      <c r="Z474" s="5" t="s">
        <v>1328</v>
      </c>
      <c r="AA474" s="5" t="s">
        <v>3729</v>
      </c>
      <c r="AB474" s="5" t="s">
        <v>3894</v>
      </c>
      <c r="AC474" s="5" t="s">
        <v>5425</v>
      </c>
      <c r="AD474" s="6">
        <v>45748</v>
      </c>
      <c r="AE474" s="5"/>
      <c r="AF474" s="5"/>
    </row>
    <row r="475" spans="1:32" ht="193.5" customHeight="1" x14ac:dyDescent="0.3">
      <c r="A475" s="7">
        <v>5546885</v>
      </c>
      <c r="B475" s="7" t="s">
        <v>3282</v>
      </c>
      <c r="C475" s="7" t="s">
        <v>5426</v>
      </c>
      <c r="D475" s="7" t="s">
        <v>354</v>
      </c>
      <c r="E475" s="7" t="s">
        <v>203</v>
      </c>
      <c r="F475" s="7" t="s">
        <v>234</v>
      </c>
      <c r="G475" s="7" t="s">
        <v>208</v>
      </c>
      <c r="H475" s="7" t="s">
        <v>207</v>
      </c>
      <c r="I475" s="7" t="s">
        <v>3283</v>
      </c>
      <c r="J475" s="7" t="s">
        <v>227</v>
      </c>
      <c r="K475" s="7" t="s">
        <v>200</v>
      </c>
      <c r="L475" s="7" t="s">
        <v>3284</v>
      </c>
      <c r="M475" s="7" t="s">
        <v>594</v>
      </c>
      <c r="N475" s="7" t="s">
        <v>3612</v>
      </c>
      <c r="O475" s="7" t="s">
        <v>3919</v>
      </c>
      <c r="P475" s="7">
        <v>5276098</v>
      </c>
      <c r="Q475" s="7" t="s">
        <v>4785</v>
      </c>
      <c r="R475" s="7" t="s">
        <v>751</v>
      </c>
      <c r="S475" s="7" t="s">
        <v>234</v>
      </c>
      <c r="T475" s="7" t="s">
        <v>217</v>
      </c>
      <c r="U475" s="7" t="s">
        <v>207</v>
      </c>
      <c r="V475" s="7" t="s">
        <v>4786</v>
      </c>
      <c r="W475" s="7" t="s">
        <v>227</v>
      </c>
      <c r="X475" s="7" t="s">
        <v>200</v>
      </c>
      <c r="Y475" s="7" t="s">
        <v>4787</v>
      </c>
      <c r="Z475" s="7" t="s">
        <v>4327</v>
      </c>
      <c r="AA475" s="7" t="s">
        <v>3623</v>
      </c>
      <c r="AB475" s="7" t="s">
        <v>4328</v>
      </c>
      <c r="AC475" s="7" t="s">
        <v>5427</v>
      </c>
      <c r="AD475" s="8">
        <v>45748</v>
      </c>
      <c r="AE475" s="8">
        <v>45991</v>
      </c>
      <c r="AF475" s="7"/>
    </row>
    <row r="476" spans="1:32" ht="409.5" customHeight="1" x14ac:dyDescent="0.3">
      <c r="A476" s="5">
        <v>4735897</v>
      </c>
      <c r="B476" s="5" t="s">
        <v>2079</v>
      </c>
      <c r="C476" s="5" t="s">
        <v>5428</v>
      </c>
      <c r="D476" s="5" t="s">
        <v>198</v>
      </c>
      <c r="E476" s="5" t="s">
        <v>203</v>
      </c>
      <c r="F476" s="5" t="s">
        <v>433</v>
      </c>
      <c r="G476" s="5" t="s">
        <v>208</v>
      </c>
      <c r="H476" s="5" t="s">
        <v>207</v>
      </c>
      <c r="I476" s="5" t="s">
        <v>1345</v>
      </c>
      <c r="J476" s="5" t="s">
        <v>227</v>
      </c>
      <c r="K476" s="5" t="s">
        <v>413</v>
      </c>
      <c r="L476" s="5" t="s">
        <v>1346</v>
      </c>
      <c r="M476" s="5" t="s">
        <v>422</v>
      </c>
      <c r="N476" s="5" t="s">
        <v>3608</v>
      </c>
      <c r="O476" s="5" t="s">
        <v>3886</v>
      </c>
      <c r="P476" s="5">
        <v>8874854</v>
      </c>
      <c r="Q476" s="5" t="s">
        <v>5429</v>
      </c>
      <c r="R476" s="5" t="s">
        <v>203</v>
      </c>
      <c r="S476" s="5" t="s">
        <v>444</v>
      </c>
      <c r="T476" s="5" t="s">
        <v>217</v>
      </c>
      <c r="U476" s="5" t="s">
        <v>2330</v>
      </c>
      <c r="V476" s="5" t="s">
        <v>5430</v>
      </c>
      <c r="W476" s="5" t="s">
        <v>227</v>
      </c>
      <c r="X476" s="5" t="s">
        <v>413</v>
      </c>
      <c r="Y476" s="5" t="s">
        <v>4826</v>
      </c>
      <c r="Z476" s="5" t="s">
        <v>4827</v>
      </c>
      <c r="AA476" s="5" t="s">
        <v>3617</v>
      </c>
      <c r="AB476" s="5" t="s">
        <v>3763</v>
      </c>
      <c r="AC476" s="5" t="s">
        <v>5431</v>
      </c>
      <c r="AD476" s="6">
        <v>45692</v>
      </c>
      <c r="AE476" s="6">
        <v>45838</v>
      </c>
      <c r="AF476" s="5"/>
    </row>
    <row r="477" spans="1:32" ht="111.75" customHeight="1" x14ac:dyDescent="0.3">
      <c r="A477" s="7">
        <v>3794687</v>
      </c>
      <c r="B477" s="7" t="s">
        <v>1642</v>
      </c>
      <c r="C477" s="7" t="s">
        <v>5432</v>
      </c>
      <c r="D477" s="7" t="s">
        <v>198</v>
      </c>
      <c r="E477" s="7" t="s">
        <v>203</v>
      </c>
      <c r="F477" s="7" t="s">
        <v>433</v>
      </c>
      <c r="G477" s="7" t="s">
        <v>217</v>
      </c>
      <c r="H477" s="7" t="s">
        <v>233</v>
      </c>
      <c r="I477" s="7" t="s">
        <v>1643</v>
      </c>
      <c r="J477" s="7" t="s">
        <v>227</v>
      </c>
      <c r="K477" s="7" t="s">
        <v>413</v>
      </c>
      <c r="L477" s="7" t="s">
        <v>1644</v>
      </c>
      <c r="M477" s="7" t="s">
        <v>1645</v>
      </c>
      <c r="N477" s="7" t="s">
        <v>3608</v>
      </c>
      <c r="O477" s="7" t="s">
        <v>3741</v>
      </c>
      <c r="P477" s="7">
        <v>8878676</v>
      </c>
      <c r="Q477" s="7" t="s">
        <v>5433</v>
      </c>
      <c r="R477" s="7"/>
      <c r="S477" s="7" t="s">
        <v>444</v>
      </c>
      <c r="T477" s="7" t="s">
        <v>208</v>
      </c>
      <c r="U477" s="7" t="s">
        <v>2330</v>
      </c>
      <c r="V477" s="7"/>
      <c r="W477" s="7" t="s">
        <v>227</v>
      </c>
      <c r="X477" s="7"/>
      <c r="Y477" s="7"/>
      <c r="Z477" s="7"/>
      <c r="AA477" s="7" t="s">
        <v>3729</v>
      </c>
      <c r="AB477" s="7"/>
      <c r="AC477" s="7" t="s">
        <v>5434</v>
      </c>
      <c r="AD477" s="8">
        <v>45740</v>
      </c>
      <c r="AE477" s="8">
        <v>46105</v>
      </c>
      <c r="AF477" s="7"/>
    </row>
    <row r="478" spans="1:32" ht="409.5" customHeight="1" x14ac:dyDescent="0.3">
      <c r="A478" s="5">
        <v>186767</v>
      </c>
      <c r="B478" s="5" t="s">
        <v>852</v>
      </c>
      <c r="C478" s="5" t="s">
        <v>5435</v>
      </c>
      <c r="D478" s="5" t="s">
        <v>198</v>
      </c>
      <c r="E478" s="5" t="s">
        <v>203</v>
      </c>
      <c r="F478" s="5" t="s">
        <v>433</v>
      </c>
      <c r="G478" s="5" t="s">
        <v>208</v>
      </c>
      <c r="H478" s="5" t="s">
        <v>233</v>
      </c>
      <c r="I478" s="5" t="s">
        <v>853</v>
      </c>
      <c r="J478" s="5" t="s">
        <v>227</v>
      </c>
      <c r="K478" s="5" t="s">
        <v>200</v>
      </c>
      <c r="L478" s="5" t="s">
        <v>854</v>
      </c>
      <c r="M478" s="5" t="s">
        <v>855</v>
      </c>
      <c r="N478" s="5" t="s">
        <v>3652</v>
      </c>
      <c r="O478" s="5" t="s">
        <v>3837</v>
      </c>
      <c r="P478" s="5">
        <v>5001609</v>
      </c>
      <c r="Q478" s="5" t="s">
        <v>5436</v>
      </c>
      <c r="R478" s="5" t="s">
        <v>203</v>
      </c>
      <c r="S478" s="5" t="s">
        <v>444</v>
      </c>
      <c r="T478" s="5" t="s">
        <v>217</v>
      </c>
      <c r="U478" s="5" t="s">
        <v>207</v>
      </c>
      <c r="V478" s="5" t="s">
        <v>5437</v>
      </c>
      <c r="W478" s="5" t="s">
        <v>227</v>
      </c>
      <c r="X478" s="5" t="s">
        <v>200</v>
      </c>
      <c r="Y478" s="5" t="s">
        <v>5438</v>
      </c>
      <c r="Z478" s="5" t="s">
        <v>4269</v>
      </c>
      <c r="AA478" s="5" t="s">
        <v>3623</v>
      </c>
      <c r="AB478" s="5" t="s">
        <v>3853</v>
      </c>
      <c r="AC478" s="5" t="s">
        <v>5439</v>
      </c>
      <c r="AD478" s="6">
        <v>45782</v>
      </c>
      <c r="AE478" s="5"/>
      <c r="AF478" s="5"/>
    </row>
    <row r="479" spans="1:32" ht="60.75" customHeight="1" x14ac:dyDescent="0.3">
      <c r="A479" s="7">
        <v>3795373</v>
      </c>
      <c r="B479" s="7" t="s">
        <v>1646</v>
      </c>
      <c r="C479" s="7" t="s">
        <v>5440</v>
      </c>
      <c r="D479" s="7" t="s">
        <v>198</v>
      </c>
      <c r="E479" s="7" t="s">
        <v>203</v>
      </c>
      <c r="F479" s="7" t="s">
        <v>418</v>
      </c>
      <c r="G479" s="7" t="s">
        <v>208</v>
      </c>
      <c r="H479" s="7" t="s">
        <v>207</v>
      </c>
      <c r="I479" s="7" t="s">
        <v>683</v>
      </c>
      <c r="J479" s="7" t="s">
        <v>227</v>
      </c>
      <c r="K479" s="7" t="s">
        <v>200</v>
      </c>
      <c r="L479" s="7" t="s">
        <v>1647</v>
      </c>
      <c r="M479" s="7" t="s">
        <v>1631</v>
      </c>
      <c r="N479" s="7" t="s">
        <v>3608</v>
      </c>
      <c r="O479" s="7" t="s">
        <v>3894</v>
      </c>
      <c r="P479" s="7">
        <v>5511097</v>
      </c>
      <c r="Q479" s="7" t="s">
        <v>4516</v>
      </c>
      <c r="R479" s="7" t="s">
        <v>203</v>
      </c>
      <c r="S479" s="7" t="s">
        <v>234</v>
      </c>
      <c r="T479" s="7" t="s">
        <v>217</v>
      </c>
      <c r="U479" s="7" t="s">
        <v>2330</v>
      </c>
      <c r="V479" s="7" t="s">
        <v>4517</v>
      </c>
      <c r="W479" s="7" t="s">
        <v>227</v>
      </c>
      <c r="X479" s="7" t="s">
        <v>200</v>
      </c>
      <c r="Y479" s="7" t="s">
        <v>2384</v>
      </c>
      <c r="Z479" s="7" t="s">
        <v>752</v>
      </c>
      <c r="AA479" s="7" t="s">
        <v>3612</v>
      </c>
      <c r="AB479" s="7" t="s">
        <v>3635</v>
      </c>
      <c r="AC479" s="7" t="s">
        <v>5441</v>
      </c>
      <c r="AD479" s="8">
        <v>45770</v>
      </c>
      <c r="AE479" s="7"/>
      <c r="AF479" s="7"/>
    </row>
    <row r="480" spans="1:32" ht="51" customHeight="1" x14ac:dyDescent="0.3">
      <c r="A480" s="5">
        <v>2968576</v>
      </c>
      <c r="B480" s="5" t="s">
        <v>1033</v>
      </c>
      <c r="C480" s="5" t="s">
        <v>4309</v>
      </c>
      <c r="D480" s="5" t="s">
        <v>198</v>
      </c>
      <c r="E480" s="5" t="s">
        <v>203</v>
      </c>
      <c r="F480" s="5" t="s">
        <v>234</v>
      </c>
      <c r="G480" s="5" t="s">
        <v>217</v>
      </c>
      <c r="H480" s="5" t="s">
        <v>245</v>
      </c>
      <c r="I480" s="5" t="s">
        <v>1034</v>
      </c>
      <c r="J480" s="5" t="s">
        <v>227</v>
      </c>
      <c r="K480" s="5" t="s">
        <v>200</v>
      </c>
      <c r="L480" s="5" t="s">
        <v>1035</v>
      </c>
      <c r="M480" s="5" t="s">
        <v>662</v>
      </c>
      <c r="N480" s="5" t="s">
        <v>3608</v>
      </c>
      <c r="O480" s="5" t="s">
        <v>3736</v>
      </c>
      <c r="P480" s="5">
        <v>3745708</v>
      </c>
      <c r="Q480" s="5" t="s">
        <v>5442</v>
      </c>
      <c r="R480" s="5" t="s">
        <v>203</v>
      </c>
      <c r="S480" s="5" t="s">
        <v>234</v>
      </c>
      <c r="T480" s="5" t="s">
        <v>208</v>
      </c>
      <c r="U480" s="5" t="s">
        <v>207</v>
      </c>
      <c r="V480" s="5" t="s">
        <v>3862</v>
      </c>
      <c r="W480" s="5" t="s">
        <v>227</v>
      </c>
      <c r="X480" s="5" t="s">
        <v>200</v>
      </c>
      <c r="Y480" s="5" t="s">
        <v>2218</v>
      </c>
      <c r="Z480" s="5" t="s">
        <v>3863</v>
      </c>
      <c r="AA480" s="5" t="s">
        <v>3608</v>
      </c>
      <c r="AB480" s="5" t="s">
        <v>3635</v>
      </c>
      <c r="AC480" s="5" t="s">
        <v>5443</v>
      </c>
      <c r="AD480" s="6">
        <v>45688</v>
      </c>
      <c r="AE480" s="6">
        <v>46387</v>
      </c>
      <c r="AF480" s="5"/>
    </row>
    <row r="481" spans="1:32" ht="71.25" customHeight="1" x14ac:dyDescent="0.3">
      <c r="A481" s="7">
        <v>5154375</v>
      </c>
      <c r="B481" s="7" t="s">
        <v>2816</v>
      </c>
      <c r="C481" s="7" t="s">
        <v>5444</v>
      </c>
      <c r="D481" s="7" t="s">
        <v>862</v>
      </c>
      <c r="E481" s="7" t="s">
        <v>203</v>
      </c>
      <c r="F481" s="7" t="s">
        <v>418</v>
      </c>
      <c r="G481" s="7" t="s">
        <v>217</v>
      </c>
      <c r="H481" s="7" t="s">
        <v>2330</v>
      </c>
      <c r="I481" s="7" t="s">
        <v>2817</v>
      </c>
      <c r="J481" s="7" t="s">
        <v>227</v>
      </c>
      <c r="K481" s="7" t="s">
        <v>200</v>
      </c>
      <c r="L481" s="7" t="s">
        <v>2818</v>
      </c>
      <c r="M481" s="7" t="s">
        <v>1445</v>
      </c>
      <c r="N481" s="7" t="s">
        <v>3623</v>
      </c>
      <c r="O481" s="7" t="s">
        <v>3705</v>
      </c>
      <c r="P481" s="7">
        <v>5382319</v>
      </c>
      <c r="Q481" s="7" t="s">
        <v>3433</v>
      </c>
      <c r="R481" s="7" t="s">
        <v>203</v>
      </c>
      <c r="S481" s="7" t="s">
        <v>234</v>
      </c>
      <c r="T481" s="7" t="s">
        <v>208</v>
      </c>
      <c r="U481" s="7" t="s">
        <v>2330</v>
      </c>
      <c r="V481" s="7" t="s">
        <v>3434</v>
      </c>
      <c r="W481" s="7" t="s">
        <v>227</v>
      </c>
      <c r="X481" s="7" t="s">
        <v>200</v>
      </c>
      <c r="Y481" s="7" t="s">
        <v>3435</v>
      </c>
      <c r="Z481" s="7" t="s">
        <v>1445</v>
      </c>
      <c r="AA481" s="7" t="s">
        <v>3729</v>
      </c>
      <c r="AB481" s="7" t="s">
        <v>3705</v>
      </c>
      <c r="AC481" s="7" t="s">
        <v>5445</v>
      </c>
      <c r="AD481" s="8">
        <v>45566</v>
      </c>
      <c r="AE481" s="8">
        <v>45596</v>
      </c>
      <c r="AF481" s="7" t="s">
        <v>3709</v>
      </c>
    </row>
    <row r="482" spans="1:32" ht="71.25" customHeight="1" x14ac:dyDescent="0.3">
      <c r="A482" s="5">
        <v>5329132</v>
      </c>
      <c r="B482" s="5" t="s">
        <v>3136</v>
      </c>
      <c r="C482" s="5" t="s">
        <v>5446</v>
      </c>
      <c r="D482" s="5" t="s">
        <v>862</v>
      </c>
      <c r="E482" s="5" t="s">
        <v>203</v>
      </c>
      <c r="F482" s="5" t="s">
        <v>418</v>
      </c>
      <c r="G482" s="5" t="s">
        <v>208</v>
      </c>
      <c r="H482" s="5" t="s">
        <v>2330</v>
      </c>
      <c r="I482" s="5" t="s">
        <v>3137</v>
      </c>
      <c r="J482" s="5" t="s">
        <v>227</v>
      </c>
      <c r="K482" s="5" t="s">
        <v>200</v>
      </c>
      <c r="L482" s="5" t="s">
        <v>3138</v>
      </c>
      <c r="M482" s="5" t="s">
        <v>1445</v>
      </c>
      <c r="N482" s="5" t="s">
        <v>3623</v>
      </c>
      <c r="O482" s="5" t="s">
        <v>3705</v>
      </c>
      <c r="P482" s="5">
        <v>5154375</v>
      </c>
      <c r="Q482" s="5" t="s">
        <v>2816</v>
      </c>
      <c r="R482" s="5" t="s">
        <v>203</v>
      </c>
      <c r="S482" s="5" t="s">
        <v>418</v>
      </c>
      <c r="T482" s="5" t="s">
        <v>217</v>
      </c>
      <c r="U482" s="5" t="s">
        <v>2330</v>
      </c>
      <c r="V482" s="5" t="s">
        <v>2817</v>
      </c>
      <c r="W482" s="5" t="s">
        <v>227</v>
      </c>
      <c r="X482" s="5" t="s">
        <v>200</v>
      </c>
      <c r="Y482" s="5" t="s">
        <v>2818</v>
      </c>
      <c r="Z482" s="5" t="s">
        <v>1445</v>
      </c>
      <c r="AA482" s="5" t="s">
        <v>3623</v>
      </c>
      <c r="AB482" s="5" t="s">
        <v>3705</v>
      </c>
      <c r="AC482" s="5" t="s">
        <v>5447</v>
      </c>
      <c r="AD482" s="6">
        <v>45292</v>
      </c>
      <c r="AE482" s="6">
        <v>45535</v>
      </c>
      <c r="AF482" s="5" t="s">
        <v>3709</v>
      </c>
    </row>
    <row r="483" spans="1:32" ht="40.5" customHeight="1" x14ac:dyDescent="0.3">
      <c r="A483" s="7">
        <v>5054729</v>
      </c>
      <c r="B483" s="7" t="s">
        <v>5448</v>
      </c>
      <c r="C483" s="7" t="s">
        <v>5449</v>
      </c>
      <c r="D483" s="7" t="s">
        <v>862</v>
      </c>
      <c r="E483" s="7"/>
      <c r="F483" s="7" t="s">
        <v>234</v>
      </c>
      <c r="G483" s="7" t="s">
        <v>208</v>
      </c>
      <c r="H483" s="7" t="s">
        <v>207</v>
      </c>
      <c r="I483" s="7"/>
      <c r="J483" s="7" t="s">
        <v>227</v>
      </c>
      <c r="K483" s="7"/>
      <c r="L483" s="7"/>
      <c r="M483" s="7"/>
      <c r="N483" s="7" t="s">
        <v>3612</v>
      </c>
      <c r="O483" s="7"/>
      <c r="P483" s="7">
        <v>5649528</v>
      </c>
      <c r="Q483" s="7" t="s">
        <v>5450</v>
      </c>
      <c r="R483" s="7" t="s">
        <v>203</v>
      </c>
      <c r="S483" s="7" t="s">
        <v>234</v>
      </c>
      <c r="T483" s="7" t="s">
        <v>208</v>
      </c>
      <c r="U483" s="7" t="s">
        <v>207</v>
      </c>
      <c r="V483" s="7" t="s">
        <v>5451</v>
      </c>
      <c r="W483" s="7" t="s">
        <v>227</v>
      </c>
      <c r="X483" s="7" t="s">
        <v>200</v>
      </c>
      <c r="Y483" s="7" t="s">
        <v>5452</v>
      </c>
      <c r="Z483" s="7" t="s">
        <v>690</v>
      </c>
      <c r="AA483" s="7" t="s">
        <v>3732</v>
      </c>
      <c r="AB483" s="7" t="s">
        <v>3824</v>
      </c>
      <c r="AC483" s="7" t="s">
        <v>5453</v>
      </c>
      <c r="AD483" s="8">
        <v>45754</v>
      </c>
      <c r="AE483" s="8">
        <v>46119</v>
      </c>
      <c r="AF483" s="7"/>
    </row>
    <row r="484" spans="1:32" ht="357" customHeight="1" x14ac:dyDescent="0.3">
      <c r="A484" s="5">
        <v>2913844</v>
      </c>
      <c r="B484" s="5" t="s">
        <v>999</v>
      </c>
      <c r="C484" s="5" t="s">
        <v>5454</v>
      </c>
      <c r="D484" s="5" t="s">
        <v>198</v>
      </c>
      <c r="E484" s="5" t="s">
        <v>203</v>
      </c>
      <c r="F484" s="5" t="s">
        <v>234</v>
      </c>
      <c r="G484" s="5" t="s">
        <v>217</v>
      </c>
      <c r="H484" s="5" t="s">
        <v>233</v>
      </c>
      <c r="I484" s="5" t="s">
        <v>1000</v>
      </c>
      <c r="J484" s="5" t="s">
        <v>227</v>
      </c>
      <c r="K484" s="5" t="s">
        <v>200</v>
      </c>
      <c r="L484" s="5" t="s">
        <v>1001</v>
      </c>
      <c r="M484" s="5" t="s">
        <v>1002</v>
      </c>
      <c r="N484" s="5" t="s">
        <v>3652</v>
      </c>
      <c r="O484" s="5" t="s">
        <v>3754</v>
      </c>
      <c r="P484" s="5">
        <v>5568927</v>
      </c>
      <c r="Q484" s="5" t="s">
        <v>5455</v>
      </c>
      <c r="R484" s="5" t="s">
        <v>203</v>
      </c>
      <c r="S484" s="5" t="s">
        <v>234</v>
      </c>
      <c r="T484" s="5" t="s">
        <v>208</v>
      </c>
      <c r="U484" s="5" t="s">
        <v>207</v>
      </c>
      <c r="V484" s="5" t="s">
        <v>5456</v>
      </c>
      <c r="W484" s="5" t="s">
        <v>227</v>
      </c>
      <c r="X484" s="5" t="s">
        <v>200</v>
      </c>
      <c r="Y484" s="5" t="s">
        <v>5457</v>
      </c>
      <c r="Z484" s="5" t="s">
        <v>2230</v>
      </c>
      <c r="AA484" s="5" t="s">
        <v>3612</v>
      </c>
      <c r="AB484" s="5" t="s">
        <v>3727</v>
      </c>
      <c r="AC484" s="5" t="s">
        <v>5458</v>
      </c>
      <c r="AD484" s="6">
        <v>45741</v>
      </c>
      <c r="AE484" s="6">
        <v>46106</v>
      </c>
      <c r="AF484" s="5"/>
    </row>
    <row r="485" spans="1:32" ht="30" customHeight="1" x14ac:dyDescent="0.3">
      <c r="A485" s="7">
        <v>8872336</v>
      </c>
      <c r="B485" s="7" t="s">
        <v>3425</v>
      </c>
      <c r="C485" s="7" t="s">
        <v>198</v>
      </c>
      <c r="D485" s="7" t="s">
        <v>198</v>
      </c>
      <c r="E485" s="7" t="s">
        <v>203</v>
      </c>
      <c r="F485" s="7" t="s">
        <v>1184</v>
      </c>
      <c r="G485" s="7" t="s">
        <v>208</v>
      </c>
      <c r="H485" s="7" t="s">
        <v>245</v>
      </c>
      <c r="I485" s="7" t="s">
        <v>1180</v>
      </c>
      <c r="J485" s="7" t="s">
        <v>1179</v>
      </c>
      <c r="K485" s="7" t="s">
        <v>200</v>
      </c>
      <c r="L485" s="7" t="s">
        <v>1181</v>
      </c>
      <c r="M485" s="7" t="s">
        <v>324</v>
      </c>
      <c r="N485" s="7" t="s">
        <v>3732</v>
      </c>
      <c r="O485" s="7" t="s">
        <v>3743</v>
      </c>
      <c r="P485" s="7">
        <v>5599024</v>
      </c>
      <c r="Q485" s="7" t="s">
        <v>5459</v>
      </c>
      <c r="R485" s="7" t="s">
        <v>203</v>
      </c>
      <c r="S485" s="7" t="s">
        <v>234</v>
      </c>
      <c r="T485" s="7" t="s">
        <v>208</v>
      </c>
      <c r="U485" s="7" t="s">
        <v>207</v>
      </c>
      <c r="V485" s="7" t="s">
        <v>5460</v>
      </c>
      <c r="W485" s="7" t="s">
        <v>227</v>
      </c>
      <c r="X485" s="7" t="s">
        <v>200</v>
      </c>
      <c r="Y485" s="7" t="s">
        <v>5461</v>
      </c>
      <c r="Z485" s="7" t="s">
        <v>1007</v>
      </c>
      <c r="AA485" s="7" t="s">
        <v>3612</v>
      </c>
      <c r="AB485" s="7" t="s">
        <v>4181</v>
      </c>
      <c r="AC485" s="7" t="s">
        <v>5462</v>
      </c>
      <c r="AD485" s="8">
        <v>45659</v>
      </c>
      <c r="AE485" s="7"/>
      <c r="AF485" s="7"/>
    </row>
    <row r="486" spans="1:32" ht="111.75" customHeight="1" x14ac:dyDescent="0.3">
      <c r="A486" s="5">
        <v>3868664</v>
      </c>
      <c r="B486" s="5" t="s">
        <v>1739</v>
      </c>
      <c r="C486" s="5" t="s">
        <v>5463</v>
      </c>
      <c r="D486" s="5" t="s">
        <v>354</v>
      </c>
      <c r="E486" s="5" t="s">
        <v>203</v>
      </c>
      <c r="F486" s="5" t="s">
        <v>234</v>
      </c>
      <c r="G486" s="5" t="s">
        <v>208</v>
      </c>
      <c r="H486" s="5" t="s">
        <v>207</v>
      </c>
      <c r="I486" s="5" t="s">
        <v>1741</v>
      </c>
      <c r="J486" s="5" t="s">
        <v>227</v>
      </c>
      <c r="K486" s="5" t="s">
        <v>200</v>
      </c>
      <c r="L486" s="5" t="s">
        <v>1218</v>
      </c>
      <c r="M486" s="5" t="s">
        <v>507</v>
      </c>
      <c r="N486" s="5" t="s">
        <v>3623</v>
      </c>
      <c r="O486" s="5" t="s">
        <v>3843</v>
      </c>
      <c r="P486" s="5">
        <v>3366405</v>
      </c>
      <c r="Q486" s="5" t="s">
        <v>5464</v>
      </c>
      <c r="R486" s="5" t="s">
        <v>203</v>
      </c>
      <c r="S486" s="5" t="s">
        <v>234</v>
      </c>
      <c r="T486" s="5" t="s">
        <v>208</v>
      </c>
      <c r="U486" s="5" t="s">
        <v>245</v>
      </c>
      <c r="V486" s="5" t="s">
        <v>5465</v>
      </c>
      <c r="W486" s="5" t="s">
        <v>227</v>
      </c>
      <c r="X486" s="5" t="s">
        <v>200</v>
      </c>
      <c r="Y486" s="5" t="s">
        <v>5466</v>
      </c>
      <c r="Z486" s="5" t="s">
        <v>507</v>
      </c>
      <c r="AA486" s="5" t="s">
        <v>3602</v>
      </c>
      <c r="AB486" s="5" t="s">
        <v>3843</v>
      </c>
      <c r="AC486" s="5" t="s">
        <v>5467</v>
      </c>
      <c r="AD486" s="6">
        <v>45597</v>
      </c>
      <c r="AE486" s="6">
        <v>46053</v>
      </c>
      <c r="AF486" s="5"/>
    </row>
    <row r="487" spans="1:32" ht="71.25" customHeight="1" x14ac:dyDescent="0.3">
      <c r="A487" s="7">
        <v>5154375</v>
      </c>
      <c r="B487" s="7" t="s">
        <v>2816</v>
      </c>
      <c r="C487" s="7" t="s">
        <v>5468</v>
      </c>
      <c r="D487" s="7" t="s">
        <v>862</v>
      </c>
      <c r="E487" s="7" t="s">
        <v>203</v>
      </c>
      <c r="F487" s="7" t="s">
        <v>418</v>
      </c>
      <c r="G487" s="7" t="s">
        <v>217</v>
      </c>
      <c r="H487" s="7" t="s">
        <v>2330</v>
      </c>
      <c r="I487" s="7" t="s">
        <v>2817</v>
      </c>
      <c r="J487" s="7" t="s">
        <v>227</v>
      </c>
      <c r="K487" s="7" t="s">
        <v>200</v>
      </c>
      <c r="L487" s="7" t="s">
        <v>2818</v>
      </c>
      <c r="M487" s="7" t="s">
        <v>1445</v>
      </c>
      <c r="N487" s="7" t="s">
        <v>3623</v>
      </c>
      <c r="O487" s="7" t="s">
        <v>3705</v>
      </c>
      <c r="P487" s="7">
        <v>5603595</v>
      </c>
      <c r="Q487" s="7" t="s">
        <v>5469</v>
      </c>
      <c r="R487" s="7" t="s">
        <v>203</v>
      </c>
      <c r="S487" s="7" t="s">
        <v>418</v>
      </c>
      <c r="T487" s="7" t="s">
        <v>217</v>
      </c>
      <c r="U487" s="7" t="s">
        <v>2330</v>
      </c>
      <c r="V487" s="7" t="s">
        <v>5470</v>
      </c>
      <c r="W487" s="7" t="s">
        <v>227</v>
      </c>
      <c r="X487" s="7" t="s">
        <v>200</v>
      </c>
      <c r="Y487" s="7" t="s">
        <v>5471</v>
      </c>
      <c r="Z487" s="7" t="s">
        <v>1445</v>
      </c>
      <c r="AA487" s="7" t="s">
        <v>3612</v>
      </c>
      <c r="AB487" s="7" t="s">
        <v>3705</v>
      </c>
      <c r="AC487" s="7" t="s">
        <v>5472</v>
      </c>
      <c r="AD487" s="8">
        <v>45019</v>
      </c>
      <c r="AE487" s="8">
        <v>45268</v>
      </c>
      <c r="AF487" s="7" t="s">
        <v>3709</v>
      </c>
    </row>
    <row r="488" spans="1:32" ht="40.5" customHeight="1" x14ac:dyDescent="0.3">
      <c r="A488" s="5">
        <v>1935275</v>
      </c>
      <c r="B488" s="5" t="s">
        <v>5473</v>
      </c>
      <c r="C488" s="5" t="s">
        <v>5474</v>
      </c>
      <c r="D488" s="5" t="s">
        <v>354</v>
      </c>
      <c r="E488" s="5"/>
      <c r="F488" s="5" t="s">
        <v>433</v>
      </c>
      <c r="G488" s="5" t="s">
        <v>208</v>
      </c>
      <c r="H488" s="5" t="s">
        <v>654</v>
      </c>
      <c r="I488" s="5" t="s">
        <v>679</v>
      </c>
      <c r="J488" s="5" t="s">
        <v>227</v>
      </c>
      <c r="K488" s="5" t="s">
        <v>200</v>
      </c>
      <c r="L488" s="5" t="s">
        <v>3565</v>
      </c>
      <c r="M488" s="5" t="s">
        <v>1835</v>
      </c>
      <c r="N488" s="5" t="s">
        <v>3729</v>
      </c>
      <c r="O488" s="5" t="s">
        <v>3743</v>
      </c>
      <c r="P488" s="5">
        <v>5232813</v>
      </c>
      <c r="Q488" s="5" t="s">
        <v>5475</v>
      </c>
      <c r="R488" s="5" t="s">
        <v>203</v>
      </c>
      <c r="S488" s="5" t="s">
        <v>433</v>
      </c>
      <c r="T488" s="5" t="s">
        <v>208</v>
      </c>
      <c r="U488" s="5" t="s">
        <v>207</v>
      </c>
      <c r="V488" s="5" t="s">
        <v>3357</v>
      </c>
      <c r="W488" s="5" t="s">
        <v>227</v>
      </c>
      <c r="X488" s="5" t="s">
        <v>200</v>
      </c>
      <c r="Y488" s="5" t="s">
        <v>5476</v>
      </c>
      <c r="Z488" s="5" t="s">
        <v>1026</v>
      </c>
      <c r="AA488" s="5" t="s">
        <v>3602</v>
      </c>
      <c r="AB488" s="5" t="s">
        <v>4181</v>
      </c>
      <c r="AC488" s="5" t="s">
        <v>5477</v>
      </c>
      <c r="AD488" s="6">
        <v>45717</v>
      </c>
      <c r="AE488" s="6">
        <v>46081</v>
      </c>
      <c r="AF488" s="5"/>
    </row>
    <row r="489" spans="1:32" ht="409.5" customHeight="1" x14ac:dyDescent="0.3">
      <c r="A489" s="7">
        <v>5189543</v>
      </c>
      <c r="B489" s="7" t="s">
        <v>2890</v>
      </c>
      <c r="C489" s="7" t="s">
        <v>5478</v>
      </c>
      <c r="D489" s="7" t="s">
        <v>198</v>
      </c>
      <c r="E489" s="7" t="s">
        <v>203</v>
      </c>
      <c r="F489" s="7" t="s">
        <v>234</v>
      </c>
      <c r="G489" s="7" t="s">
        <v>217</v>
      </c>
      <c r="H489" s="7" t="s">
        <v>207</v>
      </c>
      <c r="I489" s="7" t="s">
        <v>2891</v>
      </c>
      <c r="J489" s="7" t="s">
        <v>227</v>
      </c>
      <c r="K489" s="7" t="s">
        <v>200</v>
      </c>
      <c r="L489" s="7" t="s">
        <v>1327</v>
      </c>
      <c r="M489" s="7" t="s">
        <v>958</v>
      </c>
      <c r="N489" s="7" t="s">
        <v>3623</v>
      </c>
      <c r="O489" s="7" t="s">
        <v>3763</v>
      </c>
      <c r="P489" s="7">
        <v>4968247</v>
      </c>
      <c r="Q489" s="7" t="s">
        <v>5479</v>
      </c>
      <c r="R489" s="7" t="s">
        <v>203</v>
      </c>
      <c r="S489" s="7" t="s">
        <v>444</v>
      </c>
      <c r="T489" s="7" t="s">
        <v>217</v>
      </c>
      <c r="U489" s="7" t="s">
        <v>2330</v>
      </c>
      <c r="V489" s="7" t="s">
        <v>5480</v>
      </c>
      <c r="W489" s="7" t="s">
        <v>227</v>
      </c>
      <c r="X489" s="7" t="s">
        <v>200</v>
      </c>
      <c r="Y489" s="7" t="s">
        <v>4916</v>
      </c>
      <c r="Z489" s="7" t="s">
        <v>452</v>
      </c>
      <c r="AA489" s="7" t="s">
        <v>3623</v>
      </c>
      <c r="AB489" s="7" t="s">
        <v>3702</v>
      </c>
      <c r="AC489" s="7" t="s">
        <v>5481</v>
      </c>
      <c r="AD489" s="8">
        <v>45778</v>
      </c>
      <c r="AE489" s="8">
        <v>45931</v>
      </c>
      <c r="AF489" s="7"/>
    </row>
    <row r="490" spans="1:32" ht="409.5" customHeight="1" x14ac:dyDescent="0.3">
      <c r="A490" s="5">
        <v>5391458</v>
      </c>
      <c r="B490" s="5" t="s">
        <v>3190</v>
      </c>
      <c r="C490" s="5" t="s">
        <v>5482</v>
      </c>
      <c r="D490" s="5" t="s">
        <v>198</v>
      </c>
      <c r="E490" s="5" t="s">
        <v>203</v>
      </c>
      <c r="F490" s="5" t="s">
        <v>234</v>
      </c>
      <c r="G490" s="5" t="s">
        <v>208</v>
      </c>
      <c r="H490" s="5" t="s">
        <v>207</v>
      </c>
      <c r="I490" s="5" t="s">
        <v>3191</v>
      </c>
      <c r="J490" s="5" t="s">
        <v>227</v>
      </c>
      <c r="K490" s="5" t="s">
        <v>200</v>
      </c>
      <c r="L490" s="5" t="s">
        <v>1699</v>
      </c>
      <c r="M490" s="5" t="s">
        <v>2570</v>
      </c>
      <c r="N490" s="5" t="s">
        <v>3612</v>
      </c>
      <c r="O490" s="5" t="s">
        <v>3763</v>
      </c>
      <c r="P490" s="5">
        <v>4679253</v>
      </c>
      <c r="Q490" s="5" t="s">
        <v>5354</v>
      </c>
      <c r="R490" s="5" t="s">
        <v>203</v>
      </c>
      <c r="S490" s="5" t="s">
        <v>234</v>
      </c>
      <c r="T490" s="5" t="s">
        <v>217</v>
      </c>
      <c r="U490" s="5" t="s">
        <v>245</v>
      </c>
      <c r="V490" s="5" t="s">
        <v>4550</v>
      </c>
      <c r="W490" s="5" t="s">
        <v>227</v>
      </c>
      <c r="X490" s="5" t="s">
        <v>200</v>
      </c>
      <c r="Y490" s="5" t="s">
        <v>4551</v>
      </c>
      <c r="Z490" s="5" t="s">
        <v>4552</v>
      </c>
      <c r="AA490" s="5" t="s">
        <v>3623</v>
      </c>
      <c r="AB490" s="5" t="s">
        <v>3609</v>
      </c>
      <c r="AC490" s="5" t="s">
        <v>5483</v>
      </c>
      <c r="AD490" s="6">
        <v>45734</v>
      </c>
      <c r="AE490" s="6">
        <v>45887</v>
      </c>
      <c r="AF490" s="5"/>
    </row>
    <row r="491" spans="1:32" ht="71.25" customHeight="1" x14ac:dyDescent="0.3">
      <c r="A491" s="7">
        <v>5154375</v>
      </c>
      <c r="B491" s="7" t="s">
        <v>2816</v>
      </c>
      <c r="C491" s="7" t="s">
        <v>5484</v>
      </c>
      <c r="D491" s="7" t="s">
        <v>862</v>
      </c>
      <c r="E491" s="7" t="s">
        <v>203</v>
      </c>
      <c r="F491" s="7" t="s">
        <v>418</v>
      </c>
      <c r="G491" s="7" t="s">
        <v>217</v>
      </c>
      <c r="H491" s="7" t="s">
        <v>2330</v>
      </c>
      <c r="I491" s="7" t="s">
        <v>2817</v>
      </c>
      <c r="J491" s="7" t="s">
        <v>227</v>
      </c>
      <c r="K491" s="7" t="s">
        <v>200</v>
      </c>
      <c r="L491" s="7" t="s">
        <v>2818</v>
      </c>
      <c r="M491" s="7" t="s">
        <v>1445</v>
      </c>
      <c r="N491" s="7" t="s">
        <v>3623</v>
      </c>
      <c r="O491" s="7" t="s">
        <v>3705</v>
      </c>
      <c r="P491" s="7">
        <v>5329132</v>
      </c>
      <c r="Q491" s="7" t="s">
        <v>3136</v>
      </c>
      <c r="R491" s="7" t="s">
        <v>203</v>
      </c>
      <c r="S491" s="7" t="s">
        <v>418</v>
      </c>
      <c r="T491" s="7" t="s">
        <v>208</v>
      </c>
      <c r="U491" s="7" t="s">
        <v>2330</v>
      </c>
      <c r="V491" s="7" t="s">
        <v>3137</v>
      </c>
      <c r="W491" s="7" t="s">
        <v>227</v>
      </c>
      <c r="X491" s="7" t="s">
        <v>200</v>
      </c>
      <c r="Y491" s="7" t="s">
        <v>3138</v>
      </c>
      <c r="Z491" s="7" t="s">
        <v>1445</v>
      </c>
      <c r="AA491" s="7" t="s">
        <v>3623</v>
      </c>
      <c r="AB491" s="7" t="s">
        <v>3705</v>
      </c>
      <c r="AC491" s="7" t="s">
        <v>5485</v>
      </c>
      <c r="AD491" s="8">
        <v>45292</v>
      </c>
      <c r="AE491" s="8">
        <v>45535</v>
      </c>
      <c r="AF491" s="7" t="s">
        <v>3709</v>
      </c>
    </row>
    <row r="492" spans="1:32" ht="142.5" customHeight="1" x14ac:dyDescent="0.3">
      <c r="A492" s="5">
        <v>4527658</v>
      </c>
      <c r="B492" s="5" t="s">
        <v>1812</v>
      </c>
      <c r="C492" s="5" t="s">
        <v>5486</v>
      </c>
      <c r="D492" s="5" t="s">
        <v>198</v>
      </c>
      <c r="E492" s="5" t="s">
        <v>203</v>
      </c>
      <c r="F492" s="5" t="s">
        <v>433</v>
      </c>
      <c r="G492" s="5" t="s">
        <v>208</v>
      </c>
      <c r="H492" s="5" t="s">
        <v>245</v>
      </c>
      <c r="I492" s="5" t="s">
        <v>1813</v>
      </c>
      <c r="J492" s="5" t="s">
        <v>227</v>
      </c>
      <c r="K492" s="5" t="s">
        <v>200</v>
      </c>
      <c r="L492" s="5" t="s">
        <v>1814</v>
      </c>
      <c r="M492" s="5" t="s">
        <v>1815</v>
      </c>
      <c r="N492" s="5" t="s">
        <v>3623</v>
      </c>
      <c r="O492" s="5" t="s">
        <v>3613</v>
      </c>
      <c r="P492" s="5">
        <v>5378982</v>
      </c>
      <c r="Q492" s="5" t="s">
        <v>5487</v>
      </c>
      <c r="R492" s="5" t="s">
        <v>203</v>
      </c>
      <c r="S492" s="5" t="s">
        <v>234</v>
      </c>
      <c r="T492" s="5" t="s">
        <v>208</v>
      </c>
      <c r="U492" s="5" t="s">
        <v>245</v>
      </c>
      <c r="V492" s="5" t="s">
        <v>5488</v>
      </c>
      <c r="W492" s="5" t="s">
        <v>227</v>
      </c>
      <c r="X492" s="5" t="s">
        <v>200</v>
      </c>
      <c r="Y492" s="5" t="s">
        <v>5489</v>
      </c>
      <c r="Z492" s="5" t="s">
        <v>5490</v>
      </c>
      <c r="AA492" s="5" t="s">
        <v>3612</v>
      </c>
      <c r="AB492" s="5" t="s">
        <v>3603</v>
      </c>
      <c r="AC492" s="5" t="s">
        <v>5491</v>
      </c>
      <c r="AD492" s="6">
        <v>45689</v>
      </c>
      <c r="AE492" s="5"/>
      <c r="AF492" s="5"/>
    </row>
    <row r="493" spans="1:32" ht="204" customHeight="1" x14ac:dyDescent="0.3">
      <c r="A493" s="7">
        <v>5329132</v>
      </c>
      <c r="B493" s="7" t="s">
        <v>3136</v>
      </c>
      <c r="C493" s="7" t="s">
        <v>5492</v>
      </c>
      <c r="D493" s="7" t="s">
        <v>862</v>
      </c>
      <c r="E493" s="7" t="s">
        <v>203</v>
      </c>
      <c r="F493" s="7" t="s">
        <v>418</v>
      </c>
      <c r="G493" s="7" t="s">
        <v>208</v>
      </c>
      <c r="H493" s="7" t="s">
        <v>2330</v>
      </c>
      <c r="I493" s="7" t="s">
        <v>3137</v>
      </c>
      <c r="J493" s="7" t="s">
        <v>227</v>
      </c>
      <c r="K493" s="7" t="s">
        <v>200</v>
      </c>
      <c r="L493" s="7" t="s">
        <v>3138</v>
      </c>
      <c r="M493" s="7" t="s">
        <v>1445</v>
      </c>
      <c r="N493" s="7" t="s">
        <v>3623</v>
      </c>
      <c r="O493" s="7" t="s">
        <v>3705</v>
      </c>
      <c r="P493" s="7">
        <v>5603595</v>
      </c>
      <c r="Q493" s="7" t="s">
        <v>5469</v>
      </c>
      <c r="R493" s="7" t="s">
        <v>203</v>
      </c>
      <c r="S493" s="7" t="s">
        <v>418</v>
      </c>
      <c r="T493" s="7" t="s">
        <v>217</v>
      </c>
      <c r="U493" s="7" t="s">
        <v>2330</v>
      </c>
      <c r="V493" s="7" t="s">
        <v>5470</v>
      </c>
      <c r="W493" s="7" t="s">
        <v>227</v>
      </c>
      <c r="X493" s="7" t="s">
        <v>200</v>
      </c>
      <c r="Y493" s="7" t="s">
        <v>5471</v>
      </c>
      <c r="Z493" s="7" t="s">
        <v>1445</v>
      </c>
      <c r="AA493" s="7" t="s">
        <v>3612</v>
      </c>
      <c r="AB493" s="7" t="s">
        <v>3705</v>
      </c>
      <c r="AC493" s="7" t="s">
        <v>5493</v>
      </c>
      <c r="AD493" s="8">
        <v>44942</v>
      </c>
      <c r="AE493" s="8">
        <v>45506</v>
      </c>
      <c r="AF493" s="7"/>
    </row>
    <row r="494" spans="1:32" ht="173.25" customHeight="1" x14ac:dyDescent="0.3">
      <c r="A494" s="5">
        <v>5154375</v>
      </c>
      <c r="B494" s="5" t="s">
        <v>2816</v>
      </c>
      <c r="C494" s="5" t="s">
        <v>5494</v>
      </c>
      <c r="D494" s="5" t="s">
        <v>862</v>
      </c>
      <c r="E494" s="5" t="s">
        <v>203</v>
      </c>
      <c r="F494" s="5" t="s">
        <v>418</v>
      </c>
      <c r="G494" s="5" t="s">
        <v>217</v>
      </c>
      <c r="H494" s="5" t="s">
        <v>2330</v>
      </c>
      <c r="I494" s="5" t="s">
        <v>2817</v>
      </c>
      <c r="J494" s="5" t="s">
        <v>227</v>
      </c>
      <c r="K494" s="5" t="s">
        <v>200</v>
      </c>
      <c r="L494" s="5" t="s">
        <v>2818</v>
      </c>
      <c r="M494" s="5" t="s">
        <v>1445</v>
      </c>
      <c r="N494" s="5" t="s">
        <v>3623</v>
      </c>
      <c r="O494" s="5" t="s">
        <v>3705</v>
      </c>
      <c r="P494" s="5">
        <v>5603595</v>
      </c>
      <c r="Q494" s="5" t="s">
        <v>5469</v>
      </c>
      <c r="R494" s="5" t="s">
        <v>203</v>
      </c>
      <c r="S494" s="5" t="s">
        <v>418</v>
      </c>
      <c r="T494" s="5" t="s">
        <v>217</v>
      </c>
      <c r="U494" s="5" t="s">
        <v>2330</v>
      </c>
      <c r="V494" s="5" t="s">
        <v>5470</v>
      </c>
      <c r="W494" s="5" t="s">
        <v>227</v>
      </c>
      <c r="X494" s="5" t="s">
        <v>200</v>
      </c>
      <c r="Y494" s="5" t="s">
        <v>5471</v>
      </c>
      <c r="Z494" s="5" t="s">
        <v>1445</v>
      </c>
      <c r="AA494" s="5" t="s">
        <v>3612</v>
      </c>
      <c r="AB494" s="5" t="s">
        <v>3705</v>
      </c>
      <c r="AC494" s="5" t="s">
        <v>5472</v>
      </c>
      <c r="AD494" s="6">
        <v>45313</v>
      </c>
      <c r="AE494" s="6">
        <v>45625</v>
      </c>
      <c r="AF494" s="5" t="s">
        <v>3709</v>
      </c>
    </row>
    <row r="495" spans="1:32" ht="40.5" customHeight="1" x14ac:dyDescent="0.3">
      <c r="A495" s="7">
        <v>3384292</v>
      </c>
      <c r="B495" s="7" t="s">
        <v>1264</v>
      </c>
      <c r="C495" s="7"/>
      <c r="D495" s="7" t="s">
        <v>198</v>
      </c>
      <c r="E495" s="7" t="s">
        <v>203</v>
      </c>
      <c r="F495" s="7" t="s">
        <v>613</v>
      </c>
      <c r="G495" s="7" t="s">
        <v>217</v>
      </c>
      <c r="H495" s="7" t="s">
        <v>233</v>
      </c>
      <c r="I495" s="7" t="s">
        <v>1261</v>
      </c>
      <c r="J495" s="7" t="s">
        <v>608</v>
      </c>
      <c r="K495" s="7" t="s">
        <v>200</v>
      </c>
      <c r="L495" s="7" t="s">
        <v>610</v>
      </c>
      <c r="M495" s="7" t="s">
        <v>789</v>
      </c>
      <c r="N495" s="7" t="s">
        <v>3608</v>
      </c>
      <c r="O495" s="7" t="s">
        <v>3727</v>
      </c>
      <c r="P495" s="7">
        <v>5019214</v>
      </c>
      <c r="Q495" s="7" t="s">
        <v>5495</v>
      </c>
      <c r="R495" s="7" t="s">
        <v>203</v>
      </c>
      <c r="S495" s="7" t="s">
        <v>613</v>
      </c>
      <c r="T495" s="7" t="s">
        <v>217</v>
      </c>
      <c r="U495" s="7" t="s">
        <v>207</v>
      </c>
      <c r="V495" s="7" t="s">
        <v>5496</v>
      </c>
      <c r="W495" s="7" t="s">
        <v>608</v>
      </c>
      <c r="X495" s="7" t="s">
        <v>200</v>
      </c>
      <c r="Y495" s="7" t="s">
        <v>5497</v>
      </c>
      <c r="Z495" s="7" t="s">
        <v>3607</v>
      </c>
      <c r="AA495" s="7" t="s">
        <v>3623</v>
      </c>
      <c r="AB495" s="7" t="s">
        <v>3609</v>
      </c>
      <c r="AC495" s="7" t="s">
        <v>5498</v>
      </c>
      <c r="AD495" s="8">
        <v>45730</v>
      </c>
      <c r="AE495" s="8">
        <v>45868</v>
      </c>
      <c r="AF495" s="7"/>
    </row>
    <row r="496" spans="1:32" ht="142.5" customHeight="1" x14ac:dyDescent="0.3">
      <c r="A496" s="5">
        <v>4805062</v>
      </c>
      <c r="B496" s="5" t="s">
        <v>2194</v>
      </c>
      <c r="C496" s="5" t="s">
        <v>5499</v>
      </c>
      <c r="D496" s="5" t="s">
        <v>198</v>
      </c>
      <c r="E496" s="5" t="s">
        <v>203</v>
      </c>
      <c r="F496" s="5" t="s">
        <v>418</v>
      </c>
      <c r="G496" s="5" t="s">
        <v>208</v>
      </c>
      <c r="H496" s="5" t="s">
        <v>207</v>
      </c>
      <c r="I496" s="5" t="s">
        <v>2195</v>
      </c>
      <c r="J496" s="5" t="s">
        <v>227</v>
      </c>
      <c r="K496" s="5" t="s">
        <v>888</v>
      </c>
      <c r="L496" s="5" t="s">
        <v>2196</v>
      </c>
      <c r="M496" s="5" t="s">
        <v>2197</v>
      </c>
      <c r="N496" s="5" t="s">
        <v>3608</v>
      </c>
      <c r="O496" s="5" t="s">
        <v>3727</v>
      </c>
      <c r="P496" s="5">
        <v>5516943</v>
      </c>
      <c r="Q496" s="5" t="s">
        <v>5500</v>
      </c>
      <c r="R496" s="5" t="s">
        <v>203</v>
      </c>
      <c r="S496" s="5" t="s">
        <v>444</v>
      </c>
      <c r="T496" s="5" t="s">
        <v>217</v>
      </c>
      <c r="U496" s="5" t="s">
        <v>207</v>
      </c>
      <c r="V496" s="5" t="s">
        <v>5501</v>
      </c>
      <c r="W496" s="5" t="s">
        <v>227</v>
      </c>
      <c r="X496" s="5" t="s">
        <v>200</v>
      </c>
      <c r="Y496" s="5" t="s">
        <v>5502</v>
      </c>
      <c r="Z496" s="5" t="s">
        <v>1723</v>
      </c>
      <c r="AA496" s="5" t="s">
        <v>3612</v>
      </c>
      <c r="AB496" s="5" t="s">
        <v>3646</v>
      </c>
      <c r="AC496" s="5" t="s">
        <v>5503</v>
      </c>
      <c r="AD496" s="6">
        <v>45783</v>
      </c>
      <c r="AE496" s="5"/>
      <c r="AF496" s="5"/>
    </row>
    <row r="497" spans="1:32" ht="30" customHeight="1" x14ac:dyDescent="0.3">
      <c r="A497" s="7">
        <v>5498783</v>
      </c>
      <c r="B497" s="7" t="s">
        <v>3262</v>
      </c>
      <c r="C497" s="7" t="s">
        <v>5504</v>
      </c>
      <c r="D497" s="7" t="s">
        <v>862</v>
      </c>
      <c r="E497" s="7" t="s">
        <v>203</v>
      </c>
      <c r="F497" s="7" t="s">
        <v>418</v>
      </c>
      <c r="G497" s="7" t="s">
        <v>217</v>
      </c>
      <c r="H497" s="7" t="s">
        <v>207</v>
      </c>
      <c r="I497" s="7" t="s">
        <v>3263</v>
      </c>
      <c r="J497" s="7" t="s">
        <v>227</v>
      </c>
      <c r="K497" s="7" t="s">
        <v>200</v>
      </c>
      <c r="L497" s="7" t="s">
        <v>3178</v>
      </c>
      <c r="M497" s="7" t="s">
        <v>1203</v>
      </c>
      <c r="N497" s="7" t="s">
        <v>3612</v>
      </c>
      <c r="O497" s="7" t="s">
        <v>3743</v>
      </c>
      <c r="P497" s="7">
        <v>5605164</v>
      </c>
      <c r="Q497" s="7" t="s">
        <v>5505</v>
      </c>
      <c r="R497" s="7" t="s">
        <v>203</v>
      </c>
      <c r="S497" s="7" t="s">
        <v>418</v>
      </c>
      <c r="T497" s="7" t="s">
        <v>208</v>
      </c>
      <c r="U497" s="7" t="s">
        <v>207</v>
      </c>
      <c r="V497" s="7" t="s">
        <v>5506</v>
      </c>
      <c r="W497" s="7" t="s">
        <v>227</v>
      </c>
      <c r="X497" s="7" t="s">
        <v>200</v>
      </c>
      <c r="Y497" s="7" t="s">
        <v>3178</v>
      </c>
      <c r="Z497" s="7" t="s">
        <v>1203</v>
      </c>
      <c r="AA497" s="7" t="s">
        <v>3612</v>
      </c>
      <c r="AB497" s="7" t="s">
        <v>3743</v>
      </c>
      <c r="AC497" s="7" t="s">
        <v>5507</v>
      </c>
      <c r="AD497" s="8">
        <v>45763</v>
      </c>
      <c r="AE497" s="7"/>
      <c r="AF497" s="7"/>
    </row>
    <row r="498" spans="1:32" ht="244.5" customHeight="1" x14ac:dyDescent="0.3">
      <c r="A498" s="5">
        <v>3878414</v>
      </c>
      <c r="B498" s="5" t="s">
        <v>1743</v>
      </c>
      <c r="C498" s="5" t="s">
        <v>5508</v>
      </c>
      <c r="D498" s="5" t="s">
        <v>354</v>
      </c>
      <c r="E498" s="5" t="s">
        <v>203</v>
      </c>
      <c r="F498" s="5" t="s">
        <v>433</v>
      </c>
      <c r="G498" s="5" t="s">
        <v>217</v>
      </c>
      <c r="H498" s="5" t="s">
        <v>245</v>
      </c>
      <c r="I498" s="5" t="s">
        <v>1744</v>
      </c>
      <c r="J498" s="5" t="s">
        <v>227</v>
      </c>
      <c r="K498" s="5" t="s">
        <v>200</v>
      </c>
      <c r="L498" s="5" t="s">
        <v>1745</v>
      </c>
      <c r="M498" s="5" t="s">
        <v>1746</v>
      </c>
      <c r="N498" s="5" t="s">
        <v>3608</v>
      </c>
      <c r="O498" s="5" t="s">
        <v>3727</v>
      </c>
      <c r="P498" s="5">
        <v>5516927</v>
      </c>
      <c r="Q498" s="5" t="s">
        <v>4754</v>
      </c>
      <c r="R498" s="5" t="s">
        <v>203</v>
      </c>
      <c r="S498" s="5" t="s">
        <v>234</v>
      </c>
      <c r="T498" s="5" t="s">
        <v>217</v>
      </c>
      <c r="U498" s="5" t="s">
        <v>207</v>
      </c>
      <c r="V498" s="5" t="s">
        <v>1145</v>
      </c>
      <c r="W498" s="5" t="s">
        <v>227</v>
      </c>
      <c r="X498" s="5" t="s">
        <v>200</v>
      </c>
      <c r="Y498" s="5" t="s">
        <v>1146</v>
      </c>
      <c r="Z498" s="5" t="s">
        <v>1898</v>
      </c>
      <c r="AA498" s="5" t="s">
        <v>3612</v>
      </c>
      <c r="AB498" s="5" t="s">
        <v>3705</v>
      </c>
      <c r="AC498" s="5" t="s">
        <v>5509</v>
      </c>
      <c r="AD498" s="6">
        <v>45870</v>
      </c>
      <c r="AE498" s="6">
        <v>45961</v>
      </c>
      <c r="AF498" s="5"/>
    </row>
    <row r="499" spans="1:32" ht="51" customHeight="1" x14ac:dyDescent="0.3">
      <c r="A499" s="7">
        <v>5154375</v>
      </c>
      <c r="B499" s="7" t="s">
        <v>2816</v>
      </c>
      <c r="C499" s="7" t="s">
        <v>5510</v>
      </c>
      <c r="D499" s="7" t="s">
        <v>862</v>
      </c>
      <c r="E499" s="7" t="s">
        <v>203</v>
      </c>
      <c r="F499" s="7" t="s">
        <v>418</v>
      </c>
      <c r="G499" s="7" t="s">
        <v>217</v>
      </c>
      <c r="H499" s="7" t="s">
        <v>2330</v>
      </c>
      <c r="I499" s="7" t="s">
        <v>2817</v>
      </c>
      <c r="J499" s="7" t="s">
        <v>227</v>
      </c>
      <c r="K499" s="7" t="s">
        <v>200</v>
      </c>
      <c r="L499" s="7" t="s">
        <v>2818</v>
      </c>
      <c r="M499" s="7" t="s">
        <v>1445</v>
      </c>
      <c r="N499" s="7" t="s">
        <v>3623</v>
      </c>
      <c r="O499" s="7" t="s">
        <v>3705</v>
      </c>
      <c r="P499" s="7">
        <v>5454468</v>
      </c>
      <c r="Q499" s="7" t="s">
        <v>5511</v>
      </c>
      <c r="R499" s="7" t="s">
        <v>203</v>
      </c>
      <c r="S499" s="7" t="s">
        <v>234</v>
      </c>
      <c r="T499" s="7" t="s">
        <v>217</v>
      </c>
      <c r="U499" s="7" t="s">
        <v>2330</v>
      </c>
      <c r="V499" s="7" t="s">
        <v>5470</v>
      </c>
      <c r="W499" s="7" t="s">
        <v>227</v>
      </c>
      <c r="X499" s="7" t="s">
        <v>200</v>
      </c>
      <c r="Y499" s="7" t="s">
        <v>5471</v>
      </c>
      <c r="Z499" s="7" t="s">
        <v>1445</v>
      </c>
      <c r="AA499" s="7" t="s">
        <v>3612</v>
      </c>
      <c r="AB499" s="7" t="s">
        <v>3705</v>
      </c>
      <c r="AC499" s="7" t="s">
        <v>5512</v>
      </c>
      <c r="AD499" s="8">
        <v>45496</v>
      </c>
      <c r="AE499" s="8">
        <v>45555</v>
      </c>
      <c r="AF499" s="7"/>
    </row>
    <row r="500" spans="1:32" ht="30" customHeight="1" x14ac:dyDescent="0.3">
      <c r="A500" s="5">
        <v>4662458</v>
      </c>
      <c r="B500" s="5" t="s">
        <v>1947</v>
      </c>
      <c r="C500" s="5" t="s">
        <v>5513</v>
      </c>
      <c r="D500" s="5" t="s">
        <v>354</v>
      </c>
      <c r="E500" s="5" t="s">
        <v>203</v>
      </c>
      <c r="F500" s="5" t="s">
        <v>234</v>
      </c>
      <c r="G500" s="5" t="s">
        <v>208</v>
      </c>
      <c r="H500" s="5" t="s">
        <v>245</v>
      </c>
      <c r="I500" s="5" t="s">
        <v>756</v>
      </c>
      <c r="J500" s="5" t="s">
        <v>227</v>
      </c>
      <c r="K500" s="5" t="s">
        <v>413</v>
      </c>
      <c r="L500" s="5" t="s">
        <v>1948</v>
      </c>
      <c r="M500" s="5" t="s">
        <v>1949</v>
      </c>
      <c r="N500" s="5" t="s">
        <v>3612</v>
      </c>
      <c r="O500" s="5" t="s">
        <v>3743</v>
      </c>
      <c r="P500" s="5">
        <v>5126215</v>
      </c>
      <c r="Q500" s="5" t="s">
        <v>5514</v>
      </c>
      <c r="R500" s="5" t="s">
        <v>203</v>
      </c>
      <c r="S500" s="5" t="s">
        <v>234</v>
      </c>
      <c r="T500" s="5" t="s">
        <v>208</v>
      </c>
      <c r="U500" s="5" t="s">
        <v>207</v>
      </c>
      <c r="V500" s="5" t="s">
        <v>5515</v>
      </c>
      <c r="W500" s="5" t="s">
        <v>227</v>
      </c>
      <c r="X500" s="5" t="s">
        <v>413</v>
      </c>
      <c r="Y500" s="5" t="s">
        <v>5516</v>
      </c>
      <c r="Z500" s="5" t="s">
        <v>723</v>
      </c>
      <c r="AA500" s="5" t="s">
        <v>3612</v>
      </c>
      <c r="AB500" s="5" t="s">
        <v>4181</v>
      </c>
      <c r="AC500" s="5" t="s">
        <v>5517</v>
      </c>
      <c r="AD500" s="6">
        <v>45778</v>
      </c>
      <c r="AE500" s="6">
        <v>45991</v>
      </c>
      <c r="AF500" s="5"/>
    </row>
    <row r="501" spans="1:32" ht="51" customHeight="1" x14ac:dyDescent="0.3">
      <c r="A501" s="7">
        <v>5074258</v>
      </c>
      <c r="B501" s="7" t="s">
        <v>2679</v>
      </c>
      <c r="C501" s="7"/>
      <c r="D501" s="7" t="s">
        <v>198</v>
      </c>
      <c r="E501" s="7" t="s">
        <v>203</v>
      </c>
      <c r="F501" s="7" t="s">
        <v>433</v>
      </c>
      <c r="G501" s="7" t="s">
        <v>217</v>
      </c>
      <c r="H501" s="7" t="s">
        <v>207</v>
      </c>
      <c r="I501" s="7" t="s">
        <v>2680</v>
      </c>
      <c r="J501" s="7" t="s">
        <v>227</v>
      </c>
      <c r="K501" s="7" t="s">
        <v>200</v>
      </c>
      <c r="L501" s="7" t="s">
        <v>2681</v>
      </c>
      <c r="M501" s="7" t="s">
        <v>299</v>
      </c>
      <c r="N501" s="7" t="s">
        <v>3623</v>
      </c>
      <c r="O501" s="7" t="s">
        <v>3603</v>
      </c>
      <c r="P501" s="7">
        <v>3903087</v>
      </c>
      <c r="Q501" s="7" t="s">
        <v>5518</v>
      </c>
      <c r="R501" s="7" t="s">
        <v>203</v>
      </c>
      <c r="S501" s="7" t="s">
        <v>418</v>
      </c>
      <c r="T501" s="7" t="s">
        <v>217</v>
      </c>
      <c r="U501" s="7" t="s">
        <v>207</v>
      </c>
      <c r="V501" s="7" t="s">
        <v>5519</v>
      </c>
      <c r="W501" s="7" t="s">
        <v>227</v>
      </c>
      <c r="X501" s="7" t="s">
        <v>200</v>
      </c>
      <c r="Y501" s="7" t="s">
        <v>5520</v>
      </c>
      <c r="Z501" s="7" t="s">
        <v>5521</v>
      </c>
      <c r="AA501" s="7" t="s">
        <v>3608</v>
      </c>
      <c r="AB501" s="7" t="s">
        <v>3702</v>
      </c>
      <c r="AC501" s="7" t="s">
        <v>5522</v>
      </c>
      <c r="AD501" s="8">
        <v>45769</v>
      </c>
      <c r="AE501" s="7"/>
      <c r="AF501" s="7"/>
    </row>
    <row r="502" spans="1:32" ht="183" customHeight="1" x14ac:dyDescent="0.3">
      <c r="A502" s="5">
        <v>4612744</v>
      </c>
      <c r="B502" s="5" t="s">
        <v>1863</v>
      </c>
      <c r="C502" s="5" t="s">
        <v>5523</v>
      </c>
      <c r="D502" s="5" t="s">
        <v>198</v>
      </c>
      <c r="E502" s="5" t="s">
        <v>203</v>
      </c>
      <c r="F502" s="5" t="s">
        <v>418</v>
      </c>
      <c r="G502" s="5" t="s">
        <v>208</v>
      </c>
      <c r="H502" s="5" t="s">
        <v>245</v>
      </c>
      <c r="I502" s="5" t="s">
        <v>1864</v>
      </c>
      <c r="J502" s="5" t="s">
        <v>227</v>
      </c>
      <c r="K502" s="5" t="s">
        <v>200</v>
      </c>
      <c r="L502" s="5" t="s">
        <v>1865</v>
      </c>
      <c r="M502" s="5" t="s">
        <v>1866</v>
      </c>
      <c r="N502" s="5" t="s">
        <v>3602</v>
      </c>
      <c r="O502" s="5" t="s">
        <v>3799</v>
      </c>
      <c r="P502" s="5">
        <v>5125928</v>
      </c>
      <c r="Q502" s="5" t="s">
        <v>5524</v>
      </c>
      <c r="R502" s="5" t="s">
        <v>203</v>
      </c>
      <c r="S502" s="5" t="s">
        <v>418</v>
      </c>
      <c r="T502" s="5" t="s">
        <v>217</v>
      </c>
      <c r="U502" s="5" t="s">
        <v>2330</v>
      </c>
      <c r="V502" s="5" t="s">
        <v>5525</v>
      </c>
      <c r="W502" s="5" t="s">
        <v>227</v>
      </c>
      <c r="X502" s="5" t="s">
        <v>200</v>
      </c>
      <c r="Y502" s="5" t="s">
        <v>3565</v>
      </c>
      <c r="Z502" s="5" t="s">
        <v>1286</v>
      </c>
      <c r="AA502" s="5" t="s">
        <v>3623</v>
      </c>
      <c r="AB502" s="5" t="s">
        <v>4328</v>
      </c>
      <c r="AC502" s="5" t="s">
        <v>5526</v>
      </c>
      <c r="AD502" s="6">
        <v>45717</v>
      </c>
      <c r="AE502" s="6">
        <v>45747</v>
      </c>
      <c r="AF502" s="5"/>
    </row>
    <row r="503" spans="1:32" ht="409.5" customHeight="1" x14ac:dyDescent="0.3">
      <c r="A503" s="7">
        <v>4532031</v>
      </c>
      <c r="B503" s="7" t="s">
        <v>1826</v>
      </c>
      <c r="C503" s="7" t="s">
        <v>5527</v>
      </c>
      <c r="D503" s="7" t="s">
        <v>198</v>
      </c>
      <c r="E503" s="7" t="s">
        <v>203</v>
      </c>
      <c r="F503" s="7" t="s">
        <v>234</v>
      </c>
      <c r="G503" s="7" t="s">
        <v>217</v>
      </c>
      <c r="H503" s="7" t="s">
        <v>245</v>
      </c>
      <c r="I503" s="7" t="s">
        <v>1827</v>
      </c>
      <c r="J503" s="7" t="s">
        <v>227</v>
      </c>
      <c r="K503" s="7" t="s">
        <v>413</v>
      </c>
      <c r="L503" s="7" t="s">
        <v>1828</v>
      </c>
      <c r="M503" s="7" t="s">
        <v>1829</v>
      </c>
      <c r="N503" s="7" t="s">
        <v>3602</v>
      </c>
      <c r="O503" s="7" t="s">
        <v>4767</v>
      </c>
      <c r="P503" s="7">
        <v>5471710</v>
      </c>
      <c r="Q503" s="7" t="s">
        <v>5528</v>
      </c>
      <c r="R503" s="7"/>
      <c r="S503" s="7" t="s">
        <v>234</v>
      </c>
      <c r="T503" s="7" t="s">
        <v>208</v>
      </c>
      <c r="U503" s="7" t="s">
        <v>2330</v>
      </c>
      <c r="V503" s="7"/>
      <c r="W503" s="7" t="s">
        <v>227</v>
      </c>
      <c r="X503" s="7"/>
      <c r="Y503" s="7"/>
      <c r="Z503" s="7"/>
      <c r="AA503" s="7" t="s">
        <v>3612</v>
      </c>
      <c r="AB503" s="7"/>
      <c r="AC503" s="7" t="s">
        <v>5529</v>
      </c>
      <c r="AD503" s="8">
        <v>45692</v>
      </c>
      <c r="AE503" s="7"/>
      <c r="AF503" s="7"/>
    </row>
    <row r="504" spans="1:32" ht="40.5" customHeight="1" x14ac:dyDescent="0.3">
      <c r="A504" s="5">
        <v>1935275</v>
      </c>
      <c r="B504" s="5" t="s">
        <v>5473</v>
      </c>
      <c r="C504" s="5" t="s">
        <v>5530</v>
      </c>
      <c r="D504" s="5" t="s">
        <v>862</v>
      </c>
      <c r="E504" s="5"/>
      <c r="F504" s="5" t="s">
        <v>433</v>
      </c>
      <c r="G504" s="5" t="s">
        <v>208</v>
      </c>
      <c r="H504" s="5" t="s">
        <v>654</v>
      </c>
      <c r="I504" s="5" t="s">
        <v>679</v>
      </c>
      <c r="J504" s="5" t="s">
        <v>227</v>
      </c>
      <c r="K504" s="5" t="s">
        <v>200</v>
      </c>
      <c r="L504" s="5" t="s">
        <v>3565</v>
      </c>
      <c r="M504" s="5" t="s">
        <v>1835</v>
      </c>
      <c r="N504" s="5" t="s">
        <v>3729</v>
      </c>
      <c r="O504" s="5" t="s">
        <v>3743</v>
      </c>
      <c r="P504" s="5">
        <v>2875403</v>
      </c>
      <c r="Q504" s="5" t="s">
        <v>5531</v>
      </c>
      <c r="R504" s="5" t="s">
        <v>203</v>
      </c>
      <c r="S504" s="5" t="s">
        <v>418</v>
      </c>
      <c r="T504" s="5" t="s">
        <v>208</v>
      </c>
      <c r="U504" s="5" t="s">
        <v>245</v>
      </c>
      <c r="V504" s="5" t="s">
        <v>3357</v>
      </c>
      <c r="W504" s="5" t="s">
        <v>227</v>
      </c>
      <c r="X504" s="5" t="s">
        <v>200</v>
      </c>
      <c r="Y504" s="5" t="s">
        <v>5476</v>
      </c>
      <c r="Z504" s="5" t="s">
        <v>1026</v>
      </c>
      <c r="AA504" s="5" t="s">
        <v>3652</v>
      </c>
      <c r="AB504" s="5" t="s">
        <v>4181</v>
      </c>
      <c r="AC504" s="5" t="s">
        <v>5532</v>
      </c>
      <c r="AD504" s="6">
        <v>45772</v>
      </c>
      <c r="AE504" s="6">
        <v>45995</v>
      </c>
      <c r="AF504" s="5"/>
    </row>
    <row r="505" spans="1:32" ht="409.5" customHeight="1" x14ac:dyDescent="0.3">
      <c r="A505" s="7">
        <v>3351068</v>
      </c>
      <c r="B505" s="7" t="s">
        <v>1223</v>
      </c>
      <c r="C505" s="7" t="s">
        <v>5533</v>
      </c>
      <c r="D505" s="7" t="s">
        <v>198</v>
      </c>
      <c r="E505" s="7" t="s">
        <v>203</v>
      </c>
      <c r="F505" s="7" t="s">
        <v>418</v>
      </c>
      <c r="G505" s="7" t="s">
        <v>217</v>
      </c>
      <c r="H505" s="7" t="s">
        <v>245</v>
      </c>
      <c r="I505" s="7" t="s">
        <v>1224</v>
      </c>
      <c r="J505" s="7" t="s">
        <v>227</v>
      </c>
      <c r="K505" s="7" t="s">
        <v>200</v>
      </c>
      <c r="L505" s="7" t="s">
        <v>1225</v>
      </c>
      <c r="M505" s="7" t="s">
        <v>870</v>
      </c>
      <c r="N505" s="7" t="s">
        <v>3602</v>
      </c>
      <c r="O505" s="7" t="s">
        <v>3715</v>
      </c>
      <c r="P505" s="7">
        <v>4965302</v>
      </c>
      <c r="Q505" s="7" t="s">
        <v>5534</v>
      </c>
      <c r="R505" s="7" t="s">
        <v>203</v>
      </c>
      <c r="S505" s="7" t="s">
        <v>418</v>
      </c>
      <c r="T505" s="7" t="s">
        <v>217</v>
      </c>
      <c r="U505" s="7" t="s">
        <v>245</v>
      </c>
      <c r="V505" s="7" t="s">
        <v>2087</v>
      </c>
      <c r="W505" s="7" t="s">
        <v>227</v>
      </c>
      <c r="X505" s="7" t="s">
        <v>200</v>
      </c>
      <c r="Y505" s="7" t="s">
        <v>847</v>
      </c>
      <c r="Z505" s="7" t="s">
        <v>1782</v>
      </c>
      <c r="AA505" s="7" t="s">
        <v>3623</v>
      </c>
      <c r="AB505" s="7" t="s">
        <v>3705</v>
      </c>
      <c r="AC505" s="7" t="s">
        <v>5535</v>
      </c>
      <c r="AD505" s="8">
        <v>45812</v>
      </c>
      <c r="AE505" s="8">
        <v>46029</v>
      </c>
      <c r="AF505" s="7"/>
    </row>
    <row r="506" spans="1:32" ht="91.5" customHeight="1" x14ac:dyDescent="0.3">
      <c r="A506" s="5">
        <v>8020797</v>
      </c>
      <c r="B506" s="5" t="s">
        <v>3364</v>
      </c>
      <c r="C506" s="5" t="s">
        <v>5536</v>
      </c>
      <c r="D506" s="5" t="s">
        <v>198</v>
      </c>
      <c r="E506" s="5" t="s">
        <v>203</v>
      </c>
      <c r="F506" s="5" t="s">
        <v>418</v>
      </c>
      <c r="G506" s="5" t="s">
        <v>217</v>
      </c>
      <c r="H506" s="5" t="s">
        <v>233</v>
      </c>
      <c r="I506" s="5" t="s">
        <v>3365</v>
      </c>
      <c r="J506" s="5" t="s">
        <v>227</v>
      </c>
      <c r="K506" s="5" t="s">
        <v>888</v>
      </c>
      <c r="L506" s="5" t="s">
        <v>2340</v>
      </c>
      <c r="M506" s="5" t="s">
        <v>3366</v>
      </c>
      <c r="N506" s="5" t="s">
        <v>3623</v>
      </c>
      <c r="O506" s="5" t="s">
        <v>3837</v>
      </c>
      <c r="P506" s="5">
        <v>3344886</v>
      </c>
      <c r="Q506" s="5" t="s">
        <v>5537</v>
      </c>
      <c r="R506" s="5" t="s">
        <v>203</v>
      </c>
      <c r="S506" s="5" t="s">
        <v>234</v>
      </c>
      <c r="T506" s="5" t="s">
        <v>217</v>
      </c>
      <c r="U506" s="5" t="s">
        <v>245</v>
      </c>
      <c r="V506" s="5" t="s">
        <v>5538</v>
      </c>
      <c r="W506" s="5" t="s">
        <v>227</v>
      </c>
      <c r="X506" s="5" t="s">
        <v>200</v>
      </c>
      <c r="Y506" s="5" t="s">
        <v>5539</v>
      </c>
      <c r="Z506" s="5" t="s">
        <v>617</v>
      </c>
      <c r="AA506" s="5" t="s">
        <v>3602</v>
      </c>
      <c r="AB506" s="5" t="s">
        <v>3635</v>
      </c>
      <c r="AC506" s="5" t="s">
        <v>5540</v>
      </c>
      <c r="AD506" s="6">
        <v>45763</v>
      </c>
      <c r="AE506" s="6">
        <v>46142</v>
      </c>
      <c r="AF506" s="5"/>
    </row>
    <row r="507" spans="1:32" ht="51" customHeight="1" x14ac:dyDescent="0.3">
      <c r="A507" s="7">
        <v>1935275</v>
      </c>
      <c r="B507" s="7" t="s">
        <v>5473</v>
      </c>
      <c r="C507" s="7" t="s">
        <v>5541</v>
      </c>
      <c r="D507" s="7" t="s">
        <v>862</v>
      </c>
      <c r="E507" s="7"/>
      <c r="F507" s="7" t="s">
        <v>433</v>
      </c>
      <c r="G507" s="7" t="s">
        <v>208</v>
      </c>
      <c r="H507" s="7" t="s">
        <v>654</v>
      </c>
      <c r="I507" s="7" t="s">
        <v>679</v>
      </c>
      <c r="J507" s="7" t="s">
        <v>227</v>
      </c>
      <c r="K507" s="7" t="s">
        <v>200</v>
      </c>
      <c r="L507" s="7" t="s">
        <v>3565</v>
      </c>
      <c r="M507" s="7" t="s">
        <v>1835</v>
      </c>
      <c r="N507" s="7" t="s">
        <v>3729</v>
      </c>
      <c r="O507" s="7" t="s">
        <v>3743</v>
      </c>
      <c r="P507" s="7">
        <v>5238161</v>
      </c>
      <c r="Q507" s="7" t="s">
        <v>5542</v>
      </c>
      <c r="R507" s="7" t="s">
        <v>203</v>
      </c>
      <c r="S507" s="7" t="s">
        <v>234</v>
      </c>
      <c r="T507" s="7" t="s">
        <v>208</v>
      </c>
      <c r="U507" s="7" t="s">
        <v>207</v>
      </c>
      <c r="V507" s="7" t="s">
        <v>3357</v>
      </c>
      <c r="W507" s="7" t="s">
        <v>227</v>
      </c>
      <c r="X507" s="7" t="s">
        <v>200</v>
      </c>
      <c r="Y507" s="7" t="s">
        <v>5543</v>
      </c>
      <c r="Z507" s="7" t="s">
        <v>1026</v>
      </c>
      <c r="AA507" s="7" t="s">
        <v>3608</v>
      </c>
      <c r="AB507" s="7" t="s">
        <v>4181</v>
      </c>
      <c r="AC507" s="7" t="s">
        <v>5544</v>
      </c>
      <c r="AD507" s="8">
        <v>45778</v>
      </c>
      <c r="AE507" s="7"/>
      <c r="AF507" s="7"/>
    </row>
    <row r="508" spans="1:32" ht="30" customHeight="1" x14ac:dyDescent="0.3">
      <c r="A508" s="5">
        <v>5275032</v>
      </c>
      <c r="B508" s="5" t="s">
        <v>3046</v>
      </c>
      <c r="C508" s="5" t="s">
        <v>5545</v>
      </c>
      <c r="D508" s="5" t="s">
        <v>198</v>
      </c>
      <c r="E508" s="5" t="s">
        <v>203</v>
      </c>
      <c r="F508" s="5" t="s">
        <v>234</v>
      </c>
      <c r="G508" s="5" t="s">
        <v>217</v>
      </c>
      <c r="H508" s="5" t="s">
        <v>233</v>
      </c>
      <c r="I508" s="5" t="s">
        <v>2247</v>
      </c>
      <c r="J508" s="5" t="s">
        <v>227</v>
      </c>
      <c r="K508" s="5" t="s">
        <v>413</v>
      </c>
      <c r="L508" s="5" t="s">
        <v>3047</v>
      </c>
      <c r="M508" s="5" t="s">
        <v>3048</v>
      </c>
      <c r="N508" s="5" t="s">
        <v>3623</v>
      </c>
      <c r="O508" s="5" t="s">
        <v>3609</v>
      </c>
      <c r="P508" s="5">
        <v>3366782</v>
      </c>
      <c r="Q508" s="5" t="s">
        <v>5546</v>
      </c>
      <c r="R508" s="5" t="s">
        <v>203</v>
      </c>
      <c r="S508" s="5" t="s">
        <v>234</v>
      </c>
      <c r="T508" s="5" t="s">
        <v>217</v>
      </c>
      <c r="U508" s="5" t="s">
        <v>245</v>
      </c>
      <c r="V508" s="5" t="s">
        <v>5547</v>
      </c>
      <c r="W508" s="5" t="s">
        <v>227</v>
      </c>
      <c r="X508" s="5" t="s">
        <v>413</v>
      </c>
      <c r="Y508" s="5" t="s">
        <v>5548</v>
      </c>
      <c r="Z508" s="5" t="s">
        <v>700</v>
      </c>
      <c r="AA508" s="5" t="s">
        <v>3602</v>
      </c>
      <c r="AB508" s="5" t="s">
        <v>4478</v>
      </c>
      <c r="AC508" s="5" t="s">
        <v>5549</v>
      </c>
      <c r="AD508" s="6">
        <v>45600</v>
      </c>
      <c r="AE508" s="6">
        <v>45965</v>
      </c>
      <c r="AF508" s="5"/>
    </row>
    <row r="509" spans="1:32" ht="60.75" customHeight="1" x14ac:dyDescent="0.3">
      <c r="A509" s="7">
        <v>1935275</v>
      </c>
      <c r="B509" s="7" t="s">
        <v>5473</v>
      </c>
      <c r="C509" s="7" t="s">
        <v>5550</v>
      </c>
      <c r="D509" s="7" t="s">
        <v>354</v>
      </c>
      <c r="E509" s="7"/>
      <c r="F509" s="7" t="s">
        <v>433</v>
      </c>
      <c r="G509" s="7" t="s">
        <v>208</v>
      </c>
      <c r="H509" s="7" t="s">
        <v>654</v>
      </c>
      <c r="I509" s="7" t="s">
        <v>679</v>
      </c>
      <c r="J509" s="7" t="s">
        <v>227</v>
      </c>
      <c r="K509" s="7" t="s">
        <v>200</v>
      </c>
      <c r="L509" s="7" t="s">
        <v>3565</v>
      </c>
      <c r="M509" s="7" t="s">
        <v>1835</v>
      </c>
      <c r="N509" s="7" t="s">
        <v>3729</v>
      </c>
      <c r="O509" s="7" t="s">
        <v>3743</v>
      </c>
      <c r="P509" s="7">
        <v>3903508</v>
      </c>
      <c r="Q509" s="7" t="s">
        <v>5551</v>
      </c>
      <c r="R509" s="7" t="s">
        <v>203</v>
      </c>
      <c r="S509" s="7" t="s">
        <v>418</v>
      </c>
      <c r="T509" s="7" t="s">
        <v>217</v>
      </c>
      <c r="U509" s="7" t="s">
        <v>245</v>
      </c>
      <c r="V509" s="7" t="s">
        <v>3357</v>
      </c>
      <c r="W509" s="7" t="s">
        <v>227</v>
      </c>
      <c r="X509" s="7" t="s">
        <v>200</v>
      </c>
      <c r="Y509" s="7" t="s">
        <v>5476</v>
      </c>
      <c r="Z509" s="7" t="s">
        <v>1040</v>
      </c>
      <c r="AA509" s="7" t="s">
        <v>3608</v>
      </c>
      <c r="AB509" s="7" t="s">
        <v>4426</v>
      </c>
      <c r="AC509" s="7" t="s">
        <v>5552</v>
      </c>
      <c r="AD509" s="8">
        <v>45751</v>
      </c>
      <c r="AE509" s="8">
        <v>46003</v>
      </c>
      <c r="AF509" s="7"/>
    </row>
    <row r="510" spans="1:32" ht="30" customHeight="1" x14ac:dyDescent="0.3">
      <c r="A510" s="5">
        <v>5323460</v>
      </c>
      <c r="B510" s="5" t="s">
        <v>3132</v>
      </c>
      <c r="C510" s="5" t="s">
        <v>5553</v>
      </c>
      <c r="D510" s="5" t="s">
        <v>862</v>
      </c>
      <c r="E510" s="5" t="s">
        <v>203</v>
      </c>
      <c r="F510" s="5" t="s">
        <v>234</v>
      </c>
      <c r="G510" s="5" t="s">
        <v>208</v>
      </c>
      <c r="H510" s="5" t="s">
        <v>207</v>
      </c>
      <c r="I510" s="5" t="s">
        <v>3133</v>
      </c>
      <c r="J510" s="5" t="s">
        <v>227</v>
      </c>
      <c r="K510" s="5" t="s">
        <v>200</v>
      </c>
      <c r="L510" s="5" t="s">
        <v>1941</v>
      </c>
      <c r="M510" s="5" t="s">
        <v>2097</v>
      </c>
      <c r="N510" s="5" t="s">
        <v>3623</v>
      </c>
      <c r="O510" s="5" t="s">
        <v>3894</v>
      </c>
      <c r="P510" s="5">
        <v>5568935</v>
      </c>
      <c r="Q510" s="5" t="s">
        <v>5554</v>
      </c>
      <c r="R510" s="5" t="s">
        <v>203</v>
      </c>
      <c r="S510" s="5" t="s">
        <v>234</v>
      </c>
      <c r="T510" s="5" t="s">
        <v>217</v>
      </c>
      <c r="U510" s="5" t="s">
        <v>207</v>
      </c>
      <c r="V510" s="5" t="s">
        <v>5555</v>
      </c>
      <c r="W510" s="5" t="s">
        <v>227</v>
      </c>
      <c r="X510" s="5" t="s">
        <v>200</v>
      </c>
      <c r="Y510" s="5" t="s">
        <v>5556</v>
      </c>
      <c r="Z510" s="5" t="s">
        <v>1328</v>
      </c>
      <c r="AA510" s="5" t="s">
        <v>3612</v>
      </c>
      <c r="AB510" s="5" t="s">
        <v>3894</v>
      </c>
      <c r="AC510" s="5" t="s">
        <v>5557</v>
      </c>
      <c r="AD510" s="6">
        <v>45796</v>
      </c>
      <c r="AE510" s="5"/>
      <c r="AF510" s="5"/>
    </row>
    <row r="511" spans="1:32" ht="183" customHeight="1" x14ac:dyDescent="0.3">
      <c r="A511" s="7">
        <v>3020312</v>
      </c>
      <c r="B511" s="7" t="s">
        <v>513</v>
      </c>
      <c r="C511" s="7" t="s">
        <v>5558</v>
      </c>
      <c r="D511" s="7" t="s">
        <v>198</v>
      </c>
      <c r="E511" s="7" t="s">
        <v>203</v>
      </c>
      <c r="F511" s="7" t="s">
        <v>234</v>
      </c>
      <c r="G511" s="7" t="s">
        <v>217</v>
      </c>
      <c r="H511" s="7" t="s">
        <v>245</v>
      </c>
      <c r="I511" s="7" t="s">
        <v>514</v>
      </c>
      <c r="J511" s="7" t="s">
        <v>227</v>
      </c>
      <c r="K511" s="7" t="s">
        <v>200</v>
      </c>
      <c r="L511" s="7" t="s">
        <v>515</v>
      </c>
      <c r="M511" s="7" t="s">
        <v>516</v>
      </c>
      <c r="N511" s="7" t="s">
        <v>3602</v>
      </c>
      <c r="O511" s="7" t="s">
        <v>3711</v>
      </c>
      <c r="P511" s="7">
        <v>8877271</v>
      </c>
      <c r="Q511" s="7" t="s">
        <v>3509</v>
      </c>
      <c r="R511" s="7" t="s">
        <v>203</v>
      </c>
      <c r="S511" s="7" t="s">
        <v>234</v>
      </c>
      <c r="T511" s="7" t="s">
        <v>217</v>
      </c>
      <c r="U511" s="7" t="s">
        <v>2330</v>
      </c>
      <c r="V511" s="7" t="s">
        <v>3393</v>
      </c>
      <c r="W511" s="7" t="s">
        <v>227</v>
      </c>
      <c r="X511" s="7" t="s">
        <v>200</v>
      </c>
      <c r="Y511" s="7" t="s">
        <v>2567</v>
      </c>
      <c r="Z511" s="7" t="s">
        <v>3394</v>
      </c>
      <c r="AA511" s="7" t="s">
        <v>3729</v>
      </c>
      <c r="AB511" s="7" t="s">
        <v>3609</v>
      </c>
      <c r="AC511" s="7" t="s">
        <v>5559</v>
      </c>
      <c r="AD511" s="8">
        <v>45797</v>
      </c>
      <c r="AE511" s="7"/>
      <c r="AF511" s="7"/>
    </row>
    <row r="512" spans="1:32" ht="30" customHeight="1" x14ac:dyDescent="0.3">
      <c r="A512" s="5">
        <v>3004473</v>
      </c>
      <c r="B512" s="5" t="s">
        <v>762</v>
      </c>
      <c r="C512" s="5" t="s">
        <v>5560</v>
      </c>
      <c r="D512" s="5" t="s">
        <v>862</v>
      </c>
      <c r="E512" s="5" t="s">
        <v>203</v>
      </c>
      <c r="F512" s="5" t="s">
        <v>444</v>
      </c>
      <c r="G512" s="5" t="s">
        <v>208</v>
      </c>
      <c r="H512" s="5" t="s">
        <v>245</v>
      </c>
      <c r="I512" s="5" t="s">
        <v>763</v>
      </c>
      <c r="J512" s="5" t="s">
        <v>227</v>
      </c>
      <c r="K512" s="5" t="s">
        <v>200</v>
      </c>
      <c r="L512" s="5" t="s">
        <v>764</v>
      </c>
      <c r="M512" s="5" t="s">
        <v>299</v>
      </c>
      <c r="N512" s="5" t="s">
        <v>3602</v>
      </c>
      <c r="O512" s="5" t="s">
        <v>3603</v>
      </c>
      <c r="P512" s="5">
        <v>4855612</v>
      </c>
      <c r="Q512" s="5" t="s">
        <v>5561</v>
      </c>
      <c r="R512" s="5" t="s">
        <v>203</v>
      </c>
      <c r="S512" s="5" t="s">
        <v>234</v>
      </c>
      <c r="T512" s="5" t="s">
        <v>208</v>
      </c>
      <c r="U512" s="5" t="s">
        <v>207</v>
      </c>
      <c r="V512" s="5" t="s">
        <v>5562</v>
      </c>
      <c r="W512" s="5" t="s">
        <v>227</v>
      </c>
      <c r="X512" s="5" t="s">
        <v>200</v>
      </c>
      <c r="Y512" s="5" t="s">
        <v>2515</v>
      </c>
      <c r="Z512" s="5" t="s">
        <v>700</v>
      </c>
      <c r="AA512" s="5" t="s">
        <v>3608</v>
      </c>
      <c r="AB512" s="5" t="s">
        <v>4478</v>
      </c>
      <c r="AC512" s="5" t="s">
        <v>5563</v>
      </c>
      <c r="AD512" s="6">
        <v>45748</v>
      </c>
      <c r="AE512" s="6">
        <v>46112</v>
      </c>
      <c r="AF512" s="5"/>
    </row>
    <row r="513" spans="1:32" ht="30" customHeight="1" x14ac:dyDescent="0.3">
      <c r="A513" s="7">
        <v>5020964</v>
      </c>
      <c r="B513" s="7" t="s">
        <v>2589</v>
      </c>
      <c r="C513" s="7"/>
      <c r="D513" s="7" t="s">
        <v>354</v>
      </c>
      <c r="E513" s="7" t="s">
        <v>203</v>
      </c>
      <c r="F513" s="7" t="s">
        <v>433</v>
      </c>
      <c r="G513" s="7" t="s">
        <v>217</v>
      </c>
      <c r="H513" s="7" t="s">
        <v>207</v>
      </c>
      <c r="I513" s="7" t="s">
        <v>2590</v>
      </c>
      <c r="J513" s="7" t="s">
        <v>227</v>
      </c>
      <c r="K513" s="7" t="s">
        <v>200</v>
      </c>
      <c r="L513" s="7" t="s">
        <v>2591</v>
      </c>
      <c r="M513" s="7" t="s">
        <v>2592</v>
      </c>
      <c r="N513" s="7" t="s">
        <v>3623</v>
      </c>
      <c r="O513" s="7" t="s">
        <v>3960</v>
      </c>
      <c r="P513" s="7">
        <v>4807200</v>
      </c>
      <c r="Q513" s="7" t="s">
        <v>2198</v>
      </c>
      <c r="R513" s="7" t="s">
        <v>203</v>
      </c>
      <c r="S513" s="7" t="s">
        <v>418</v>
      </c>
      <c r="T513" s="7" t="s">
        <v>208</v>
      </c>
      <c r="U513" s="7" t="s">
        <v>245</v>
      </c>
      <c r="V513" s="7" t="s">
        <v>2005</v>
      </c>
      <c r="W513" s="7" t="s">
        <v>227</v>
      </c>
      <c r="X513" s="7" t="s">
        <v>200</v>
      </c>
      <c r="Y513" s="7" t="s">
        <v>2006</v>
      </c>
      <c r="Z513" s="7" t="s">
        <v>2199</v>
      </c>
      <c r="AA513" s="7" t="s">
        <v>3608</v>
      </c>
      <c r="AB513" s="7" t="s">
        <v>3705</v>
      </c>
      <c r="AC513" s="7" t="s">
        <v>5564</v>
      </c>
      <c r="AD513" s="8">
        <v>45809</v>
      </c>
      <c r="AE513" s="8">
        <v>46053</v>
      </c>
      <c r="AF513" s="7"/>
    </row>
    <row r="514" spans="1:32" ht="326.25" customHeight="1" x14ac:dyDescent="0.3">
      <c r="A514" s="5">
        <v>4807200</v>
      </c>
      <c r="B514" s="5" t="s">
        <v>2198</v>
      </c>
      <c r="C514" s="5" t="s">
        <v>5565</v>
      </c>
      <c r="D514" s="5" t="s">
        <v>198</v>
      </c>
      <c r="E514" s="5" t="s">
        <v>203</v>
      </c>
      <c r="F514" s="5" t="s">
        <v>418</v>
      </c>
      <c r="G514" s="5" t="s">
        <v>208</v>
      </c>
      <c r="H514" s="5" t="s">
        <v>245</v>
      </c>
      <c r="I514" s="5" t="s">
        <v>2005</v>
      </c>
      <c r="J514" s="5" t="s">
        <v>227</v>
      </c>
      <c r="K514" s="5" t="s">
        <v>200</v>
      </c>
      <c r="L514" s="5" t="s">
        <v>2006</v>
      </c>
      <c r="M514" s="5" t="s">
        <v>2199</v>
      </c>
      <c r="N514" s="5" t="s">
        <v>3608</v>
      </c>
      <c r="O514" s="5" t="s">
        <v>3705</v>
      </c>
      <c r="P514" s="5">
        <v>5496667</v>
      </c>
      <c r="Q514" s="5" t="s">
        <v>5566</v>
      </c>
      <c r="R514" s="5" t="s">
        <v>203</v>
      </c>
      <c r="S514" s="5" t="s">
        <v>234</v>
      </c>
      <c r="T514" s="5" t="s">
        <v>217</v>
      </c>
      <c r="U514" s="5" t="s">
        <v>233</v>
      </c>
      <c r="V514" s="5" t="s">
        <v>5567</v>
      </c>
      <c r="W514" s="5" t="s">
        <v>227</v>
      </c>
      <c r="X514" s="5" t="s">
        <v>200</v>
      </c>
      <c r="Y514" s="5" t="s">
        <v>1057</v>
      </c>
      <c r="Z514" s="5" t="s">
        <v>1445</v>
      </c>
      <c r="AA514" s="5" t="s">
        <v>3612</v>
      </c>
      <c r="AB514" s="5" t="s">
        <v>3705</v>
      </c>
      <c r="AC514" s="5" t="s">
        <v>5568</v>
      </c>
      <c r="AD514" s="6">
        <v>45810</v>
      </c>
      <c r="AE514" s="6">
        <v>45899</v>
      </c>
      <c r="AF514" s="5"/>
    </row>
    <row r="515" spans="1:32" ht="40.5" customHeight="1" x14ac:dyDescent="0.3">
      <c r="A515" s="7">
        <v>5012457</v>
      </c>
      <c r="B515" s="7" t="s">
        <v>2577</v>
      </c>
      <c r="C515" s="7" t="s">
        <v>5569</v>
      </c>
      <c r="D515" s="7" t="s">
        <v>198</v>
      </c>
      <c r="E515" s="7" t="s">
        <v>203</v>
      </c>
      <c r="F515" s="7" t="s">
        <v>418</v>
      </c>
      <c r="G515" s="7" t="s">
        <v>217</v>
      </c>
      <c r="H515" s="7" t="s">
        <v>207</v>
      </c>
      <c r="I515" s="7" t="s">
        <v>2578</v>
      </c>
      <c r="J515" s="7" t="s">
        <v>227</v>
      </c>
      <c r="K515" s="7" t="s">
        <v>200</v>
      </c>
      <c r="L515" s="7" t="s">
        <v>1440</v>
      </c>
      <c r="M515" s="7" t="s">
        <v>922</v>
      </c>
      <c r="N515" s="7" t="s">
        <v>3623</v>
      </c>
      <c r="O515" s="7" t="s">
        <v>3736</v>
      </c>
      <c r="P515" s="7">
        <v>5126827</v>
      </c>
      <c r="Q515" s="7" t="s">
        <v>5570</v>
      </c>
      <c r="R515" s="7" t="s">
        <v>203</v>
      </c>
      <c r="S515" s="7" t="s">
        <v>418</v>
      </c>
      <c r="T515" s="7" t="s">
        <v>217</v>
      </c>
      <c r="U515" s="7" t="s">
        <v>207</v>
      </c>
      <c r="V515" s="7" t="s">
        <v>5571</v>
      </c>
      <c r="W515" s="7" t="s">
        <v>227</v>
      </c>
      <c r="X515" s="7" t="s">
        <v>200</v>
      </c>
      <c r="Y515" s="7" t="s">
        <v>5572</v>
      </c>
      <c r="Z515" s="7" t="s">
        <v>922</v>
      </c>
      <c r="AA515" s="7" t="s">
        <v>3623</v>
      </c>
      <c r="AB515" s="7" t="s">
        <v>3736</v>
      </c>
      <c r="AC515" s="7" t="s">
        <v>5573</v>
      </c>
      <c r="AD515" s="8">
        <v>45797</v>
      </c>
      <c r="AE515" s="8">
        <v>46203</v>
      </c>
      <c r="AF515" s="7"/>
    </row>
    <row r="516" spans="1:32" ht="51" customHeight="1" x14ac:dyDescent="0.3">
      <c r="A516" s="5">
        <v>2363895</v>
      </c>
      <c r="B516" s="5" t="s">
        <v>623</v>
      </c>
      <c r="C516" s="5" t="s">
        <v>5574</v>
      </c>
      <c r="D516" s="5" t="s">
        <v>354</v>
      </c>
      <c r="E516" s="5" t="s">
        <v>203</v>
      </c>
      <c r="F516" s="5" t="s">
        <v>234</v>
      </c>
      <c r="G516" s="5" t="s">
        <v>217</v>
      </c>
      <c r="H516" s="5" t="s">
        <v>233</v>
      </c>
      <c r="I516" s="5" t="s">
        <v>624</v>
      </c>
      <c r="J516" s="5" t="s">
        <v>227</v>
      </c>
      <c r="K516" s="5" t="s">
        <v>200</v>
      </c>
      <c r="L516" s="5" t="s">
        <v>625</v>
      </c>
      <c r="M516" s="5" t="s">
        <v>626</v>
      </c>
      <c r="N516" s="5" t="s">
        <v>3652</v>
      </c>
      <c r="O516" s="5" t="s">
        <v>3609</v>
      </c>
      <c r="P516" s="5">
        <v>7540361</v>
      </c>
      <c r="Q516" s="5" t="s">
        <v>4066</v>
      </c>
      <c r="R516" s="5" t="s">
        <v>203</v>
      </c>
      <c r="S516" s="5" t="s">
        <v>234</v>
      </c>
      <c r="T516" s="5" t="s">
        <v>208</v>
      </c>
      <c r="U516" s="5" t="s">
        <v>245</v>
      </c>
      <c r="V516" s="5" t="s">
        <v>4067</v>
      </c>
      <c r="W516" s="5" t="s">
        <v>227</v>
      </c>
      <c r="X516" s="5" t="s">
        <v>200</v>
      </c>
      <c r="Y516" s="5" t="s">
        <v>4068</v>
      </c>
      <c r="Z516" s="5" t="s">
        <v>2187</v>
      </c>
      <c r="AA516" s="5" t="s">
        <v>3612</v>
      </c>
      <c r="AB516" s="5" t="s">
        <v>3609</v>
      </c>
      <c r="AC516" s="5" t="s">
        <v>5575</v>
      </c>
      <c r="AD516" s="6">
        <v>45471</v>
      </c>
      <c r="AE516" s="5"/>
      <c r="AF516" s="5"/>
    </row>
    <row r="517" spans="1:32" ht="285" customHeight="1" x14ac:dyDescent="0.3">
      <c r="A517" s="7">
        <v>3878414</v>
      </c>
      <c r="B517" s="7" t="s">
        <v>1743</v>
      </c>
      <c r="C517" s="7" t="s">
        <v>5576</v>
      </c>
      <c r="D517" s="7" t="s">
        <v>198</v>
      </c>
      <c r="E517" s="7" t="s">
        <v>203</v>
      </c>
      <c r="F517" s="7" t="s">
        <v>433</v>
      </c>
      <c r="G517" s="7" t="s">
        <v>217</v>
      </c>
      <c r="H517" s="7" t="s">
        <v>245</v>
      </c>
      <c r="I517" s="7" t="s">
        <v>1744</v>
      </c>
      <c r="J517" s="7" t="s">
        <v>227</v>
      </c>
      <c r="K517" s="7" t="s">
        <v>200</v>
      </c>
      <c r="L517" s="7" t="s">
        <v>1745</v>
      </c>
      <c r="M517" s="7" t="s">
        <v>1746</v>
      </c>
      <c r="N517" s="7" t="s">
        <v>3608</v>
      </c>
      <c r="O517" s="7" t="s">
        <v>3727</v>
      </c>
      <c r="P517" s="7">
        <v>5534313</v>
      </c>
      <c r="Q517" s="7" t="s">
        <v>5577</v>
      </c>
      <c r="R517" s="7" t="s">
        <v>203</v>
      </c>
      <c r="S517" s="7" t="s">
        <v>433</v>
      </c>
      <c r="T517" s="7" t="s">
        <v>217</v>
      </c>
      <c r="U517" s="7" t="s">
        <v>207</v>
      </c>
      <c r="V517" s="7" t="s">
        <v>5578</v>
      </c>
      <c r="W517" s="7" t="s">
        <v>227</v>
      </c>
      <c r="X517" s="7" t="s">
        <v>200</v>
      </c>
      <c r="Y517" s="7" t="s">
        <v>5579</v>
      </c>
      <c r="Z517" s="7" t="s">
        <v>5580</v>
      </c>
      <c r="AA517" s="7" t="s">
        <v>3612</v>
      </c>
      <c r="AB517" s="7" t="s">
        <v>3609</v>
      </c>
      <c r="AC517" s="7" t="s">
        <v>5581</v>
      </c>
      <c r="AD517" s="8">
        <v>45810</v>
      </c>
      <c r="AE517" s="8">
        <v>45870</v>
      </c>
      <c r="AF517" s="7"/>
    </row>
    <row r="518" spans="1:32" ht="60.75" customHeight="1" x14ac:dyDescent="0.3">
      <c r="A518" s="5">
        <v>4613430</v>
      </c>
      <c r="B518" s="5" t="s">
        <v>1868</v>
      </c>
      <c r="C518" s="5" t="s">
        <v>5582</v>
      </c>
      <c r="D518" s="5" t="s">
        <v>354</v>
      </c>
      <c r="E518" s="5" t="s">
        <v>203</v>
      </c>
      <c r="F518" s="5" t="s">
        <v>418</v>
      </c>
      <c r="G518" s="5" t="s">
        <v>217</v>
      </c>
      <c r="H518" s="5" t="s">
        <v>233</v>
      </c>
      <c r="I518" s="5" t="s">
        <v>1869</v>
      </c>
      <c r="J518" s="5" t="s">
        <v>227</v>
      </c>
      <c r="K518" s="5" t="s">
        <v>200</v>
      </c>
      <c r="L518" s="5" t="s">
        <v>1870</v>
      </c>
      <c r="M518" s="5" t="s">
        <v>1045</v>
      </c>
      <c r="N518" s="5" t="s">
        <v>3652</v>
      </c>
      <c r="O518" s="5" t="s">
        <v>3912</v>
      </c>
      <c r="P518" s="5">
        <v>5304334</v>
      </c>
      <c r="Q518" s="5" t="s">
        <v>5583</v>
      </c>
      <c r="R518" s="5" t="s">
        <v>203</v>
      </c>
      <c r="S518" s="5" t="s">
        <v>234</v>
      </c>
      <c r="T518" s="5" t="s">
        <v>217</v>
      </c>
      <c r="U518" s="5" t="s">
        <v>245</v>
      </c>
      <c r="V518" s="5" t="s">
        <v>5584</v>
      </c>
      <c r="W518" s="5" t="s">
        <v>227</v>
      </c>
      <c r="X518" s="5" t="s">
        <v>200</v>
      </c>
      <c r="Y518" s="5" t="s">
        <v>5585</v>
      </c>
      <c r="Z518" s="5" t="s">
        <v>1898</v>
      </c>
      <c r="AA518" s="5" t="s">
        <v>3623</v>
      </c>
      <c r="AB518" s="5" t="s">
        <v>3705</v>
      </c>
      <c r="AC518" s="5" t="s">
        <v>5586</v>
      </c>
      <c r="AD518" s="6">
        <v>45790</v>
      </c>
      <c r="AE518" s="6">
        <v>46003</v>
      </c>
      <c r="AF518" s="5"/>
    </row>
    <row r="519" spans="1:32" ht="40.5" customHeight="1" x14ac:dyDescent="0.3">
      <c r="A519" s="7">
        <v>5448255</v>
      </c>
      <c r="B519" s="7" t="s">
        <v>3212</v>
      </c>
      <c r="C519" s="7"/>
      <c r="D519" s="7" t="s">
        <v>862</v>
      </c>
      <c r="E519" s="7" t="s">
        <v>203</v>
      </c>
      <c r="F519" s="7" t="s">
        <v>234</v>
      </c>
      <c r="G519" s="7" t="s">
        <v>208</v>
      </c>
      <c r="H519" s="7" t="s">
        <v>207</v>
      </c>
      <c r="I519" s="7" t="s">
        <v>3213</v>
      </c>
      <c r="J519" s="7" t="s">
        <v>227</v>
      </c>
      <c r="K519" s="7" t="s">
        <v>200</v>
      </c>
      <c r="L519" s="7" t="s">
        <v>3214</v>
      </c>
      <c r="M519" s="7" t="s">
        <v>1328</v>
      </c>
      <c r="N519" s="7" t="s">
        <v>3729</v>
      </c>
      <c r="O519" s="7" t="s">
        <v>3894</v>
      </c>
      <c r="P519" s="7">
        <v>5558883</v>
      </c>
      <c r="Q519" s="7" t="s">
        <v>5587</v>
      </c>
      <c r="R519" s="7" t="s">
        <v>203</v>
      </c>
      <c r="S519" s="7" t="s">
        <v>234</v>
      </c>
      <c r="T519" s="7" t="s">
        <v>217</v>
      </c>
      <c r="U519" s="7" t="s">
        <v>207</v>
      </c>
      <c r="V519" s="7" t="s">
        <v>5588</v>
      </c>
      <c r="W519" s="7" t="s">
        <v>227</v>
      </c>
      <c r="X519" s="7" t="s">
        <v>200</v>
      </c>
      <c r="Y519" s="7" t="s">
        <v>5589</v>
      </c>
      <c r="Z519" s="7" t="s">
        <v>3494</v>
      </c>
      <c r="AA519" s="7" t="s">
        <v>3612</v>
      </c>
      <c r="AB519" s="7" t="s">
        <v>4356</v>
      </c>
      <c r="AC519" s="7" t="s">
        <v>5590</v>
      </c>
      <c r="AD519" s="8">
        <v>45810</v>
      </c>
      <c r="AE519" s="7"/>
      <c r="AF519" s="7"/>
    </row>
    <row r="520" spans="1:32" ht="30" customHeight="1" x14ac:dyDescent="0.3">
      <c r="A520" s="5">
        <v>5054729</v>
      </c>
      <c r="B520" s="5" t="s">
        <v>5448</v>
      </c>
      <c r="C520" s="5" t="s">
        <v>5591</v>
      </c>
      <c r="D520" s="5" t="s">
        <v>862</v>
      </c>
      <c r="E520" s="5"/>
      <c r="F520" s="5" t="s">
        <v>234</v>
      </c>
      <c r="G520" s="5" t="s">
        <v>208</v>
      </c>
      <c r="H520" s="5" t="s">
        <v>207</v>
      </c>
      <c r="I520" s="5"/>
      <c r="J520" s="5" t="s">
        <v>227</v>
      </c>
      <c r="K520" s="5"/>
      <c r="L520" s="5"/>
      <c r="M520" s="5"/>
      <c r="N520" s="5" t="s">
        <v>3612</v>
      </c>
      <c r="O520" s="5"/>
      <c r="P520" s="5">
        <v>3664023</v>
      </c>
      <c r="Q520" s="5" t="s">
        <v>5592</v>
      </c>
      <c r="R520" s="5" t="s">
        <v>203</v>
      </c>
      <c r="S520" s="5" t="s">
        <v>234</v>
      </c>
      <c r="T520" s="5" t="s">
        <v>217</v>
      </c>
      <c r="U520" s="5" t="s">
        <v>245</v>
      </c>
      <c r="V520" s="5" t="s">
        <v>5451</v>
      </c>
      <c r="W520" s="5" t="s">
        <v>227</v>
      </c>
      <c r="X520" s="5" t="s">
        <v>200</v>
      </c>
      <c r="Y520" s="5" t="s">
        <v>5452</v>
      </c>
      <c r="Z520" s="5" t="s">
        <v>1574</v>
      </c>
      <c r="AA520" s="5" t="s">
        <v>3623</v>
      </c>
      <c r="AB520" s="5" t="s">
        <v>3824</v>
      </c>
      <c r="AC520" s="5" t="s">
        <v>5593</v>
      </c>
      <c r="AD520" s="6">
        <v>45814</v>
      </c>
      <c r="AE520" s="6">
        <v>46179</v>
      </c>
      <c r="AF520" s="5"/>
    </row>
    <row r="521" spans="1:32" ht="40.5" customHeight="1" x14ac:dyDescent="0.3">
      <c r="A521" s="7">
        <v>5376963</v>
      </c>
      <c r="B521" s="7" t="s">
        <v>3176</v>
      </c>
      <c r="C521" s="7" t="s">
        <v>5594</v>
      </c>
      <c r="D521" s="7" t="s">
        <v>198</v>
      </c>
      <c r="E521" s="7" t="s">
        <v>203</v>
      </c>
      <c r="F521" s="7" t="s">
        <v>418</v>
      </c>
      <c r="G521" s="7" t="s">
        <v>208</v>
      </c>
      <c r="H521" s="7" t="s">
        <v>2330</v>
      </c>
      <c r="I521" s="7" t="s">
        <v>3177</v>
      </c>
      <c r="J521" s="7" t="s">
        <v>227</v>
      </c>
      <c r="K521" s="7" t="s">
        <v>200</v>
      </c>
      <c r="L521" s="7" t="s">
        <v>3178</v>
      </c>
      <c r="M521" s="7" t="s">
        <v>3179</v>
      </c>
      <c r="N521" s="7" t="s">
        <v>3612</v>
      </c>
      <c r="O521" s="7" t="s">
        <v>3743</v>
      </c>
      <c r="P521" s="7">
        <v>5605350</v>
      </c>
      <c r="Q521" s="7" t="s">
        <v>5595</v>
      </c>
      <c r="R521" s="7" t="s">
        <v>203</v>
      </c>
      <c r="S521" s="7" t="s">
        <v>234</v>
      </c>
      <c r="T521" s="7" t="s">
        <v>208</v>
      </c>
      <c r="U521" s="7" t="s">
        <v>2330</v>
      </c>
      <c r="V521" s="7" t="s">
        <v>3177</v>
      </c>
      <c r="W521" s="7" t="s">
        <v>227</v>
      </c>
      <c r="X521" s="7" t="s">
        <v>200</v>
      </c>
      <c r="Y521" s="7" t="s">
        <v>3178</v>
      </c>
      <c r="Z521" s="7" t="s">
        <v>1203</v>
      </c>
      <c r="AA521" s="7" t="s">
        <v>3612</v>
      </c>
      <c r="AB521" s="7" t="s">
        <v>3743</v>
      </c>
      <c r="AC521" s="7" t="s">
        <v>5596</v>
      </c>
      <c r="AD521" s="8">
        <v>45820</v>
      </c>
      <c r="AE521" s="8">
        <v>47848</v>
      </c>
      <c r="AF521" s="7"/>
    </row>
    <row r="522" spans="1:32" ht="173.25" customHeight="1" x14ac:dyDescent="0.3">
      <c r="A522" s="5">
        <v>4776690</v>
      </c>
      <c r="B522" s="5" t="s">
        <v>2163</v>
      </c>
      <c r="C522" s="5" t="s">
        <v>5597</v>
      </c>
      <c r="D522" s="5" t="s">
        <v>198</v>
      </c>
      <c r="E522" s="5" t="s">
        <v>203</v>
      </c>
      <c r="F522" s="5" t="s">
        <v>433</v>
      </c>
      <c r="G522" s="5" t="s">
        <v>217</v>
      </c>
      <c r="H522" s="5" t="s">
        <v>245</v>
      </c>
      <c r="I522" s="5" t="s">
        <v>2164</v>
      </c>
      <c r="J522" s="5" t="s">
        <v>227</v>
      </c>
      <c r="K522" s="5" t="s">
        <v>200</v>
      </c>
      <c r="L522" s="5" t="s">
        <v>2165</v>
      </c>
      <c r="M522" s="5" t="s">
        <v>516</v>
      </c>
      <c r="N522" s="5" t="s">
        <v>3608</v>
      </c>
      <c r="O522" s="5" t="s">
        <v>3711</v>
      </c>
      <c r="P522" s="5">
        <v>5228824</v>
      </c>
      <c r="Q522" s="5" t="s">
        <v>5598</v>
      </c>
      <c r="R522" s="5" t="s">
        <v>203</v>
      </c>
      <c r="S522" s="5" t="s">
        <v>234</v>
      </c>
      <c r="T522" s="5" t="s">
        <v>208</v>
      </c>
      <c r="U522" s="5" t="s">
        <v>207</v>
      </c>
      <c r="V522" s="5" t="s">
        <v>5599</v>
      </c>
      <c r="W522" s="5" t="s">
        <v>227</v>
      </c>
      <c r="X522" s="5" t="s">
        <v>200</v>
      </c>
      <c r="Y522" s="5" t="s">
        <v>5600</v>
      </c>
      <c r="Z522" s="5" t="s">
        <v>452</v>
      </c>
      <c r="AA522" s="5" t="s">
        <v>3623</v>
      </c>
      <c r="AB522" s="5" t="s">
        <v>3702</v>
      </c>
      <c r="AC522" s="5" t="s">
        <v>5601</v>
      </c>
      <c r="AD522" s="6">
        <v>45820</v>
      </c>
      <c r="AE522" s="5"/>
      <c r="AF522" s="5"/>
    </row>
    <row r="523" spans="1:32" ht="30" customHeight="1" x14ac:dyDescent="0.3">
      <c r="A523" s="7">
        <v>4698576</v>
      </c>
      <c r="B523" s="7" t="s">
        <v>2016</v>
      </c>
      <c r="C523" s="7" t="s">
        <v>5602</v>
      </c>
      <c r="D523" s="7" t="s">
        <v>354</v>
      </c>
      <c r="E523" s="7" t="s">
        <v>203</v>
      </c>
      <c r="F523" s="7" t="s">
        <v>433</v>
      </c>
      <c r="G523" s="7" t="s">
        <v>217</v>
      </c>
      <c r="H523" s="7" t="s">
        <v>245</v>
      </c>
      <c r="I523" s="7" t="s">
        <v>2017</v>
      </c>
      <c r="J523" s="7" t="s">
        <v>227</v>
      </c>
      <c r="K523" s="7" t="s">
        <v>413</v>
      </c>
      <c r="L523" s="7" t="s">
        <v>2018</v>
      </c>
      <c r="M523" s="7" t="s">
        <v>2019</v>
      </c>
      <c r="N523" s="7" t="s">
        <v>3612</v>
      </c>
      <c r="O523" s="7" t="s">
        <v>3725</v>
      </c>
      <c r="P523" s="7">
        <v>4789571</v>
      </c>
      <c r="Q523" s="7" t="s">
        <v>5603</v>
      </c>
      <c r="R523" s="7" t="s">
        <v>203</v>
      </c>
      <c r="S523" s="7" t="s">
        <v>234</v>
      </c>
      <c r="T523" s="7" t="s">
        <v>217</v>
      </c>
      <c r="U523" s="7" t="s">
        <v>207</v>
      </c>
      <c r="V523" s="7" t="s">
        <v>5604</v>
      </c>
      <c r="W523" s="7" t="s">
        <v>227</v>
      </c>
      <c r="X523" s="7" t="s">
        <v>413</v>
      </c>
      <c r="Y523" s="7" t="s">
        <v>2018</v>
      </c>
      <c r="Z523" s="7" t="s">
        <v>982</v>
      </c>
      <c r="AA523" s="7" t="s">
        <v>3623</v>
      </c>
      <c r="AB523" s="7" t="s">
        <v>3725</v>
      </c>
      <c r="AC523" s="7" t="s">
        <v>5605</v>
      </c>
      <c r="AD523" s="8">
        <v>45827</v>
      </c>
      <c r="AE523" s="7"/>
      <c r="AF523" s="7"/>
    </row>
    <row r="524" spans="1:32" ht="255" customHeight="1" x14ac:dyDescent="0.3">
      <c r="A524" s="5">
        <v>2746573</v>
      </c>
      <c r="B524" s="5" t="s">
        <v>924</v>
      </c>
      <c r="C524" s="5" t="s">
        <v>5606</v>
      </c>
      <c r="D524" s="5" t="s">
        <v>862</v>
      </c>
      <c r="E524" s="5" t="s">
        <v>203</v>
      </c>
      <c r="F524" s="5" t="s">
        <v>418</v>
      </c>
      <c r="G524" s="5" t="s">
        <v>208</v>
      </c>
      <c r="H524" s="5" t="s">
        <v>245</v>
      </c>
      <c r="I524" s="5" t="s">
        <v>883</v>
      </c>
      <c r="J524" s="5" t="s">
        <v>227</v>
      </c>
      <c r="K524" s="5" t="s">
        <v>200</v>
      </c>
      <c r="L524" s="5" t="s">
        <v>884</v>
      </c>
      <c r="M524" s="5" t="s">
        <v>926</v>
      </c>
      <c r="N524" s="5" t="s">
        <v>3602</v>
      </c>
      <c r="O524" s="5" t="s">
        <v>3763</v>
      </c>
      <c r="P524" s="5">
        <v>8878650</v>
      </c>
      <c r="Q524" s="5" t="s">
        <v>5607</v>
      </c>
      <c r="R524" s="5" t="s">
        <v>737</v>
      </c>
      <c r="S524" s="5" t="s">
        <v>234</v>
      </c>
      <c r="T524" s="5" t="s">
        <v>208</v>
      </c>
      <c r="U524" s="5" t="s">
        <v>2330</v>
      </c>
      <c r="V524" s="5" t="s">
        <v>1602</v>
      </c>
      <c r="W524" s="5" t="s">
        <v>227</v>
      </c>
      <c r="X524" s="5" t="s">
        <v>200</v>
      </c>
      <c r="Y524" s="5" t="s">
        <v>1603</v>
      </c>
      <c r="Z524" s="5" t="s">
        <v>2415</v>
      </c>
      <c r="AA524" s="5" t="s">
        <v>3617</v>
      </c>
      <c r="AB524" s="5" t="s">
        <v>3635</v>
      </c>
      <c r="AC524" s="5" t="s">
        <v>5608</v>
      </c>
      <c r="AD524" s="6">
        <v>45839</v>
      </c>
      <c r="AE524" s="5"/>
      <c r="AF524" s="5"/>
    </row>
    <row r="525" spans="1:32" ht="142.5" customHeight="1" x14ac:dyDescent="0.3">
      <c r="A525" s="7">
        <v>3209105</v>
      </c>
      <c r="B525" s="7" t="s">
        <v>434</v>
      </c>
      <c r="C525" s="7" t="s">
        <v>5609</v>
      </c>
      <c r="D525" s="7" t="s">
        <v>198</v>
      </c>
      <c r="E525" s="7" t="s">
        <v>203</v>
      </c>
      <c r="F525" s="7" t="s">
        <v>418</v>
      </c>
      <c r="G525" s="7" t="s">
        <v>217</v>
      </c>
      <c r="H525" s="7" t="s">
        <v>245</v>
      </c>
      <c r="I525" s="7" t="s">
        <v>435</v>
      </c>
      <c r="J525" s="7" t="s">
        <v>227</v>
      </c>
      <c r="K525" s="7" t="s">
        <v>200</v>
      </c>
      <c r="L525" s="7" t="s">
        <v>436</v>
      </c>
      <c r="M525" s="7" t="s">
        <v>437</v>
      </c>
      <c r="N525" s="7" t="s">
        <v>3602</v>
      </c>
      <c r="O525" s="7" t="s">
        <v>3763</v>
      </c>
      <c r="P525" s="7">
        <v>3105857</v>
      </c>
      <c r="Q525" s="7" t="s">
        <v>771</v>
      </c>
      <c r="R525" s="7" t="s">
        <v>203</v>
      </c>
      <c r="S525" s="7" t="s">
        <v>234</v>
      </c>
      <c r="T525" s="7" t="s">
        <v>217</v>
      </c>
      <c r="U525" s="7" t="s">
        <v>245</v>
      </c>
      <c r="V525" s="7" t="s">
        <v>772</v>
      </c>
      <c r="W525" s="7" t="s">
        <v>227</v>
      </c>
      <c r="X525" s="7" t="s">
        <v>200</v>
      </c>
      <c r="Y525" s="7" t="s">
        <v>773</v>
      </c>
      <c r="Z525" s="7" t="s">
        <v>375</v>
      </c>
      <c r="AA525" s="7" t="s">
        <v>3602</v>
      </c>
      <c r="AB525" s="7" t="s">
        <v>3702</v>
      </c>
      <c r="AC525" s="7" t="s">
        <v>5610</v>
      </c>
      <c r="AD525" s="8">
        <v>45839</v>
      </c>
      <c r="AE525" s="8">
        <v>46204</v>
      </c>
      <c r="AF525" s="7"/>
    </row>
    <row r="526" spans="1:32" ht="153" customHeight="1" x14ac:dyDescent="0.3">
      <c r="A526" s="5">
        <v>4975278</v>
      </c>
      <c r="B526" s="5" t="s">
        <v>2545</v>
      </c>
      <c r="C526" s="5" t="s">
        <v>5611</v>
      </c>
      <c r="D526" s="5" t="s">
        <v>198</v>
      </c>
      <c r="E526" s="5" t="s">
        <v>203</v>
      </c>
      <c r="F526" s="5" t="s">
        <v>234</v>
      </c>
      <c r="G526" s="5" t="s">
        <v>217</v>
      </c>
      <c r="H526" s="5" t="s">
        <v>207</v>
      </c>
      <c r="I526" s="5" t="s">
        <v>2546</v>
      </c>
      <c r="J526" s="5" t="s">
        <v>227</v>
      </c>
      <c r="K526" s="5" t="s">
        <v>200</v>
      </c>
      <c r="L526" s="5" t="s">
        <v>2547</v>
      </c>
      <c r="M526" s="5" t="s">
        <v>594</v>
      </c>
      <c r="N526" s="5" t="s">
        <v>3623</v>
      </c>
      <c r="O526" s="5" t="s">
        <v>3919</v>
      </c>
      <c r="P526" s="5">
        <v>8877032</v>
      </c>
      <c r="Q526" s="5" t="s">
        <v>5240</v>
      </c>
      <c r="R526" s="5" t="s">
        <v>203</v>
      </c>
      <c r="S526" s="5" t="s">
        <v>234</v>
      </c>
      <c r="T526" s="5" t="s">
        <v>208</v>
      </c>
      <c r="U526" s="5" t="s">
        <v>2330</v>
      </c>
      <c r="V526" s="5" t="s">
        <v>5241</v>
      </c>
      <c r="W526" s="5" t="s">
        <v>227</v>
      </c>
      <c r="X526" s="5" t="s">
        <v>200</v>
      </c>
      <c r="Y526" s="5" t="s">
        <v>5242</v>
      </c>
      <c r="Z526" s="5" t="s">
        <v>410</v>
      </c>
      <c r="AA526" s="5" t="s">
        <v>3729</v>
      </c>
      <c r="AB526" s="5" t="s">
        <v>3609</v>
      </c>
      <c r="AC526" s="5" t="s">
        <v>5612</v>
      </c>
      <c r="AD526" s="6">
        <v>45839</v>
      </c>
      <c r="AE526" s="5"/>
      <c r="AF526" s="5"/>
    </row>
    <row r="527" spans="1:32" ht="122.25" customHeight="1" x14ac:dyDescent="0.3">
      <c r="A527" s="7">
        <v>5235049</v>
      </c>
      <c r="B527" s="7" t="s">
        <v>2939</v>
      </c>
      <c r="C527" s="7" t="s">
        <v>5613</v>
      </c>
      <c r="D527" s="7" t="s">
        <v>198</v>
      </c>
      <c r="E527" s="7" t="s">
        <v>203</v>
      </c>
      <c r="F527" s="7" t="s">
        <v>234</v>
      </c>
      <c r="G527" s="7" t="s">
        <v>217</v>
      </c>
      <c r="H527" s="7" t="s">
        <v>207</v>
      </c>
      <c r="I527" s="7" t="s">
        <v>1983</v>
      </c>
      <c r="J527" s="7" t="s">
        <v>227</v>
      </c>
      <c r="K527" s="7" t="s">
        <v>200</v>
      </c>
      <c r="L527" s="7" t="s">
        <v>1210</v>
      </c>
      <c r="M527" s="7" t="s">
        <v>1893</v>
      </c>
      <c r="N527" s="7" t="s">
        <v>3623</v>
      </c>
      <c r="O527" s="7" t="s">
        <v>3603</v>
      </c>
      <c r="P527" s="7">
        <v>5010349</v>
      </c>
      <c r="Q527" s="7" t="s">
        <v>5614</v>
      </c>
      <c r="R527" s="7" t="s">
        <v>203</v>
      </c>
      <c r="S527" s="7" t="s">
        <v>234</v>
      </c>
      <c r="T527" s="7" t="s">
        <v>217</v>
      </c>
      <c r="U527" s="7" t="s">
        <v>207</v>
      </c>
      <c r="V527" s="7" t="s">
        <v>5615</v>
      </c>
      <c r="W527" s="7" t="s">
        <v>227</v>
      </c>
      <c r="X527" s="7" t="s">
        <v>200</v>
      </c>
      <c r="Y527" s="7" t="s">
        <v>5616</v>
      </c>
      <c r="Z527" s="7" t="s">
        <v>700</v>
      </c>
      <c r="AA527" s="7" t="s">
        <v>3623</v>
      </c>
      <c r="AB527" s="7" t="s">
        <v>4478</v>
      </c>
      <c r="AC527" s="7" t="s">
        <v>5617</v>
      </c>
      <c r="AD527" s="8">
        <v>45810</v>
      </c>
      <c r="AE527" s="7"/>
      <c r="AF527" s="7"/>
    </row>
    <row r="528" spans="1:32" ht="315.75" customHeight="1" x14ac:dyDescent="0.3">
      <c r="A528" s="5">
        <v>8020797</v>
      </c>
      <c r="B528" s="5" t="s">
        <v>3364</v>
      </c>
      <c r="C528" s="5" t="s">
        <v>5618</v>
      </c>
      <c r="D528" s="5" t="s">
        <v>198</v>
      </c>
      <c r="E528" s="5" t="s">
        <v>203</v>
      </c>
      <c r="F528" s="5" t="s">
        <v>418</v>
      </c>
      <c r="G528" s="5" t="s">
        <v>217</v>
      </c>
      <c r="H528" s="5" t="s">
        <v>233</v>
      </c>
      <c r="I528" s="5" t="s">
        <v>3365</v>
      </c>
      <c r="J528" s="5" t="s">
        <v>227</v>
      </c>
      <c r="K528" s="5" t="s">
        <v>888</v>
      </c>
      <c r="L528" s="5" t="s">
        <v>2340</v>
      </c>
      <c r="M528" s="5" t="s">
        <v>3366</v>
      </c>
      <c r="N528" s="5" t="s">
        <v>3623</v>
      </c>
      <c r="O528" s="5" t="s">
        <v>3837</v>
      </c>
      <c r="P528" s="5">
        <v>5001609</v>
      </c>
      <c r="Q528" s="5" t="s">
        <v>5436</v>
      </c>
      <c r="R528" s="5" t="s">
        <v>203</v>
      </c>
      <c r="S528" s="5" t="s">
        <v>444</v>
      </c>
      <c r="T528" s="5" t="s">
        <v>217</v>
      </c>
      <c r="U528" s="5" t="s">
        <v>207</v>
      </c>
      <c r="V528" s="5" t="s">
        <v>5437</v>
      </c>
      <c r="W528" s="5" t="s">
        <v>227</v>
      </c>
      <c r="X528" s="5" t="s">
        <v>200</v>
      </c>
      <c r="Y528" s="5" t="s">
        <v>5438</v>
      </c>
      <c r="Z528" s="5" t="s">
        <v>4269</v>
      </c>
      <c r="AA528" s="5" t="s">
        <v>3623</v>
      </c>
      <c r="AB528" s="5" t="s">
        <v>3853</v>
      </c>
      <c r="AC528" s="5" t="s">
        <v>5619</v>
      </c>
      <c r="AD528" s="6">
        <v>45845</v>
      </c>
      <c r="AE528" s="5"/>
      <c r="AF528" s="5"/>
    </row>
    <row r="529" spans="1:32" ht="91.5" customHeight="1" x14ac:dyDescent="0.3">
      <c r="A529" s="7">
        <v>5527171</v>
      </c>
      <c r="B529" s="7" t="s">
        <v>5620</v>
      </c>
      <c r="C529" s="7" t="s">
        <v>5621</v>
      </c>
      <c r="D529" s="7" t="s">
        <v>198</v>
      </c>
      <c r="E529" s="7"/>
      <c r="F529" s="7" t="s">
        <v>234</v>
      </c>
      <c r="G529" s="7" t="s">
        <v>208</v>
      </c>
      <c r="H529" s="7" t="s">
        <v>207</v>
      </c>
      <c r="I529" s="7"/>
      <c r="J529" s="7" t="s">
        <v>227</v>
      </c>
      <c r="K529" s="7"/>
      <c r="L529" s="7"/>
      <c r="M529" s="7"/>
      <c r="N529" s="7" t="s">
        <v>3612</v>
      </c>
      <c r="O529" s="7"/>
      <c r="P529" s="7">
        <v>5611172</v>
      </c>
      <c r="Q529" s="7" t="s">
        <v>5622</v>
      </c>
      <c r="R529" s="7" t="s">
        <v>203</v>
      </c>
      <c r="S529" s="7" t="s">
        <v>234</v>
      </c>
      <c r="T529" s="7" t="s">
        <v>217</v>
      </c>
      <c r="U529" s="7" t="s">
        <v>2330</v>
      </c>
      <c r="V529" s="7" t="s">
        <v>3112</v>
      </c>
      <c r="W529" s="7" t="s">
        <v>227</v>
      </c>
      <c r="X529" s="7" t="s">
        <v>200</v>
      </c>
      <c r="Y529" s="7" t="s">
        <v>3113</v>
      </c>
      <c r="Z529" s="7" t="s">
        <v>3114</v>
      </c>
      <c r="AA529" s="7" t="s">
        <v>3612</v>
      </c>
      <c r="AB529" s="7" t="s">
        <v>3646</v>
      </c>
      <c r="AC529" s="7" t="s">
        <v>5623</v>
      </c>
      <c r="AD529" s="8">
        <v>45855</v>
      </c>
      <c r="AE529" s="8">
        <v>45999</v>
      </c>
      <c r="AF529" s="7"/>
    </row>
    <row r="530" spans="1:32" ht="409.5" customHeight="1" x14ac:dyDescent="0.3">
      <c r="A530" s="5">
        <v>5478960</v>
      </c>
      <c r="B530" s="5" t="s">
        <v>3253</v>
      </c>
      <c r="C530" s="5" t="s">
        <v>5624</v>
      </c>
      <c r="D530" s="5" t="s">
        <v>198</v>
      </c>
      <c r="E530" s="5" t="s">
        <v>203</v>
      </c>
      <c r="F530" s="5" t="s">
        <v>444</v>
      </c>
      <c r="G530" s="5" t="s">
        <v>208</v>
      </c>
      <c r="H530" s="5" t="s">
        <v>245</v>
      </c>
      <c r="I530" s="5" t="s">
        <v>3254</v>
      </c>
      <c r="J530" s="5" t="s">
        <v>227</v>
      </c>
      <c r="K530" s="5" t="s">
        <v>200</v>
      </c>
      <c r="L530" s="5" t="s">
        <v>981</v>
      </c>
      <c r="M530" s="5" t="s">
        <v>848</v>
      </c>
      <c r="N530" s="5" t="s">
        <v>3612</v>
      </c>
      <c r="O530" s="5" t="s">
        <v>3743</v>
      </c>
      <c r="P530" s="5">
        <v>5665582</v>
      </c>
      <c r="Q530" s="5" t="s">
        <v>5625</v>
      </c>
      <c r="R530" s="5" t="s">
        <v>203</v>
      </c>
      <c r="S530" s="5" t="s">
        <v>234</v>
      </c>
      <c r="T530" s="5" t="s">
        <v>217</v>
      </c>
      <c r="U530" s="5" t="s">
        <v>207</v>
      </c>
      <c r="V530" s="5" t="s">
        <v>5626</v>
      </c>
      <c r="W530" s="5" t="s">
        <v>227</v>
      </c>
      <c r="X530" s="5" t="s">
        <v>200</v>
      </c>
      <c r="Y530" s="5" t="s">
        <v>5489</v>
      </c>
      <c r="Z530" s="5" t="s">
        <v>700</v>
      </c>
      <c r="AA530" s="5" t="s">
        <v>3729</v>
      </c>
      <c r="AB530" s="5" t="s">
        <v>4478</v>
      </c>
      <c r="AC530" s="5" t="s">
        <v>5627</v>
      </c>
      <c r="AD530" s="6">
        <v>45852</v>
      </c>
      <c r="AE530" s="5"/>
      <c r="AF530" s="5"/>
    </row>
    <row r="531" spans="1:32" ht="30" customHeight="1" x14ac:dyDescent="0.3">
      <c r="A531" s="7">
        <v>3086178</v>
      </c>
      <c r="B531" s="7" t="s">
        <v>740</v>
      </c>
      <c r="C531" s="7"/>
      <c r="D531" s="7" t="s">
        <v>198</v>
      </c>
      <c r="E531" s="7" t="s">
        <v>203</v>
      </c>
      <c r="F531" s="7" t="s">
        <v>234</v>
      </c>
      <c r="G531" s="7" t="s">
        <v>208</v>
      </c>
      <c r="H531" s="7" t="s">
        <v>245</v>
      </c>
      <c r="I531" s="7" t="s">
        <v>741</v>
      </c>
      <c r="J531" s="7" t="s">
        <v>227</v>
      </c>
      <c r="K531" s="7" t="s">
        <v>200</v>
      </c>
      <c r="L531" s="7" t="s">
        <v>742</v>
      </c>
      <c r="M531" s="7" t="s">
        <v>416</v>
      </c>
      <c r="N531" s="7" t="s">
        <v>3602</v>
      </c>
      <c r="O531" s="7" t="s">
        <v>3763</v>
      </c>
      <c r="P531" s="7">
        <v>5489814</v>
      </c>
      <c r="Q531" s="7" t="s">
        <v>5628</v>
      </c>
      <c r="R531" s="7" t="s">
        <v>203</v>
      </c>
      <c r="S531" s="7" t="s">
        <v>234</v>
      </c>
      <c r="T531" s="7" t="s">
        <v>217</v>
      </c>
      <c r="U531" s="7" t="s">
        <v>2330</v>
      </c>
      <c r="V531" s="7" t="s">
        <v>5629</v>
      </c>
      <c r="W531" s="7" t="s">
        <v>227</v>
      </c>
      <c r="X531" s="7" t="s">
        <v>200</v>
      </c>
      <c r="Y531" s="7" t="s">
        <v>4812</v>
      </c>
      <c r="Z531" s="7" t="s">
        <v>2618</v>
      </c>
      <c r="AA531" s="7" t="s">
        <v>3732</v>
      </c>
      <c r="AB531" s="7" t="s">
        <v>3853</v>
      </c>
      <c r="AC531" s="7" t="s">
        <v>5630</v>
      </c>
      <c r="AD531" s="8">
        <v>44832</v>
      </c>
      <c r="AE531" s="7"/>
      <c r="AF531" s="7"/>
    </row>
    <row r="532" spans="1:32" ht="30" customHeight="1" x14ac:dyDescent="0.3">
      <c r="A532" s="5">
        <v>4994868</v>
      </c>
      <c r="B532" s="5" t="s">
        <v>2559</v>
      </c>
      <c r="C532" s="5"/>
      <c r="D532" s="5" t="s">
        <v>198</v>
      </c>
      <c r="E532" s="5" t="s">
        <v>203</v>
      </c>
      <c r="F532" s="5" t="s">
        <v>418</v>
      </c>
      <c r="G532" s="5" t="s">
        <v>208</v>
      </c>
      <c r="H532" s="5" t="s">
        <v>207</v>
      </c>
      <c r="I532" s="5" t="s">
        <v>2560</v>
      </c>
      <c r="J532" s="5" t="s">
        <v>227</v>
      </c>
      <c r="K532" s="5" t="s">
        <v>200</v>
      </c>
      <c r="L532" s="5" t="s">
        <v>784</v>
      </c>
      <c r="M532" s="5" t="s">
        <v>1067</v>
      </c>
      <c r="N532" s="5" t="s">
        <v>3623</v>
      </c>
      <c r="O532" s="5" t="s">
        <v>3715</v>
      </c>
      <c r="P532" s="5">
        <v>5003229</v>
      </c>
      <c r="Q532" s="5" t="s">
        <v>5631</v>
      </c>
      <c r="R532" s="5" t="s">
        <v>203</v>
      </c>
      <c r="S532" s="5" t="s">
        <v>444</v>
      </c>
      <c r="T532" s="5" t="s">
        <v>217</v>
      </c>
      <c r="U532" s="5" t="s">
        <v>2330</v>
      </c>
      <c r="V532" s="5" t="s">
        <v>5632</v>
      </c>
      <c r="W532" s="5" t="s">
        <v>227</v>
      </c>
      <c r="X532" s="5" t="s">
        <v>200</v>
      </c>
      <c r="Y532" s="5" t="s">
        <v>5633</v>
      </c>
      <c r="Z532" s="5" t="s">
        <v>1319</v>
      </c>
      <c r="AA532" s="5" t="s">
        <v>3623</v>
      </c>
      <c r="AB532" s="5" t="s">
        <v>3763</v>
      </c>
      <c r="AC532" s="5" t="s">
        <v>5634</v>
      </c>
      <c r="AD532" s="6">
        <v>45855</v>
      </c>
      <c r="AE532" s="5"/>
      <c r="AF532" s="5"/>
    </row>
    <row r="533" spans="1:32" ht="122.25" customHeight="1" x14ac:dyDescent="0.3">
      <c r="A533" s="7">
        <v>5184851</v>
      </c>
      <c r="B533" s="7" t="s">
        <v>2873</v>
      </c>
      <c r="C533" s="7" t="s">
        <v>5635</v>
      </c>
      <c r="D533" s="7" t="s">
        <v>198</v>
      </c>
      <c r="E533" s="7" t="s">
        <v>203</v>
      </c>
      <c r="F533" s="7" t="s">
        <v>433</v>
      </c>
      <c r="G533" s="7" t="s">
        <v>217</v>
      </c>
      <c r="H533" s="7" t="s">
        <v>245</v>
      </c>
      <c r="I533" s="7" t="s">
        <v>2874</v>
      </c>
      <c r="J533" s="7" t="s">
        <v>227</v>
      </c>
      <c r="K533" s="7" t="s">
        <v>413</v>
      </c>
      <c r="L533" s="7" t="s">
        <v>2875</v>
      </c>
      <c r="M533" s="7" t="s">
        <v>2876</v>
      </c>
      <c r="N533" s="7" t="s">
        <v>3623</v>
      </c>
      <c r="O533" s="7" t="s">
        <v>3743</v>
      </c>
      <c r="P533" s="7">
        <v>8877593</v>
      </c>
      <c r="Q533" s="7" t="s">
        <v>5636</v>
      </c>
      <c r="R533" s="7" t="s">
        <v>203</v>
      </c>
      <c r="S533" s="7" t="s">
        <v>5277</v>
      </c>
      <c r="T533" s="7" t="s">
        <v>217</v>
      </c>
      <c r="U533" s="7" t="s">
        <v>2330</v>
      </c>
      <c r="V533" s="7" t="s">
        <v>5637</v>
      </c>
      <c r="W533" s="7" t="s">
        <v>5278</v>
      </c>
      <c r="X533" s="7" t="s">
        <v>200</v>
      </c>
      <c r="Y533" s="7" t="s">
        <v>5638</v>
      </c>
      <c r="Z533" s="7" t="s">
        <v>5639</v>
      </c>
      <c r="AA533" s="7" t="s">
        <v>3617</v>
      </c>
      <c r="AB533" s="7" t="s">
        <v>3763</v>
      </c>
      <c r="AC533" s="7" t="s">
        <v>5640</v>
      </c>
      <c r="AD533" s="8">
        <v>45856</v>
      </c>
      <c r="AE533" s="8">
        <v>45884</v>
      </c>
      <c r="AF533" s="7"/>
    </row>
    <row r="534" spans="1:32" ht="30" customHeight="1" x14ac:dyDescent="0.3">
      <c r="A534" s="5">
        <v>4698576</v>
      </c>
      <c r="B534" s="5" t="s">
        <v>2016</v>
      </c>
      <c r="C534" s="5" t="s">
        <v>5641</v>
      </c>
      <c r="D534" s="5" t="s">
        <v>198</v>
      </c>
      <c r="E534" s="5" t="s">
        <v>203</v>
      </c>
      <c r="F534" s="5" t="s">
        <v>433</v>
      </c>
      <c r="G534" s="5" t="s">
        <v>217</v>
      </c>
      <c r="H534" s="5" t="s">
        <v>245</v>
      </c>
      <c r="I534" s="5" t="s">
        <v>2017</v>
      </c>
      <c r="J534" s="5" t="s">
        <v>227</v>
      </c>
      <c r="K534" s="5" t="s">
        <v>413</v>
      </c>
      <c r="L534" s="5" t="s">
        <v>2018</v>
      </c>
      <c r="M534" s="5" t="s">
        <v>2019</v>
      </c>
      <c r="N534" s="5" t="s">
        <v>3612</v>
      </c>
      <c r="O534" s="5" t="s">
        <v>3725</v>
      </c>
      <c r="P534" s="5">
        <v>3516547</v>
      </c>
      <c r="Q534" s="5" t="s">
        <v>5642</v>
      </c>
      <c r="R534" s="5" t="s">
        <v>203</v>
      </c>
      <c r="S534" s="5" t="s">
        <v>433</v>
      </c>
      <c r="T534" s="5" t="s">
        <v>217</v>
      </c>
      <c r="U534" s="5" t="s">
        <v>245</v>
      </c>
      <c r="V534" s="5" t="s">
        <v>4564</v>
      </c>
      <c r="W534" s="5" t="s">
        <v>227</v>
      </c>
      <c r="X534" s="5" t="s">
        <v>200</v>
      </c>
      <c r="Y534" s="5" t="s">
        <v>1683</v>
      </c>
      <c r="Z534" s="5" t="s">
        <v>982</v>
      </c>
      <c r="AA534" s="5" t="s">
        <v>3608</v>
      </c>
      <c r="AB534" s="5" t="s">
        <v>3705</v>
      </c>
      <c r="AC534" s="5" t="s">
        <v>5643</v>
      </c>
      <c r="AD534" s="6">
        <v>45870</v>
      </c>
      <c r="AE534" s="5"/>
      <c r="AF534" s="5"/>
    </row>
    <row r="535" spans="1:32" ht="111.75" customHeight="1" x14ac:dyDescent="0.3">
      <c r="A535" s="7">
        <v>4943384</v>
      </c>
      <c r="B535" s="7" t="s">
        <v>2480</v>
      </c>
      <c r="C535" s="7" t="s">
        <v>5644</v>
      </c>
      <c r="D535" s="7" t="s">
        <v>862</v>
      </c>
      <c r="E535" s="7" t="s">
        <v>203</v>
      </c>
      <c r="F535" s="7" t="s">
        <v>433</v>
      </c>
      <c r="G535" s="7" t="s">
        <v>208</v>
      </c>
      <c r="H535" s="7" t="s">
        <v>207</v>
      </c>
      <c r="I535" s="7" t="s">
        <v>2373</v>
      </c>
      <c r="J535" s="7" t="s">
        <v>227</v>
      </c>
      <c r="K535" s="7" t="s">
        <v>200</v>
      </c>
      <c r="L535" s="7" t="s">
        <v>2374</v>
      </c>
      <c r="M535" s="7" t="s">
        <v>705</v>
      </c>
      <c r="N535" s="7" t="s">
        <v>3623</v>
      </c>
      <c r="O535" s="7" t="s">
        <v>3743</v>
      </c>
      <c r="P535" s="7">
        <v>8877067</v>
      </c>
      <c r="Q535" s="7" t="s">
        <v>5645</v>
      </c>
      <c r="R535" s="7" t="s">
        <v>651</v>
      </c>
      <c r="S535" s="7" t="s">
        <v>234</v>
      </c>
      <c r="T535" s="7" t="s">
        <v>208</v>
      </c>
      <c r="U535" s="7" t="s">
        <v>2330</v>
      </c>
      <c r="V535" s="7" t="s">
        <v>5646</v>
      </c>
      <c r="W535" s="7" t="s">
        <v>227</v>
      </c>
      <c r="X535" s="7" t="s">
        <v>888</v>
      </c>
      <c r="Y535" s="7" t="s">
        <v>5647</v>
      </c>
      <c r="Z535" s="7" t="s">
        <v>5648</v>
      </c>
      <c r="AA535" s="7" t="s">
        <v>3729</v>
      </c>
      <c r="AB535" s="7" t="s">
        <v>5649</v>
      </c>
      <c r="AC535" s="7" t="s">
        <v>5650</v>
      </c>
      <c r="AD535" s="8">
        <v>45845</v>
      </c>
      <c r="AE535" s="8">
        <v>45940</v>
      </c>
      <c r="AF535" s="7" t="s">
        <v>3709</v>
      </c>
    </row>
    <row r="536" spans="1:32" ht="71.25" customHeight="1" x14ac:dyDescent="0.3">
      <c r="A536" s="5">
        <v>4943384</v>
      </c>
      <c r="B536" s="5" t="s">
        <v>2480</v>
      </c>
      <c r="C536" s="5"/>
      <c r="D536" s="5" t="s">
        <v>862</v>
      </c>
      <c r="E536" s="5" t="s">
        <v>203</v>
      </c>
      <c r="F536" s="5" t="s">
        <v>433</v>
      </c>
      <c r="G536" s="5" t="s">
        <v>208</v>
      </c>
      <c r="H536" s="5" t="s">
        <v>207</v>
      </c>
      <c r="I536" s="5" t="s">
        <v>2373</v>
      </c>
      <c r="J536" s="5" t="s">
        <v>227</v>
      </c>
      <c r="K536" s="5" t="s">
        <v>200</v>
      </c>
      <c r="L536" s="5" t="s">
        <v>2374</v>
      </c>
      <c r="M536" s="5" t="s">
        <v>705</v>
      </c>
      <c r="N536" s="5" t="s">
        <v>3623</v>
      </c>
      <c r="O536" s="5" t="s">
        <v>3743</v>
      </c>
      <c r="P536" s="5">
        <v>5385741</v>
      </c>
      <c r="Q536" s="5" t="s">
        <v>5651</v>
      </c>
      <c r="R536" s="5" t="s">
        <v>203</v>
      </c>
      <c r="S536" s="5" t="s">
        <v>433</v>
      </c>
      <c r="T536" s="5" t="s">
        <v>208</v>
      </c>
      <c r="U536" s="5" t="s">
        <v>2330</v>
      </c>
      <c r="V536" s="5" t="s">
        <v>5646</v>
      </c>
      <c r="W536" s="5" t="s">
        <v>227</v>
      </c>
      <c r="X536" s="5" t="s">
        <v>200</v>
      </c>
      <c r="Y536" s="5" t="s">
        <v>2374</v>
      </c>
      <c r="Z536" s="5" t="s">
        <v>1203</v>
      </c>
      <c r="AA536" s="5" t="s">
        <v>3612</v>
      </c>
      <c r="AB536" s="5" t="s">
        <v>3743</v>
      </c>
      <c r="AC536" s="5" t="s">
        <v>5652</v>
      </c>
      <c r="AD536" s="6">
        <v>45839</v>
      </c>
      <c r="AE536" s="6">
        <v>45839</v>
      </c>
      <c r="AF536" s="5" t="s">
        <v>3611</v>
      </c>
    </row>
    <row r="537" spans="1:32" ht="315.75" customHeight="1" x14ac:dyDescent="0.3">
      <c r="A537" s="7">
        <v>4994868</v>
      </c>
      <c r="B537" s="7" t="s">
        <v>2559</v>
      </c>
      <c r="C537" s="7" t="s">
        <v>5653</v>
      </c>
      <c r="D537" s="7" t="s">
        <v>862</v>
      </c>
      <c r="E537" s="7" t="s">
        <v>203</v>
      </c>
      <c r="F537" s="7" t="s">
        <v>418</v>
      </c>
      <c r="G537" s="7" t="s">
        <v>208</v>
      </c>
      <c r="H537" s="7" t="s">
        <v>207</v>
      </c>
      <c r="I537" s="7" t="s">
        <v>2560</v>
      </c>
      <c r="J537" s="7" t="s">
        <v>227</v>
      </c>
      <c r="K537" s="7" t="s">
        <v>200</v>
      </c>
      <c r="L537" s="7" t="s">
        <v>784</v>
      </c>
      <c r="M537" s="7" t="s">
        <v>1067</v>
      </c>
      <c r="N537" s="7" t="s">
        <v>3623</v>
      </c>
      <c r="O537" s="7" t="s">
        <v>3715</v>
      </c>
      <c r="P537" s="7">
        <v>4611004</v>
      </c>
      <c r="Q537" s="7" t="s">
        <v>5654</v>
      </c>
      <c r="R537" s="7" t="s">
        <v>737</v>
      </c>
      <c r="S537" s="7" t="s">
        <v>418</v>
      </c>
      <c r="T537" s="7" t="s">
        <v>217</v>
      </c>
      <c r="U537" s="7" t="s">
        <v>245</v>
      </c>
      <c r="V537" s="7" t="s">
        <v>5655</v>
      </c>
      <c r="W537" s="7" t="s">
        <v>227</v>
      </c>
      <c r="X537" s="7" t="s">
        <v>200</v>
      </c>
      <c r="Y537" s="7" t="s">
        <v>5656</v>
      </c>
      <c r="Z537" s="7" t="s">
        <v>1857</v>
      </c>
      <c r="AA537" s="7" t="s">
        <v>3623</v>
      </c>
      <c r="AB537" s="7" t="s">
        <v>3635</v>
      </c>
      <c r="AC537" s="7" t="s">
        <v>5657</v>
      </c>
      <c r="AD537" s="8">
        <v>45870</v>
      </c>
      <c r="AE537" s="7"/>
      <c r="AF537" s="7"/>
    </row>
    <row r="538" spans="1:32" ht="111.75" customHeight="1" x14ac:dyDescent="0.3">
      <c r="A538" s="5">
        <v>5597900</v>
      </c>
      <c r="B538" s="5" t="s">
        <v>3306</v>
      </c>
      <c r="C538" s="5" t="s">
        <v>5658</v>
      </c>
      <c r="D538" s="5" t="s">
        <v>198</v>
      </c>
      <c r="E538" s="5" t="s">
        <v>203</v>
      </c>
      <c r="F538" s="5" t="s">
        <v>234</v>
      </c>
      <c r="G538" s="5" t="s">
        <v>208</v>
      </c>
      <c r="H538" s="5" t="s">
        <v>207</v>
      </c>
      <c r="I538" s="5" t="s">
        <v>3211</v>
      </c>
      <c r="J538" s="5" t="s">
        <v>227</v>
      </c>
      <c r="K538" s="5" t="s">
        <v>200</v>
      </c>
      <c r="L538" s="5" t="s">
        <v>1057</v>
      </c>
      <c r="M538" s="5" t="s">
        <v>1445</v>
      </c>
      <c r="N538" s="5" t="s">
        <v>3612</v>
      </c>
      <c r="O538" s="5" t="s">
        <v>3705</v>
      </c>
      <c r="P538" s="5">
        <v>5281725</v>
      </c>
      <c r="Q538" s="5" t="s">
        <v>5659</v>
      </c>
      <c r="R538" s="5" t="s">
        <v>203</v>
      </c>
      <c r="S538" s="5" t="s">
        <v>234</v>
      </c>
      <c r="T538" s="5" t="s">
        <v>217</v>
      </c>
      <c r="U538" s="5" t="s">
        <v>207</v>
      </c>
      <c r="V538" s="5" t="s">
        <v>5660</v>
      </c>
      <c r="W538" s="5" t="s">
        <v>227</v>
      </c>
      <c r="X538" s="5" t="s">
        <v>200</v>
      </c>
      <c r="Y538" s="5" t="s">
        <v>3774</v>
      </c>
      <c r="Z538" s="5" t="s">
        <v>3016</v>
      </c>
      <c r="AA538" s="5" t="s">
        <v>3623</v>
      </c>
      <c r="AB538" s="5" t="s">
        <v>3775</v>
      </c>
      <c r="AC538" s="5" t="s">
        <v>5661</v>
      </c>
      <c r="AD538" s="6">
        <v>45810</v>
      </c>
      <c r="AE538" s="6">
        <v>45940</v>
      </c>
      <c r="AF538" s="5"/>
    </row>
    <row r="539" spans="1:32" ht="409.5" customHeight="1" x14ac:dyDescent="0.3">
      <c r="A539" s="7">
        <v>186767</v>
      </c>
      <c r="B539" s="7" t="s">
        <v>852</v>
      </c>
      <c r="C539" s="7" t="s">
        <v>5662</v>
      </c>
      <c r="D539" s="7" t="s">
        <v>198</v>
      </c>
      <c r="E539" s="7" t="s">
        <v>203</v>
      </c>
      <c r="F539" s="7" t="s">
        <v>433</v>
      </c>
      <c r="G539" s="7" t="s">
        <v>208</v>
      </c>
      <c r="H539" s="7" t="s">
        <v>233</v>
      </c>
      <c r="I539" s="7" t="s">
        <v>853</v>
      </c>
      <c r="J539" s="7" t="s">
        <v>227</v>
      </c>
      <c r="K539" s="7" t="s">
        <v>200</v>
      </c>
      <c r="L539" s="7" t="s">
        <v>854</v>
      </c>
      <c r="M539" s="7" t="s">
        <v>855</v>
      </c>
      <c r="N539" s="7" t="s">
        <v>3652</v>
      </c>
      <c r="O539" s="7" t="s">
        <v>3837</v>
      </c>
      <c r="P539" s="7">
        <v>5407699</v>
      </c>
      <c r="Q539" s="7" t="s">
        <v>5663</v>
      </c>
      <c r="R539" s="7" t="s">
        <v>203</v>
      </c>
      <c r="S539" s="7" t="s">
        <v>234</v>
      </c>
      <c r="T539" s="7" t="s">
        <v>217</v>
      </c>
      <c r="U539" s="7" t="s">
        <v>207</v>
      </c>
      <c r="V539" s="7" t="s">
        <v>5626</v>
      </c>
      <c r="W539" s="7" t="s">
        <v>227</v>
      </c>
      <c r="X539" s="7" t="s">
        <v>200</v>
      </c>
      <c r="Y539" s="7" t="s">
        <v>5489</v>
      </c>
      <c r="Z539" s="7" t="s">
        <v>700</v>
      </c>
      <c r="AA539" s="7" t="s">
        <v>3612</v>
      </c>
      <c r="AB539" s="7" t="s">
        <v>4478</v>
      </c>
      <c r="AC539" s="7" t="s">
        <v>5664</v>
      </c>
      <c r="AD539" s="8">
        <v>45852</v>
      </c>
      <c r="AE539" s="7"/>
      <c r="AF539" s="7"/>
    </row>
    <row r="540" spans="1:32" ht="30" customHeight="1" x14ac:dyDescent="0.3">
      <c r="A540" s="5">
        <v>5150175</v>
      </c>
      <c r="B540" s="5" t="s">
        <v>2809</v>
      </c>
      <c r="C540" s="5" t="s">
        <v>5665</v>
      </c>
      <c r="D540" s="5" t="s">
        <v>198</v>
      </c>
      <c r="E540" s="5" t="s">
        <v>203</v>
      </c>
      <c r="F540" s="5" t="s">
        <v>433</v>
      </c>
      <c r="G540" s="5" t="s">
        <v>208</v>
      </c>
      <c r="H540" s="5" t="s">
        <v>245</v>
      </c>
      <c r="I540" s="5" t="s">
        <v>1065</v>
      </c>
      <c r="J540" s="5" t="s">
        <v>227</v>
      </c>
      <c r="K540" s="5" t="s">
        <v>200</v>
      </c>
      <c r="L540" s="5" t="s">
        <v>1066</v>
      </c>
      <c r="M540" s="5" t="s">
        <v>2712</v>
      </c>
      <c r="N540" s="5" t="s">
        <v>3602</v>
      </c>
      <c r="O540" s="5" t="s">
        <v>4181</v>
      </c>
      <c r="P540" s="5">
        <v>5247357</v>
      </c>
      <c r="Q540" s="5" t="s">
        <v>5666</v>
      </c>
      <c r="R540" s="5" t="s">
        <v>203</v>
      </c>
      <c r="S540" s="5" t="s">
        <v>444</v>
      </c>
      <c r="T540" s="5" t="s">
        <v>208</v>
      </c>
      <c r="U540" s="5" t="s">
        <v>245</v>
      </c>
      <c r="V540" s="5" t="s">
        <v>5667</v>
      </c>
      <c r="W540" s="5" t="s">
        <v>227</v>
      </c>
      <c r="X540" s="5" t="s">
        <v>200</v>
      </c>
      <c r="Y540" s="5" t="s">
        <v>5668</v>
      </c>
      <c r="Z540" s="5" t="s">
        <v>3078</v>
      </c>
      <c r="AA540" s="5" t="s">
        <v>3608</v>
      </c>
      <c r="AB540" s="5" t="s">
        <v>4356</v>
      </c>
      <c r="AC540" s="5" t="s">
        <v>5669</v>
      </c>
      <c r="AD540" s="6">
        <v>45870</v>
      </c>
      <c r="AE540" s="5"/>
      <c r="AF540" s="5"/>
    </row>
    <row r="541" spans="1:32" ht="306" customHeight="1" x14ac:dyDescent="0.3">
      <c r="A541" s="7">
        <v>8020797</v>
      </c>
      <c r="B541" s="7" t="s">
        <v>3364</v>
      </c>
      <c r="C541" s="7" t="s">
        <v>5670</v>
      </c>
      <c r="D541" s="7" t="s">
        <v>198</v>
      </c>
      <c r="E541" s="7" t="s">
        <v>203</v>
      </c>
      <c r="F541" s="7" t="s">
        <v>418</v>
      </c>
      <c r="G541" s="7" t="s">
        <v>217</v>
      </c>
      <c r="H541" s="7" t="s">
        <v>233</v>
      </c>
      <c r="I541" s="7" t="s">
        <v>3365</v>
      </c>
      <c r="J541" s="7" t="s">
        <v>227</v>
      </c>
      <c r="K541" s="7" t="s">
        <v>888</v>
      </c>
      <c r="L541" s="7" t="s">
        <v>2340</v>
      </c>
      <c r="M541" s="7" t="s">
        <v>3366</v>
      </c>
      <c r="N541" s="7" t="s">
        <v>3623</v>
      </c>
      <c r="O541" s="7" t="s">
        <v>3837</v>
      </c>
      <c r="P541" s="7">
        <v>5566886</v>
      </c>
      <c r="Q541" s="7" t="s">
        <v>5671</v>
      </c>
      <c r="R541" s="7" t="s">
        <v>737</v>
      </c>
      <c r="S541" s="7" t="s">
        <v>418</v>
      </c>
      <c r="T541" s="7" t="s">
        <v>217</v>
      </c>
      <c r="U541" s="7" t="s">
        <v>245</v>
      </c>
      <c r="V541" s="7" t="s">
        <v>5672</v>
      </c>
      <c r="W541" s="7" t="s">
        <v>227</v>
      </c>
      <c r="X541" s="7" t="s">
        <v>200</v>
      </c>
      <c r="Y541" s="7" t="s">
        <v>5673</v>
      </c>
      <c r="Z541" s="7" t="s">
        <v>2063</v>
      </c>
      <c r="AA541" s="7" t="s">
        <v>3612</v>
      </c>
      <c r="AB541" s="7" t="s">
        <v>3635</v>
      </c>
      <c r="AC541" s="7" t="s">
        <v>5674</v>
      </c>
      <c r="AD541" s="8">
        <v>45870</v>
      </c>
      <c r="AE541" s="8">
        <v>46081</v>
      </c>
      <c r="AF541" s="7"/>
    </row>
    <row r="542" spans="1:32" ht="40.5" customHeight="1" x14ac:dyDescent="0.3">
      <c r="A542" s="5">
        <v>8020797</v>
      </c>
      <c r="B542" s="5" t="s">
        <v>3364</v>
      </c>
      <c r="C542" s="5" t="s">
        <v>5675</v>
      </c>
      <c r="D542" s="5" t="s">
        <v>198</v>
      </c>
      <c r="E542" s="5" t="s">
        <v>203</v>
      </c>
      <c r="F542" s="5" t="s">
        <v>418</v>
      </c>
      <c r="G542" s="5" t="s">
        <v>217</v>
      </c>
      <c r="H542" s="5" t="s">
        <v>233</v>
      </c>
      <c r="I542" s="5" t="s">
        <v>3365</v>
      </c>
      <c r="J542" s="5" t="s">
        <v>227</v>
      </c>
      <c r="K542" s="5" t="s">
        <v>888</v>
      </c>
      <c r="L542" s="5" t="s">
        <v>2340</v>
      </c>
      <c r="M542" s="5" t="s">
        <v>3366</v>
      </c>
      <c r="N542" s="5" t="s">
        <v>3623</v>
      </c>
      <c r="O542" s="5" t="s">
        <v>3837</v>
      </c>
      <c r="P542" s="5">
        <v>3537897</v>
      </c>
      <c r="Q542" s="5" t="s">
        <v>5676</v>
      </c>
      <c r="R542" s="5" t="s">
        <v>203</v>
      </c>
      <c r="S542" s="5" t="s">
        <v>444</v>
      </c>
      <c r="T542" s="5" t="s">
        <v>217</v>
      </c>
      <c r="U542" s="5" t="s">
        <v>207</v>
      </c>
      <c r="V542" s="5" t="s">
        <v>5677</v>
      </c>
      <c r="W542" s="5" t="s">
        <v>227</v>
      </c>
      <c r="X542" s="5" t="s">
        <v>200</v>
      </c>
      <c r="Y542" s="5" t="s">
        <v>5678</v>
      </c>
      <c r="Z542" s="5" t="s">
        <v>5679</v>
      </c>
      <c r="AA542" s="5" t="s">
        <v>3608</v>
      </c>
      <c r="AB542" s="5" t="s">
        <v>3609</v>
      </c>
      <c r="AC542" s="5" t="s">
        <v>5680</v>
      </c>
      <c r="AD542" s="6">
        <v>45854</v>
      </c>
      <c r="AE542" s="6">
        <v>46234</v>
      </c>
      <c r="AF542" s="5"/>
    </row>
    <row r="543" spans="1:32" ht="132" customHeight="1" x14ac:dyDescent="0.3">
      <c r="A543" s="7">
        <v>2216191</v>
      </c>
      <c r="B543" s="7" t="s">
        <v>1131</v>
      </c>
      <c r="C543" s="7" t="s">
        <v>5681</v>
      </c>
      <c r="D543" s="7" t="s">
        <v>198</v>
      </c>
      <c r="E543" s="7" t="s">
        <v>203</v>
      </c>
      <c r="F543" s="7" t="s">
        <v>433</v>
      </c>
      <c r="G543" s="7" t="s">
        <v>217</v>
      </c>
      <c r="H543" s="7" t="s">
        <v>233</v>
      </c>
      <c r="I543" s="7" t="s">
        <v>1133</v>
      </c>
      <c r="J543" s="7" t="s">
        <v>227</v>
      </c>
      <c r="K543" s="7" t="s">
        <v>200</v>
      </c>
      <c r="L543" s="7" t="s">
        <v>1134</v>
      </c>
      <c r="M543" s="7" t="s">
        <v>1135</v>
      </c>
      <c r="N543" s="7" t="s">
        <v>3729</v>
      </c>
      <c r="O543" s="7" t="s">
        <v>3763</v>
      </c>
      <c r="P543" s="7">
        <v>5306469</v>
      </c>
      <c r="Q543" s="7" t="s">
        <v>5682</v>
      </c>
      <c r="R543" s="7" t="s">
        <v>203</v>
      </c>
      <c r="S543" s="7" t="s">
        <v>234</v>
      </c>
      <c r="T543" s="7" t="s">
        <v>217</v>
      </c>
      <c r="U543" s="7" t="s">
        <v>2330</v>
      </c>
      <c r="V543" s="7" t="s">
        <v>5683</v>
      </c>
      <c r="W543" s="7" t="s">
        <v>227</v>
      </c>
      <c r="X543" s="7" t="s">
        <v>200</v>
      </c>
      <c r="Y543" s="7" t="s">
        <v>5684</v>
      </c>
      <c r="Z543" s="7" t="s">
        <v>5263</v>
      </c>
      <c r="AA543" s="7" t="s">
        <v>3612</v>
      </c>
      <c r="AB543" s="7" t="s">
        <v>3609</v>
      </c>
      <c r="AC543" s="7" t="s">
        <v>5685</v>
      </c>
      <c r="AD543" s="8">
        <v>45684</v>
      </c>
      <c r="AE543" s="7"/>
      <c r="AF543" s="7"/>
    </row>
    <row r="544" spans="1:32" ht="51" customHeight="1" x14ac:dyDescent="0.3">
      <c r="A544" s="5">
        <v>4960351</v>
      </c>
      <c r="B544" s="5" t="s">
        <v>2518</v>
      </c>
      <c r="C544" s="5" t="s">
        <v>5686</v>
      </c>
      <c r="D544" s="5" t="s">
        <v>198</v>
      </c>
      <c r="E544" s="5" t="s">
        <v>203</v>
      </c>
      <c r="F544" s="5" t="s">
        <v>418</v>
      </c>
      <c r="G544" s="5" t="s">
        <v>217</v>
      </c>
      <c r="H544" s="5" t="s">
        <v>245</v>
      </c>
      <c r="I544" s="5" t="s">
        <v>2519</v>
      </c>
      <c r="J544" s="5" t="s">
        <v>227</v>
      </c>
      <c r="K544" s="5" t="s">
        <v>200</v>
      </c>
      <c r="L544" s="5" t="s">
        <v>2520</v>
      </c>
      <c r="M544" s="5" t="s">
        <v>2521</v>
      </c>
      <c r="N544" s="5" t="s">
        <v>3623</v>
      </c>
      <c r="O544" s="5" t="s">
        <v>3933</v>
      </c>
      <c r="P544" s="5">
        <v>5586496</v>
      </c>
      <c r="Q544" s="5" t="s">
        <v>5687</v>
      </c>
      <c r="R544" s="5" t="s">
        <v>737</v>
      </c>
      <c r="S544" s="5" t="s">
        <v>234</v>
      </c>
      <c r="T544" s="5" t="s">
        <v>208</v>
      </c>
      <c r="U544" s="5" t="s">
        <v>207</v>
      </c>
      <c r="V544" s="5" t="s">
        <v>5688</v>
      </c>
      <c r="W544" s="5" t="s">
        <v>227</v>
      </c>
      <c r="X544" s="5" t="s">
        <v>200</v>
      </c>
      <c r="Y544" s="5" t="s">
        <v>4921</v>
      </c>
      <c r="Z544" s="5" t="s">
        <v>4922</v>
      </c>
      <c r="AA544" s="5" t="s">
        <v>3612</v>
      </c>
      <c r="AB544" s="5" t="s">
        <v>3933</v>
      </c>
      <c r="AC544" s="5" t="s">
        <v>5689</v>
      </c>
      <c r="AD544" s="6">
        <v>45855</v>
      </c>
      <c r="AE544" s="6">
        <v>45967</v>
      </c>
      <c r="AF544" s="5"/>
    </row>
    <row r="545" spans="1:32" ht="30" customHeight="1" x14ac:dyDescent="0.3">
      <c r="A545" s="7">
        <v>5159903</v>
      </c>
      <c r="B545" s="7" t="s">
        <v>2824</v>
      </c>
      <c r="C545" s="7"/>
      <c r="D545" s="7" t="s">
        <v>198</v>
      </c>
      <c r="E545" s="7" t="s">
        <v>203</v>
      </c>
      <c r="F545" s="7" t="s">
        <v>234</v>
      </c>
      <c r="G545" s="7" t="s">
        <v>217</v>
      </c>
      <c r="H545" s="7" t="s">
        <v>207</v>
      </c>
      <c r="I545" s="7" t="s">
        <v>2825</v>
      </c>
      <c r="J545" s="7" t="s">
        <v>227</v>
      </c>
      <c r="K545" s="7" t="s">
        <v>413</v>
      </c>
      <c r="L545" s="7" t="s">
        <v>2826</v>
      </c>
      <c r="M545" s="7" t="s">
        <v>647</v>
      </c>
      <c r="N545" s="7" t="s">
        <v>3623</v>
      </c>
      <c r="O545" s="7" t="s">
        <v>3736</v>
      </c>
      <c r="P545" s="7">
        <v>4674200</v>
      </c>
      <c r="Q545" s="7" t="s">
        <v>5690</v>
      </c>
      <c r="R545" s="7" t="s">
        <v>203</v>
      </c>
      <c r="S545" s="7" t="s">
        <v>234</v>
      </c>
      <c r="T545" s="7" t="s">
        <v>217</v>
      </c>
      <c r="U545" s="7" t="s">
        <v>207</v>
      </c>
      <c r="V545" s="7" t="s">
        <v>5691</v>
      </c>
      <c r="W545" s="7" t="s">
        <v>227</v>
      </c>
      <c r="X545" s="7" t="s">
        <v>413</v>
      </c>
      <c r="Y545" s="7" t="s">
        <v>5692</v>
      </c>
      <c r="Z545" s="7" t="s">
        <v>5693</v>
      </c>
      <c r="AA545" s="7" t="s">
        <v>3608</v>
      </c>
      <c r="AB545" s="7" t="s">
        <v>3763</v>
      </c>
      <c r="AC545" s="7" t="s">
        <v>5694</v>
      </c>
      <c r="AD545" s="8">
        <v>45863</v>
      </c>
      <c r="AE545" s="8">
        <v>46022</v>
      </c>
      <c r="AF545" s="7"/>
    </row>
    <row r="546" spans="1:32" ht="30" customHeight="1" x14ac:dyDescent="0.3">
      <c r="A546" s="5">
        <v>4655249</v>
      </c>
      <c r="B546" s="5" t="s">
        <v>1930</v>
      </c>
      <c r="C546" s="5" t="s">
        <v>5695</v>
      </c>
      <c r="D546" s="5" t="s">
        <v>354</v>
      </c>
      <c r="E546" s="5" t="s">
        <v>203</v>
      </c>
      <c r="F546" s="5" t="s">
        <v>433</v>
      </c>
      <c r="G546" s="5" t="s">
        <v>217</v>
      </c>
      <c r="H546" s="5" t="s">
        <v>245</v>
      </c>
      <c r="I546" s="5" t="s">
        <v>1931</v>
      </c>
      <c r="J546" s="5" t="s">
        <v>227</v>
      </c>
      <c r="K546" s="5" t="s">
        <v>888</v>
      </c>
      <c r="L546" s="5" t="s">
        <v>1932</v>
      </c>
      <c r="M546" s="5" t="s">
        <v>1933</v>
      </c>
      <c r="N546" s="5" t="s">
        <v>3623</v>
      </c>
      <c r="O546" s="5" t="s">
        <v>3743</v>
      </c>
      <c r="P546" s="5">
        <v>5508088</v>
      </c>
      <c r="Q546" s="5" t="s">
        <v>5696</v>
      </c>
      <c r="R546" s="5" t="s">
        <v>203</v>
      </c>
      <c r="S546" s="5" t="s">
        <v>234</v>
      </c>
      <c r="T546" s="5" t="s">
        <v>208</v>
      </c>
      <c r="U546" s="5" t="s">
        <v>207</v>
      </c>
      <c r="V546" s="5" t="s">
        <v>5697</v>
      </c>
      <c r="W546" s="5" t="s">
        <v>227</v>
      </c>
      <c r="X546" s="5" t="s">
        <v>200</v>
      </c>
      <c r="Y546" s="5" t="s">
        <v>1711</v>
      </c>
      <c r="Z546" s="5" t="s">
        <v>3179</v>
      </c>
      <c r="AA546" s="5" t="s">
        <v>3612</v>
      </c>
      <c r="AB546" s="5" t="s">
        <v>3743</v>
      </c>
      <c r="AC546" s="5" t="s">
        <v>5698</v>
      </c>
      <c r="AD546" s="6">
        <v>45866</v>
      </c>
      <c r="AE546" s="6">
        <v>46387</v>
      </c>
      <c r="AF546" s="5"/>
    </row>
    <row r="547" spans="1:32" ht="51" customHeight="1" x14ac:dyDescent="0.3">
      <c r="A547" s="7">
        <v>5448255</v>
      </c>
      <c r="B547" s="7" t="s">
        <v>3212</v>
      </c>
      <c r="C547" s="7" t="s">
        <v>5699</v>
      </c>
      <c r="D547" s="7" t="s">
        <v>862</v>
      </c>
      <c r="E547" s="7" t="s">
        <v>203</v>
      </c>
      <c r="F547" s="7" t="s">
        <v>234</v>
      </c>
      <c r="G547" s="7" t="s">
        <v>208</v>
      </c>
      <c r="H547" s="7" t="s">
        <v>207</v>
      </c>
      <c r="I547" s="7" t="s">
        <v>3213</v>
      </c>
      <c r="J547" s="7" t="s">
        <v>227</v>
      </c>
      <c r="K547" s="7" t="s">
        <v>200</v>
      </c>
      <c r="L547" s="7" t="s">
        <v>3214</v>
      </c>
      <c r="M547" s="7" t="s">
        <v>1328</v>
      </c>
      <c r="N547" s="7" t="s">
        <v>3729</v>
      </c>
      <c r="O547" s="7" t="s">
        <v>3894</v>
      </c>
      <c r="P547" s="7">
        <v>5603730</v>
      </c>
      <c r="Q547" s="7" t="s">
        <v>5700</v>
      </c>
      <c r="R547" s="7"/>
      <c r="S547" s="7" t="s">
        <v>234</v>
      </c>
      <c r="T547" s="7" t="s">
        <v>217</v>
      </c>
      <c r="U547" s="7" t="s">
        <v>2330</v>
      </c>
      <c r="V547" s="7"/>
      <c r="W547" s="7" t="s">
        <v>227</v>
      </c>
      <c r="X547" s="7"/>
      <c r="Y547" s="7"/>
      <c r="Z547" s="7"/>
      <c r="AA547" s="7" t="s">
        <v>3732</v>
      </c>
      <c r="AB547" s="7"/>
      <c r="AC547" s="7" t="s">
        <v>5701</v>
      </c>
      <c r="AD547" s="8">
        <v>45866</v>
      </c>
      <c r="AE547" s="8">
        <v>46006</v>
      </c>
      <c r="AF547" s="7"/>
    </row>
    <row r="548" spans="1:32" ht="40.5" customHeight="1" x14ac:dyDescent="0.3">
      <c r="A548" s="5">
        <v>5448255</v>
      </c>
      <c r="B548" s="5" t="s">
        <v>3212</v>
      </c>
      <c r="C548" s="5" t="s">
        <v>5702</v>
      </c>
      <c r="D548" s="5" t="s">
        <v>198</v>
      </c>
      <c r="E548" s="5" t="s">
        <v>203</v>
      </c>
      <c r="F548" s="5" t="s">
        <v>234</v>
      </c>
      <c r="G548" s="5" t="s">
        <v>208</v>
      </c>
      <c r="H548" s="5" t="s">
        <v>207</v>
      </c>
      <c r="I548" s="5" t="s">
        <v>3213</v>
      </c>
      <c r="J548" s="5" t="s">
        <v>227</v>
      </c>
      <c r="K548" s="5" t="s">
        <v>200</v>
      </c>
      <c r="L548" s="5" t="s">
        <v>3214</v>
      </c>
      <c r="M548" s="5" t="s">
        <v>1328</v>
      </c>
      <c r="N548" s="5" t="s">
        <v>3729</v>
      </c>
      <c r="O548" s="5" t="s">
        <v>3894</v>
      </c>
      <c r="P548" s="5">
        <v>5604850</v>
      </c>
      <c r="Q548" s="5" t="s">
        <v>5703</v>
      </c>
      <c r="R548" s="5" t="s">
        <v>203</v>
      </c>
      <c r="S548" s="5" t="s">
        <v>234</v>
      </c>
      <c r="T548" s="5" t="s">
        <v>208</v>
      </c>
      <c r="U548" s="5" t="s">
        <v>2330</v>
      </c>
      <c r="V548" s="5" t="s">
        <v>5704</v>
      </c>
      <c r="W548" s="5" t="s">
        <v>227</v>
      </c>
      <c r="X548" s="5" t="s">
        <v>200</v>
      </c>
      <c r="Y548" s="5" t="s">
        <v>4540</v>
      </c>
      <c r="Z548" s="5" t="s">
        <v>1328</v>
      </c>
      <c r="AA548" s="5" t="s">
        <v>3612</v>
      </c>
      <c r="AB548" s="5" t="s">
        <v>3894</v>
      </c>
      <c r="AC548" s="5" t="s">
        <v>5705</v>
      </c>
      <c r="AD548" s="6">
        <v>45866</v>
      </c>
      <c r="AE548" s="6">
        <v>46660</v>
      </c>
      <c r="AF548" s="5"/>
    </row>
    <row r="549" spans="1:32" ht="40.5" customHeight="1" x14ac:dyDescent="0.3">
      <c r="A549" s="7">
        <v>4613430</v>
      </c>
      <c r="B549" s="7" t="s">
        <v>1868</v>
      </c>
      <c r="C549" s="7" t="s">
        <v>5706</v>
      </c>
      <c r="D549" s="7" t="s">
        <v>3373</v>
      </c>
      <c r="E549" s="7" t="s">
        <v>203</v>
      </c>
      <c r="F549" s="7" t="s">
        <v>418</v>
      </c>
      <c r="G549" s="7" t="s">
        <v>217</v>
      </c>
      <c r="H549" s="7" t="s">
        <v>233</v>
      </c>
      <c r="I549" s="7" t="s">
        <v>1869</v>
      </c>
      <c r="J549" s="7" t="s">
        <v>227</v>
      </c>
      <c r="K549" s="7" t="s">
        <v>200</v>
      </c>
      <c r="L549" s="7" t="s">
        <v>1870</v>
      </c>
      <c r="M549" s="7" t="s">
        <v>1045</v>
      </c>
      <c r="N549" s="7" t="s">
        <v>3652</v>
      </c>
      <c r="O549" s="7" t="s">
        <v>3912</v>
      </c>
      <c r="P549" s="7">
        <v>5309697</v>
      </c>
      <c r="Q549" s="7" t="s">
        <v>3706</v>
      </c>
      <c r="R549" s="7" t="s">
        <v>203</v>
      </c>
      <c r="S549" s="7" t="s">
        <v>234</v>
      </c>
      <c r="T549" s="7" t="s">
        <v>208</v>
      </c>
      <c r="U549" s="7" t="s">
        <v>207</v>
      </c>
      <c r="V549" s="7" t="s">
        <v>3707</v>
      </c>
      <c r="W549" s="7" t="s">
        <v>227</v>
      </c>
      <c r="X549" s="7" t="s">
        <v>200</v>
      </c>
      <c r="Y549" s="7" t="s">
        <v>1937</v>
      </c>
      <c r="Z549" s="7" t="s">
        <v>3104</v>
      </c>
      <c r="AA549" s="7" t="s">
        <v>3623</v>
      </c>
      <c r="AB549" s="7" t="s">
        <v>3635</v>
      </c>
      <c r="AC549" s="7" t="s">
        <v>5707</v>
      </c>
      <c r="AD549" s="8">
        <v>45888</v>
      </c>
      <c r="AE549" s="8">
        <v>46022</v>
      </c>
      <c r="AF549" s="7"/>
    </row>
    <row r="550" spans="1:32" ht="40.5" customHeight="1" x14ac:dyDescent="0.3">
      <c r="A550" s="5">
        <v>5266106</v>
      </c>
      <c r="B550" s="5" t="s">
        <v>3032</v>
      </c>
      <c r="C550" s="5" t="s">
        <v>5708</v>
      </c>
      <c r="D550" s="5" t="s">
        <v>198</v>
      </c>
      <c r="E550" s="5" t="s">
        <v>203</v>
      </c>
      <c r="F550" s="5" t="s">
        <v>444</v>
      </c>
      <c r="G550" s="5" t="s">
        <v>217</v>
      </c>
      <c r="H550" s="5" t="s">
        <v>233</v>
      </c>
      <c r="I550" s="5" t="s">
        <v>994</v>
      </c>
      <c r="J550" s="5" t="s">
        <v>227</v>
      </c>
      <c r="K550" s="5" t="s">
        <v>200</v>
      </c>
      <c r="L550" s="5" t="s">
        <v>2067</v>
      </c>
      <c r="M550" s="5" t="s">
        <v>1015</v>
      </c>
      <c r="N550" s="5" t="s">
        <v>3623</v>
      </c>
      <c r="O550" s="5" t="s">
        <v>3630</v>
      </c>
      <c r="P550" s="5">
        <v>4919270</v>
      </c>
      <c r="Q550" s="5" t="s">
        <v>2433</v>
      </c>
      <c r="R550" s="5" t="s">
        <v>203</v>
      </c>
      <c r="S550" s="5" t="s">
        <v>234</v>
      </c>
      <c r="T550" s="5" t="s">
        <v>217</v>
      </c>
      <c r="U550" s="5" t="s">
        <v>207</v>
      </c>
      <c r="V550" s="5" t="s">
        <v>2434</v>
      </c>
      <c r="W550" s="5" t="s">
        <v>227</v>
      </c>
      <c r="X550" s="5" t="s">
        <v>200</v>
      </c>
      <c r="Y550" s="5" t="s">
        <v>2125</v>
      </c>
      <c r="Z550" s="5" t="s">
        <v>2126</v>
      </c>
      <c r="AA550" s="5" t="s">
        <v>3608</v>
      </c>
      <c r="AB550" s="5" t="s">
        <v>3763</v>
      </c>
      <c r="AC550" s="5" t="s">
        <v>5709</v>
      </c>
      <c r="AD550" s="6">
        <v>45869</v>
      </c>
      <c r="AE550" s="6">
        <v>46234</v>
      </c>
      <c r="AF550" s="5"/>
    </row>
    <row r="551" spans="1:32" ht="40.5" customHeight="1" x14ac:dyDescent="0.3">
      <c r="A551" s="7">
        <v>5159903</v>
      </c>
      <c r="B551" s="7" t="s">
        <v>2824</v>
      </c>
      <c r="C551" s="7" t="s">
        <v>5710</v>
      </c>
      <c r="D551" s="7" t="s">
        <v>198</v>
      </c>
      <c r="E551" s="7" t="s">
        <v>203</v>
      </c>
      <c r="F551" s="7" t="s">
        <v>234</v>
      </c>
      <c r="G551" s="7" t="s">
        <v>217</v>
      </c>
      <c r="H551" s="7" t="s">
        <v>207</v>
      </c>
      <c r="I551" s="7" t="s">
        <v>2825</v>
      </c>
      <c r="J551" s="7" t="s">
        <v>227</v>
      </c>
      <c r="K551" s="7" t="s">
        <v>413</v>
      </c>
      <c r="L551" s="7" t="s">
        <v>2826</v>
      </c>
      <c r="M551" s="7" t="s">
        <v>647</v>
      </c>
      <c r="N551" s="7" t="s">
        <v>3623</v>
      </c>
      <c r="O551" s="7" t="s">
        <v>3736</v>
      </c>
      <c r="P551" s="7">
        <v>8881834</v>
      </c>
      <c r="Q551" s="7" t="s">
        <v>5711</v>
      </c>
      <c r="R551" s="7" t="s">
        <v>5712</v>
      </c>
      <c r="S551" s="7" t="s">
        <v>234</v>
      </c>
      <c r="T551" s="7" t="s">
        <v>217</v>
      </c>
      <c r="U551" s="7" t="s">
        <v>2330</v>
      </c>
      <c r="V551" s="7" t="s">
        <v>5713</v>
      </c>
      <c r="W551" s="7" t="s">
        <v>227</v>
      </c>
      <c r="X551" s="7" t="s">
        <v>413</v>
      </c>
      <c r="Y551" s="7" t="s">
        <v>5714</v>
      </c>
      <c r="Z551" s="7" t="s">
        <v>5715</v>
      </c>
      <c r="AA551" s="7" t="s">
        <v>3617</v>
      </c>
      <c r="AB551" s="7" t="s">
        <v>5649</v>
      </c>
      <c r="AC551" s="7" t="s">
        <v>5716</v>
      </c>
      <c r="AD551" s="8">
        <v>45901</v>
      </c>
      <c r="AE551" s="8">
        <v>46142</v>
      </c>
      <c r="AF551" s="7"/>
    </row>
    <row r="552" spans="1:32" ht="409.5" customHeight="1" x14ac:dyDescent="0.3">
      <c r="A552" s="5">
        <v>5266106</v>
      </c>
      <c r="B552" s="5" t="s">
        <v>3032</v>
      </c>
      <c r="C552" s="5" t="s">
        <v>5717</v>
      </c>
      <c r="D552" s="5" t="s">
        <v>198</v>
      </c>
      <c r="E552" s="5" t="s">
        <v>203</v>
      </c>
      <c r="F552" s="5" t="s">
        <v>444</v>
      </c>
      <c r="G552" s="5" t="s">
        <v>217</v>
      </c>
      <c r="H552" s="5" t="s">
        <v>233</v>
      </c>
      <c r="I552" s="5" t="s">
        <v>994</v>
      </c>
      <c r="J552" s="5" t="s">
        <v>227</v>
      </c>
      <c r="K552" s="5" t="s">
        <v>200</v>
      </c>
      <c r="L552" s="5" t="s">
        <v>2067</v>
      </c>
      <c r="M552" s="5" t="s">
        <v>1015</v>
      </c>
      <c r="N552" s="5" t="s">
        <v>3623</v>
      </c>
      <c r="O552" s="5" t="s">
        <v>3630</v>
      </c>
      <c r="P552" s="5">
        <v>5293464</v>
      </c>
      <c r="Q552" s="5" t="s">
        <v>5718</v>
      </c>
      <c r="R552" s="5" t="s">
        <v>203</v>
      </c>
      <c r="S552" s="5" t="s">
        <v>234</v>
      </c>
      <c r="T552" s="5" t="s">
        <v>217</v>
      </c>
      <c r="U552" s="5" t="s">
        <v>2330</v>
      </c>
      <c r="V552" s="5" t="s">
        <v>5719</v>
      </c>
      <c r="W552" s="5" t="s">
        <v>227</v>
      </c>
      <c r="X552" s="5" t="s">
        <v>200</v>
      </c>
      <c r="Y552" s="5" t="s">
        <v>5720</v>
      </c>
      <c r="Z552" s="5" t="s">
        <v>5721</v>
      </c>
      <c r="AA552" s="5" t="s">
        <v>3623</v>
      </c>
      <c r="AB552" s="5" t="s">
        <v>3609</v>
      </c>
      <c r="AC552" s="5" t="s">
        <v>5722</v>
      </c>
      <c r="AD552" s="6">
        <v>45474</v>
      </c>
      <c r="AE552" s="6">
        <v>45626</v>
      </c>
      <c r="AF552" s="5"/>
    </row>
    <row r="553" spans="1:32" ht="275.25" customHeight="1" x14ac:dyDescent="0.3">
      <c r="A553" s="7">
        <v>4519620</v>
      </c>
      <c r="B553" s="7" t="s">
        <v>1796</v>
      </c>
      <c r="C553" s="7" t="s">
        <v>5723</v>
      </c>
      <c r="D553" s="7" t="s">
        <v>198</v>
      </c>
      <c r="E553" s="7" t="s">
        <v>203</v>
      </c>
      <c r="F553" s="7" t="s">
        <v>418</v>
      </c>
      <c r="G553" s="7" t="s">
        <v>217</v>
      </c>
      <c r="H553" s="7" t="s">
        <v>245</v>
      </c>
      <c r="I553" s="7" t="s">
        <v>1435</v>
      </c>
      <c r="J553" s="7" t="s">
        <v>227</v>
      </c>
      <c r="K553" s="7" t="s">
        <v>413</v>
      </c>
      <c r="L553" s="7" t="s">
        <v>1798</v>
      </c>
      <c r="M553" s="7" t="s">
        <v>1432</v>
      </c>
      <c r="N553" s="7" t="s">
        <v>3652</v>
      </c>
      <c r="O553" s="7" t="s">
        <v>3743</v>
      </c>
      <c r="P553" s="7">
        <v>8874839</v>
      </c>
      <c r="Q553" s="7" t="s">
        <v>5724</v>
      </c>
      <c r="R553" s="7" t="s">
        <v>203</v>
      </c>
      <c r="S553" s="7" t="s">
        <v>234</v>
      </c>
      <c r="T553" s="7" t="s">
        <v>217</v>
      </c>
      <c r="U553" s="7" t="s">
        <v>2330</v>
      </c>
      <c r="V553" s="7" t="s">
        <v>5725</v>
      </c>
      <c r="W553" s="7" t="s">
        <v>227</v>
      </c>
      <c r="X553" s="7" t="s">
        <v>413</v>
      </c>
      <c r="Y553" s="7" t="s">
        <v>5726</v>
      </c>
      <c r="Z553" s="7" t="s">
        <v>1369</v>
      </c>
      <c r="AA553" s="7" t="s">
        <v>3617</v>
      </c>
      <c r="AB553" s="7" t="s">
        <v>3912</v>
      </c>
      <c r="AC553" s="7" t="s">
        <v>5727</v>
      </c>
      <c r="AD553" s="8">
        <v>45880</v>
      </c>
      <c r="AE553" s="7"/>
      <c r="AF553" s="7"/>
    </row>
    <row r="554" spans="1:32" ht="91.5" customHeight="1" x14ac:dyDescent="0.3">
      <c r="A554" s="5">
        <v>4739116</v>
      </c>
      <c r="B554" s="5" t="s">
        <v>2084</v>
      </c>
      <c r="C554" s="5" t="s">
        <v>5728</v>
      </c>
      <c r="D554" s="5" t="s">
        <v>198</v>
      </c>
      <c r="E554" s="5" t="s">
        <v>203</v>
      </c>
      <c r="F554" s="5" t="s">
        <v>234</v>
      </c>
      <c r="G554" s="5" t="s">
        <v>217</v>
      </c>
      <c r="H554" s="5" t="s">
        <v>207</v>
      </c>
      <c r="I554" s="5" t="s">
        <v>679</v>
      </c>
      <c r="J554" s="5" t="s">
        <v>227</v>
      </c>
      <c r="K554" s="5" t="s">
        <v>888</v>
      </c>
      <c r="L554" s="5" t="s">
        <v>1730</v>
      </c>
      <c r="M554" s="5" t="s">
        <v>324</v>
      </c>
      <c r="N554" s="5" t="s">
        <v>3608</v>
      </c>
      <c r="O554" s="5" t="s">
        <v>3711</v>
      </c>
      <c r="P554" s="5">
        <v>5135176</v>
      </c>
      <c r="Q554" s="5" t="s">
        <v>5729</v>
      </c>
      <c r="R554" s="5" t="s">
        <v>203</v>
      </c>
      <c r="S554" s="5" t="s">
        <v>234</v>
      </c>
      <c r="T554" s="5" t="s">
        <v>208</v>
      </c>
      <c r="U554" s="5" t="s">
        <v>207</v>
      </c>
      <c r="V554" s="5" t="s">
        <v>2373</v>
      </c>
      <c r="W554" s="5" t="s">
        <v>227</v>
      </c>
      <c r="X554" s="5" t="s">
        <v>200</v>
      </c>
      <c r="Y554" s="5" t="s">
        <v>2374</v>
      </c>
      <c r="Z554" s="5" t="s">
        <v>848</v>
      </c>
      <c r="AA554" s="5" t="s">
        <v>3732</v>
      </c>
      <c r="AB554" s="5" t="s">
        <v>3743</v>
      </c>
      <c r="AC554" s="5" t="s">
        <v>5730</v>
      </c>
      <c r="AD554" s="6">
        <v>45901</v>
      </c>
      <c r="AE554" s="6">
        <v>46203</v>
      </c>
      <c r="AF554" s="5"/>
    </row>
    <row r="555" spans="1:32" ht="30" customHeight="1" x14ac:dyDescent="0.3">
      <c r="A555" s="7">
        <v>3847764</v>
      </c>
      <c r="B555" s="7" t="s">
        <v>1724</v>
      </c>
      <c r="C555" s="7"/>
      <c r="D555" s="7" t="s">
        <v>198</v>
      </c>
      <c r="E555" s="7" t="s">
        <v>203</v>
      </c>
      <c r="F555" s="7" t="s">
        <v>444</v>
      </c>
      <c r="G555" s="7" t="s">
        <v>208</v>
      </c>
      <c r="H555" s="7" t="s">
        <v>207</v>
      </c>
      <c r="I555" s="7" t="s">
        <v>1725</v>
      </c>
      <c r="J555" s="7" t="s">
        <v>227</v>
      </c>
      <c r="K555" s="7" t="s">
        <v>200</v>
      </c>
      <c r="L555" s="7" t="s">
        <v>1726</v>
      </c>
      <c r="M555" s="7" t="s">
        <v>1215</v>
      </c>
      <c r="N555" s="7" t="s">
        <v>3608</v>
      </c>
      <c r="O555" s="7" t="s">
        <v>3763</v>
      </c>
      <c r="P555" s="7">
        <v>5623545</v>
      </c>
      <c r="Q555" s="7" t="s">
        <v>5731</v>
      </c>
      <c r="R555" s="7" t="s">
        <v>203</v>
      </c>
      <c r="S555" s="7" t="s">
        <v>234</v>
      </c>
      <c r="T555" s="7" t="s">
        <v>208</v>
      </c>
      <c r="U555" s="7" t="s">
        <v>207</v>
      </c>
      <c r="V555" s="7" t="s">
        <v>5732</v>
      </c>
      <c r="W555" s="7" t="s">
        <v>227</v>
      </c>
      <c r="X555" s="7" t="s">
        <v>200</v>
      </c>
      <c r="Y555" s="7" t="s">
        <v>1726</v>
      </c>
      <c r="Z555" s="7" t="s">
        <v>1328</v>
      </c>
      <c r="AA555" s="7" t="s">
        <v>3612</v>
      </c>
      <c r="AB555" s="7" t="s">
        <v>3894</v>
      </c>
      <c r="AC555" s="7" t="s">
        <v>5733</v>
      </c>
      <c r="AD555" s="8">
        <v>45597</v>
      </c>
      <c r="AE555" s="7"/>
      <c r="AF555" s="7"/>
    </row>
    <row r="556" spans="1:32" ht="30" customHeight="1" x14ac:dyDescent="0.3">
      <c r="A556" s="5">
        <v>5219604</v>
      </c>
      <c r="B556" s="5" t="s">
        <v>2919</v>
      </c>
      <c r="C556" s="5" t="s">
        <v>5734</v>
      </c>
      <c r="D556" s="5" t="s">
        <v>862</v>
      </c>
      <c r="E556" s="5" t="s">
        <v>203</v>
      </c>
      <c r="F556" s="5" t="s">
        <v>234</v>
      </c>
      <c r="G556" s="5" t="s">
        <v>208</v>
      </c>
      <c r="H556" s="5" t="s">
        <v>207</v>
      </c>
      <c r="I556" s="5" t="s">
        <v>2920</v>
      </c>
      <c r="J556" s="5" t="s">
        <v>227</v>
      </c>
      <c r="K556" s="5" t="s">
        <v>200</v>
      </c>
      <c r="L556" s="5" t="s">
        <v>505</v>
      </c>
      <c r="M556" s="5" t="s">
        <v>2459</v>
      </c>
      <c r="N556" s="5" t="s">
        <v>3623</v>
      </c>
      <c r="O556" s="5" t="s">
        <v>3843</v>
      </c>
      <c r="P556" s="5">
        <v>4939247</v>
      </c>
      <c r="Q556" s="5" t="s">
        <v>5735</v>
      </c>
      <c r="R556" s="5" t="s">
        <v>203</v>
      </c>
      <c r="S556" s="5" t="s">
        <v>234</v>
      </c>
      <c r="T556" s="5" t="s">
        <v>208</v>
      </c>
      <c r="U556" s="5" t="s">
        <v>207</v>
      </c>
      <c r="V556" s="5" t="s">
        <v>5736</v>
      </c>
      <c r="W556" s="5" t="s">
        <v>227</v>
      </c>
      <c r="X556" s="5" t="s">
        <v>200</v>
      </c>
      <c r="Y556" s="5" t="s">
        <v>5737</v>
      </c>
      <c r="Z556" s="5" t="s">
        <v>5416</v>
      </c>
      <c r="AA556" s="5" t="s">
        <v>3623</v>
      </c>
      <c r="AB556" s="5" t="s">
        <v>4426</v>
      </c>
      <c r="AC556" s="5" t="s">
        <v>5738</v>
      </c>
      <c r="AD556" s="6">
        <v>45870</v>
      </c>
      <c r="AE556" s="6">
        <v>45930</v>
      </c>
      <c r="AF556" s="5"/>
    </row>
    <row r="557" spans="1:32" ht="30" customHeight="1" x14ac:dyDescent="0.3">
      <c r="A557" s="7">
        <v>8020797</v>
      </c>
      <c r="B557" s="7" t="s">
        <v>3364</v>
      </c>
      <c r="C557" s="7"/>
      <c r="D557" s="7" t="s">
        <v>198</v>
      </c>
      <c r="E557" s="7" t="s">
        <v>203</v>
      </c>
      <c r="F557" s="7" t="s">
        <v>418</v>
      </c>
      <c r="G557" s="7" t="s">
        <v>217</v>
      </c>
      <c r="H557" s="7" t="s">
        <v>233</v>
      </c>
      <c r="I557" s="7" t="s">
        <v>3365</v>
      </c>
      <c r="J557" s="7" t="s">
        <v>227</v>
      </c>
      <c r="K557" s="7" t="s">
        <v>888</v>
      </c>
      <c r="L557" s="7" t="s">
        <v>2340</v>
      </c>
      <c r="M557" s="7" t="s">
        <v>3366</v>
      </c>
      <c r="N557" s="7" t="s">
        <v>3623</v>
      </c>
      <c r="O557" s="7" t="s">
        <v>3837</v>
      </c>
      <c r="P557" s="7">
        <v>5658810</v>
      </c>
      <c r="Q557" s="7" t="s">
        <v>5739</v>
      </c>
      <c r="R557" s="7" t="s">
        <v>203</v>
      </c>
      <c r="S557" s="7" t="s">
        <v>444</v>
      </c>
      <c r="T557" s="7" t="s">
        <v>217</v>
      </c>
      <c r="U557" s="7" t="s">
        <v>207</v>
      </c>
      <c r="V557" s="7" t="s">
        <v>5740</v>
      </c>
      <c r="W557" s="7" t="s">
        <v>227</v>
      </c>
      <c r="X557" s="7" t="s">
        <v>413</v>
      </c>
      <c r="Y557" s="7" t="s">
        <v>5741</v>
      </c>
      <c r="Z557" s="7" t="s">
        <v>1286</v>
      </c>
      <c r="AA557" s="7" t="s">
        <v>3732</v>
      </c>
      <c r="AB557" s="7" t="s">
        <v>3702</v>
      </c>
      <c r="AC557" s="7" t="s">
        <v>5742</v>
      </c>
      <c r="AD557" s="8">
        <v>45876</v>
      </c>
      <c r="AE557" s="7"/>
      <c r="AF557" s="7"/>
    </row>
    <row r="558" spans="1:32" ht="122.25" customHeight="1" x14ac:dyDescent="0.3">
      <c r="A558" s="5">
        <v>4532031</v>
      </c>
      <c r="B558" s="5" t="s">
        <v>1826</v>
      </c>
      <c r="C558" s="5" t="s">
        <v>5635</v>
      </c>
      <c r="D558" s="5" t="s">
        <v>198</v>
      </c>
      <c r="E558" s="5" t="s">
        <v>203</v>
      </c>
      <c r="F558" s="5" t="s">
        <v>234</v>
      </c>
      <c r="G558" s="5" t="s">
        <v>217</v>
      </c>
      <c r="H558" s="5" t="s">
        <v>245</v>
      </c>
      <c r="I558" s="5" t="s">
        <v>1827</v>
      </c>
      <c r="J558" s="5" t="s">
        <v>227</v>
      </c>
      <c r="K558" s="5" t="s">
        <v>413</v>
      </c>
      <c r="L558" s="5" t="s">
        <v>1828</v>
      </c>
      <c r="M558" s="5" t="s">
        <v>1829</v>
      </c>
      <c r="N558" s="5" t="s">
        <v>3602</v>
      </c>
      <c r="O558" s="5" t="s">
        <v>4767</v>
      </c>
      <c r="P558" s="5">
        <v>8877593</v>
      </c>
      <c r="Q558" s="5" t="s">
        <v>5636</v>
      </c>
      <c r="R558" s="5" t="s">
        <v>203</v>
      </c>
      <c r="S558" s="5" t="s">
        <v>5277</v>
      </c>
      <c r="T558" s="5" t="s">
        <v>217</v>
      </c>
      <c r="U558" s="5" t="s">
        <v>2330</v>
      </c>
      <c r="V558" s="5" t="s">
        <v>5637</v>
      </c>
      <c r="W558" s="5" t="s">
        <v>5278</v>
      </c>
      <c r="X558" s="5" t="s">
        <v>200</v>
      </c>
      <c r="Y558" s="5" t="s">
        <v>5638</v>
      </c>
      <c r="Z558" s="5" t="s">
        <v>5639</v>
      </c>
      <c r="AA558" s="5" t="s">
        <v>3617</v>
      </c>
      <c r="AB558" s="5" t="s">
        <v>3763</v>
      </c>
      <c r="AC558" s="5" t="s">
        <v>5743</v>
      </c>
      <c r="AD558" s="6">
        <v>45841</v>
      </c>
      <c r="AE558" s="6">
        <v>45870</v>
      </c>
      <c r="AF558" s="5"/>
    </row>
    <row r="559" spans="1:32" ht="111.75" customHeight="1" x14ac:dyDescent="0.3">
      <c r="A559" s="7">
        <v>4535286</v>
      </c>
      <c r="B559" s="7" t="s">
        <v>1837</v>
      </c>
      <c r="C559" s="7" t="s">
        <v>5744</v>
      </c>
      <c r="D559" s="7" t="s">
        <v>198</v>
      </c>
      <c r="E559" s="7" t="s">
        <v>203</v>
      </c>
      <c r="F559" s="7" t="s">
        <v>433</v>
      </c>
      <c r="G559" s="7" t="s">
        <v>217</v>
      </c>
      <c r="H559" s="7" t="s">
        <v>233</v>
      </c>
      <c r="I559" s="7" t="s">
        <v>1838</v>
      </c>
      <c r="J559" s="7" t="s">
        <v>227</v>
      </c>
      <c r="K559" s="7" t="s">
        <v>200</v>
      </c>
      <c r="L559" s="7" t="s">
        <v>684</v>
      </c>
      <c r="M559" s="7" t="s">
        <v>1839</v>
      </c>
      <c r="N559" s="7" t="s">
        <v>3608</v>
      </c>
      <c r="O559" s="7" t="s">
        <v>3824</v>
      </c>
      <c r="P559" s="7">
        <v>4931289</v>
      </c>
      <c r="Q559" s="7" t="s">
        <v>2456</v>
      </c>
      <c r="R559" s="7" t="s">
        <v>203</v>
      </c>
      <c r="S559" s="7" t="s">
        <v>234</v>
      </c>
      <c r="T559" s="7" t="s">
        <v>217</v>
      </c>
      <c r="U559" s="7" t="s">
        <v>245</v>
      </c>
      <c r="V559" s="7" t="s">
        <v>2457</v>
      </c>
      <c r="W559" s="7" t="s">
        <v>227</v>
      </c>
      <c r="X559" s="7" t="s">
        <v>200</v>
      </c>
      <c r="Y559" s="7" t="s">
        <v>2458</v>
      </c>
      <c r="Z559" s="7" t="s">
        <v>2459</v>
      </c>
      <c r="AA559" s="7" t="s">
        <v>3623</v>
      </c>
      <c r="AB559" s="7" t="s">
        <v>3843</v>
      </c>
      <c r="AC559" s="7" t="s">
        <v>5745</v>
      </c>
      <c r="AD559" s="8">
        <v>45901</v>
      </c>
      <c r="AE559" s="7"/>
      <c r="AF559" s="7"/>
    </row>
    <row r="560" spans="1:32" ht="409.5" customHeight="1" x14ac:dyDescent="0.3">
      <c r="A560" s="5">
        <v>4535286</v>
      </c>
      <c r="B560" s="5" t="s">
        <v>1837</v>
      </c>
      <c r="C560" s="5" t="s">
        <v>5746</v>
      </c>
      <c r="D560" s="5" t="s">
        <v>198</v>
      </c>
      <c r="E560" s="5" t="s">
        <v>203</v>
      </c>
      <c r="F560" s="5" t="s">
        <v>433</v>
      </c>
      <c r="G560" s="5" t="s">
        <v>217</v>
      </c>
      <c r="H560" s="5" t="s">
        <v>233</v>
      </c>
      <c r="I560" s="5" t="s">
        <v>1838</v>
      </c>
      <c r="J560" s="5" t="s">
        <v>227</v>
      </c>
      <c r="K560" s="5" t="s">
        <v>200</v>
      </c>
      <c r="L560" s="5" t="s">
        <v>684</v>
      </c>
      <c r="M560" s="5" t="s">
        <v>1839</v>
      </c>
      <c r="N560" s="5" t="s">
        <v>3608</v>
      </c>
      <c r="O560" s="5" t="s">
        <v>3824</v>
      </c>
      <c r="P560" s="5">
        <v>5618800</v>
      </c>
      <c r="Q560" s="5" t="s">
        <v>5747</v>
      </c>
      <c r="R560" s="5" t="s">
        <v>203</v>
      </c>
      <c r="S560" s="5" t="s">
        <v>209</v>
      </c>
      <c r="T560" s="5" t="s">
        <v>208</v>
      </c>
      <c r="U560" s="5" t="s">
        <v>207</v>
      </c>
      <c r="V560" s="5" t="s">
        <v>4471</v>
      </c>
      <c r="W560" s="5" t="s">
        <v>199</v>
      </c>
      <c r="X560" s="5" t="s">
        <v>200</v>
      </c>
      <c r="Y560" s="5" t="s">
        <v>4472</v>
      </c>
      <c r="Z560" s="5" t="s">
        <v>339</v>
      </c>
      <c r="AA560" s="5" t="s">
        <v>3612</v>
      </c>
      <c r="AB560" s="5" t="s">
        <v>3609</v>
      </c>
      <c r="AC560" s="5" t="s">
        <v>5748</v>
      </c>
      <c r="AD560" s="6">
        <v>45901</v>
      </c>
      <c r="AE560" s="6">
        <v>45992</v>
      </c>
      <c r="AF560" s="5"/>
    </row>
    <row r="561" spans="1:32" ht="51" customHeight="1" x14ac:dyDescent="0.3">
      <c r="A561" s="7">
        <v>3337936</v>
      </c>
      <c r="B561" s="7" t="s">
        <v>1185</v>
      </c>
      <c r="C561" s="7" t="s">
        <v>5749</v>
      </c>
      <c r="D561" s="7" t="s">
        <v>198</v>
      </c>
      <c r="E561" s="7" t="s">
        <v>203</v>
      </c>
      <c r="F561" s="7" t="s">
        <v>433</v>
      </c>
      <c r="G561" s="7" t="s">
        <v>217</v>
      </c>
      <c r="H561" s="7" t="s">
        <v>245</v>
      </c>
      <c r="I561" s="7" t="s">
        <v>1186</v>
      </c>
      <c r="J561" s="7" t="s">
        <v>227</v>
      </c>
      <c r="K561" s="7" t="s">
        <v>413</v>
      </c>
      <c r="L561" s="7" t="s">
        <v>1187</v>
      </c>
      <c r="M561" s="7" t="s">
        <v>1188</v>
      </c>
      <c r="N561" s="7" t="s">
        <v>3602</v>
      </c>
      <c r="O561" s="7" t="s">
        <v>3912</v>
      </c>
      <c r="P561" s="7">
        <v>8881834</v>
      </c>
      <c r="Q561" s="7" t="s">
        <v>5711</v>
      </c>
      <c r="R561" s="7" t="s">
        <v>5712</v>
      </c>
      <c r="S561" s="7" t="s">
        <v>234</v>
      </c>
      <c r="T561" s="7" t="s">
        <v>217</v>
      </c>
      <c r="U561" s="7" t="s">
        <v>2330</v>
      </c>
      <c r="V561" s="7" t="s">
        <v>5713</v>
      </c>
      <c r="W561" s="7" t="s">
        <v>227</v>
      </c>
      <c r="X561" s="7" t="s">
        <v>413</v>
      </c>
      <c r="Y561" s="7" t="s">
        <v>5714</v>
      </c>
      <c r="Z561" s="7" t="s">
        <v>5715</v>
      </c>
      <c r="AA561" s="7" t="s">
        <v>3617</v>
      </c>
      <c r="AB561" s="7" t="s">
        <v>5649</v>
      </c>
      <c r="AC561" s="7" t="s">
        <v>5750</v>
      </c>
      <c r="AD561" s="8">
        <v>45901</v>
      </c>
      <c r="AE561" s="8">
        <v>46142</v>
      </c>
      <c r="AF561" s="7"/>
    </row>
    <row r="562" spans="1:32" ht="162.75" customHeight="1" x14ac:dyDescent="0.3">
      <c r="A562" s="5">
        <v>4711815</v>
      </c>
      <c r="B562" s="5" t="s">
        <v>2046</v>
      </c>
      <c r="C562" s="5" t="s">
        <v>5751</v>
      </c>
      <c r="D562" s="5" t="s">
        <v>198</v>
      </c>
      <c r="E562" s="5" t="s">
        <v>203</v>
      </c>
      <c r="F562" s="5" t="s">
        <v>418</v>
      </c>
      <c r="G562" s="5" t="s">
        <v>208</v>
      </c>
      <c r="H562" s="5" t="s">
        <v>207</v>
      </c>
      <c r="I562" s="5" t="s">
        <v>1535</v>
      </c>
      <c r="J562" s="5" t="s">
        <v>227</v>
      </c>
      <c r="K562" s="5" t="s">
        <v>200</v>
      </c>
      <c r="L562" s="5" t="s">
        <v>1536</v>
      </c>
      <c r="M562" s="5" t="s">
        <v>635</v>
      </c>
      <c r="N562" s="5" t="s">
        <v>3608</v>
      </c>
      <c r="O562" s="5" t="s">
        <v>3609</v>
      </c>
      <c r="P562" s="5">
        <v>3461076</v>
      </c>
      <c r="Q562" s="5" t="s">
        <v>5752</v>
      </c>
      <c r="R562" s="5" t="s">
        <v>203</v>
      </c>
      <c r="S562" s="5" t="s">
        <v>234</v>
      </c>
      <c r="T562" s="5" t="s">
        <v>217</v>
      </c>
      <c r="U562" s="5" t="s">
        <v>245</v>
      </c>
      <c r="V562" s="5" t="s">
        <v>5000</v>
      </c>
      <c r="W562" s="5" t="s">
        <v>227</v>
      </c>
      <c r="X562" s="5" t="s">
        <v>200</v>
      </c>
      <c r="Y562" s="5" t="s">
        <v>5001</v>
      </c>
      <c r="Z562" s="5" t="s">
        <v>1286</v>
      </c>
      <c r="AA562" s="5" t="s">
        <v>3612</v>
      </c>
      <c r="AB562" s="5" t="s">
        <v>4328</v>
      </c>
      <c r="AC562" s="5" t="s">
        <v>5753</v>
      </c>
      <c r="AD562" s="6">
        <v>45797</v>
      </c>
      <c r="AE562" s="6">
        <v>45828</v>
      </c>
      <c r="AF562" s="5"/>
    </row>
    <row r="563" spans="1:32" ht="409.5" customHeight="1" x14ac:dyDescent="0.3">
      <c r="A563" s="7">
        <v>8878931</v>
      </c>
      <c r="B563" s="7" t="s">
        <v>3538</v>
      </c>
      <c r="C563" s="7" t="s">
        <v>5746</v>
      </c>
      <c r="D563" s="7" t="s">
        <v>198</v>
      </c>
      <c r="E563" s="7" t="s">
        <v>203</v>
      </c>
      <c r="F563" s="7" t="s">
        <v>209</v>
      </c>
      <c r="G563" s="7" t="s">
        <v>217</v>
      </c>
      <c r="H563" s="7" t="s">
        <v>2330</v>
      </c>
      <c r="I563" s="7" t="s">
        <v>3539</v>
      </c>
      <c r="J563" s="7" t="s">
        <v>199</v>
      </c>
      <c r="K563" s="7" t="s">
        <v>200</v>
      </c>
      <c r="L563" s="7" t="s">
        <v>3540</v>
      </c>
      <c r="M563" s="7" t="s">
        <v>1574</v>
      </c>
      <c r="N563" s="7" t="s">
        <v>3729</v>
      </c>
      <c r="O563" s="7" t="s">
        <v>3824</v>
      </c>
      <c r="P563" s="7">
        <v>5618800</v>
      </c>
      <c r="Q563" s="7" t="s">
        <v>5747</v>
      </c>
      <c r="R563" s="7" t="s">
        <v>203</v>
      </c>
      <c r="S563" s="7" t="s">
        <v>209</v>
      </c>
      <c r="T563" s="7" t="s">
        <v>208</v>
      </c>
      <c r="U563" s="7" t="s">
        <v>207</v>
      </c>
      <c r="V563" s="7" t="s">
        <v>4471</v>
      </c>
      <c r="W563" s="7" t="s">
        <v>199</v>
      </c>
      <c r="X563" s="7" t="s">
        <v>200</v>
      </c>
      <c r="Y563" s="7" t="s">
        <v>4472</v>
      </c>
      <c r="Z563" s="7" t="s">
        <v>339</v>
      </c>
      <c r="AA563" s="7" t="s">
        <v>3612</v>
      </c>
      <c r="AB563" s="7" t="s">
        <v>3609</v>
      </c>
      <c r="AC563" s="7" t="s">
        <v>5754</v>
      </c>
      <c r="AD563" s="8">
        <v>45901</v>
      </c>
      <c r="AE563" s="8">
        <v>45992</v>
      </c>
      <c r="AF563" s="7"/>
    </row>
    <row r="564" spans="1:32" ht="122.25" customHeight="1" x14ac:dyDescent="0.3">
      <c r="A564" s="5">
        <v>3247333</v>
      </c>
      <c r="B564" s="5" t="s">
        <v>5755</v>
      </c>
      <c r="C564" s="5" t="s">
        <v>5756</v>
      </c>
      <c r="D564" s="5" t="s">
        <v>3373</v>
      </c>
      <c r="E564" s="5"/>
      <c r="F564" s="5" t="s">
        <v>444</v>
      </c>
      <c r="G564" s="5" t="s">
        <v>217</v>
      </c>
      <c r="H564" s="5" t="s">
        <v>245</v>
      </c>
      <c r="I564" s="5"/>
      <c r="J564" s="5" t="s">
        <v>227</v>
      </c>
      <c r="K564" s="5"/>
      <c r="L564" s="5"/>
      <c r="M564" s="5"/>
      <c r="N564" s="5" t="s">
        <v>3602</v>
      </c>
      <c r="O564" s="5"/>
      <c r="P564" s="5">
        <v>3342751</v>
      </c>
      <c r="Q564" s="5" t="s">
        <v>5757</v>
      </c>
      <c r="R564" s="5" t="s">
        <v>203</v>
      </c>
      <c r="S564" s="5" t="s">
        <v>234</v>
      </c>
      <c r="T564" s="5" t="s">
        <v>208</v>
      </c>
      <c r="U564" s="5" t="s">
        <v>245</v>
      </c>
      <c r="V564" s="5" t="s">
        <v>5758</v>
      </c>
      <c r="W564" s="5" t="s">
        <v>227</v>
      </c>
      <c r="X564" s="5" t="s">
        <v>200</v>
      </c>
      <c r="Y564" s="5" t="s">
        <v>1039</v>
      </c>
      <c r="Z564" s="5" t="s">
        <v>2305</v>
      </c>
      <c r="AA564" s="5" t="s">
        <v>3602</v>
      </c>
      <c r="AB564" s="5" t="s">
        <v>4426</v>
      </c>
      <c r="AC564" s="5" t="s">
        <v>5759</v>
      </c>
      <c r="AD564" s="6">
        <v>45930</v>
      </c>
      <c r="AE564" s="5"/>
      <c r="AF564" s="5"/>
    </row>
    <row r="565" spans="1:32" ht="409.5" customHeight="1" x14ac:dyDescent="0.3">
      <c r="A565" s="7">
        <v>4991583</v>
      </c>
      <c r="B565" s="7" t="s">
        <v>2552</v>
      </c>
      <c r="C565" s="7" t="s">
        <v>5760</v>
      </c>
      <c r="D565" s="7" t="s">
        <v>198</v>
      </c>
      <c r="E565" s="7" t="s">
        <v>203</v>
      </c>
      <c r="F565" s="7" t="s">
        <v>234</v>
      </c>
      <c r="G565" s="7" t="s">
        <v>217</v>
      </c>
      <c r="H565" s="7" t="s">
        <v>245</v>
      </c>
      <c r="I565" s="7" t="s">
        <v>2553</v>
      </c>
      <c r="J565" s="7" t="s">
        <v>227</v>
      </c>
      <c r="K565" s="7" t="s">
        <v>200</v>
      </c>
      <c r="L565" s="7" t="s">
        <v>2554</v>
      </c>
      <c r="M565" s="7" t="s">
        <v>1142</v>
      </c>
      <c r="N565" s="7" t="s">
        <v>3623</v>
      </c>
      <c r="O565" s="7" t="s">
        <v>3705</v>
      </c>
      <c r="P565" s="7">
        <v>8873840</v>
      </c>
      <c r="Q565" s="7" t="s">
        <v>5761</v>
      </c>
      <c r="R565" s="7" t="s">
        <v>203</v>
      </c>
      <c r="S565" s="7" t="s">
        <v>234</v>
      </c>
      <c r="T565" s="7" t="s">
        <v>217</v>
      </c>
      <c r="U565" s="7" t="s">
        <v>2330</v>
      </c>
      <c r="V565" s="7" t="s">
        <v>5762</v>
      </c>
      <c r="W565" s="7" t="s">
        <v>227</v>
      </c>
      <c r="X565" s="7" t="s">
        <v>200</v>
      </c>
      <c r="Y565" s="7" t="s">
        <v>4338</v>
      </c>
      <c r="Z565" s="7" t="s">
        <v>3394</v>
      </c>
      <c r="AA565" s="7" t="s">
        <v>3729</v>
      </c>
      <c r="AB565" s="7" t="s">
        <v>3609</v>
      </c>
      <c r="AC565" s="7" t="s">
        <v>5763</v>
      </c>
      <c r="AD565" s="8">
        <v>45909</v>
      </c>
      <c r="AE565" s="7"/>
      <c r="AF565" s="7"/>
    </row>
    <row r="566" spans="1:32" ht="51" customHeight="1" x14ac:dyDescent="0.3">
      <c r="A566" s="5">
        <v>5130778</v>
      </c>
      <c r="B566" s="5" t="s">
        <v>2776</v>
      </c>
      <c r="C566" s="5" t="s">
        <v>5764</v>
      </c>
      <c r="D566" s="5" t="s">
        <v>198</v>
      </c>
      <c r="E566" s="5" t="s">
        <v>203</v>
      </c>
      <c r="F566" s="5" t="s">
        <v>418</v>
      </c>
      <c r="G566" s="5" t="s">
        <v>217</v>
      </c>
      <c r="H566" s="5" t="s">
        <v>245</v>
      </c>
      <c r="I566" s="5" t="s">
        <v>2777</v>
      </c>
      <c r="J566" s="5" t="s">
        <v>227</v>
      </c>
      <c r="K566" s="5" t="s">
        <v>413</v>
      </c>
      <c r="L566" s="5" t="s">
        <v>2778</v>
      </c>
      <c r="M566" s="5" t="s">
        <v>2779</v>
      </c>
      <c r="N566" s="5" t="s">
        <v>3623</v>
      </c>
      <c r="O566" s="5" t="s">
        <v>3711</v>
      </c>
      <c r="P566" s="5">
        <v>4631552</v>
      </c>
      <c r="Q566" s="5" t="s">
        <v>5765</v>
      </c>
      <c r="R566" s="5" t="s">
        <v>203</v>
      </c>
      <c r="S566" s="5" t="s">
        <v>234</v>
      </c>
      <c r="T566" s="5" t="s">
        <v>217</v>
      </c>
      <c r="U566" s="5" t="s">
        <v>207</v>
      </c>
      <c r="V566" s="5" t="s">
        <v>5766</v>
      </c>
      <c r="W566" s="5" t="s">
        <v>227</v>
      </c>
      <c r="X566" s="5" t="s">
        <v>413</v>
      </c>
      <c r="Y566" s="5" t="s">
        <v>1436</v>
      </c>
      <c r="Z566" s="5" t="s">
        <v>5767</v>
      </c>
      <c r="AA566" s="5" t="s">
        <v>3608</v>
      </c>
      <c r="AB566" s="5" t="s">
        <v>3705</v>
      </c>
      <c r="AC566" s="5" t="s">
        <v>5768</v>
      </c>
      <c r="AD566" s="6">
        <v>45901</v>
      </c>
      <c r="AE566" s="6">
        <v>46263</v>
      </c>
      <c r="AF566" s="5"/>
    </row>
    <row r="567" spans="1:32" ht="40.5" customHeight="1" x14ac:dyDescent="0.3">
      <c r="A567" s="7">
        <v>8871052</v>
      </c>
      <c r="B567" s="7" t="s">
        <v>3416</v>
      </c>
      <c r="C567" s="7"/>
      <c r="D567" s="7" t="s">
        <v>198</v>
      </c>
      <c r="E567" s="7" t="s">
        <v>203</v>
      </c>
      <c r="F567" s="7" t="s">
        <v>418</v>
      </c>
      <c r="G567" s="7" t="s">
        <v>208</v>
      </c>
      <c r="H567" s="7" t="s">
        <v>245</v>
      </c>
      <c r="I567" s="7" t="s">
        <v>1335</v>
      </c>
      <c r="J567" s="7" t="s">
        <v>227</v>
      </c>
      <c r="K567" s="7" t="s">
        <v>413</v>
      </c>
      <c r="L567" s="7" t="s">
        <v>1521</v>
      </c>
      <c r="M567" s="7" t="s">
        <v>1423</v>
      </c>
      <c r="N567" s="7" t="s">
        <v>3732</v>
      </c>
      <c r="O567" s="7" t="s">
        <v>3886</v>
      </c>
      <c r="P567" s="7">
        <v>5664888</v>
      </c>
      <c r="Q567" s="7" t="s">
        <v>5769</v>
      </c>
      <c r="R567" s="7" t="s">
        <v>203</v>
      </c>
      <c r="S567" s="7" t="s">
        <v>418</v>
      </c>
      <c r="T567" s="7" t="s">
        <v>208</v>
      </c>
      <c r="U567" s="7" t="s">
        <v>2330</v>
      </c>
      <c r="V567" s="7" t="s">
        <v>5770</v>
      </c>
      <c r="W567" s="7" t="s">
        <v>227</v>
      </c>
      <c r="X567" s="7" t="s">
        <v>413</v>
      </c>
      <c r="Y567" s="7" t="s">
        <v>5771</v>
      </c>
      <c r="Z567" s="7" t="s">
        <v>5772</v>
      </c>
      <c r="AA567" s="7" t="s">
        <v>3729</v>
      </c>
      <c r="AB567" s="7" t="s">
        <v>4128</v>
      </c>
      <c r="AC567" s="7" t="s">
        <v>5773</v>
      </c>
      <c r="AD567" s="8">
        <v>45870</v>
      </c>
      <c r="AE567" s="8">
        <v>46081</v>
      </c>
      <c r="AF567" s="7"/>
    </row>
    <row r="568" spans="1:32" ht="51" customHeight="1" x14ac:dyDescent="0.3">
      <c r="A568" s="5">
        <v>3796248</v>
      </c>
      <c r="B568" s="5" t="s">
        <v>3441</v>
      </c>
      <c r="C568" s="5" t="s">
        <v>5774</v>
      </c>
      <c r="D568" s="5" t="s">
        <v>198</v>
      </c>
      <c r="E568" s="5" t="s">
        <v>203</v>
      </c>
      <c r="F568" s="5" t="s">
        <v>234</v>
      </c>
      <c r="G568" s="5" t="s">
        <v>217</v>
      </c>
      <c r="H568" s="5" t="s">
        <v>207</v>
      </c>
      <c r="I568" s="5" t="s">
        <v>2408</v>
      </c>
      <c r="J568" s="5" t="s">
        <v>227</v>
      </c>
      <c r="K568" s="5" t="s">
        <v>413</v>
      </c>
      <c r="L568" s="5" t="s">
        <v>3442</v>
      </c>
      <c r="M568" s="5" t="s">
        <v>2410</v>
      </c>
      <c r="N568" s="5" t="s">
        <v>3729</v>
      </c>
      <c r="O568" s="5" t="s">
        <v>4181</v>
      </c>
      <c r="P568" s="5">
        <v>5306175</v>
      </c>
      <c r="Q568" s="5" t="s">
        <v>5775</v>
      </c>
      <c r="R568" s="5" t="s">
        <v>203</v>
      </c>
      <c r="S568" s="5" t="s">
        <v>234</v>
      </c>
      <c r="T568" s="5" t="s">
        <v>217</v>
      </c>
      <c r="U568" s="5" t="s">
        <v>207</v>
      </c>
      <c r="V568" s="5" t="s">
        <v>5776</v>
      </c>
      <c r="W568" s="5" t="s">
        <v>227</v>
      </c>
      <c r="X568" s="5" t="s">
        <v>413</v>
      </c>
      <c r="Y568" s="5" t="s">
        <v>5777</v>
      </c>
      <c r="Z568" s="5" t="s">
        <v>5778</v>
      </c>
      <c r="AA568" s="5" t="s">
        <v>3623</v>
      </c>
      <c r="AB568" s="5" t="s">
        <v>3783</v>
      </c>
      <c r="AC568" s="5" t="s">
        <v>5779</v>
      </c>
      <c r="AD568" s="6">
        <v>45908</v>
      </c>
      <c r="AE568" s="6">
        <v>46022</v>
      </c>
      <c r="AF568" s="5"/>
    </row>
    <row r="569" spans="1:32" ht="285" customHeight="1" x14ac:dyDescent="0.3">
      <c r="A569" s="7">
        <v>3796248</v>
      </c>
      <c r="B569" s="7" t="s">
        <v>3441</v>
      </c>
      <c r="C569" s="7" t="s">
        <v>5780</v>
      </c>
      <c r="D569" s="7" t="s">
        <v>198</v>
      </c>
      <c r="E569" s="7" t="s">
        <v>203</v>
      </c>
      <c r="F569" s="7" t="s">
        <v>234</v>
      </c>
      <c r="G569" s="7" t="s">
        <v>217</v>
      </c>
      <c r="H569" s="7" t="s">
        <v>207</v>
      </c>
      <c r="I569" s="7" t="s">
        <v>2408</v>
      </c>
      <c r="J569" s="7" t="s">
        <v>227</v>
      </c>
      <c r="K569" s="7" t="s">
        <v>413</v>
      </c>
      <c r="L569" s="7" t="s">
        <v>3442</v>
      </c>
      <c r="M569" s="7" t="s">
        <v>2410</v>
      </c>
      <c r="N569" s="7" t="s">
        <v>3729</v>
      </c>
      <c r="O569" s="7" t="s">
        <v>4181</v>
      </c>
      <c r="P569" s="7">
        <v>5048486</v>
      </c>
      <c r="Q569" s="7" t="s">
        <v>5781</v>
      </c>
      <c r="R569" s="7" t="s">
        <v>203</v>
      </c>
      <c r="S569" s="7" t="s">
        <v>234</v>
      </c>
      <c r="T569" s="7" t="s">
        <v>217</v>
      </c>
      <c r="U569" s="7" t="s">
        <v>207</v>
      </c>
      <c r="V569" s="7" t="s">
        <v>5782</v>
      </c>
      <c r="W569" s="7" t="s">
        <v>227</v>
      </c>
      <c r="X569" s="7" t="s">
        <v>578</v>
      </c>
      <c r="Y569" s="7" t="s">
        <v>5783</v>
      </c>
      <c r="Z569" s="7" t="s">
        <v>452</v>
      </c>
      <c r="AA569" s="7" t="s">
        <v>3623</v>
      </c>
      <c r="AB569" s="7" t="s">
        <v>3702</v>
      </c>
      <c r="AC569" s="7" t="s">
        <v>5784</v>
      </c>
      <c r="AD569" s="8">
        <v>45901</v>
      </c>
      <c r="AE569" s="8">
        <v>45991</v>
      </c>
      <c r="AF569" s="7"/>
    </row>
    <row r="570" spans="1:32" ht="132" customHeight="1" x14ac:dyDescent="0.3">
      <c r="A570" s="5">
        <v>5256224</v>
      </c>
      <c r="B570" s="5" t="s">
        <v>3007</v>
      </c>
      <c r="C570" s="5" t="s">
        <v>5785</v>
      </c>
      <c r="D570" s="5" t="s">
        <v>198</v>
      </c>
      <c r="E570" s="5" t="s">
        <v>203</v>
      </c>
      <c r="F570" s="5" t="s">
        <v>234</v>
      </c>
      <c r="G570" s="5" t="s">
        <v>208</v>
      </c>
      <c r="H570" s="5" t="s">
        <v>207</v>
      </c>
      <c r="I570" s="5" t="s">
        <v>2268</v>
      </c>
      <c r="J570" s="5" t="s">
        <v>227</v>
      </c>
      <c r="K570" s="5" t="s">
        <v>200</v>
      </c>
      <c r="L570" s="5" t="s">
        <v>2269</v>
      </c>
      <c r="M570" s="5" t="s">
        <v>330</v>
      </c>
      <c r="N570" s="5" t="s">
        <v>3623</v>
      </c>
      <c r="O570" s="5" t="s">
        <v>3630</v>
      </c>
      <c r="P570" s="5">
        <v>5293553</v>
      </c>
      <c r="Q570" s="5" t="s">
        <v>5786</v>
      </c>
      <c r="R570" s="5" t="s">
        <v>203</v>
      </c>
      <c r="S570" s="5" t="s">
        <v>234</v>
      </c>
      <c r="T570" s="5" t="s">
        <v>217</v>
      </c>
      <c r="U570" s="5" t="s">
        <v>207</v>
      </c>
      <c r="V570" s="5" t="s">
        <v>5787</v>
      </c>
      <c r="W570" s="5" t="s">
        <v>227</v>
      </c>
      <c r="X570" s="5" t="s">
        <v>200</v>
      </c>
      <c r="Y570" s="5" t="s">
        <v>5788</v>
      </c>
      <c r="Z570" s="5" t="s">
        <v>2977</v>
      </c>
      <c r="AA570" s="5" t="s">
        <v>3623</v>
      </c>
      <c r="AB570" s="5" t="s">
        <v>3727</v>
      </c>
      <c r="AC570" s="5" t="s">
        <v>5789</v>
      </c>
      <c r="AD570" s="6">
        <v>45904</v>
      </c>
      <c r="AE570" s="6">
        <v>46269</v>
      </c>
      <c r="AF570" s="5"/>
    </row>
    <row r="571" spans="1:32" ht="51" customHeight="1" x14ac:dyDescent="0.3">
      <c r="A571" s="7">
        <v>5275032</v>
      </c>
      <c r="B571" s="7" t="s">
        <v>3046</v>
      </c>
      <c r="C571" s="7" t="s">
        <v>5790</v>
      </c>
      <c r="D571" s="7" t="s">
        <v>3373</v>
      </c>
      <c r="E571" s="7" t="s">
        <v>203</v>
      </c>
      <c r="F571" s="7" t="s">
        <v>234</v>
      </c>
      <c r="G571" s="7" t="s">
        <v>217</v>
      </c>
      <c r="H571" s="7" t="s">
        <v>233</v>
      </c>
      <c r="I571" s="7" t="s">
        <v>2247</v>
      </c>
      <c r="J571" s="7" t="s">
        <v>227</v>
      </c>
      <c r="K571" s="7" t="s">
        <v>413</v>
      </c>
      <c r="L571" s="7" t="s">
        <v>3047</v>
      </c>
      <c r="M571" s="7" t="s">
        <v>3048</v>
      </c>
      <c r="N571" s="7" t="s">
        <v>3623</v>
      </c>
      <c r="O571" s="7" t="s">
        <v>3609</v>
      </c>
      <c r="P571" s="7">
        <v>2856271</v>
      </c>
      <c r="Q571" s="7" t="s">
        <v>5791</v>
      </c>
      <c r="R571" s="7" t="s">
        <v>203</v>
      </c>
      <c r="S571" s="7" t="s">
        <v>234</v>
      </c>
      <c r="T571" s="7" t="s">
        <v>208</v>
      </c>
      <c r="U571" s="7" t="s">
        <v>245</v>
      </c>
      <c r="V571" s="7" t="s">
        <v>5792</v>
      </c>
      <c r="W571" s="7" t="s">
        <v>227</v>
      </c>
      <c r="X571" s="7" t="s">
        <v>200</v>
      </c>
      <c r="Y571" s="7" t="s">
        <v>3113</v>
      </c>
      <c r="Z571" s="7" t="s">
        <v>1072</v>
      </c>
      <c r="AA571" s="7" t="s">
        <v>3652</v>
      </c>
      <c r="AB571" s="7" t="s">
        <v>3763</v>
      </c>
      <c r="AC571" s="7" t="s">
        <v>5793</v>
      </c>
      <c r="AD571" s="8">
        <v>45861</v>
      </c>
      <c r="AE571" s="8">
        <v>45961</v>
      </c>
      <c r="AF571" s="7"/>
    </row>
    <row r="572" spans="1:32" ht="173.25" customHeight="1" x14ac:dyDescent="0.3">
      <c r="A572" s="5">
        <v>3101320</v>
      </c>
      <c r="B572" s="5" t="s">
        <v>527</v>
      </c>
      <c r="C572" s="5" t="s">
        <v>5794</v>
      </c>
      <c r="D572" s="5" t="s">
        <v>198</v>
      </c>
      <c r="E572" s="5" t="s">
        <v>203</v>
      </c>
      <c r="F572" s="5" t="s">
        <v>234</v>
      </c>
      <c r="G572" s="5" t="s">
        <v>217</v>
      </c>
      <c r="H572" s="5" t="s">
        <v>245</v>
      </c>
      <c r="I572" s="5" t="s">
        <v>528</v>
      </c>
      <c r="J572" s="5" t="s">
        <v>227</v>
      </c>
      <c r="K572" s="5" t="s">
        <v>200</v>
      </c>
      <c r="L572" s="5" t="s">
        <v>529</v>
      </c>
      <c r="M572" s="5" t="s">
        <v>530</v>
      </c>
      <c r="N572" s="5" t="s">
        <v>3602</v>
      </c>
      <c r="O572" s="5" t="s">
        <v>3799</v>
      </c>
      <c r="P572" s="5">
        <v>3152723</v>
      </c>
      <c r="Q572" s="5" t="s">
        <v>5795</v>
      </c>
      <c r="R572" s="5" t="s">
        <v>203</v>
      </c>
      <c r="S572" s="5" t="s">
        <v>234</v>
      </c>
      <c r="T572" s="5" t="s">
        <v>217</v>
      </c>
      <c r="U572" s="5" t="s">
        <v>245</v>
      </c>
      <c r="V572" s="5" t="s">
        <v>5796</v>
      </c>
      <c r="W572" s="5" t="s">
        <v>227</v>
      </c>
      <c r="X572" s="5" t="s">
        <v>200</v>
      </c>
      <c r="Y572" s="5" t="s">
        <v>2547</v>
      </c>
      <c r="Z572" s="5" t="s">
        <v>1286</v>
      </c>
      <c r="AA572" s="5" t="s">
        <v>3602</v>
      </c>
      <c r="AB572" s="5" t="s">
        <v>4328</v>
      </c>
      <c r="AC572" s="5" t="s">
        <v>5797</v>
      </c>
      <c r="AD572" s="6">
        <v>45910</v>
      </c>
      <c r="AE572" s="6">
        <v>46275</v>
      </c>
      <c r="AF572" s="5"/>
    </row>
    <row r="573" spans="1:32" ht="30" customHeight="1" x14ac:dyDescent="0.3">
      <c r="A573" s="7">
        <v>3530221</v>
      </c>
      <c r="B573" s="7" t="s">
        <v>1434</v>
      </c>
      <c r="C573" s="7"/>
      <c r="D573" s="7" t="s">
        <v>198</v>
      </c>
      <c r="E573" s="7" t="s">
        <v>203</v>
      </c>
      <c r="F573" s="7" t="s">
        <v>234</v>
      </c>
      <c r="G573" s="7" t="s">
        <v>217</v>
      </c>
      <c r="H573" s="7" t="s">
        <v>207</v>
      </c>
      <c r="I573" s="7" t="s">
        <v>1435</v>
      </c>
      <c r="J573" s="7" t="s">
        <v>227</v>
      </c>
      <c r="K573" s="7" t="s">
        <v>413</v>
      </c>
      <c r="L573" s="7" t="s">
        <v>1436</v>
      </c>
      <c r="M573" s="7" t="s">
        <v>1432</v>
      </c>
      <c r="N573" s="7" t="s">
        <v>3623</v>
      </c>
      <c r="O573" s="7" t="s">
        <v>3743</v>
      </c>
      <c r="P573" s="7">
        <v>5480469</v>
      </c>
      <c r="Q573" s="7" t="s">
        <v>5798</v>
      </c>
      <c r="R573" s="7" t="s">
        <v>203</v>
      </c>
      <c r="S573" s="7" t="s">
        <v>234</v>
      </c>
      <c r="T573" s="7" t="s">
        <v>217</v>
      </c>
      <c r="U573" s="7" t="s">
        <v>2330</v>
      </c>
      <c r="V573" s="7" t="s">
        <v>5799</v>
      </c>
      <c r="W573" s="7" t="s">
        <v>227</v>
      </c>
      <c r="X573" s="7" t="s">
        <v>413</v>
      </c>
      <c r="Y573" s="7" t="s">
        <v>1834</v>
      </c>
      <c r="Z573" s="7" t="s">
        <v>3525</v>
      </c>
      <c r="AA573" s="7" t="s">
        <v>3732</v>
      </c>
      <c r="AB573" s="7" t="s">
        <v>3843</v>
      </c>
      <c r="AC573" s="7" t="s">
        <v>5800</v>
      </c>
      <c r="AD573" s="8">
        <v>45901</v>
      </c>
      <c r="AE573" s="8">
        <v>46266</v>
      </c>
      <c r="AF573" s="7"/>
    </row>
    <row r="574" spans="1:32" ht="142.5" customHeight="1" x14ac:dyDescent="0.3">
      <c r="A574" s="5">
        <v>3337936</v>
      </c>
      <c r="B574" s="5" t="s">
        <v>1185</v>
      </c>
      <c r="C574" s="5" t="s">
        <v>5801</v>
      </c>
      <c r="D574" s="5" t="s">
        <v>198</v>
      </c>
      <c r="E574" s="5" t="s">
        <v>203</v>
      </c>
      <c r="F574" s="5" t="s">
        <v>433</v>
      </c>
      <c r="G574" s="5" t="s">
        <v>217</v>
      </c>
      <c r="H574" s="5" t="s">
        <v>245</v>
      </c>
      <c r="I574" s="5" t="s">
        <v>1186</v>
      </c>
      <c r="J574" s="5" t="s">
        <v>227</v>
      </c>
      <c r="K574" s="5" t="s">
        <v>413</v>
      </c>
      <c r="L574" s="5" t="s">
        <v>1187</v>
      </c>
      <c r="M574" s="5" t="s">
        <v>1188</v>
      </c>
      <c r="N574" s="5" t="s">
        <v>3602</v>
      </c>
      <c r="O574" s="5" t="s">
        <v>3912</v>
      </c>
      <c r="P574" s="5">
        <v>8881413</v>
      </c>
      <c r="Q574" s="5" t="s">
        <v>5802</v>
      </c>
      <c r="R574" s="5" t="s">
        <v>203</v>
      </c>
      <c r="S574" s="5" t="s">
        <v>234</v>
      </c>
      <c r="T574" s="5" t="s">
        <v>217</v>
      </c>
      <c r="U574" s="5" t="s">
        <v>245</v>
      </c>
      <c r="V574" s="5" t="s">
        <v>5803</v>
      </c>
      <c r="W574" s="5" t="s">
        <v>227</v>
      </c>
      <c r="X574" s="5" t="s">
        <v>413</v>
      </c>
      <c r="Y574" s="5" t="s">
        <v>1834</v>
      </c>
      <c r="Z574" s="5" t="s">
        <v>1369</v>
      </c>
      <c r="AA574" s="5" t="s">
        <v>3617</v>
      </c>
      <c r="AB574" s="5" t="s">
        <v>3912</v>
      </c>
      <c r="AC574" s="5" t="s">
        <v>5804</v>
      </c>
      <c r="AD574" s="6">
        <v>45931</v>
      </c>
      <c r="AE574" s="6">
        <v>46081</v>
      </c>
      <c r="AF574" s="5"/>
    </row>
    <row r="575" spans="1:32" ht="409.5" customHeight="1" x14ac:dyDescent="0.3">
      <c r="A575" s="7">
        <v>4535286</v>
      </c>
      <c r="B575" s="7" t="s">
        <v>1837</v>
      </c>
      <c r="C575" s="7" t="s">
        <v>5805</v>
      </c>
      <c r="D575" s="7" t="s">
        <v>198</v>
      </c>
      <c r="E575" s="7" t="s">
        <v>203</v>
      </c>
      <c r="F575" s="7" t="s">
        <v>433</v>
      </c>
      <c r="G575" s="7" t="s">
        <v>217</v>
      </c>
      <c r="H575" s="7" t="s">
        <v>233</v>
      </c>
      <c r="I575" s="7" t="s">
        <v>1838</v>
      </c>
      <c r="J575" s="7" t="s">
        <v>227</v>
      </c>
      <c r="K575" s="7" t="s">
        <v>200</v>
      </c>
      <c r="L575" s="7" t="s">
        <v>684</v>
      </c>
      <c r="M575" s="7" t="s">
        <v>1839</v>
      </c>
      <c r="N575" s="7" t="s">
        <v>3608</v>
      </c>
      <c r="O575" s="7" t="s">
        <v>3824</v>
      </c>
      <c r="P575" s="7">
        <v>5698251</v>
      </c>
      <c r="Q575" s="7" t="s">
        <v>5806</v>
      </c>
      <c r="R575" s="7" t="s">
        <v>203</v>
      </c>
      <c r="S575" s="7" t="s">
        <v>234</v>
      </c>
      <c r="T575" s="7" t="s">
        <v>217</v>
      </c>
      <c r="U575" s="7" t="s">
        <v>207</v>
      </c>
      <c r="V575" s="7" t="s">
        <v>5807</v>
      </c>
      <c r="W575" s="7" t="s">
        <v>227</v>
      </c>
      <c r="X575" s="7" t="s">
        <v>200</v>
      </c>
      <c r="Y575" s="7" t="s">
        <v>684</v>
      </c>
      <c r="Z575" s="7" t="s">
        <v>1574</v>
      </c>
      <c r="AA575" s="7" t="s">
        <v>3732</v>
      </c>
      <c r="AB575" s="7" t="s">
        <v>3824</v>
      </c>
      <c r="AC575" s="7" t="s">
        <v>5808</v>
      </c>
      <c r="AD575" s="8">
        <v>45931</v>
      </c>
      <c r="AE575" s="8">
        <v>46264</v>
      </c>
      <c r="AF575" s="7"/>
    </row>
    <row r="576" spans="1:32" ht="30" customHeight="1" x14ac:dyDescent="0.3">
      <c r="A576" s="5">
        <v>4698339</v>
      </c>
      <c r="B576" s="5" t="s">
        <v>2014</v>
      </c>
      <c r="C576" s="5" t="s">
        <v>5809</v>
      </c>
      <c r="D576" s="5" t="s">
        <v>198</v>
      </c>
      <c r="E576" s="5" t="s">
        <v>203</v>
      </c>
      <c r="F576" s="5" t="s">
        <v>234</v>
      </c>
      <c r="G576" s="5" t="s">
        <v>217</v>
      </c>
      <c r="H576" s="5" t="s">
        <v>207</v>
      </c>
      <c r="I576" s="5" t="s">
        <v>749</v>
      </c>
      <c r="J576" s="5" t="s">
        <v>227</v>
      </c>
      <c r="K576" s="5" t="s">
        <v>200</v>
      </c>
      <c r="L576" s="5" t="s">
        <v>750</v>
      </c>
      <c r="M576" s="5" t="s">
        <v>752</v>
      </c>
      <c r="N576" s="5" t="s">
        <v>3608</v>
      </c>
      <c r="O576" s="5" t="s">
        <v>3635</v>
      </c>
      <c r="P576" s="5">
        <v>4919270</v>
      </c>
      <c r="Q576" s="5" t="s">
        <v>2433</v>
      </c>
      <c r="R576" s="5" t="s">
        <v>203</v>
      </c>
      <c r="S576" s="5" t="s">
        <v>234</v>
      </c>
      <c r="T576" s="5" t="s">
        <v>217</v>
      </c>
      <c r="U576" s="5" t="s">
        <v>207</v>
      </c>
      <c r="V576" s="5" t="s">
        <v>2434</v>
      </c>
      <c r="W576" s="5" t="s">
        <v>227</v>
      </c>
      <c r="X576" s="5" t="s">
        <v>200</v>
      </c>
      <c r="Y576" s="5" t="s">
        <v>2125</v>
      </c>
      <c r="Z576" s="5" t="s">
        <v>2126</v>
      </c>
      <c r="AA576" s="5" t="s">
        <v>3608</v>
      </c>
      <c r="AB576" s="5" t="s">
        <v>3763</v>
      </c>
      <c r="AC576" s="5" t="s">
        <v>5810</v>
      </c>
      <c r="AD576" s="6">
        <v>45869</v>
      </c>
      <c r="AE576" s="6">
        <v>46142</v>
      </c>
      <c r="AF576" s="5"/>
    </row>
    <row r="577" spans="1:32" ht="40.5" customHeight="1" x14ac:dyDescent="0.3">
      <c r="A577" s="7">
        <v>4607627</v>
      </c>
      <c r="B577" s="7" t="s">
        <v>1849</v>
      </c>
      <c r="C577" s="7" t="s">
        <v>5811</v>
      </c>
      <c r="D577" s="7" t="s">
        <v>3373</v>
      </c>
      <c r="E577" s="7" t="s">
        <v>203</v>
      </c>
      <c r="F577" s="7" t="s">
        <v>418</v>
      </c>
      <c r="G577" s="7" t="s">
        <v>217</v>
      </c>
      <c r="H577" s="7" t="s">
        <v>245</v>
      </c>
      <c r="I577" s="7" t="s">
        <v>1850</v>
      </c>
      <c r="J577" s="7" t="s">
        <v>227</v>
      </c>
      <c r="K577" s="7" t="s">
        <v>200</v>
      </c>
      <c r="L577" s="7" t="s">
        <v>1851</v>
      </c>
      <c r="M577" s="7" t="s">
        <v>1295</v>
      </c>
      <c r="N577" s="7" t="s">
        <v>3652</v>
      </c>
      <c r="O577" s="7" t="s">
        <v>3933</v>
      </c>
      <c r="P577" s="7">
        <v>8879892</v>
      </c>
      <c r="Q577" s="7" t="s">
        <v>5812</v>
      </c>
      <c r="R577" s="7" t="s">
        <v>203</v>
      </c>
      <c r="S577" s="7" t="s">
        <v>234</v>
      </c>
      <c r="T577" s="7" t="s">
        <v>217</v>
      </c>
      <c r="U577" s="7" t="s">
        <v>207</v>
      </c>
      <c r="V577" s="7" t="s">
        <v>5813</v>
      </c>
      <c r="W577" s="7" t="s">
        <v>227</v>
      </c>
      <c r="X577" s="7" t="s">
        <v>200</v>
      </c>
      <c r="Y577" s="7" t="s">
        <v>4509</v>
      </c>
      <c r="Z577" s="7" t="s">
        <v>4510</v>
      </c>
      <c r="AA577" s="7" t="s">
        <v>3617</v>
      </c>
      <c r="AB577" s="7" t="s">
        <v>3783</v>
      </c>
      <c r="AC577" s="7" t="s">
        <v>5814</v>
      </c>
      <c r="AD577" s="8">
        <v>45965</v>
      </c>
      <c r="AE577" s="7"/>
      <c r="AF577" s="7"/>
    </row>
    <row r="578" spans="1:32" ht="234" customHeight="1" x14ac:dyDescent="0.3">
      <c r="A578" s="5">
        <v>5238722</v>
      </c>
      <c r="B578" s="5" t="s">
        <v>2944</v>
      </c>
      <c r="C578" s="5" t="s">
        <v>5815</v>
      </c>
      <c r="D578" s="5" t="s">
        <v>198</v>
      </c>
      <c r="E578" s="5" t="s">
        <v>203</v>
      </c>
      <c r="F578" s="5" t="s">
        <v>418</v>
      </c>
      <c r="G578" s="5" t="s">
        <v>208</v>
      </c>
      <c r="H578" s="5" t="s">
        <v>245</v>
      </c>
      <c r="I578" s="5" t="s">
        <v>2945</v>
      </c>
      <c r="J578" s="5" t="s">
        <v>227</v>
      </c>
      <c r="K578" s="5" t="s">
        <v>200</v>
      </c>
      <c r="L578" s="5" t="s">
        <v>2946</v>
      </c>
      <c r="M578" s="5" t="s">
        <v>2947</v>
      </c>
      <c r="N578" s="5" t="s">
        <v>3608</v>
      </c>
      <c r="O578" s="5" t="s">
        <v>3711</v>
      </c>
      <c r="P578" s="5">
        <v>3286029</v>
      </c>
      <c r="Q578" s="5" t="s">
        <v>5816</v>
      </c>
      <c r="R578" s="5" t="s">
        <v>203</v>
      </c>
      <c r="S578" s="5" t="s">
        <v>234</v>
      </c>
      <c r="T578" s="5" t="s">
        <v>217</v>
      </c>
      <c r="U578" s="5" t="s">
        <v>245</v>
      </c>
      <c r="V578" s="5" t="s">
        <v>5817</v>
      </c>
      <c r="W578" s="5" t="s">
        <v>227</v>
      </c>
      <c r="X578" s="5" t="s">
        <v>200</v>
      </c>
      <c r="Y578" s="5" t="s">
        <v>4941</v>
      </c>
      <c r="Z578" s="5" t="s">
        <v>705</v>
      </c>
      <c r="AA578" s="5" t="s">
        <v>3623</v>
      </c>
      <c r="AB578" s="5" t="s">
        <v>3743</v>
      </c>
      <c r="AC578" s="5" t="s">
        <v>5818</v>
      </c>
      <c r="AD578" s="6">
        <v>45926</v>
      </c>
      <c r="AE578" s="6">
        <v>46112</v>
      </c>
      <c r="AF578" s="5"/>
    </row>
    <row r="579" spans="1:32" ht="409.5" customHeight="1" x14ac:dyDescent="0.3">
      <c r="A579" s="7">
        <v>5436346</v>
      </c>
      <c r="B579" s="7" t="s">
        <v>319</v>
      </c>
      <c r="C579" s="7" t="s">
        <v>5819</v>
      </c>
      <c r="D579" s="7" t="s">
        <v>354</v>
      </c>
      <c r="E579" s="7" t="s">
        <v>203</v>
      </c>
      <c r="F579" s="7" t="s">
        <v>209</v>
      </c>
      <c r="G579" s="7" t="s">
        <v>208</v>
      </c>
      <c r="H579" s="7" t="s">
        <v>245</v>
      </c>
      <c r="I579" s="7" t="s">
        <v>321</v>
      </c>
      <c r="J579" s="7" t="s">
        <v>199</v>
      </c>
      <c r="K579" s="7" t="s">
        <v>200</v>
      </c>
      <c r="L579" s="7" t="s">
        <v>322</v>
      </c>
      <c r="M579" s="7" t="s">
        <v>324</v>
      </c>
      <c r="N579" s="7" t="s">
        <v>3612</v>
      </c>
      <c r="O579" s="7" t="s">
        <v>3711</v>
      </c>
      <c r="P579" s="7">
        <v>4990382</v>
      </c>
      <c r="Q579" s="7" t="s">
        <v>5820</v>
      </c>
      <c r="R579" s="7" t="s">
        <v>203</v>
      </c>
      <c r="S579" s="7"/>
      <c r="T579" s="7" t="s">
        <v>208</v>
      </c>
      <c r="U579" s="7" t="s">
        <v>207</v>
      </c>
      <c r="V579" s="7" t="s">
        <v>5821</v>
      </c>
      <c r="W579" s="7" t="s">
        <v>199</v>
      </c>
      <c r="X579" s="7" t="s">
        <v>200</v>
      </c>
      <c r="Y579" s="7" t="s">
        <v>5822</v>
      </c>
      <c r="Z579" s="7" t="s">
        <v>4615</v>
      </c>
      <c r="AA579" s="7" t="s">
        <v>3623</v>
      </c>
      <c r="AB579" s="7" t="s">
        <v>3613</v>
      </c>
      <c r="AC579" s="7" t="s">
        <v>5823</v>
      </c>
      <c r="AD579" s="8">
        <v>45923</v>
      </c>
      <c r="AE579" s="8">
        <v>46387</v>
      </c>
      <c r="AF579" s="7"/>
    </row>
    <row r="580" spans="1:32" ht="51" customHeight="1" x14ac:dyDescent="0.3">
      <c r="A580" s="5">
        <v>5431328</v>
      </c>
      <c r="B580" s="5" t="s">
        <v>3206</v>
      </c>
      <c r="C580" s="5" t="s">
        <v>5824</v>
      </c>
      <c r="D580" s="5" t="s">
        <v>198</v>
      </c>
      <c r="E580" s="5" t="s">
        <v>203</v>
      </c>
      <c r="F580" s="5" t="s">
        <v>234</v>
      </c>
      <c r="G580" s="5" t="s">
        <v>208</v>
      </c>
      <c r="H580" s="5" t="s">
        <v>233</v>
      </c>
      <c r="I580" s="5" t="s">
        <v>3207</v>
      </c>
      <c r="J580" s="5" t="s">
        <v>227</v>
      </c>
      <c r="K580" s="5" t="s">
        <v>888</v>
      </c>
      <c r="L580" s="5" t="s">
        <v>3208</v>
      </c>
      <c r="M580" s="5" t="s">
        <v>3209</v>
      </c>
      <c r="N580" s="5" t="s">
        <v>3612</v>
      </c>
      <c r="O580" s="5" t="s">
        <v>3630</v>
      </c>
      <c r="P580" s="5">
        <v>4501241</v>
      </c>
      <c r="Q580" s="5" t="s">
        <v>1779</v>
      </c>
      <c r="R580" s="5" t="s">
        <v>203</v>
      </c>
      <c r="S580" s="5" t="s">
        <v>418</v>
      </c>
      <c r="T580" s="5" t="s">
        <v>217</v>
      </c>
      <c r="U580" s="5" t="s">
        <v>233</v>
      </c>
      <c r="V580" s="5" t="s">
        <v>1780</v>
      </c>
      <c r="W580" s="5" t="s">
        <v>227</v>
      </c>
      <c r="X580" s="5" t="s">
        <v>413</v>
      </c>
      <c r="Y580" s="5" t="s">
        <v>1781</v>
      </c>
      <c r="Z580" s="5" t="s">
        <v>1782</v>
      </c>
      <c r="AA580" s="5" t="s">
        <v>3652</v>
      </c>
      <c r="AB580" s="5" t="s">
        <v>3705</v>
      </c>
      <c r="AC580" s="5" t="s">
        <v>5825</v>
      </c>
      <c r="AD580" s="6">
        <v>45922</v>
      </c>
      <c r="AE580" s="6">
        <v>46202</v>
      </c>
      <c r="AF580" s="5"/>
    </row>
    <row r="581" spans="1:32" ht="30" customHeight="1" x14ac:dyDescent="0.3">
      <c r="A581" s="7">
        <v>5159903</v>
      </c>
      <c r="B581" s="7" t="s">
        <v>2824</v>
      </c>
      <c r="C581" s="7"/>
      <c r="D581" s="7" t="s">
        <v>198</v>
      </c>
      <c r="E581" s="7" t="s">
        <v>203</v>
      </c>
      <c r="F581" s="7" t="s">
        <v>234</v>
      </c>
      <c r="G581" s="7" t="s">
        <v>217</v>
      </c>
      <c r="H581" s="7" t="s">
        <v>207</v>
      </c>
      <c r="I581" s="7" t="s">
        <v>2825</v>
      </c>
      <c r="J581" s="7" t="s">
        <v>227</v>
      </c>
      <c r="K581" s="7" t="s">
        <v>413</v>
      </c>
      <c r="L581" s="7" t="s">
        <v>2826</v>
      </c>
      <c r="M581" s="7" t="s">
        <v>647</v>
      </c>
      <c r="N581" s="7" t="s">
        <v>3623</v>
      </c>
      <c r="O581" s="7" t="s">
        <v>3736</v>
      </c>
      <c r="P581" s="7">
        <v>5482976</v>
      </c>
      <c r="Q581" s="7" t="s">
        <v>5826</v>
      </c>
      <c r="R581" s="7" t="s">
        <v>203</v>
      </c>
      <c r="S581" s="7" t="s">
        <v>444</v>
      </c>
      <c r="T581" s="7" t="s">
        <v>217</v>
      </c>
      <c r="U581" s="7" t="s">
        <v>2330</v>
      </c>
      <c r="V581" s="7" t="s">
        <v>5827</v>
      </c>
      <c r="W581" s="7" t="s">
        <v>227</v>
      </c>
      <c r="X581" s="7" t="s">
        <v>200</v>
      </c>
      <c r="Y581" s="7" t="s">
        <v>5828</v>
      </c>
      <c r="Z581" s="7" t="s">
        <v>5829</v>
      </c>
      <c r="AA581" s="7" t="s">
        <v>3612</v>
      </c>
      <c r="AB581" s="7" t="s">
        <v>4478</v>
      </c>
      <c r="AC581" s="7" t="s">
        <v>5830</v>
      </c>
      <c r="AD581" s="8">
        <v>45931</v>
      </c>
      <c r="AE581" s="7"/>
      <c r="AF581" s="7"/>
    </row>
    <row r="582" spans="1:32" ht="30" customHeight="1" x14ac:dyDescent="0.3">
      <c r="A582" s="5">
        <v>4877594</v>
      </c>
      <c r="B582" s="5" t="s">
        <v>2357</v>
      </c>
      <c r="C582" s="5"/>
      <c r="D582" s="5" t="s">
        <v>198</v>
      </c>
      <c r="E582" s="5" t="s">
        <v>203</v>
      </c>
      <c r="F582" s="5" t="s">
        <v>234</v>
      </c>
      <c r="G582" s="5" t="s">
        <v>208</v>
      </c>
      <c r="H582" s="5" t="s">
        <v>207</v>
      </c>
      <c r="I582" s="5" t="s">
        <v>2359</v>
      </c>
      <c r="J582" s="5" t="s">
        <v>227</v>
      </c>
      <c r="K582" s="5" t="s">
        <v>200</v>
      </c>
      <c r="L582" s="5" t="s">
        <v>2360</v>
      </c>
      <c r="M582" s="5" t="s">
        <v>2361</v>
      </c>
      <c r="N582" s="5" t="s">
        <v>3623</v>
      </c>
      <c r="O582" s="5" t="s">
        <v>3736</v>
      </c>
      <c r="P582" s="5">
        <v>3184188</v>
      </c>
      <c r="Q582" s="5" t="s">
        <v>5831</v>
      </c>
      <c r="R582" s="5" t="s">
        <v>737</v>
      </c>
      <c r="S582" s="5" t="s">
        <v>234</v>
      </c>
      <c r="T582" s="5" t="s">
        <v>217</v>
      </c>
      <c r="U582" s="5" t="s">
        <v>245</v>
      </c>
      <c r="V582" s="5" t="s">
        <v>5832</v>
      </c>
      <c r="W582" s="5" t="s">
        <v>227</v>
      </c>
      <c r="X582" s="5" t="s">
        <v>200</v>
      </c>
      <c r="Y582" s="5" t="s">
        <v>5833</v>
      </c>
      <c r="Z582" s="5" t="s">
        <v>1247</v>
      </c>
      <c r="AA582" s="5" t="s">
        <v>3623</v>
      </c>
      <c r="AB582" s="5" t="s">
        <v>3646</v>
      </c>
      <c r="AC582" s="5" t="s">
        <v>5834</v>
      </c>
      <c r="AD582" s="6">
        <v>45951</v>
      </c>
      <c r="AE582" s="6">
        <v>46203</v>
      </c>
      <c r="AF582" s="5"/>
    </row>
    <row r="583" spans="1:32" ht="409.5" customHeight="1" x14ac:dyDescent="0.3">
      <c r="A583" s="7">
        <v>4804325</v>
      </c>
      <c r="B583" s="7" t="s">
        <v>2192</v>
      </c>
      <c r="C583" s="7" t="s">
        <v>5835</v>
      </c>
      <c r="D583" s="7" t="s">
        <v>198</v>
      </c>
      <c r="E583" s="7" t="s">
        <v>203</v>
      </c>
      <c r="F583" s="7" t="s">
        <v>234</v>
      </c>
      <c r="G583" s="7" t="s">
        <v>208</v>
      </c>
      <c r="H583" s="7" t="s">
        <v>207</v>
      </c>
      <c r="I583" s="7" t="s">
        <v>2096</v>
      </c>
      <c r="J583" s="7" t="s">
        <v>227</v>
      </c>
      <c r="K583" s="7" t="s">
        <v>200</v>
      </c>
      <c r="L583" s="7" t="s">
        <v>1418</v>
      </c>
      <c r="M583" s="7" t="s">
        <v>2097</v>
      </c>
      <c r="N583" s="7" t="s">
        <v>3608</v>
      </c>
      <c r="O583" s="7" t="s">
        <v>3894</v>
      </c>
      <c r="P583" s="7">
        <v>8876562</v>
      </c>
      <c r="Q583" s="7" t="s">
        <v>5836</v>
      </c>
      <c r="R583" s="7" t="s">
        <v>203</v>
      </c>
      <c r="S583" s="7" t="s">
        <v>234</v>
      </c>
      <c r="T583" s="7" t="s">
        <v>217</v>
      </c>
      <c r="U583" s="7" t="s">
        <v>2330</v>
      </c>
      <c r="V583" s="7" t="s">
        <v>5837</v>
      </c>
      <c r="W583" s="7" t="s">
        <v>227</v>
      </c>
      <c r="X583" s="7" t="s">
        <v>200</v>
      </c>
      <c r="Y583" s="7" t="s">
        <v>3201</v>
      </c>
      <c r="Z583" s="7" t="s">
        <v>1328</v>
      </c>
      <c r="AA583" s="7" t="s">
        <v>3729</v>
      </c>
      <c r="AB583" s="7" t="s">
        <v>3894</v>
      </c>
      <c r="AC583" s="7" t="s">
        <v>5838</v>
      </c>
      <c r="AD583" s="8">
        <v>45936</v>
      </c>
      <c r="AE583" s="8">
        <v>46387</v>
      </c>
      <c r="AF583" s="7"/>
    </row>
    <row r="584" spans="1:32" ht="122.25" customHeight="1" x14ac:dyDescent="0.3">
      <c r="A584" s="5">
        <v>3794687</v>
      </c>
      <c r="B584" s="5" t="s">
        <v>1642</v>
      </c>
      <c r="C584" s="5" t="s">
        <v>5839</v>
      </c>
      <c r="D584" s="5" t="s">
        <v>198</v>
      </c>
      <c r="E584" s="5" t="s">
        <v>203</v>
      </c>
      <c r="F584" s="5" t="s">
        <v>433</v>
      </c>
      <c r="G584" s="5" t="s">
        <v>217</v>
      </c>
      <c r="H584" s="5" t="s">
        <v>233</v>
      </c>
      <c r="I584" s="5" t="s">
        <v>1643</v>
      </c>
      <c r="J584" s="5" t="s">
        <v>227</v>
      </c>
      <c r="K584" s="5" t="s">
        <v>413</v>
      </c>
      <c r="L584" s="5" t="s">
        <v>1644</v>
      </c>
      <c r="M584" s="5" t="s">
        <v>1645</v>
      </c>
      <c r="N584" s="5" t="s">
        <v>3608</v>
      </c>
      <c r="O584" s="5" t="s">
        <v>3741</v>
      </c>
      <c r="P584" s="5">
        <v>5292603</v>
      </c>
      <c r="Q584" s="5" t="s">
        <v>5840</v>
      </c>
      <c r="R584" s="5" t="s">
        <v>203</v>
      </c>
      <c r="S584" s="5" t="s">
        <v>234</v>
      </c>
      <c r="T584" s="5" t="s">
        <v>217</v>
      </c>
      <c r="U584" s="5" t="s">
        <v>207</v>
      </c>
      <c r="V584" s="5" t="s">
        <v>1643</v>
      </c>
      <c r="W584" s="5" t="s">
        <v>227</v>
      </c>
      <c r="X584" s="5" t="s">
        <v>413</v>
      </c>
      <c r="Y584" s="5" t="s">
        <v>1644</v>
      </c>
      <c r="Z584" s="5" t="s">
        <v>5841</v>
      </c>
      <c r="AA584" s="5" t="s">
        <v>3612</v>
      </c>
      <c r="AB584" s="5" t="s">
        <v>3824</v>
      </c>
      <c r="AC584" s="5" t="s">
        <v>5842</v>
      </c>
      <c r="AD584" s="6">
        <v>45901</v>
      </c>
      <c r="AE584" s="6">
        <v>46295</v>
      </c>
      <c r="AF584" s="5"/>
    </row>
    <row r="585" spans="1:32" ht="244.5" customHeight="1" x14ac:dyDescent="0.3">
      <c r="A585" s="7">
        <v>4617215</v>
      </c>
      <c r="B585" s="7" t="s">
        <v>1874</v>
      </c>
      <c r="C585" s="7" t="s">
        <v>5843</v>
      </c>
      <c r="D585" s="7" t="s">
        <v>198</v>
      </c>
      <c r="E585" s="7" t="s">
        <v>1877</v>
      </c>
      <c r="F585" s="7" t="s">
        <v>433</v>
      </c>
      <c r="G585" s="7" t="s">
        <v>208</v>
      </c>
      <c r="H585" s="7" t="s">
        <v>245</v>
      </c>
      <c r="I585" s="7" t="s">
        <v>1875</v>
      </c>
      <c r="J585" s="7" t="s">
        <v>227</v>
      </c>
      <c r="K585" s="7" t="s">
        <v>200</v>
      </c>
      <c r="L585" s="7" t="s">
        <v>1876</v>
      </c>
      <c r="M585" s="7" t="s">
        <v>1878</v>
      </c>
      <c r="N585" s="7" t="s">
        <v>3608</v>
      </c>
      <c r="O585" s="7" t="s">
        <v>3783</v>
      </c>
      <c r="P585" s="7">
        <v>8878533</v>
      </c>
      <c r="Q585" s="7" t="s">
        <v>5844</v>
      </c>
      <c r="R585" s="7" t="s">
        <v>737</v>
      </c>
      <c r="S585" s="7" t="s">
        <v>433</v>
      </c>
      <c r="T585" s="7" t="s">
        <v>217</v>
      </c>
      <c r="U585" s="7" t="s">
        <v>2330</v>
      </c>
      <c r="V585" s="7" t="s">
        <v>5845</v>
      </c>
      <c r="W585" s="7" t="s">
        <v>227</v>
      </c>
      <c r="X585" s="7" t="s">
        <v>200</v>
      </c>
      <c r="Y585" s="7" t="s">
        <v>1856</v>
      </c>
      <c r="Z585" s="7" t="s">
        <v>2063</v>
      </c>
      <c r="AA585" s="7" t="s">
        <v>3617</v>
      </c>
      <c r="AB585" s="7" t="s">
        <v>3635</v>
      </c>
      <c r="AC585" s="7" t="s">
        <v>5846</v>
      </c>
      <c r="AD585" s="8">
        <v>45931</v>
      </c>
      <c r="AE585" s="7"/>
      <c r="AF585" s="7"/>
    </row>
    <row r="586" spans="1:32" ht="30" customHeight="1" x14ac:dyDescent="0.3">
      <c r="A586" s="5">
        <v>5080096</v>
      </c>
      <c r="B586" s="5" t="s">
        <v>2686</v>
      </c>
      <c r="C586" s="5" t="s">
        <v>5847</v>
      </c>
      <c r="D586" s="5" t="s">
        <v>862</v>
      </c>
      <c r="E586" s="5" t="s">
        <v>203</v>
      </c>
      <c r="F586" s="5" t="s">
        <v>418</v>
      </c>
      <c r="G586" s="5" t="s">
        <v>217</v>
      </c>
      <c r="H586" s="5" t="s">
        <v>245</v>
      </c>
      <c r="I586" s="5" t="s">
        <v>2687</v>
      </c>
      <c r="J586" s="5" t="s">
        <v>227</v>
      </c>
      <c r="K586" s="5" t="s">
        <v>200</v>
      </c>
      <c r="L586" s="5" t="s">
        <v>1025</v>
      </c>
      <c r="M586" s="5" t="s">
        <v>705</v>
      </c>
      <c r="N586" s="5" t="s">
        <v>3623</v>
      </c>
      <c r="O586" s="5" t="s">
        <v>3743</v>
      </c>
      <c r="P586" s="5">
        <v>5179386</v>
      </c>
      <c r="Q586" s="5" t="s">
        <v>2853</v>
      </c>
      <c r="R586" s="5" t="s">
        <v>203</v>
      </c>
      <c r="S586" s="5" t="s">
        <v>418</v>
      </c>
      <c r="T586" s="5" t="s">
        <v>208</v>
      </c>
      <c r="U586" s="5" t="s">
        <v>2330</v>
      </c>
      <c r="V586" s="5" t="s">
        <v>2687</v>
      </c>
      <c r="W586" s="5" t="s">
        <v>227</v>
      </c>
      <c r="X586" s="5" t="s">
        <v>200</v>
      </c>
      <c r="Y586" s="5" t="s">
        <v>1025</v>
      </c>
      <c r="Z586" s="5" t="s">
        <v>1203</v>
      </c>
      <c r="AA586" s="5" t="s">
        <v>3623</v>
      </c>
      <c r="AB586" s="5" t="s">
        <v>3743</v>
      </c>
      <c r="AC586" s="5" t="s">
        <v>5848</v>
      </c>
      <c r="AD586" s="6">
        <v>45932</v>
      </c>
      <c r="AE586" s="6">
        <v>46142</v>
      </c>
      <c r="AF586" s="5"/>
    </row>
    <row r="587" spans="1:32" ht="111.75" customHeight="1" x14ac:dyDescent="0.3">
      <c r="A587" s="7">
        <v>3794687</v>
      </c>
      <c r="B587" s="7" t="s">
        <v>1642</v>
      </c>
      <c r="C587" s="7" t="s">
        <v>5849</v>
      </c>
      <c r="D587" s="7" t="s">
        <v>862</v>
      </c>
      <c r="E587" s="7" t="s">
        <v>203</v>
      </c>
      <c r="F587" s="7" t="s">
        <v>433</v>
      </c>
      <c r="G587" s="7" t="s">
        <v>217</v>
      </c>
      <c r="H587" s="7" t="s">
        <v>233</v>
      </c>
      <c r="I587" s="7" t="s">
        <v>1643</v>
      </c>
      <c r="J587" s="7" t="s">
        <v>227</v>
      </c>
      <c r="K587" s="7" t="s">
        <v>413</v>
      </c>
      <c r="L587" s="7" t="s">
        <v>1644</v>
      </c>
      <c r="M587" s="7" t="s">
        <v>1645</v>
      </c>
      <c r="N587" s="7" t="s">
        <v>3608</v>
      </c>
      <c r="O587" s="7" t="s">
        <v>3741</v>
      </c>
      <c r="P587" s="7">
        <v>5067618</v>
      </c>
      <c r="Q587" s="7" t="s">
        <v>5850</v>
      </c>
      <c r="R587" s="7" t="s">
        <v>203</v>
      </c>
      <c r="S587" s="7" t="s">
        <v>433</v>
      </c>
      <c r="T587" s="7" t="s">
        <v>208</v>
      </c>
      <c r="U587" s="7" t="s">
        <v>245</v>
      </c>
      <c r="V587" s="7" t="s">
        <v>5851</v>
      </c>
      <c r="W587" s="7" t="s">
        <v>227</v>
      </c>
      <c r="X587" s="7" t="s">
        <v>200</v>
      </c>
      <c r="Y587" s="7" t="s">
        <v>5852</v>
      </c>
      <c r="Z587" s="7" t="s">
        <v>4546</v>
      </c>
      <c r="AA587" s="7" t="s">
        <v>3623</v>
      </c>
      <c r="AB587" s="7" t="s">
        <v>3837</v>
      </c>
      <c r="AC587" s="7" t="s">
        <v>5853</v>
      </c>
      <c r="AD587" s="8">
        <v>45770</v>
      </c>
      <c r="AE587" s="8">
        <v>46135</v>
      </c>
      <c r="AF587" s="7"/>
    </row>
    <row r="588" spans="1:32" ht="51" customHeight="1" x14ac:dyDescent="0.3">
      <c r="A588" s="5">
        <v>3278212</v>
      </c>
      <c r="B588" s="5" t="s">
        <v>412</v>
      </c>
      <c r="C588" s="5" t="s">
        <v>5854</v>
      </c>
      <c r="D588" s="5" t="s">
        <v>198</v>
      </c>
      <c r="E588" s="5" t="s">
        <v>203</v>
      </c>
      <c r="F588" s="5" t="s">
        <v>418</v>
      </c>
      <c r="G588" s="5" t="s">
        <v>208</v>
      </c>
      <c r="H588" s="5" t="s">
        <v>245</v>
      </c>
      <c r="I588" s="5" t="s">
        <v>414</v>
      </c>
      <c r="J588" s="5" t="s">
        <v>227</v>
      </c>
      <c r="K588" s="5" t="s">
        <v>413</v>
      </c>
      <c r="L588" s="5" t="s">
        <v>415</v>
      </c>
      <c r="M588" s="5" t="s">
        <v>416</v>
      </c>
      <c r="N588" s="5" t="s">
        <v>3602</v>
      </c>
      <c r="O588" s="5" t="s">
        <v>3763</v>
      </c>
      <c r="P588" s="5">
        <v>8873444</v>
      </c>
      <c r="Q588" s="5" t="s">
        <v>3429</v>
      </c>
      <c r="R588" s="5" t="s">
        <v>203</v>
      </c>
      <c r="S588" s="5" t="s">
        <v>418</v>
      </c>
      <c r="T588" s="5" t="s">
        <v>217</v>
      </c>
      <c r="U588" s="5" t="s">
        <v>207</v>
      </c>
      <c r="V588" s="5" t="s">
        <v>3430</v>
      </c>
      <c r="W588" s="5" t="s">
        <v>227</v>
      </c>
      <c r="X588" s="5" t="s">
        <v>413</v>
      </c>
      <c r="Y588" s="5" t="s">
        <v>3431</v>
      </c>
      <c r="Z588" s="5" t="s">
        <v>448</v>
      </c>
      <c r="AA588" s="5" t="s">
        <v>3729</v>
      </c>
      <c r="AB588" s="5" t="s">
        <v>3743</v>
      </c>
      <c r="AC588" s="5" t="s">
        <v>5855</v>
      </c>
      <c r="AD588" s="6">
        <v>45931</v>
      </c>
      <c r="AE588" s="6">
        <v>46356</v>
      </c>
      <c r="AF588" s="5"/>
    </row>
    <row r="589" spans="1:32" ht="30" customHeight="1" x14ac:dyDescent="0.3">
      <c r="A589" s="7">
        <v>5179386</v>
      </c>
      <c r="B589" s="7" t="s">
        <v>2853</v>
      </c>
      <c r="C589" s="7" t="s">
        <v>5856</v>
      </c>
      <c r="D589" s="7" t="s">
        <v>862</v>
      </c>
      <c r="E589" s="7" t="s">
        <v>203</v>
      </c>
      <c r="F589" s="7" t="s">
        <v>418</v>
      </c>
      <c r="G589" s="7" t="s">
        <v>208</v>
      </c>
      <c r="H589" s="7" t="s">
        <v>2330</v>
      </c>
      <c r="I589" s="7" t="s">
        <v>2687</v>
      </c>
      <c r="J589" s="7" t="s">
        <v>227</v>
      </c>
      <c r="K589" s="7" t="s">
        <v>200</v>
      </c>
      <c r="L589" s="7" t="s">
        <v>1025</v>
      </c>
      <c r="M589" s="7" t="s">
        <v>1203</v>
      </c>
      <c r="N589" s="7" t="s">
        <v>3623</v>
      </c>
      <c r="O589" s="7" t="s">
        <v>3743</v>
      </c>
      <c r="P589" s="7">
        <v>5624312</v>
      </c>
      <c r="Q589" s="7" t="s">
        <v>5857</v>
      </c>
      <c r="R589" s="7" t="s">
        <v>203</v>
      </c>
      <c r="S589" s="7" t="s">
        <v>418</v>
      </c>
      <c r="T589" s="7" t="s">
        <v>208</v>
      </c>
      <c r="U589" s="7" t="s">
        <v>2330</v>
      </c>
      <c r="V589" s="7" t="s">
        <v>2687</v>
      </c>
      <c r="W589" s="7" t="s">
        <v>227</v>
      </c>
      <c r="X589" s="7" t="s">
        <v>200</v>
      </c>
      <c r="Y589" s="7" t="s">
        <v>1025</v>
      </c>
      <c r="Z589" s="7" t="s">
        <v>1203</v>
      </c>
      <c r="AA589" s="7" t="s">
        <v>3732</v>
      </c>
      <c r="AB589" s="7" t="s">
        <v>3743</v>
      </c>
      <c r="AC589" s="7" t="s">
        <v>5858</v>
      </c>
      <c r="AD589" s="8">
        <v>45952</v>
      </c>
      <c r="AE589" s="8">
        <v>46112</v>
      </c>
      <c r="AF589" s="7"/>
    </row>
    <row r="590" spans="1:32" ht="173.25" customHeight="1" x14ac:dyDescent="0.3">
      <c r="A590" s="5">
        <v>5218233</v>
      </c>
      <c r="B590" s="5" t="s">
        <v>2915</v>
      </c>
      <c r="C590" s="5" t="s">
        <v>5859</v>
      </c>
      <c r="D590" s="5" t="s">
        <v>198</v>
      </c>
      <c r="E590" s="5" t="s">
        <v>203</v>
      </c>
      <c r="F590" s="5" t="s">
        <v>444</v>
      </c>
      <c r="G590" s="5" t="s">
        <v>217</v>
      </c>
      <c r="H590" s="5" t="s">
        <v>207</v>
      </c>
      <c r="I590" s="5" t="s">
        <v>2916</v>
      </c>
      <c r="J590" s="5" t="s">
        <v>227</v>
      </c>
      <c r="K590" s="5" t="s">
        <v>888</v>
      </c>
      <c r="L590" s="5" t="s">
        <v>2917</v>
      </c>
      <c r="M590" s="5" t="s">
        <v>2753</v>
      </c>
      <c r="N590" s="5" t="s">
        <v>3612</v>
      </c>
      <c r="O590" s="5" t="s">
        <v>4693</v>
      </c>
      <c r="P590" s="5">
        <v>4982177</v>
      </c>
      <c r="Q590" s="5" t="s">
        <v>5860</v>
      </c>
      <c r="R590" s="5" t="s">
        <v>203</v>
      </c>
      <c r="S590" s="5" t="s">
        <v>234</v>
      </c>
      <c r="T590" s="5" t="s">
        <v>208</v>
      </c>
      <c r="U590" s="5" t="s">
        <v>2330</v>
      </c>
      <c r="V590" s="5" t="s">
        <v>5861</v>
      </c>
      <c r="W590" s="5" t="s">
        <v>227</v>
      </c>
      <c r="X590" s="5" t="s">
        <v>200</v>
      </c>
      <c r="Y590" s="5" t="s">
        <v>5862</v>
      </c>
      <c r="Z590" s="5" t="s">
        <v>410</v>
      </c>
      <c r="AA590" s="5" t="s">
        <v>3729</v>
      </c>
      <c r="AB590" s="5" t="s">
        <v>3609</v>
      </c>
      <c r="AC590" s="5" t="s">
        <v>5863</v>
      </c>
      <c r="AD590" s="6">
        <v>45873</v>
      </c>
      <c r="AE590" s="5"/>
      <c r="AF590" s="5"/>
    </row>
    <row r="591" spans="1:32" ht="30" customHeight="1" x14ac:dyDescent="0.3">
      <c r="A591" s="7">
        <v>2962233</v>
      </c>
      <c r="B591" s="7" t="s">
        <v>786</v>
      </c>
      <c r="C591" s="7" t="s">
        <v>5864</v>
      </c>
      <c r="D591" s="7" t="s">
        <v>354</v>
      </c>
      <c r="E591" s="7" t="s">
        <v>203</v>
      </c>
      <c r="F591" s="7" t="s">
        <v>433</v>
      </c>
      <c r="G591" s="7" t="s">
        <v>208</v>
      </c>
      <c r="H591" s="7" t="s">
        <v>233</v>
      </c>
      <c r="I591" s="7" t="s">
        <v>787</v>
      </c>
      <c r="J591" s="7" t="s">
        <v>227</v>
      </c>
      <c r="K591" s="7" t="s">
        <v>200</v>
      </c>
      <c r="L591" s="7" t="s">
        <v>788</v>
      </c>
      <c r="M591" s="7" t="s">
        <v>789</v>
      </c>
      <c r="N591" s="7" t="s">
        <v>3602</v>
      </c>
      <c r="O591" s="7" t="s">
        <v>3727</v>
      </c>
      <c r="P591" s="7">
        <v>2281961</v>
      </c>
      <c r="Q591" s="7" t="s">
        <v>3563</v>
      </c>
      <c r="R591" s="7" t="s">
        <v>203</v>
      </c>
      <c r="S591" s="7" t="s">
        <v>444</v>
      </c>
      <c r="T591" s="7" t="s">
        <v>217</v>
      </c>
      <c r="U591" s="7" t="s">
        <v>233</v>
      </c>
      <c r="V591" s="7" t="s">
        <v>1686</v>
      </c>
      <c r="W591" s="7" t="s">
        <v>227</v>
      </c>
      <c r="X591" s="7" t="s">
        <v>200</v>
      </c>
      <c r="Y591" s="7" t="s">
        <v>1687</v>
      </c>
      <c r="Z591" s="7" t="s">
        <v>324</v>
      </c>
      <c r="AA591" s="7" t="s">
        <v>3617</v>
      </c>
      <c r="AB591" s="7" t="s">
        <v>3711</v>
      </c>
      <c r="AC591" s="7" t="s">
        <v>5865</v>
      </c>
      <c r="AD591" s="8">
        <v>45951</v>
      </c>
      <c r="AE591" s="8">
        <v>45961</v>
      </c>
      <c r="AF591" s="7"/>
    </row>
    <row r="592" spans="1:32" ht="30" customHeight="1" x14ac:dyDescent="0.3">
      <c r="A592" s="5">
        <v>4807200</v>
      </c>
      <c r="B592" s="5" t="s">
        <v>2198</v>
      </c>
      <c r="C592" s="5" t="s">
        <v>5866</v>
      </c>
      <c r="D592" s="5" t="s">
        <v>862</v>
      </c>
      <c r="E592" s="5" t="s">
        <v>203</v>
      </c>
      <c r="F592" s="5" t="s">
        <v>418</v>
      </c>
      <c r="G592" s="5" t="s">
        <v>208</v>
      </c>
      <c r="H592" s="5" t="s">
        <v>245</v>
      </c>
      <c r="I592" s="5" t="s">
        <v>2005</v>
      </c>
      <c r="J592" s="5" t="s">
        <v>227</v>
      </c>
      <c r="K592" s="5" t="s">
        <v>200</v>
      </c>
      <c r="L592" s="5" t="s">
        <v>2006</v>
      </c>
      <c r="M592" s="5" t="s">
        <v>2199</v>
      </c>
      <c r="N592" s="5" t="s">
        <v>3608</v>
      </c>
      <c r="O592" s="5" t="s">
        <v>3705</v>
      </c>
      <c r="P592" s="5">
        <v>5126614</v>
      </c>
      <c r="Q592" s="5" t="s">
        <v>5867</v>
      </c>
      <c r="R592" s="5" t="s">
        <v>203</v>
      </c>
      <c r="S592" s="5" t="s">
        <v>234</v>
      </c>
      <c r="T592" s="5" t="s">
        <v>208</v>
      </c>
      <c r="U592" s="5" t="s">
        <v>245</v>
      </c>
      <c r="V592" s="5" t="s">
        <v>5868</v>
      </c>
      <c r="W592" s="5" t="s">
        <v>227</v>
      </c>
      <c r="X592" s="5" t="s">
        <v>200</v>
      </c>
      <c r="Y592" s="5" t="s">
        <v>5869</v>
      </c>
      <c r="Z592" s="5" t="s">
        <v>1542</v>
      </c>
      <c r="AA592" s="5" t="s">
        <v>3623</v>
      </c>
      <c r="AB592" s="5" t="s">
        <v>4364</v>
      </c>
      <c r="AC592" s="5" t="s">
        <v>5870</v>
      </c>
      <c r="AD592" s="6">
        <v>46042</v>
      </c>
      <c r="AE592" s="6">
        <v>46387</v>
      </c>
      <c r="AF592" s="5"/>
    </row>
    <row r="593" spans="1:32" ht="30" customHeight="1" x14ac:dyDescent="0.3">
      <c r="A593" s="7">
        <v>4709179</v>
      </c>
      <c r="B593" s="7" t="s">
        <v>2035</v>
      </c>
      <c r="C593" s="7"/>
      <c r="D593" s="7" t="s">
        <v>198</v>
      </c>
      <c r="E593" s="7" t="s">
        <v>203</v>
      </c>
      <c r="F593" s="7" t="s">
        <v>433</v>
      </c>
      <c r="G593" s="7" t="s">
        <v>217</v>
      </c>
      <c r="H593" s="7" t="s">
        <v>233</v>
      </c>
      <c r="I593" s="7" t="s">
        <v>1217</v>
      </c>
      <c r="J593" s="7" t="s">
        <v>227</v>
      </c>
      <c r="K593" s="7" t="s">
        <v>200</v>
      </c>
      <c r="L593" s="7" t="s">
        <v>1514</v>
      </c>
      <c r="M593" s="7" t="s">
        <v>662</v>
      </c>
      <c r="N593" s="7" t="s">
        <v>3608</v>
      </c>
      <c r="O593" s="7" t="s">
        <v>3736</v>
      </c>
      <c r="P593" s="7">
        <v>5456150</v>
      </c>
      <c r="Q593" s="7" t="s">
        <v>5871</v>
      </c>
      <c r="R593" s="7" t="s">
        <v>203</v>
      </c>
      <c r="S593" s="7" t="s">
        <v>234</v>
      </c>
      <c r="T593" s="7" t="s">
        <v>217</v>
      </c>
      <c r="U593" s="7" t="s">
        <v>207</v>
      </c>
      <c r="V593" s="7" t="s">
        <v>5872</v>
      </c>
      <c r="W593" s="7" t="s">
        <v>227</v>
      </c>
      <c r="X593" s="7" t="s">
        <v>200</v>
      </c>
      <c r="Y593" s="7" t="s">
        <v>2269</v>
      </c>
      <c r="Z593" s="7" t="s">
        <v>5873</v>
      </c>
      <c r="AA593" s="7" t="s">
        <v>3729</v>
      </c>
      <c r="AB593" s="7" t="s">
        <v>3630</v>
      </c>
      <c r="AC593" s="7" t="s">
        <v>5874</v>
      </c>
      <c r="AD593" s="8">
        <v>45946</v>
      </c>
      <c r="AE593" s="7"/>
      <c r="AF593" s="7"/>
    </row>
    <row r="594" spans="1:32" ht="264.75" customHeight="1" x14ac:dyDescent="0.3">
      <c r="A594" s="5">
        <v>4657810</v>
      </c>
      <c r="B594" s="5" t="s">
        <v>1938</v>
      </c>
      <c r="C594" s="5" t="s">
        <v>5875</v>
      </c>
      <c r="D594" s="5" t="s">
        <v>198</v>
      </c>
      <c r="E594" s="5" t="s">
        <v>203</v>
      </c>
      <c r="F594" s="5" t="s">
        <v>433</v>
      </c>
      <c r="G594" s="5" t="s">
        <v>208</v>
      </c>
      <c r="H594" s="5" t="s">
        <v>233</v>
      </c>
      <c r="I594" s="5" t="s">
        <v>1939</v>
      </c>
      <c r="J594" s="5" t="s">
        <v>227</v>
      </c>
      <c r="K594" s="5" t="s">
        <v>200</v>
      </c>
      <c r="L594" s="5" t="s">
        <v>784</v>
      </c>
      <c r="M594" s="5" t="s">
        <v>785</v>
      </c>
      <c r="N594" s="5" t="s">
        <v>3608</v>
      </c>
      <c r="O594" s="5" t="s">
        <v>3715</v>
      </c>
      <c r="P594" s="5">
        <v>4634217</v>
      </c>
      <c r="Q594" s="5" t="s">
        <v>5876</v>
      </c>
      <c r="R594" s="5" t="s">
        <v>203</v>
      </c>
      <c r="S594" s="5" t="s">
        <v>234</v>
      </c>
      <c r="T594" s="5" t="s">
        <v>217</v>
      </c>
      <c r="U594" s="5" t="s">
        <v>207</v>
      </c>
      <c r="V594" s="5" t="s">
        <v>5877</v>
      </c>
      <c r="W594" s="5" t="s">
        <v>227</v>
      </c>
      <c r="X594" s="5" t="s">
        <v>200</v>
      </c>
      <c r="Y594" s="5" t="s">
        <v>2472</v>
      </c>
      <c r="Z594" s="5" t="s">
        <v>3078</v>
      </c>
      <c r="AA594" s="5" t="s">
        <v>3608</v>
      </c>
      <c r="AB594" s="5" t="s">
        <v>4356</v>
      </c>
      <c r="AC594" s="5" t="s">
        <v>5878</v>
      </c>
      <c r="AD594" s="6">
        <v>45964</v>
      </c>
      <c r="AE594" s="6">
        <v>46297</v>
      </c>
      <c r="AF594" s="5"/>
    </row>
    <row r="595" spans="1:32" ht="40.5" customHeight="1" x14ac:dyDescent="0.3">
      <c r="A595" s="7">
        <v>2281961</v>
      </c>
      <c r="B595" s="7" t="s">
        <v>3563</v>
      </c>
      <c r="C595" s="7" t="s">
        <v>5879</v>
      </c>
      <c r="D595" s="7" t="s">
        <v>354</v>
      </c>
      <c r="E595" s="7" t="s">
        <v>203</v>
      </c>
      <c r="F595" s="7" t="s">
        <v>444</v>
      </c>
      <c r="G595" s="7" t="s">
        <v>217</v>
      </c>
      <c r="H595" s="7" t="s">
        <v>233</v>
      </c>
      <c r="I595" s="7" t="s">
        <v>1686</v>
      </c>
      <c r="J595" s="7" t="s">
        <v>227</v>
      </c>
      <c r="K595" s="7" t="s">
        <v>200</v>
      </c>
      <c r="L595" s="7" t="s">
        <v>1687</v>
      </c>
      <c r="M595" s="7" t="s">
        <v>324</v>
      </c>
      <c r="N595" s="7" t="s">
        <v>3617</v>
      </c>
      <c r="O595" s="7" t="s">
        <v>3711</v>
      </c>
      <c r="P595" s="7">
        <v>5449774</v>
      </c>
      <c r="Q595" s="7" t="s">
        <v>5880</v>
      </c>
      <c r="R595" s="7" t="s">
        <v>203</v>
      </c>
      <c r="S595" s="7" t="s">
        <v>444</v>
      </c>
      <c r="T595" s="7" t="s">
        <v>217</v>
      </c>
      <c r="U595" s="7" t="s">
        <v>233</v>
      </c>
      <c r="V595" s="7" t="s">
        <v>3087</v>
      </c>
      <c r="W595" s="7" t="s">
        <v>227</v>
      </c>
      <c r="X595" s="7" t="s">
        <v>200</v>
      </c>
      <c r="Y595" s="7" t="s">
        <v>1025</v>
      </c>
      <c r="Z595" s="7" t="s">
        <v>1147</v>
      </c>
      <c r="AA595" s="7" t="s">
        <v>3612</v>
      </c>
      <c r="AB595" s="7" t="s">
        <v>4364</v>
      </c>
      <c r="AC595" s="7" t="s">
        <v>5881</v>
      </c>
      <c r="AD595" s="8">
        <v>46023</v>
      </c>
      <c r="AE595" s="8">
        <v>46387</v>
      </c>
      <c r="AF595" s="7"/>
    </row>
    <row r="596" spans="1:32" ht="51" customHeight="1" x14ac:dyDescent="0.3">
      <c r="A596" s="5">
        <v>4905849</v>
      </c>
      <c r="B596" s="5" t="s">
        <v>2411</v>
      </c>
      <c r="C596" s="5" t="s">
        <v>5882</v>
      </c>
      <c r="D596" s="5" t="s">
        <v>198</v>
      </c>
      <c r="E596" s="5" t="s">
        <v>203</v>
      </c>
      <c r="F596" s="5" t="s">
        <v>234</v>
      </c>
      <c r="G596" s="5" t="s">
        <v>208</v>
      </c>
      <c r="H596" s="5" t="s">
        <v>245</v>
      </c>
      <c r="I596" s="5" t="s">
        <v>460</v>
      </c>
      <c r="J596" s="5" t="s">
        <v>227</v>
      </c>
      <c r="K596" s="5" t="s">
        <v>200</v>
      </c>
      <c r="L596" s="5" t="s">
        <v>461</v>
      </c>
      <c r="M596" s="5" t="s">
        <v>2367</v>
      </c>
      <c r="N596" s="5" t="s">
        <v>3623</v>
      </c>
      <c r="O596" s="5" t="s">
        <v>3741</v>
      </c>
      <c r="P596" s="5">
        <v>5183340</v>
      </c>
      <c r="Q596" s="5" t="s">
        <v>5294</v>
      </c>
      <c r="R596" s="5" t="s">
        <v>203</v>
      </c>
      <c r="S596" s="5" t="s">
        <v>234</v>
      </c>
      <c r="T596" s="5" t="s">
        <v>208</v>
      </c>
      <c r="U596" s="5" t="s">
        <v>207</v>
      </c>
      <c r="V596" s="5" t="s">
        <v>5295</v>
      </c>
      <c r="W596" s="5" t="s">
        <v>227</v>
      </c>
      <c r="X596" s="5" t="s">
        <v>200</v>
      </c>
      <c r="Y596" s="5" t="s">
        <v>2832</v>
      </c>
      <c r="Z596" s="5" t="s">
        <v>2305</v>
      </c>
      <c r="AA596" s="5" t="s">
        <v>3623</v>
      </c>
      <c r="AB596" s="5" t="s">
        <v>4426</v>
      </c>
      <c r="AC596" s="5" t="s">
        <v>5883</v>
      </c>
      <c r="AD596" s="6">
        <v>45937</v>
      </c>
      <c r="AE596" s="6">
        <v>46387</v>
      </c>
      <c r="AF596" s="5"/>
    </row>
    <row r="597" spans="1:32" ht="102" customHeight="1" x14ac:dyDescent="0.3">
      <c r="A597" s="7">
        <v>5619289</v>
      </c>
      <c r="B597" s="7" t="s">
        <v>3322</v>
      </c>
      <c r="C597" s="7" t="s">
        <v>5884</v>
      </c>
      <c r="D597" s="7" t="s">
        <v>862</v>
      </c>
      <c r="E597" s="7" t="s">
        <v>203</v>
      </c>
      <c r="F597" s="7" t="s">
        <v>234</v>
      </c>
      <c r="G597" s="7" t="s">
        <v>208</v>
      </c>
      <c r="H597" s="7" t="s">
        <v>2330</v>
      </c>
      <c r="I597" s="7" t="s">
        <v>3323</v>
      </c>
      <c r="J597" s="7" t="s">
        <v>227</v>
      </c>
      <c r="K597" s="7" t="s">
        <v>200</v>
      </c>
      <c r="L597" s="7" t="s">
        <v>3324</v>
      </c>
      <c r="M597" s="7" t="s">
        <v>1203</v>
      </c>
      <c r="N597" s="7" t="s">
        <v>3612</v>
      </c>
      <c r="O597" s="7" t="s">
        <v>3743</v>
      </c>
      <c r="P597" s="7">
        <v>8884359</v>
      </c>
      <c r="Q597" s="7" t="s">
        <v>5885</v>
      </c>
      <c r="R597" s="7" t="s">
        <v>203</v>
      </c>
      <c r="S597" s="7" t="s">
        <v>433</v>
      </c>
      <c r="T597" s="7" t="s">
        <v>208</v>
      </c>
      <c r="U597" s="7" t="s">
        <v>207</v>
      </c>
      <c r="V597" s="7" t="s">
        <v>3323</v>
      </c>
      <c r="W597" s="7" t="s">
        <v>227</v>
      </c>
      <c r="X597" s="7" t="s">
        <v>200</v>
      </c>
      <c r="Y597" s="7" t="s">
        <v>3324</v>
      </c>
      <c r="Z597" s="7" t="s">
        <v>1203</v>
      </c>
      <c r="AA597" s="7" t="s">
        <v>3617</v>
      </c>
      <c r="AB597" s="7" t="s">
        <v>3743</v>
      </c>
      <c r="AC597" s="7" t="s">
        <v>5886</v>
      </c>
      <c r="AD597" s="8">
        <v>45959</v>
      </c>
      <c r="AE597" s="7"/>
      <c r="AF597" s="7"/>
    </row>
    <row r="598" spans="1:32" ht="366.75" customHeight="1" x14ac:dyDescent="0.3">
      <c r="A598" s="5">
        <v>3792595</v>
      </c>
      <c r="B598" s="5" t="s">
        <v>1640</v>
      </c>
      <c r="C598" s="5" t="s">
        <v>5887</v>
      </c>
      <c r="D598" s="5" t="s">
        <v>198</v>
      </c>
      <c r="E598" s="5" t="s">
        <v>203</v>
      </c>
      <c r="F598" s="5" t="s">
        <v>234</v>
      </c>
      <c r="G598" s="5" t="s">
        <v>208</v>
      </c>
      <c r="H598" s="5" t="s">
        <v>233</v>
      </c>
      <c r="I598" s="5" t="s">
        <v>1641</v>
      </c>
      <c r="J598" s="5" t="s">
        <v>227</v>
      </c>
      <c r="K598" s="5" t="s">
        <v>200</v>
      </c>
      <c r="L598" s="5" t="s">
        <v>784</v>
      </c>
      <c r="M598" s="5" t="s">
        <v>785</v>
      </c>
      <c r="N598" s="5" t="s">
        <v>3608</v>
      </c>
      <c r="O598" s="5" t="s">
        <v>3715</v>
      </c>
      <c r="P598" s="5">
        <v>3102238</v>
      </c>
      <c r="Q598" s="5" t="s">
        <v>5888</v>
      </c>
      <c r="R598" s="5" t="s">
        <v>203</v>
      </c>
      <c r="S598" s="5" t="s">
        <v>234</v>
      </c>
      <c r="T598" s="5" t="s">
        <v>217</v>
      </c>
      <c r="U598" s="5" t="s">
        <v>245</v>
      </c>
      <c r="V598" s="5" t="s">
        <v>5889</v>
      </c>
      <c r="W598" s="5" t="s">
        <v>227</v>
      </c>
      <c r="X598" s="5" t="s">
        <v>200</v>
      </c>
      <c r="Y598" s="5" t="s">
        <v>5890</v>
      </c>
      <c r="Z598" s="5" t="s">
        <v>953</v>
      </c>
      <c r="AA598" s="5" t="s">
        <v>3602</v>
      </c>
      <c r="AB598" s="5" t="s">
        <v>3727</v>
      </c>
      <c r="AC598" s="5" t="s">
        <v>5891</v>
      </c>
      <c r="AD598" s="6">
        <v>45971</v>
      </c>
      <c r="AE598" s="6">
        <v>46183</v>
      </c>
      <c r="AF598" s="5"/>
    </row>
    <row r="599" spans="1:32" ht="122.25" customHeight="1" x14ac:dyDescent="0.3">
      <c r="A599" s="7">
        <v>5436346</v>
      </c>
      <c r="B599" s="7" t="s">
        <v>319</v>
      </c>
      <c r="C599" s="7" t="s">
        <v>5892</v>
      </c>
      <c r="D599" s="7" t="s">
        <v>354</v>
      </c>
      <c r="E599" s="7" t="s">
        <v>203</v>
      </c>
      <c r="F599" s="7" t="s">
        <v>209</v>
      </c>
      <c r="G599" s="7" t="s">
        <v>208</v>
      </c>
      <c r="H599" s="7" t="s">
        <v>245</v>
      </c>
      <c r="I599" s="7" t="s">
        <v>321</v>
      </c>
      <c r="J599" s="7" t="s">
        <v>199</v>
      </c>
      <c r="K599" s="7" t="s">
        <v>200</v>
      </c>
      <c r="L599" s="7" t="s">
        <v>322</v>
      </c>
      <c r="M599" s="7" t="s">
        <v>324</v>
      </c>
      <c r="N599" s="7" t="s">
        <v>3612</v>
      </c>
      <c r="O599" s="7" t="s">
        <v>3711</v>
      </c>
      <c r="P599" s="7">
        <v>5594375</v>
      </c>
      <c r="Q599" s="7" t="s">
        <v>5893</v>
      </c>
      <c r="R599" s="7" t="s">
        <v>203</v>
      </c>
      <c r="S599" s="7"/>
      <c r="T599" s="7" t="s">
        <v>217</v>
      </c>
      <c r="U599" s="7" t="s">
        <v>2330</v>
      </c>
      <c r="V599" s="7" t="s">
        <v>5894</v>
      </c>
      <c r="W599" s="7" t="s">
        <v>199</v>
      </c>
      <c r="X599" s="7" t="s">
        <v>200</v>
      </c>
      <c r="Y599" s="7" t="s">
        <v>322</v>
      </c>
      <c r="Z599" s="7" t="s">
        <v>1445</v>
      </c>
      <c r="AA599" s="7" t="s">
        <v>3612</v>
      </c>
      <c r="AB599" s="7" t="s">
        <v>3705</v>
      </c>
      <c r="AC599" s="7" t="s">
        <v>5895</v>
      </c>
      <c r="AD599" s="8">
        <v>45945</v>
      </c>
      <c r="AE599" s="7"/>
      <c r="AF599" s="7"/>
    </row>
    <row r="600" spans="1:32" ht="30" customHeight="1" x14ac:dyDescent="0.3">
      <c r="A600" s="5">
        <v>4877594</v>
      </c>
      <c r="B600" s="5" t="s">
        <v>2357</v>
      </c>
      <c r="C600" s="5"/>
      <c r="D600" s="5" t="s">
        <v>198</v>
      </c>
      <c r="E600" s="5" t="s">
        <v>203</v>
      </c>
      <c r="F600" s="5" t="s">
        <v>234</v>
      </c>
      <c r="G600" s="5" t="s">
        <v>208</v>
      </c>
      <c r="H600" s="5" t="s">
        <v>207</v>
      </c>
      <c r="I600" s="5" t="s">
        <v>2359</v>
      </c>
      <c r="J600" s="5" t="s">
        <v>227</v>
      </c>
      <c r="K600" s="5" t="s">
        <v>200</v>
      </c>
      <c r="L600" s="5" t="s">
        <v>2360</v>
      </c>
      <c r="M600" s="5" t="s">
        <v>2361</v>
      </c>
      <c r="N600" s="5" t="s">
        <v>3623</v>
      </c>
      <c r="O600" s="5" t="s">
        <v>3736</v>
      </c>
      <c r="P600" s="5">
        <v>5047749</v>
      </c>
      <c r="Q600" s="5" t="s">
        <v>5896</v>
      </c>
      <c r="R600" s="5" t="s">
        <v>203</v>
      </c>
      <c r="S600" s="5" t="s">
        <v>444</v>
      </c>
      <c r="T600" s="5" t="s">
        <v>217</v>
      </c>
      <c r="U600" s="5" t="s">
        <v>2330</v>
      </c>
      <c r="V600" s="5" t="s">
        <v>5897</v>
      </c>
      <c r="W600" s="5" t="s">
        <v>227</v>
      </c>
      <c r="X600" s="5" t="s">
        <v>200</v>
      </c>
      <c r="Y600" s="5" t="s">
        <v>5898</v>
      </c>
      <c r="Z600" s="5" t="s">
        <v>4552</v>
      </c>
      <c r="AA600" s="5" t="s">
        <v>3623</v>
      </c>
      <c r="AB600" s="5" t="s">
        <v>3609</v>
      </c>
      <c r="AC600" s="5" t="s">
        <v>5899</v>
      </c>
      <c r="AD600" s="6">
        <v>45965</v>
      </c>
      <c r="AE600" s="6">
        <v>45989</v>
      </c>
      <c r="AF600" s="5"/>
    </row>
    <row r="601" spans="1:32" ht="397.5" customHeight="1" x14ac:dyDescent="0.3">
      <c r="A601" s="7">
        <v>4535286</v>
      </c>
      <c r="B601" s="7" t="s">
        <v>1837</v>
      </c>
      <c r="C601" s="7" t="s">
        <v>5900</v>
      </c>
      <c r="D601" s="7" t="s">
        <v>198</v>
      </c>
      <c r="E601" s="7" t="s">
        <v>203</v>
      </c>
      <c r="F601" s="7" t="s">
        <v>433</v>
      </c>
      <c r="G601" s="7" t="s">
        <v>217</v>
      </c>
      <c r="H601" s="7" t="s">
        <v>233</v>
      </c>
      <c r="I601" s="7" t="s">
        <v>1838</v>
      </c>
      <c r="J601" s="7" t="s">
        <v>227</v>
      </c>
      <c r="K601" s="7" t="s">
        <v>200</v>
      </c>
      <c r="L601" s="7" t="s">
        <v>684</v>
      </c>
      <c r="M601" s="7" t="s">
        <v>1839</v>
      </c>
      <c r="N601" s="7" t="s">
        <v>3608</v>
      </c>
      <c r="O601" s="7" t="s">
        <v>3824</v>
      </c>
      <c r="P601" s="7">
        <v>5317673</v>
      </c>
      <c r="Q601" s="7" t="s">
        <v>5901</v>
      </c>
      <c r="R601" s="7" t="s">
        <v>203</v>
      </c>
      <c r="S601" s="7" t="s">
        <v>234</v>
      </c>
      <c r="T601" s="7" t="s">
        <v>217</v>
      </c>
      <c r="U601" s="7" t="s">
        <v>245</v>
      </c>
      <c r="V601" s="7" t="s">
        <v>5902</v>
      </c>
      <c r="W601" s="7" t="s">
        <v>227</v>
      </c>
      <c r="X601" s="7" t="s">
        <v>200</v>
      </c>
      <c r="Y601" s="7" t="s">
        <v>5903</v>
      </c>
      <c r="Z601" s="7" t="s">
        <v>3525</v>
      </c>
      <c r="AA601" s="7" t="s">
        <v>3623</v>
      </c>
      <c r="AB601" s="7" t="s">
        <v>3843</v>
      </c>
      <c r="AC601" s="7" t="s">
        <v>5904</v>
      </c>
      <c r="AD601" s="8">
        <v>46034</v>
      </c>
      <c r="AE601" s="8">
        <v>46387</v>
      </c>
      <c r="AF601" s="7"/>
    </row>
    <row r="602" spans="1:32" ht="30" customHeight="1" x14ac:dyDescent="0.3">
      <c r="A602" s="5">
        <v>4975278</v>
      </c>
      <c r="B602" s="5" t="s">
        <v>2545</v>
      </c>
      <c r="C602" s="5"/>
      <c r="D602" s="5" t="s">
        <v>198</v>
      </c>
      <c r="E602" s="5" t="s">
        <v>203</v>
      </c>
      <c r="F602" s="5" t="s">
        <v>234</v>
      </c>
      <c r="G602" s="5" t="s">
        <v>217</v>
      </c>
      <c r="H602" s="5" t="s">
        <v>207</v>
      </c>
      <c r="I602" s="5" t="s">
        <v>2546</v>
      </c>
      <c r="J602" s="5" t="s">
        <v>227</v>
      </c>
      <c r="K602" s="5" t="s">
        <v>200</v>
      </c>
      <c r="L602" s="5" t="s">
        <v>2547</v>
      </c>
      <c r="M602" s="5" t="s">
        <v>594</v>
      </c>
      <c r="N602" s="5" t="s">
        <v>3623</v>
      </c>
      <c r="O602" s="5" t="s">
        <v>3919</v>
      </c>
      <c r="P602" s="5">
        <v>3060187</v>
      </c>
      <c r="Q602" s="5" t="s">
        <v>5905</v>
      </c>
      <c r="R602" s="5" t="s">
        <v>203</v>
      </c>
      <c r="S602" s="5" t="s">
        <v>234</v>
      </c>
      <c r="T602" s="5" t="s">
        <v>217</v>
      </c>
      <c r="U602" s="5" t="s">
        <v>245</v>
      </c>
      <c r="V602" s="5" t="s">
        <v>5906</v>
      </c>
      <c r="W602" s="5" t="s">
        <v>227</v>
      </c>
      <c r="X602" s="5" t="s">
        <v>200</v>
      </c>
      <c r="Y602" s="5" t="s">
        <v>5907</v>
      </c>
      <c r="Z602" s="5" t="s">
        <v>3719</v>
      </c>
      <c r="AA602" s="5" t="s">
        <v>3652</v>
      </c>
      <c r="AB602" s="5" t="s">
        <v>3702</v>
      </c>
      <c r="AC602" s="5" t="s">
        <v>5908</v>
      </c>
      <c r="AD602" s="6">
        <v>45979</v>
      </c>
      <c r="AE602" s="5"/>
      <c r="AF602" s="5"/>
    </row>
    <row r="603" spans="1:32" ht="60.75" customHeight="1" x14ac:dyDescent="0.3">
      <c r="A603" s="7">
        <v>2281961</v>
      </c>
      <c r="B603" s="7" t="s">
        <v>3563</v>
      </c>
      <c r="C603" s="7" t="s">
        <v>5909</v>
      </c>
      <c r="D603" s="7" t="s">
        <v>198</v>
      </c>
      <c r="E603" s="7" t="s">
        <v>203</v>
      </c>
      <c r="F603" s="7" t="s">
        <v>444</v>
      </c>
      <c r="G603" s="7" t="s">
        <v>217</v>
      </c>
      <c r="H603" s="7" t="s">
        <v>233</v>
      </c>
      <c r="I603" s="7" t="s">
        <v>1686</v>
      </c>
      <c r="J603" s="7" t="s">
        <v>227</v>
      </c>
      <c r="K603" s="7" t="s">
        <v>200</v>
      </c>
      <c r="L603" s="7" t="s">
        <v>1687</v>
      </c>
      <c r="M603" s="7" t="s">
        <v>324</v>
      </c>
      <c r="N603" s="7" t="s">
        <v>3617</v>
      </c>
      <c r="O603" s="7" t="s">
        <v>3711</v>
      </c>
      <c r="P603" s="7">
        <v>5500591</v>
      </c>
      <c r="Q603" s="7" t="s">
        <v>3264</v>
      </c>
      <c r="R603" s="7" t="s">
        <v>203</v>
      </c>
      <c r="S603" s="7" t="s">
        <v>444</v>
      </c>
      <c r="T603" s="7" t="s">
        <v>217</v>
      </c>
      <c r="U603" s="7" t="s">
        <v>233</v>
      </c>
      <c r="V603" s="7" t="s">
        <v>3265</v>
      </c>
      <c r="W603" s="7" t="s">
        <v>227</v>
      </c>
      <c r="X603" s="7" t="s">
        <v>200</v>
      </c>
      <c r="Y603" s="7" t="s">
        <v>3266</v>
      </c>
      <c r="Z603" s="7" t="s">
        <v>870</v>
      </c>
      <c r="AA603" s="7" t="s">
        <v>3612</v>
      </c>
      <c r="AB603" s="7" t="s">
        <v>3715</v>
      </c>
      <c r="AC603" s="7" t="s">
        <v>5910</v>
      </c>
      <c r="AD603" s="8">
        <v>45870</v>
      </c>
      <c r="AE603" s="8">
        <v>46234</v>
      </c>
      <c r="AF603" s="7"/>
    </row>
    <row r="604" spans="1:32" ht="409.5" customHeight="1" x14ac:dyDescent="0.3">
      <c r="A604" s="5">
        <v>5441579</v>
      </c>
      <c r="B604" s="5" t="s">
        <v>3210</v>
      </c>
      <c r="C604" s="5" t="s">
        <v>5911</v>
      </c>
      <c r="D604" s="5" t="s">
        <v>198</v>
      </c>
      <c r="E604" s="5" t="s">
        <v>203</v>
      </c>
      <c r="F604" s="5" t="s">
        <v>418</v>
      </c>
      <c r="G604" s="5" t="s">
        <v>208</v>
      </c>
      <c r="H604" s="5" t="s">
        <v>245</v>
      </c>
      <c r="I604" s="5" t="s">
        <v>3211</v>
      </c>
      <c r="J604" s="5" t="s">
        <v>227</v>
      </c>
      <c r="K604" s="5" t="s">
        <v>200</v>
      </c>
      <c r="L604" s="5" t="s">
        <v>1057</v>
      </c>
      <c r="M604" s="5" t="s">
        <v>1445</v>
      </c>
      <c r="N604" s="5" t="s">
        <v>3612</v>
      </c>
      <c r="O604" s="5" t="s">
        <v>3705</v>
      </c>
      <c r="P604" s="5">
        <v>8877283</v>
      </c>
      <c r="Q604" s="5" t="s">
        <v>5912</v>
      </c>
      <c r="R604" s="5" t="s">
        <v>203</v>
      </c>
      <c r="S604" s="5" t="s">
        <v>234</v>
      </c>
      <c r="T604" s="5" t="s">
        <v>217</v>
      </c>
      <c r="U604" s="5" t="s">
        <v>207</v>
      </c>
      <c r="V604" s="5" t="s">
        <v>5913</v>
      </c>
      <c r="W604" s="5" t="s">
        <v>227</v>
      </c>
      <c r="X604" s="5" t="s">
        <v>200</v>
      </c>
      <c r="Y604" s="5" t="s">
        <v>1368</v>
      </c>
      <c r="Z604" s="5" t="s">
        <v>1369</v>
      </c>
      <c r="AA604" s="5" t="s">
        <v>3729</v>
      </c>
      <c r="AB604" s="5" t="s">
        <v>3912</v>
      </c>
      <c r="AC604" s="5" t="s">
        <v>5914</v>
      </c>
      <c r="AD604" s="6">
        <v>45950</v>
      </c>
      <c r="AE604" s="6">
        <v>46112</v>
      </c>
      <c r="AF604" s="5"/>
    </row>
    <row r="605" spans="1:32" ht="162.75" customHeight="1" x14ac:dyDescent="0.3">
      <c r="A605" s="7">
        <v>5431328</v>
      </c>
      <c r="B605" s="7" t="s">
        <v>3206</v>
      </c>
      <c r="C605" s="7" t="s">
        <v>5915</v>
      </c>
      <c r="D605" s="7" t="s">
        <v>3373</v>
      </c>
      <c r="E605" s="7" t="s">
        <v>203</v>
      </c>
      <c r="F605" s="7" t="s">
        <v>234</v>
      </c>
      <c r="G605" s="7" t="s">
        <v>208</v>
      </c>
      <c r="H605" s="7" t="s">
        <v>233</v>
      </c>
      <c r="I605" s="7" t="s">
        <v>3207</v>
      </c>
      <c r="J605" s="7" t="s">
        <v>227</v>
      </c>
      <c r="K605" s="7" t="s">
        <v>888</v>
      </c>
      <c r="L605" s="7" t="s">
        <v>3208</v>
      </c>
      <c r="M605" s="7" t="s">
        <v>3209</v>
      </c>
      <c r="N605" s="7" t="s">
        <v>3612</v>
      </c>
      <c r="O605" s="7" t="s">
        <v>3630</v>
      </c>
      <c r="P605" s="7">
        <v>5219973</v>
      </c>
      <c r="Q605" s="7" t="s">
        <v>5916</v>
      </c>
      <c r="R605" s="7" t="s">
        <v>203</v>
      </c>
      <c r="S605" s="7" t="s">
        <v>433</v>
      </c>
      <c r="T605" s="7" t="s">
        <v>208</v>
      </c>
      <c r="U605" s="7" t="s">
        <v>245</v>
      </c>
      <c r="V605" s="7" t="s">
        <v>2720</v>
      </c>
      <c r="W605" s="7" t="s">
        <v>227</v>
      </c>
      <c r="X605" s="7" t="s">
        <v>888</v>
      </c>
      <c r="Y605" s="7" t="s">
        <v>2642</v>
      </c>
      <c r="Z605" s="7" t="s">
        <v>5917</v>
      </c>
      <c r="AA605" s="7" t="s">
        <v>3623</v>
      </c>
      <c r="AB605" s="7" t="s">
        <v>3743</v>
      </c>
      <c r="AC605" s="7" t="s">
        <v>5918</v>
      </c>
      <c r="AD605" s="8">
        <v>46036</v>
      </c>
      <c r="AE605" s="7"/>
      <c r="AF605" s="7"/>
    </row>
    <row r="606" spans="1:32" ht="71.25" customHeight="1" x14ac:dyDescent="0.3">
      <c r="A606" s="5">
        <v>4774515</v>
      </c>
      <c r="B606" s="5" t="s">
        <v>2160</v>
      </c>
      <c r="C606" s="5" t="s">
        <v>5919</v>
      </c>
      <c r="D606" s="5" t="s">
        <v>198</v>
      </c>
      <c r="E606" s="5" t="s">
        <v>203</v>
      </c>
      <c r="F606" s="5" t="s">
        <v>433</v>
      </c>
      <c r="G606" s="5" t="s">
        <v>208</v>
      </c>
      <c r="H606" s="5" t="s">
        <v>207</v>
      </c>
      <c r="I606" s="5" t="s">
        <v>2161</v>
      </c>
      <c r="J606" s="5" t="s">
        <v>227</v>
      </c>
      <c r="K606" s="5" t="s">
        <v>200</v>
      </c>
      <c r="L606" s="5" t="s">
        <v>1851</v>
      </c>
      <c r="M606" s="5" t="s">
        <v>2162</v>
      </c>
      <c r="N606" s="5" t="s">
        <v>3608</v>
      </c>
      <c r="O606" s="5" t="s">
        <v>4330</v>
      </c>
      <c r="P606" s="5">
        <v>5096677</v>
      </c>
      <c r="Q606" s="5" t="s">
        <v>5920</v>
      </c>
      <c r="R606" s="5" t="s">
        <v>203</v>
      </c>
      <c r="S606" s="5" t="s">
        <v>433</v>
      </c>
      <c r="T606" s="5" t="s">
        <v>208</v>
      </c>
      <c r="U606" s="5" t="s">
        <v>207</v>
      </c>
      <c r="V606" s="5" t="s">
        <v>5921</v>
      </c>
      <c r="W606" s="5" t="s">
        <v>227</v>
      </c>
      <c r="X606" s="5" t="s">
        <v>200</v>
      </c>
      <c r="Y606" s="5" t="s">
        <v>5922</v>
      </c>
      <c r="Z606" s="5" t="s">
        <v>5923</v>
      </c>
      <c r="AA606" s="5" t="s">
        <v>3623</v>
      </c>
      <c r="AB606" s="5" t="s">
        <v>4330</v>
      </c>
      <c r="AC606" s="5" t="s">
        <v>5924</v>
      </c>
      <c r="AD606" s="6">
        <v>45992</v>
      </c>
      <c r="AE606" s="6">
        <v>46203</v>
      </c>
      <c r="AF606" s="5"/>
    </row>
    <row r="607" spans="1:32" ht="30" customHeight="1" x14ac:dyDescent="0.3">
      <c r="A607" s="7">
        <v>4805062</v>
      </c>
      <c r="B607" s="7" t="s">
        <v>2194</v>
      </c>
      <c r="C607" s="7" t="s">
        <v>5925</v>
      </c>
      <c r="D607" s="7" t="s">
        <v>862</v>
      </c>
      <c r="E607" s="7" t="s">
        <v>203</v>
      </c>
      <c r="F607" s="7" t="s">
        <v>418</v>
      </c>
      <c r="G607" s="7" t="s">
        <v>208</v>
      </c>
      <c r="H607" s="7" t="s">
        <v>207</v>
      </c>
      <c r="I607" s="7" t="s">
        <v>2195</v>
      </c>
      <c r="J607" s="7" t="s">
        <v>227</v>
      </c>
      <c r="K607" s="7" t="s">
        <v>888</v>
      </c>
      <c r="L607" s="7" t="s">
        <v>2196</v>
      </c>
      <c r="M607" s="7" t="s">
        <v>2197</v>
      </c>
      <c r="N607" s="7" t="s">
        <v>3608</v>
      </c>
      <c r="O607" s="7" t="s">
        <v>3727</v>
      </c>
      <c r="P607" s="7">
        <v>5108136</v>
      </c>
      <c r="Q607" s="7" t="s">
        <v>2737</v>
      </c>
      <c r="R607" s="7" t="s">
        <v>203</v>
      </c>
      <c r="S607" s="7" t="s">
        <v>234</v>
      </c>
      <c r="T607" s="7" t="s">
        <v>208</v>
      </c>
      <c r="U607" s="7" t="s">
        <v>207</v>
      </c>
      <c r="V607" s="7" t="s">
        <v>2738</v>
      </c>
      <c r="W607" s="7" t="s">
        <v>227</v>
      </c>
      <c r="X607" s="7" t="s">
        <v>200</v>
      </c>
      <c r="Y607" s="7" t="s">
        <v>2739</v>
      </c>
      <c r="Z607" s="7" t="s">
        <v>1808</v>
      </c>
      <c r="AA607" s="7" t="s">
        <v>3623</v>
      </c>
      <c r="AB607" s="7" t="s">
        <v>3727</v>
      </c>
      <c r="AC607" s="7" t="s">
        <v>5926</v>
      </c>
      <c r="AD607" s="8">
        <v>46002</v>
      </c>
      <c r="AE607" s="8">
        <v>46192</v>
      </c>
      <c r="AF607" s="7"/>
    </row>
    <row r="608" spans="1:32" ht="30" customHeight="1" x14ac:dyDescent="0.3">
      <c r="A608" s="5">
        <v>3384292</v>
      </c>
      <c r="B608" s="5" t="s">
        <v>1264</v>
      </c>
      <c r="C608" s="5"/>
      <c r="D608" s="5" t="s">
        <v>354</v>
      </c>
      <c r="E608" s="5" t="s">
        <v>203</v>
      </c>
      <c r="F608" s="5" t="s">
        <v>613</v>
      </c>
      <c r="G608" s="5" t="s">
        <v>217</v>
      </c>
      <c r="H608" s="5" t="s">
        <v>233</v>
      </c>
      <c r="I608" s="5" t="s">
        <v>1261</v>
      </c>
      <c r="J608" s="5" t="s">
        <v>608</v>
      </c>
      <c r="K608" s="5" t="s">
        <v>200</v>
      </c>
      <c r="L608" s="5" t="s">
        <v>610</v>
      </c>
      <c r="M608" s="5" t="s">
        <v>789</v>
      </c>
      <c r="N608" s="5" t="s">
        <v>3608</v>
      </c>
      <c r="O608" s="5" t="s">
        <v>3727</v>
      </c>
      <c r="P608" s="5">
        <v>4901371</v>
      </c>
      <c r="Q608" s="5" t="s">
        <v>5927</v>
      </c>
      <c r="R608" s="5" t="s">
        <v>203</v>
      </c>
      <c r="S608" s="5" t="s">
        <v>613</v>
      </c>
      <c r="T608" s="5" t="s">
        <v>217</v>
      </c>
      <c r="U608" s="5" t="s">
        <v>207</v>
      </c>
      <c r="V608" s="5" t="s">
        <v>5928</v>
      </c>
      <c r="W608" s="5" t="s">
        <v>608</v>
      </c>
      <c r="X608" s="5" t="s">
        <v>200</v>
      </c>
      <c r="Y608" s="5" t="s">
        <v>5929</v>
      </c>
      <c r="Z608" s="5" t="s">
        <v>260</v>
      </c>
      <c r="AA608" s="5" t="s">
        <v>3623</v>
      </c>
      <c r="AB608" s="5" t="s">
        <v>3609</v>
      </c>
      <c r="AC608" s="5" t="s">
        <v>5930</v>
      </c>
      <c r="AD608" s="6">
        <v>46198</v>
      </c>
      <c r="AE608" s="5"/>
      <c r="AF608" s="5"/>
    </row>
    <row r="609" spans="1:32" ht="162.75" customHeight="1" x14ac:dyDescent="0.3">
      <c r="A609" s="7">
        <v>5258219</v>
      </c>
      <c r="B609" s="7" t="s">
        <v>3013</v>
      </c>
      <c r="C609" s="7" t="s">
        <v>5931</v>
      </c>
      <c r="D609" s="7" t="s">
        <v>198</v>
      </c>
      <c r="E609" s="7" t="s">
        <v>203</v>
      </c>
      <c r="F609" s="7" t="s">
        <v>234</v>
      </c>
      <c r="G609" s="7" t="s">
        <v>217</v>
      </c>
      <c r="H609" s="7" t="s">
        <v>207</v>
      </c>
      <c r="I609" s="7" t="s">
        <v>2843</v>
      </c>
      <c r="J609" s="7" t="s">
        <v>227</v>
      </c>
      <c r="K609" s="7" t="s">
        <v>200</v>
      </c>
      <c r="L609" s="7" t="s">
        <v>2844</v>
      </c>
      <c r="M609" s="7" t="s">
        <v>442</v>
      </c>
      <c r="N609" s="7" t="s">
        <v>3623</v>
      </c>
      <c r="O609" s="7" t="s">
        <v>3751</v>
      </c>
      <c r="P609" s="7">
        <v>3363813</v>
      </c>
      <c r="Q609" s="7" t="s">
        <v>5932</v>
      </c>
      <c r="R609" s="7" t="s">
        <v>203</v>
      </c>
      <c r="S609" s="7" t="s">
        <v>234</v>
      </c>
      <c r="T609" s="7" t="s">
        <v>217</v>
      </c>
      <c r="U609" s="7" t="s">
        <v>245</v>
      </c>
      <c r="V609" s="7" t="s">
        <v>533</v>
      </c>
      <c r="W609" s="7" t="s">
        <v>227</v>
      </c>
      <c r="X609" s="7" t="s">
        <v>200</v>
      </c>
      <c r="Y609" s="7" t="s">
        <v>534</v>
      </c>
      <c r="Z609" s="7" t="s">
        <v>535</v>
      </c>
      <c r="AA609" s="7" t="s">
        <v>3602</v>
      </c>
      <c r="AB609" s="7" t="s">
        <v>3960</v>
      </c>
      <c r="AC609" s="7" t="s">
        <v>5933</v>
      </c>
      <c r="AD609" s="8">
        <v>46006</v>
      </c>
      <c r="AE609" s="7"/>
      <c r="AF609" s="7"/>
    </row>
    <row r="610" spans="1:32" ht="40.5" customHeight="1" x14ac:dyDescent="0.3">
      <c r="A610" s="5">
        <v>2024721</v>
      </c>
      <c r="B610" s="5" t="s">
        <v>1129</v>
      </c>
      <c r="C610" s="5" t="s">
        <v>5934</v>
      </c>
      <c r="D610" s="5" t="s">
        <v>198</v>
      </c>
      <c r="E610" s="5" t="s">
        <v>203</v>
      </c>
      <c r="F610" s="5" t="s">
        <v>433</v>
      </c>
      <c r="G610" s="5" t="s">
        <v>208</v>
      </c>
      <c r="H610" s="5" t="s">
        <v>233</v>
      </c>
      <c r="I610" s="5" t="s">
        <v>514</v>
      </c>
      <c r="J610" s="5" t="s">
        <v>227</v>
      </c>
      <c r="K610" s="5" t="s">
        <v>200</v>
      </c>
      <c r="L610" s="5" t="s">
        <v>515</v>
      </c>
      <c r="M610" s="5" t="s">
        <v>516</v>
      </c>
      <c r="N610" s="5" t="s">
        <v>3608</v>
      </c>
      <c r="O610" s="5" t="s">
        <v>3711</v>
      </c>
      <c r="P610" s="5">
        <v>5565391</v>
      </c>
      <c r="Q610" s="5" t="s">
        <v>5935</v>
      </c>
      <c r="R610" s="5" t="s">
        <v>203</v>
      </c>
      <c r="S610" s="5"/>
      <c r="T610" s="5" t="s">
        <v>208</v>
      </c>
      <c r="U610" s="5" t="s">
        <v>2330</v>
      </c>
      <c r="V610" s="5" t="s">
        <v>5936</v>
      </c>
      <c r="W610" s="5" t="s">
        <v>5278</v>
      </c>
      <c r="X610" s="5" t="s">
        <v>200</v>
      </c>
      <c r="Y610" s="5" t="s">
        <v>5937</v>
      </c>
      <c r="Z610" s="5" t="s">
        <v>5938</v>
      </c>
      <c r="AA610" s="5" t="s">
        <v>3729</v>
      </c>
      <c r="AB610" s="5" t="s">
        <v>3763</v>
      </c>
      <c r="AC610" s="5" t="s">
        <v>5939</v>
      </c>
      <c r="AD610" s="6">
        <v>46055</v>
      </c>
      <c r="AE610" s="5"/>
      <c r="AF610" s="5"/>
    </row>
    <row r="611" spans="1:32" ht="162.75" customHeight="1" x14ac:dyDescent="0.3">
      <c r="A611" s="7">
        <v>4865952</v>
      </c>
      <c r="B611" s="7" t="s">
        <v>2320</v>
      </c>
      <c r="C611" s="7" t="s">
        <v>5940</v>
      </c>
      <c r="D611" s="7" t="s">
        <v>198</v>
      </c>
      <c r="E611" s="7" t="s">
        <v>203</v>
      </c>
      <c r="F611" s="7" t="s">
        <v>234</v>
      </c>
      <c r="G611" s="7" t="s">
        <v>208</v>
      </c>
      <c r="H611" s="7" t="s">
        <v>245</v>
      </c>
      <c r="I611" s="7" t="s">
        <v>533</v>
      </c>
      <c r="J611" s="7" t="s">
        <v>227</v>
      </c>
      <c r="K611" s="7" t="s">
        <v>200</v>
      </c>
      <c r="L611" s="7" t="s">
        <v>534</v>
      </c>
      <c r="M611" s="7" t="s">
        <v>535</v>
      </c>
      <c r="N611" s="7" t="s">
        <v>3623</v>
      </c>
      <c r="O611" s="7" t="s">
        <v>3960</v>
      </c>
      <c r="P611" s="7">
        <v>8885882</v>
      </c>
      <c r="Q611" s="7" t="s">
        <v>5941</v>
      </c>
      <c r="R611" s="7" t="s">
        <v>203</v>
      </c>
      <c r="S611" s="7" t="s">
        <v>218</v>
      </c>
      <c r="T611" s="7" t="s">
        <v>208</v>
      </c>
      <c r="U611" s="7" t="s">
        <v>207</v>
      </c>
      <c r="V611" s="7" t="s">
        <v>236</v>
      </c>
      <c r="W611" s="7" t="s">
        <v>211</v>
      </c>
      <c r="X611" s="7" t="s">
        <v>200</v>
      </c>
      <c r="Y611" s="7" t="s">
        <v>237</v>
      </c>
      <c r="Z611" s="7" t="s">
        <v>4615</v>
      </c>
      <c r="AA611" s="7" t="s">
        <v>3617</v>
      </c>
      <c r="AB611" s="7" t="s">
        <v>3635</v>
      </c>
      <c r="AC611" s="7" t="s">
        <v>5942</v>
      </c>
      <c r="AD611" s="8">
        <v>46041</v>
      </c>
      <c r="AE611" s="8">
        <v>46255</v>
      </c>
      <c r="AF611" s="7"/>
    </row>
    <row r="612" spans="1:32" ht="71.25" customHeight="1" x14ac:dyDescent="0.3">
      <c r="A612" s="5">
        <v>8876892</v>
      </c>
      <c r="B612" s="5" t="s">
        <v>3484</v>
      </c>
      <c r="C612" s="5" t="s">
        <v>5943</v>
      </c>
      <c r="D612" s="5" t="s">
        <v>3373</v>
      </c>
      <c r="E612" s="5" t="s">
        <v>203</v>
      </c>
      <c r="F612" s="5" t="s">
        <v>234</v>
      </c>
      <c r="G612" s="5" t="s">
        <v>208</v>
      </c>
      <c r="H612" s="5" t="s">
        <v>2330</v>
      </c>
      <c r="I612" s="5" t="s">
        <v>3485</v>
      </c>
      <c r="J612" s="5" t="s">
        <v>227</v>
      </c>
      <c r="K612" s="5" t="s">
        <v>200</v>
      </c>
      <c r="L612" s="5" t="s">
        <v>3399</v>
      </c>
      <c r="M612" s="5" t="s">
        <v>1328</v>
      </c>
      <c r="N612" s="5" t="s">
        <v>3729</v>
      </c>
      <c r="O612" s="5" t="s">
        <v>3894</v>
      </c>
      <c r="P612" s="5">
        <v>8877127</v>
      </c>
      <c r="Q612" s="5" t="s">
        <v>3506</v>
      </c>
      <c r="R612" s="5" t="s">
        <v>203</v>
      </c>
      <c r="S612" s="5" t="s">
        <v>234</v>
      </c>
      <c r="T612" s="5" t="s">
        <v>208</v>
      </c>
      <c r="U612" s="5" t="s">
        <v>2330</v>
      </c>
      <c r="V612" s="5" t="s">
        <v>3507</v>
      </c>
      <c r="W612" s="5" t="s">
        <v>227</v>
      </c>
      <c r="X612" s="5" t="s">
        <v>200</v>
      </c>
      <c r="Y612" s="5" t="s">
        <v>3310</v>
      </c>
      <c r="Z612" s="5" t="s">
        <v>1328</v>
      </c>
      <c r="AA612" s="5" t="s">
        <v>3729</v>
      </c>
      <c r="AB612" s="5" t="s">
        <v>3894</v>
      </c>
      <c r="AC612" s="5" t="s">
        <v>5944</v>
      </c>
      <c r="AD612" s="6">
        <v>46038</v>
      </c>
      <c r="AE612" s="6">
        <v>46039</v>
      </c>
      <c r="AF612" s="5" t="s">
        <v>3709</v>
      </c>
    </row>
    <row r="613" spans="1:32" ht="315.75" customHeight="1" x14ac:dyDescent="0.3">
      <c r="A613" s="7">
        <v>3792145</v>
      </c>
      <c r="B613" s="7" t="s">
        <v>1633</v>
      </c>
      <c r="C613" s="7" t="s">
        <v>5945</v>
      </c>
      <c r="D613" s="7" t="s">
        <v>354</v>
      </c>
      <c r="E613" s="7" t="s">
        <v>203</v>
      </c>
      <c r="F613" s="7" t="s">
        <v>234</v>
      </c>
      <c r="G613" s="7" t="s">
        <v>217</v>
      </c>
      <c r="H613" s="7" t="s">
        <v>245</v>
      </c>
      <c r="I613" s="7" t="s">
        <v>1634</v>
      </c>
      <c r="J613" s="7" t="s">
        <v>227</v>
      </c>
      <c r="K613" s="7" t="s">
        <v>200</v>
      </c>
      <c r="L613" s="7" t="s">
        <v>784</v>
      </c>
      <c r="M613" s="7" t="s">
        <v>785</v>
      </c>
      <c r="N613" s="7" t="s">
        <v>3623</v>
      </c>
      <c r="O613" s="7" t="s">
        <v>3715</v>
      </c>
      <c r="P613" s="7">
        <v>5300207</v>
      </c>
      <c r="Q613" s="7" t="s">
        <v>5946</v>
      </c>
      <c r="R613" s="7" t="s">
        <v>203</v>
      </c>
      <c r="S613" s="7" t="s">
        <v>234</v>
      </c>
      <c r="T613" s="7" t="s">
        <v>217</v>
      </c>
      <c r="U613" s="7" t="s">
        <v>207</v>
      </c>
      <c r="V613" s="7" t="s">
        <v>5947</v>
      </c>
      <c r="W613" s="7" t="s">
        <v>227</v>
      </c>
      <c r="X613" s="7" t="s">
        <v>200</v>
      </c>
      <c r="Y613" s="7" t="s">
        <v>784</v>
      </c>
      <c r="Z613" s="7" t="s">
        <v>2169</v>
      </c>
      <c r="AA613" s="7" t="s">
        <v>3617</v>
      </c>
      <c r="AB613" s="7" t="s">
        <v>3715</v>
      </c>
      <c r="AC613" s="7" t="s">
        <v>5948</v>
      </c>
      <c r="AD613" s="8">
        <v>46055</v>
      </c>
      <c r="AE613" s="8">
        <v>46360</v>
      </c>
      <c r="AF613" s="7"/>
    </row>
    <row r="614" spans="1:32" ht="409.5" customHeight="1" x14ac:dyDescent="0.3">
      <c r="A614" s="5">
        <v>5546885</v>
      </c>
      <c r="B614" s="5" t="s">
        <v>3282</v>
      </c>
      <c r="C614" s="5" t="s">
        <v>5949</v>
      </c>
      <c r="D614" s="5" t="s">
        <v>198</v>
      </c>
      <c r="E614" s="5" t="s">
        <v>203</v>
      </c>
      <c r="F614" s="5" t="s">
        <v>234</v>
      </c>
      <c r="G614" s="5" t="s">
        <v>208</v>
      </c>
      <c r="H614" s="5" t="s">
        <v>207</v>
      </c>
      <c r="I614" s="5" t="s">
        <v>3283</v>
      </c>
      <c r="J614" s="5" t="s">
        <v>227</v>
      </c>
      <c r="K614" s="5" t="s">
        <v>200</v>
      </c>
      <c r="L614" s="5" t="s">
        <v>3284</v>
      </c>
      <c r="M614" s="5" t="s">
        <v>594</v>
      </c>
      <c r="N614" s="5" t="s">
        <v>3612</v>
      </c>
      <c r="O614" s="5" t="s">
        <v>3919</v>
      </c>
      <c r="P614" s="5">
        <v>5604273</v>
      </c>
      <c r="Q614" s="5" t="s">
        <v>5950</v>
      </c>
      <c r="R614" s="5" t="s">
        <v>203</v>
      </c>
      <c r="S614" s="5" t="s">
        <v>234</v>
      </c>
      <c r="T614" s="5" t="s">
        <v>208</v>
      </c>
      <c r="U614" s="5" t="s">
        <v>2330</v>
      </c>
      <c r="V614" s="5" t="s">
        <v>5951</v>
      </c>
      <c r="W614" s="5" t="s">
        <v>227</v>
      </c>
      <c r="X614" s="5" t="s">
        <v>200</v>
      </c>
      <c r="Y614" s="5" t="s">
        <v>2001</v>
      </c>
      <c r="Z614" s="5" t="s">
        <v>2002</v>
      </c>
      <c r="AA614" s="5" t="s">
        <v>3617</v>
      </c>
      <c r="AB614" s="5" t="s">
        <v>3609</v>
      </c>
      <c r="AC614" s="5" t="s">
        <v>5952</v>
      </c>
      <c r="AD614" s="6">
        <v>46030</v>
      </c>
      <c r="AE614" s="6">
        <v>46391</v>
      </c>
      <c r="AF614" s="5"/>
    </row>
    <row r="615" spans="1:32" ht="122.25" customHeight="1" x14ac:dyDescent="0.3">
      <c r="A615" s="7">
        <v>3243605</v>
      </c>
      <c r="B615" s="7" t="s">
        <v>314</v>
      </c>
      <c r="C615" s="7" t="s">
        <v>5953</v>
      </c>
      <c r="D615" s="7" t="s">
        <v>354</v>
      </c>
      <c r="E615" s="7" t="s">
        <v>203</v>
      </c>
      <c r="F615" s="7"/>
      <c r="G615" s="7" t="s">
        <v>217</v>
      </c>
      <c r="H615" s="7" t="s">
        <v>245</v>
      </c>
      <c r="I615" s="7" t="s">
        <v>241</v>
      </c>
      <c r="J615" s="7" t="s">
        <v>211</v>
      </c>
      <c r="K615" s="7" t="s">
        <v>200</v>
      </c>
      <c r="L615" s="7" t="s">
        <v>315</v>
      </c>
      <c r="M615" s="7" t="s">
        <v>317</v>
      </c>
      <c r="N615" s="7" t="s">
        <v>3623</v>
      </c>
      <c r="O615" s="7" t="s">
        <v>3783</v>
      </c>
      <c r="P615" s="7">
        <v>8875889</v>
      </c>
      <c r="Q615" s="7" t="s">
        <v>5954</v>
      </c>
      <c r="R615" s="7" t="s">
        <v>203</v>
      </c>
      <c r="S615" s="7" t="s">
        <v>218</v>
      </c>
      <c r="T615" s="7" t="s">
        <v>217</v>
      </c>
      <c r="U615" s="7" t="s">
        <v>207</v>
      </c>
      <c r="V615" s="7" t="s">
        <v>5955</v>
      </c>
      <c r="W615" s="7" t="s">
        <v>211</v>
      </c>
      <c r="X615" s="7" t="s">
        <v>200</v>
      </c>
      <c r="Y615" s="7" t="s">
        <v>5956</v>
      </c>
      <c r="Z615" s="7" t="s">
        <v>5957</v>
      </c>
      <c r="AA615" s="7" t="s">
        <v>3729</v>
      </c>
      <c r="AB615" s="7" t="s">
        <v>3603</v>
      </c>
      <c r="AC615" s="7" t="s">
        <v>5958</v>
      </c>
      <c r="AD615" s="8">
        <v>46082</v>
      </c>
      <c r="AE615" s="8">
        <v>46446</v>
      </c>
      <c r="AF615" s="7"/>
    </row>
    <row r="616" spans="1:32" ht="30" customHeight="1" x14ac:dyDescent="0.3">
      <c r="A616" s="5">
        <v>3384292</v>
      </c>
      <c r="B616" s="5" t="s">
        <v>1264</v>
      </c>
      <c r="C616" s="5"/>
      <c r="D616" s="5" t="s">
        <v>198</v>
      </c>
      <c r="E616" s="5" t="s">
        <v>203</v>
      </c>
      <c r="F616" s="5" t="s">
        <v>613</v>
      </c>
      <c r="G616" s="5" t="s">
        <v>217</v>
      </c>
      <c r="H616" s="5" t="s">
        <v>233</v>
      </c>
      <c r="I616" s="5" t="s">
        <v>1261</v>
      </c>
      <c r="J616" s="5" t="s">
        <v>608</v>
      </c>
      <c r="K616" s="5" t="s">
        <v>200</v>
      </c>
      <c r="L616" s="5" t="s">
        <v>610</v>
      </c>
      <c r="M616" s="5" t="s">
        <v>789</v>
      </c>
      <c r="N616" s="5" t="s">
        <v>3608</v>
      </c>
      <c r="O616" s="5" t="s">
        <v>3727</v>
      </c>
      <c r="P616" s="5">
        <v>5225310</v>
      </c>
      <c r="Q616" s="5" t="s">
        <v>2922</v>
      </c>
      <c r="R616" s="5" t="s">
        <v>203</v>
      </c>
      <c r="S616" s="5" t="s">
        <v>613</v>
      </c>
      <c r="T616" s="5" t="s">
        <v>217</v>
      </c>
      <c r="U616" s="5" t="s">
        <v>245</v>
      </c>
      <c r="V616" s="5" t="s">
        <v>2923</v>
      </c>
      <c r="W616" s="5" t="s">
        <v>608</v>
      </c>
      <c r="X616" s="5" t="s">
        <v>200</v>
      </c>
      <c r="Y616" s="5" t="s">
        <v>2924</v>
      </c>
      <c r="Z616" s="5" t="s">
        <v>1723</v>
      </c>
      <c r="AA616" s="5" t="s">
        <v>3608</v>
      </c>
      <c r="AB616" s="5" t="s">
        <v>3646</v>
      </c>
      <c r="AC616" s="5" t="s">
        <v>5959</v>
      </c>
      <c r="AD616" s="6">
        <v>46030</v>
      </c>
      <c r="AE616" s="6">
        <v>46034</v>
      </c>
      <c r="AF616" s="5"/>
    </row>
    <row r="617" spans="1:32" ht="132" customHeight="1" x14ac:dyDescent="0.3">
      <c r="A617" s="7">
        <v>8871829</v>
      </c>
      <c r="B617" s="7" t="s">
        <v>3418</v>
      </c>
      <c r="C617" s="7" t="s">
        <v>5960</v>
      </c>
      <c r="D617" s="7" t="s">
        <v>3373</v>
      </c>
      <c r="E617" s="7" t="s">
        <v>203</v>
      </c>
      <c r="F617" s="7" t="s">
        <v>234</v>
      </c>
      <c r="G617" s="7" t="s">
        <v>208</v>
      </c>
      <c r="H617" s="7" t="s">
        <v>2330</v>
      </c>
      <c r="I617" s="7" t="s">
        <v>3419</v>
      </c>
      <c r="J617" s="7" t="s">
        <v>227</v>
      </c>
      <c r="K617" s="7" t="s">
        <v>200</v>
      </c>
      <c r="L617" s="7" t="s">
        <v>3420</v>
      </c>
      <c r="M617" s="7" t="s">
        <v>1328</v>
      </c>
      <c r="N617" s="7" t="s">
        <v>3732</v>
      </c>
      <c r="O617" s="7" t="s">
        <v>3894</v>
      </c>
      <c r="P617" s="7">
        <v>8884132</v>
      </c>
      <c r="Q617" s="7" t="s">
        <v>5961</v>
      </c>
      <c r="R617" s="7" t="s">
        <v>5712</v>
      </c>
      <c r="S617" s="7" t="s">
        <v>234</v>
      </c>
      <c r="T617" s="7" t="s">
        <v>217</v>
      </c>
      <c r="U617" s="7" t="s">
        <v>2330</v>
      </c>
      <c r="V617" s="7" t="s">
        <v>5962</v>
      </c>
      <c r="W617" s="7" t="s">
        <v>227</v>
      </c>
      <c r="X617" s="7" t="s">
        <v>200</v>
      </c>
      <c r="Y617" s="7" t="s">
        <v>5963</v>
      </c>
      <c r="Z617" s="7" t="s">
        <v>5964</v>
      </c>
      <c r="AA617" s="7" t="s">
        <v>3617</v>
      </c>
      <c r="AB617" s="7" t="s">
        <v>5649</v>
      </c>
      <c r="AC617" s="7" t="s">
        <v>5965</v>
      </c>
      <c r="AD617" s="8">
        <v>46049</v>
      </c>
      <c r="AE617" s="8">
        <v>46295</v>
      </c>
      <c r="AF617" s="7"/>
    </row>
    <row r="618" spans="1:32" ht="60.75" customHeight="1" x14ac:dyDescent="0.3">
      <c r="A618" s="5">
        <v>8876185</v>
      </c>
      <c r="B618" s="5" t="s">
        <v>3460</v>
      </c>
      <c r="C618" s="5" t="s">
        <v>5966</v>
      </c>
      <c r="D618" s="5" t="s">
        <v>3373</v>
      </c>
      <c r="E618" s="5" t="s">
        <v>203</v>
      </c>
      <c r="F618" s="5" t="s">
        <v>433</v>
      </c>
      <c r="G618" s="5" t="s">
        <v>208</v>
      </c>
      <c r="H618" s="5" t="s">
        <v>2330</v>
      </c>
      <c r="I618" s="5" t="s">
        <v>3461</v>
      </c>
      <c r="J618" s="5" t="s">
        <v>227</v>
      </c>
      <c r="K618" s="5" t="s">
        <v>200</v>
      </c>
      <c r="L618" s="5" t="s">
        <v>2478</v>
      </c>
      <c r="M618" s="5" t="s">
        <v>1328</v>
      </c>
      <c r="N618" s="5" t="s">
        <v>3729</v>
      </c>
      <c r="O618" s="5" t="s">
        <v>3894</v>
      </c>
      <c r="P618" s="5">
        <v>8885576</v>
      </c>
      <c r="Q618" s="5" t="s">
        <v>5967</v>
      </c>
      <c r="R618" s="5" t="s">
        <v>5712</v>
      </c>
      <c r="S618" s="5" t="s">
        <v>234</v>
      </c>
      <c r="T618" s="5" t="s">
        <v>217</v>
      </c>
      <c r="U618" s="5" t="s">
        <v>2330</v>
      </c>
      <c r="V618" s="5" t="s">
        <v>5968</v>
      </c>
      <c r="W618" s="5" t="s">
        <v>227</v>
      </c>
      <c r="X618" s="5" t="s">
        <v>200</v>
      </c>
      <c r="Y618" s="5" t="s">
        <v>5969</v>
      </c>
      <c r="Z618" s="5" t="s">
        <v>5964</v>
      </c>
      <c r="AA618" s="5" t="s">
        <v>3617</v>
      </c>
      <c r="AB618" s="5" t="s">
        <v>5649</v>
      </c>
      <c r="AC618" s="5" t="s">
        <v>5970</v>
      </c>
      <c r="AD618" s="6">
        <v>46049</v>
      </c>
      <c r="AE618" s="6">
        <v>46356</v>
      </c>
      <c r="AF618" s="5"/>
    </row>
    <row r="619" spans="1:32" ht="234" customHeight="1" x14ac:dyDescent="0.3">
      <c r="A619" s="7">
        <v>8877693</v>
      </c>
      <c r="B619" s="7" t="s">
        <v>3531</v>
      </c>
      <c r="C619" s="7" t="s">
        <v>5971</v>
      </c>
      <c r="D619" s="7" t="s">
        <v>198</v>
      </c>
      <c r="E619" s="7" t="s">
        <v>203</v>
      </c>
      <c r="F619" s="7" t="s">
        <v>234</v>
      </c>
      <c r="G619" s="7" t="s">
        <v>208</v>
      </c>
      <c r="H619" s="7" t="s">
        <v>2330</v>
      </c>
      <c r="I619" s="7" t="s">
        <v>3438</v>
      </c>
      <c r="J619" s="7" t="s">
        <v>227</v>
      </c>
      <c r="K619" s="7" t="s">
        <v>200</v>
      </c>
      <c r="L619" s="7" t="s">
        <v>3439</v>
      </c>
      <c r="M619" s="7" t="s">
        <v>1328</v>
      </c>
      <c r="N619" s="7" t="s">
        <v>3729</v>
      </c>
      <c r="O619" s="7" t="s">
        <v>3894</v>
      </c>
      <c r="P619" s="7">
        <v>8885688</v>
      </c>
      <c r="Q619" s="7" t="s">
        <v>5972</v>
      </c>
      <c r="R619" s="7" t="s">
        <v>5712</v>
      </c>
      <c r="S619" s="7" t="s">
        <v>234</v>
      </c>
      <c r="T619" s="7" t="s">
        <v>217</v>
      </c>
      <c r="U619" s="7" t="s">
        <v>2330</v>
      </c>
      <c r="V619" s="7" t="s">
        <v>2635</v>
      </c>
      <c r="W619" s="7" t="s">
        <v>227</v>
      </c>
      <c r="X619" s="7" t="s">
        <v>200</v>
      </c>
      <c r="Y619" s="7" t="s">
        <v>5969</v>
      </c>
      <c r="Z619" s="7" t="s">
        <v>5964</v>
      </c>
      <c r="AA619" s="7" t="s">
        <v>3617</v>
      </c>
      <c r="AB619" s="7" t="s">
        <v>5649</v>
      </c>
      <c r="AC619" s="7" t="s">
        <v>5973</v>
      </c>
      <c r="AD619" s="8">
        <v>46049</v>
      </c>
      <c r="AE619" s="8">
        <v>46356</v>
      </c>
      <c r="AF619" s="7"/>
    </row>
    <row r="620" spans="1:32" ht="409.5" customHeight="1" x14ac:dyDescent="0.3">
      <c r="A620" s="5">
        <v>5597900</v>
      </c>
      <c r="B620" s="5" t="s">
        <v>3306</v>
      </c>
      <c r="C620" s="5" t="s">
        <v>5974</v>
      </c>
      <c r="D620" s="5" t="s">
        <v>862</v>
      </c>
      <c r="E620" s="5" t="s">
        <v>203</v>
      </c>
      <c r="F620" s="5" t="s">
        <v>234</v>
      </c>
      <c r="G620" s="5" t="s">
        <v>208</v>
      </c>
      <c r="H620" s="5" t="s">
        <v>207</v>
      </c>
      <c r="I620" s="5" t="s">
        <v>3211</v>
      </c>
      <c r="J620" s="5" t="s">
        <v>227</v>
      </c>
      <c r="K620" s="5" t="s">
        <v>200</v>
      </c>
      <c r="L620" s="5" t="s">
        <v>1057</v>
      </c>
      <c r="M620" s="5" t="s">
        <v>1445</v>
      </c>
      <c r="N620" s="5" t="s">
        <v>3612</v>
      </c>
      <c r="O620" s="5" t="s">
        <v>3705</v>
      </c>
      <c r="P620" s="5">
        <v>8884622</v>
      </c>
      <c r="Q620" s="5" t="s">
        <v>5975</v>
      </c>
      <c r="R620" s="5" t="s">
        <v>5712</v>
      </c>
      <c r="S620" s="5" t="s">
        <v>234</v>
      </c>
      <c r="T620" s="5" t="s">
        <v>217</v>
      </c>
      <c r="U620" s="5" t="s">
        <v>2330</v>
      </c>
      <c r="V620" s="5" t="s">
        <v>5976</v>
      </c>
      <c r="W620" s="5" t="s">
        <v>227</v>
      </c>
      <c r="X620" s="5" t="s">
        <v>413</v>
      </c>
      <c r="Y620" s="5" t="s">
        <v>5714</v>
      </c>
      <c r="Z620" s="5" t="s">
        <v>5715</v>
      </c>
      <c r="AA620" s="5" t="s">
        <v>3617</v>
      </c>
      <c r="AB620" s="5" t="s">
        <v>5649</v>
      </c>
      <c r="AC620" s="5" t="s">
        <v>5977</v>
      </c>
      <c r="AD620" s="6">
        <v>46049</v>
      </c>
      <c r="AE620" s="5"/>
      <c r="AF620" s="5"/>
    </row>
    <row r="621" spans="1:32" ht="91.5" customHeight="1" x14ac:dyDescent="0.3">
      <c r="A621" s="7">
        <v>8876185</v>
      </c>
      <c r="B621" s="7" t="s">
        <v>3460</v>
      </c>
      <c r="C621" s="7" t="s">
        <v>5978</v>
      </c>
      <c r="D621" s="7" t="s">
        <v>3373</v>
      </c>
      <c r="E621" s="7" t="s">
        <v>203</v>
      </c>
      <c r="F621" s="7" t="s">
        <v>433</v>
      </c>
      <c r="G621" s="7" t="s">
        <v>208</v>
      </c>
      <c r="H621" s="7" t="s">
        <v>2330</v>
      </c>
      <c r="I621" s="7" t="s">
        <v>3461</v>
      </c>
      <c r="J621" s="7" t="s">
        <v>227</v>
      </c>
      <c r="K621" s="7" t="s">
        <v>200</v>
      </c>
      <c r="L621" s="7" t="s">
        <v>2478</v>
      </c>
      <c r="M621" s="7" t="s">
        <v>1328</v>
      </c>
      <c r="N621" s="7" t="s">
        <v>3729</v>
      </c>
      <c r="O621" s="7" t="s">
        <v>3894</v>
      </c>
      <c r="P621" s="7">
        <v>8885690</v>
      </c>
      <c r="Q621" s="7" t="s">
        <v>5979</v>
      </c>
      <c r="R621" s="7" t="s">
        <v>5712</v>
      </c>
      <c r="S621" s="7" t="s">
        <v>234</v>
      </c>
      <c r="T621" s="7" t="s">
        <v>217</v>
      </c>
      <c r="U621" s="7" t="s">
        <v>207</v>
      </c>
      <c r="V621" s="7" t="s">
        <v>5980</v>
      </c>
      <c r="W621" s="7" t="s">
        <v>227</v>
      </c>
      <c r="X621" s="7" t="s">
        <v>200</v>
      </c>
      <c r="Y621" s="7" t="s">
        <v>5969</v>
      </c>
      <c r="Z621" s="7" t="s">
        <v>5964</v>
      </c>
      <c r="AA621" s="7" t="s">
        <v>3617</v>
      </c>
      <c r="AB621" s="7" t="s">
        <v>5649</v>
      </c>
      <c r="AC621" s="7" t="s">
        <v>5981</v>
      </c>
      <c r="AD621" s="8">
        <v>46049</v>
      </c>
      <c r="AE621" s="8">
        <v>46356</v>
      </c>
      <c r="AF621" s="7"/>
    </row>
    <row r="622" spans="1:32" ht="275.25" customHeight="1" x14ac:dyDescent="0.3">
      <c r="A622" s="5">
        <v>186767</v>
      </c>
      <c r="B622" s="5" t="s">
        <v>852</v>
      </c>
      <c r="C622" s="5" t="s">
        <v>5982</v>
      </c>
      <c r="D622" s="5" t="s">
        <v>198</v>
      </c>
      <c r="E622" s="5" t="s">
        <v>203</v>
      </c>
      <c r="F622" s="5" t="s">
        <v>433</v>
      </c>
      <c r="G622" s="5" t="s">
        <v>208</v>
      </c>
      <c r="H622" s="5" t="s">
        <v>233</v>
      </c>
      <c r="I622" s="5" t="s">
        <v>853</v>
      </c>
      <c r="J622" s="5" t="s">
        <v>227</v>
      </c>
      <c r="K622" s="5" t="s">
        <v>200</v>
      </c>
      <c r="L622" s="5" t="s">
        <v>854</v>
      </c>
      <c r="M622" s="5" t="s">
        <v>855</v>
      </c>
      <c r="N622" s="5" t="s">
        <v>3652</v>
      </c>
      <c r="O622" s="5" t="s">
        <v>3837</v>
      </c>
      <c r="P622" s="5">
        <v>3973921</v>
      </c>
      <c r="Q622" s="5" t="s">
        <v>5983</v>
      </c>
      <c r="R622" s="5" t="s">
        <v>203</v>
      </c>
      <c r="S622" s="5" t="s">
        <v>234</v>
      </c>
      <c r="T622" s="5" t="s">
        <v>217</v>
      </c>
      <c r="U622" s="5" t="s">
        <v>207</v>
      </c>
      <c r="V622" s="5" t="s">
        <v>5984</v>
      </c>
      <c r="W622" s="5" t="s">
        <v>227</v>
      </c>
      <c r="X622" s="5" t="s">
        <v>200</v>
      </c>
      <c r="Y622" s="5" t="s">
        <v>1608</v>
      </c>
      <c r="Z622" s="5" t="s">
        <v>452</v>
      </c>
      <c r="AA622" s="5" t="s">
        <v>3612</v>
      </c>
      <c r="AB622" s="5" t="s">
        <v>3702</v>
      </c>
      <c r="AC622" s="5" t="s">
        <v>5985</v>
      </c>
      <c r="AD622" s="6">
        <v>46056</v>
      </c>
      <c r="AE622" s="6">
        <v>46108</v>
      </c>
      <c r="AF622" s="5"/>
    </row>
    <row r="623" spans="1:32" ht="81" customHeight="1" x14ac:dyDescent="0.3">
      <c r="A623" s="7">
        <v>8876703</v>
      </c>
      <c r="B623" s="7" t="s">
        <v>3472</v>
      </c>
      <c r="C623" s="7" t="s">
        <v>5986</v>
      </c>
      <c r="D623" s="7" t="s">
        <v>3373</v>
      </c>
      <c r="E623" s="7" t="s">
        <v>203</v>
      </c>
      <c r="F623" s="7" t="s">
        <v>234</v>
      </c>
      <c r="G623" s="7" t="s">
        <v>217</v>
      </c>
      <c r="H623" s="7" t="s">
        <v>2330</v>
      </c>
      <c r="I623" s="7" t="s">
        <v>3473</v>
      </c>
      <c r="J623" s="7" t="s">
        <v>227</v>
      </c>
      <c r="K623" s="7" t="s">
        <v>200</v>
      </c>
      <c r="L623" s="7" t="s">
        <v>3474</v>
      </c>
      <c r="M623" s="7" t="s">
        <v>3475</v>
      </c>
      <c r="N623" s="7" t="s">
        <v>3729</v>
      </c>
      <c r="O623" s="7" t="s">
        <v>3627</v>
      </c>
      <c r="P623" s="7">
        <v>8884357</v>
      </c>
      <c r="Q623" s="7" t="s">
        <v>5987</v>
      </c>
      <c r="R623" s="7" t="s">
        <v>5712</v>
      </c>
      <c r="S623" s="7" t="s">
        <v>234</v>
      </c>
      <c r="T623" s="7" t="s">
        <v>217</v>
      </c>
      <c r="U623" s="7" t="s">
        <v>2330</v>
      </c>
      <c r="V623" s="7" t="s">
        <v>5988</v>
      </c>
      <c r="W623" s="7" t="s">
        <v>227</v>
      </c>
      <c r="X623" s="7" t="s">
        <v>200</v>
      </c>
      <c r="Y623" s="7" t="s">
        <v>5963</v>
      </c>
      <c r="Z623" s="7" t="s">
        <v>5964</v>
      </c>
      <c r="AA623" s="7" t="s">
        <v>3617</v>
      </c>
      <c r="AB623" s="7" t="s">
        <v>5649</v>
      </c>
      <c r="AC623" s="7" t="s">
        <v>5989</v>
      </c>
      <c r="AD623" s="8">
        <v>46049</v>
      </c>
      <c r="AE623" s="8">
        <v>46326</v>
      </c>
      <c r="AF623" s="7"/>
    </row>
    <row r="624" spans="1:32" ht="40.5" customHeight="1" x14ac:dyDescent="0.3">
      <c r="A624" s="5">
        <v>8870860</v>
      </c>
      <c r="B624" s="5" t="s">
        <v>3400</v>
      </c>
      <c r="C624" s="5"/>
      <c r="D624" s="5" t="s">
        <v>354</v>
      </c>
      <c r="E624" s="5" t="s">
        <v>203</v>
      </c>
      <c r="F624" s="5" t="s">
        <v>234</v>
      </c>
      <c r="G624" s="5" t="s">
        <v>208</v>
      </c>
      <c r="H624" s="5" t="s">
        <v>2330</v>
      </c>
      <c r="I624" s="5" t="s">
        <v>3401</v>
      </c>
      <c r="J624" s="5" t="s">
        <v>227</v>
      </c>
      <c r="K624" s="5" t="s">
        <v>200</v>
      </c>
      <c r="L624" s="5" t="s">
        <v>3402</v>
      </c>
      <c r="M624" s="5" t="s">
        <v>283</v>
      </c>
      <c r="N624" s="5" t="s">
        <v>3732</v>
      </c>
      <c r="O624" s="5" t="s">
        <v>3646</v>
      </c>
      <c r="P624" s="5">
        <v>8884199</v>
      </c>
      <c r="Q624" s="5" t="s">
        <v>5990</v>
      </c>
      <c r="R624" s="5" t="s">
        <v>5712</v>
      </c>
      <c r="S624" s="5" t="s">
        <v>234</v>
      </c>
      <c r="T624" s="5" t="s">
        <v>208</v>
      </c>
      <c r="U624" s="5" t="s">
        <v>2330</v>
      </c>
      <c r="V624" s="5" t="s">
        <v>5991</v>
      </c>
      <c r="W624" s="5" t="s">
        <v>227</v>
      </c>
      <c r="X624" s="5" t="s">
        <v>200</v>
      </c>
      <c r="Y624" s="5" t="s">
        <v>5963</v>
      </c>
      <c r="Z624" s="5" t="s">
        <v>5964</v>
      </c>
      <c r="AA624" s="5" t="s">
        <v>3617</v>
      </c>
      <c r="AB624" s="5" t="s">
        <v>5649</v>
      </c>
      <c r="AC624" s="5" t="s">
        <v>5992</v>
      </c>
      <c r="AD624" s="6">
        <v>46049</v>
      </c>
      <c r="AE624" s="5"/>
      <c r="AF624" s="5"/>
    </row>
    <row r="625" spans="1:32" ht="40.5" customHeight="1" x14ac:dyDescent="0.3">
      <c r="A625" s="7">
        <v>8870818</v>
      </c>
      <c r="B625" s="7" t="s">
        <v>3390</v>
      </c>
      <c r="C625" s="7" t="s">
        <v>5993</v>
      </c>
      <c r="D625" s="7" t="s">
        <v>354</v>
      </c>
      <c r="E625" s="7" t="s">
        <v>203</v>
      </c>
      <c r="F625" s="7" t="s">
        <v>234</v>
      </c>
      <c r="G625" s="7" t="s">
        <v>208</v>
      </c>
      <c r="H625" s="7" t="s">
        <v>2330</v>
      </c>
      <c r="I625" s="7" t="s">
        <v>3391</v>
      </c>
      <c r="J625" s="7" t="s">
        <v>227</v>
      </c>
      <c r="K625" s="7" t="s">
        <v>578</v>
      </c>
      <c r="L625" s="7" t="s">
        <v>3385</v>
      </c>
      <c r="M625" s="7" t="s">
        <v>1328</v>
      </c>
      <c r="N625" s="7" t="s">
        <v>3732</v>
      </c>
      <c r="O625" s="7" t="s">
        <v>3894</v>
      </c>
      <c r="P625" s="7">
        <v>8885565</v>
      </c>
      <c r="Q625" s="7" t="s">
        <v>5994</v>
      </c>
      <c r="R625" s="7" t="s">
        <v>5712</v>
      </c>
      <c r="S625" s="7" t="s">
        <v>234</v>
      </c>
      <c r="T625" s="7" t="s">
        <v>217</v>
      </c>
      <c r="U625" s="7" t="s">
        <v>2330</v>
      </c>
      <c r="V625" s="7" t="s">
        <v>5995</v>
      </c>
      <c r="W625" s="7" t="s">
        <v>227</v>
      </c>
      <c r="X625" s="7" t="s">
        <v>200</v>
      </c>
      <c r="Y625" s="7" t="s">
        <v>5969</v>
      </c>
      <c r="Z625" s="7" t="s">
        <v>5964</v>
      </c>
      <c r="AA625" s="7" t="s">
        <v>3617</v>
      </c>
      <c r="AB625" s="7" t="s">
        <v>5649</v>
      </c>
      <c r="AC625" s="7" t="s">
        <v>5996</v>
      </c>
      <c r="AD625" s="8">
        <v>46049</v>
      </c>
      <c r="AE625" s="8">
        <v>46354</v>
      </c>
      <c r="AF625" s="7"/>
    </row>
    <row r="626" spans="1:32" ht="81" customHeight="1" x14ac:dyDescent="0.3">
      <c r="A626" s="5">
        <v>4535286</v>
      </c>
      <c r="B626" s="5" t="s">
        <v>1837</v>
      </c>
      <c r="C626" s="5" t="s">
        <v>5997</v>
      </c>
      <c r="D626" s="5" t="s">
        <v>198</v>
      </c>
      <c r="E626" s="5" t="s">
        <v>203</v>
      </c>
      <c r="F626" s="5" t="s">
        <v>433</v>
      </c>
      <c r="G626" s="5" t="s">
        <v>217</v>
      </c>
      <c r="H626" s="5" t="s">
        <v>233</v>
      </c>
      <c r="I626" s="5" t="s">
        <v>1838</v>
      </c>
      <c r="J626" s="5" t="s">
        <v>227</v>
      </c>
      <c r="K626" s="5" t="s">
        <v>200</v>
      </c>
      <c r="L626" s="5" t="s">
        <v>684</v>
      </c>
      <c r="M626" s="5" t="s">
        <v>1839</v>
      </c>
      <c r="N626" s="5" t="s">
        <v>3608</v>
      </c>
      <c r="O626" s="5" t="s">
        <v>3824</v>
      </c>
      <c r="P626" s="5">
        <v>5487390</v>
      </c>
      <c r="Q626" s="5" t="s">
        <v>5998</v>
      </c>
      <c r="R626" s="5" t="s">
        <v>203</v>
      </c>
      <c r="S626" s="5" t="s">
        <v>234</v>
      </c>
      <c r="T626" s="5" t="s">
        <v>217</v>
      </c>
      <c r="U626" s="5" t="s">
        <v>207</v>
      </c>
      <c r="V626" s="5" t="s">
        <v>5999</v>
      </c>
      <c r="W626" s="5" t="s">
        <v>227</v>
      </c>
      <c r="X626" s="5" t="s">
        <v>200</v>
      </c>
      <c r="Y626" s="5" t="s">
        <v>1937</v>
      </c>
      <c r="Z626" s="5" t="s">
        <v>1692</v>
      </c>
      <c r="AA626" s="5" t="s">
        <v>3612</v>
      </c>
      <c r="AB626" s="5" t="s">
        <v>3763</v>
      </c>
      <c r="AC626" s="5" t="s">
        <v>6000</v>
      </c>
      <c r="AD626" s="6">
        <v>46059</v>
      </c>
      <c r="AE626" s="6">
        <v>46444</v>
      </c>
      <c r="AF626" s="5"/>
    </row>
    <row r="627" spans="1:32" ht="162.75" customHeight="1" x14ac:dyDescent="0.3">
      <c r="A627" s="7">
        <v>8876417</v>
      </c>
      <c r="B627" s="7" t="s">
        <v>3468</v>
      </c>
      <c r="C627" s="7" t="s">
        <v>6001</v>
      </c>
      <c r="D627" s="7" t="s">
        <v>3373</v>
      </c>
      <c r="E627" s="7" t="s">
        <v>203</v>
      </c>
      <c r="F627" s="7" t="s">
        <v>418</v>
      </c>
      <c r="G627" s="7" t="s">
        <v>208</v>
      </c>
      <c r="H627" s="7" t="s">
        <v>2330</v>
      </c>
      <c r="I627" s="7" t="s">
        <v>3469</v>
      </c>
      <c r="J627" s="7" t="s">
        <v>227</v>
      </c>
      <c r="K627" s="7" t="s">
        <v>200</v>
      </c>
      <c r="L627" s="7" t="s">
        <v>2704</v>
      </c>
      <c r="M627" s="7" t="s">
        <v>1203</v>
      </c>
      <c r="N627" s="7" t="s">
        <v>3729</v>
      </c>
      <c r="O627" s="7" t="s">
        <v>3743</v>
      </c>
      <c r="P627" s="7">
        <v>8884146</v>
      </c>
      <c r="Q627" s="7" t="s">
        <v>6002</v>
      </c>
      <c r="R627" s="7" t="s">
        <v>5712</v>
      </c>
      <c r="S627" s="7" t="s">
        <v>234</v>
      </c>
      <c r="T627" s="7" t="s">
        <v>208</v>
      </c>
      <c r="U627" s="7" t="s">
        <v>2330</v>
      </c>
      <c r="V627" s="7" t="s">
        <v>6003</v>
      </c>
      <c r="W627" s="7" t="s">
        <v>227</v>
      </c>
      <c r="X627" s="7" t="s">
        <v>200</v>
      </c>
      <c r="Y627" s="7" t="s">
        <v>5963</v>
      </c>
      <c r="Z627" s="7" t="s">
        <v>5964</v>
      </c>
      <c r="AA627" s="7" t="s">
        <v>3617</v>
      </c>
      <c r="AB627" s="7" t="s">
        <v>5649</v>
      </c>
      <c r="AC627" s="7" t="s">
        <v>6004</v>
      </c>
      <c r="AD627" s="8">
        <v>46049</v>
      </c>
      <c r="AE627" s="8">
        <v>46308</v>
      </c>
      <c r="AF627" s="7"/>
    </row>
    <row r="628" spans="1:32" ht="30" customHeight="1" x14ac:dyDescent="0.3">
      <c r="A628" s="5">
        <v>5667151</v>
      </c>
      <c r="B628" s="5" t="s">
        <v>3455</v>
      </c>
      <c r="C628" s="5"/>
      <c r="D628" s="5" t="s">
        <v>354</v>
      </c>
      <c r="E628" s="5" t="s">
        <v>203</v>
      </c>
      <c r="F628" s="5" t="s">
        <v>433</v>
      </c>
      <c r="G628" s="5" t="s">
        <v>217</v>
      </c>
      <c r="H628" s="5" t="s">
        <v>2330</v>
      </c>
      <c r="I628" s="5" t="s">
        <v>3456</v>
      </c>
      <c r="J628" s="5" t="s">
        <v>227</v>
      </c>
      <c r="K628" s="5" t="s">
        <v>200</v>
      </c>
      <c r="L628" s="5" t="s">
        <v>3450</v>
      </c>
      <c r="M628" s="5" t="s">
        <v>1328</v>
      </c>
      <c r="N628" s="5" t="s">
        <v>3729</v>
      </c>
      <c r="O628" s="5" t="s">
        <v>3894</v>
      </c>
      <c r="P628" s="5">
        <v>8884206</v>
      </c>
      <c r="Q628" s="5" t="s">
        <v>6005</v>
      </c>
      <c r="R628" s="5" t="s">
        <v>5712</v>
      </c>
      <c r="S628" s="5" t="s">
        <v>234</v>
      </c>
      <c r="T628" s="5" t="s">
        <v>217</v>
      </c>
      <c r="U628" s="5" t="s">
        <v>3569</v>
      </c>
      <c r="V628" s="5" t="s">
        <v>6006</v>
      </c>
      <c r="W628" s="5" t="s">
        <v>227</v>
      </c>
      <c r="X628" s="5" t="s">
        <v>200</v>
      </c>
      <c r="Y628" s="5" t="s">
        <v>5963</v>
      </c>
      <c r="Z628" s="5" t="s">
        <v>5964</v>
      </c>
      <c r="AA628" s="5" t="s">
        <v>3617</v>
      </c>
      <c r="AB628" s="5" t="s">
        <v>5649</v>
      </c>
      <c r="AC628" s="5" t="s">
        <v>6007</v>
      </c>
      <c r="AD628" s="6">
        <v>46049</v>
      </c>
      <c r="AE628" s="5"/>
      <c r="AF628" s="5"/>
    </row>
    <row r="629" spans="1:32" ht="91.5" customHeight="1" x14ac:dyDescent="0.3">
      <c r="A629" s="7">
        <v>8870735</v>
      </c>
      <c r="B629" s="7" t="s">
        <v>3381</v>
      </c>
      <c r="C629" s="7" t="s">
        <v>6008</v>
      </c>
      <c r="D629" s="7" t="s">
        <v>3373</v>
      </c>
      <c r="E629" s="7" t="s">
        <v>203</v>
      </c>
      <c r="F629" s="7" t="s">
        <v>418</v>
      </c>
      <c r="G629" s="7" t="s">
        <v>208</v>
      </c>
      <c r="H629" s="7" t="s">
        <v>2330</v>
      </c>
      <c r="I629" s="7" t="s">
        <v>3382</v>
      </c>
      <c r="J629" s="7" t="s">
        <v>227</v>
      </c>
      <c r="K629" s="7" t="s">
        <v>200</v>
      </c>
      <c r="L629" s="7" t="s">
        <v>1647</v>
      </c>
      <c r="M629" s="7" t="s">
        <v>1328</v>
      </c>
      <c r="N629" s="7" t="s">
        <v>3732</v>
      </c>
      <c r="O629" s="7" t="s">
        <v>3894</v>
      </c>
      <c r="P629" s="7">
        <v>8885590</v>
      </c>
      <c r="Q629" s="7" t="s">
        <v>6009</v>
      </c>
      <c r="R629" s="7" t="s">
        <v>5712</v>
      </c>
      <c r="S629" s="7" t="s">
        <v>444</v>
      </c>
      <c r="T629" s="7" t="s">
        <v>217</v>
      </c>
      <c r="U629" s="7" t="s">
        <v>207</v>
      </c>
      <c r="V629" s="7" t="s">
        <v>6010</v>
      </c>
      <c r="W629" s="7" t="s">
        <v>227</v>
      </c>
      <c r="X629" s="7" t="s">
        <v>200</v>
      </c>
      <c r="Y629" s="7" t="s">
        <v>5969</v>
      </c>
      <c r="Z629" s="7" t="s">
        <v>5964</v>
      </c>
      <c r="AA629" s="7" t="s">
        <v>3617</v>
      </c>
      <c r="AB629" s="7" t="s">
        <v>5649</v>
      </c>
      <c r="AC629" s="7" t="s">
        <v>6011</v>
      </c>
      <c r="AD629" s="8">
        <v>46049</v>
      </c>
      <c r="AE629" s="8">
        <v>46356</v>
      </c>
      <c r="AF629" s="7"/>
    </row>
    <row r="630" spans="1:32" ht="40.5" customHeight="1" x14ac:dyDescent="0.3">
      <c r="A630" s="5">
        <v>8874853</v>
      </c>
      <c r="B630" s="5" t="s">
        <v>3437</v>
      </c>
      <c r="C630" s="5" t="s">
        <v>6012</v>
      </c>
      <c r="D630" s="5" t="s">
        <v>3373</v>
      </c>
      <c r="E630" s="5" t="s">
        <v>203</v>
      </c>
      <c r="F630" s="5" t="s">
        <v>234</v>
      </c>
      <c r="G630" s="5" t="s">
        <v>208</v>
      </c>
      <c r="H630" s="5" t="s">
        <v>2330</v>
      </c>
      <c r="I630" s="5" t="s">
        <v>3438</v>
      </c>
      <c r="J630" s="5" t="s">
        <v>227</v>
      </c>
      <c r="K630" s="5" t="s">
        <v>200</v>
      </c>
      <c r="L630" s="5" t="s">
        <v>3439</v>
      </c>
      <c r="M630" s="5" t="s">
        <v>1328</v>
      </c>
      <c r="N630" s="5" t="s">
        <v>3729</v>
      </c>
      <c r="O630" s="5" t="s">
        <v>3894</v>
      </c>
      <c r="P630" s="5">
        <v>8885544</v>
      </c>
      <c r="Q630" s="5" t="s">
        <v>6013</v>
      </c>
      <c r="R630" s="5" t="s">
        <v>5712</v>
      </c>
      <c r="S630" s="5" t="s">
        <v>234</v>
      </c>
      <c r="T630" s="5" t="s">
        <v>217</v>
      </c>
      <c r="U630" s="5" t="s">
        <v>2330</v>
      </c>
      <c r="V630" s="5" t="s">
        <v>6014</v>
      </c>
      <c r="W630" s="5" t="s">
        <v>227</v>
      </c>
      <c r="X630" s="5" t="s">
        <v>200</v>
      </c>
      <c r="Y630" s="5" t="s">
        <v>5969</v>
      </c>
      <c r="Z630" s="5" t="s">
        <v>5964</v>
      </c>
      <c r="AA630" s="5" t="s">
        <v>3617</v>
      </c>
      <c r="AB630" s="5" t="s">
        <v>5649</v>
      </c>
      <c r="AC630" s="5" t="s">
        <v>6015</v>
      </c>
      <c r="AD630" s="6">
        <v>46049</v>
      </c>
      <c r="AE630" s="6">
        <v>46356</v>
      </c>
      <c r="AF630" s="5"/>
    </row>
    <row r="631" spans="1:32" ht="102" customHeight="1" x14ac:dyDescent="0.3">
      <c r="A631" s="7">
        <v>8877126</v>
      </c>
      <c r="B631" s="7" t="s">
        <v>3508</v>
      </c>
      <c r="C631" s="7" t="s">
        <v>6016</v>
      </c>
      <c r="D631" s="7" t="s">
        <v>3373</v>
      </c>
      <c r="E631" s="7" t="s">
        <v>203</v>
      </c>
      <c r="F631" s="7" t="s">
        <v>234</v>
      </c>
      <c r="G631" s="7" t="s">
        <v>217</v>
      </c>
      <c r="H631" s="7" t="s">
        <v>2330</v>
      </c>
      <c r="I631" s="7" t="s">
        <v>2544</v>
      </c>
      <c r="J631" s="7" t="s">
        <v>227</v>
      </c>
      <c r="K631" s="7" t="s">
        <v>200</v>
      </c>
      <c r="L631" s="7" t="s">
        <v>1368</v>
      </c>
      <c r="M631" s="7" t="s">
        <v>1369</v>
      </c>
      <c r="N631" s="7" t="s">
        <v>3729</v>
      </c>
      <c r="O631" s="7" t="s">
        <v>3912</v>
      </c>
      <c r="P631" s="7">
        <v>8884227</v>
      </c>
      <c r="Q631" s="7" t="s">
        <v>6017</v>
      </c>
      <c r="R631" s="7" t="s">
        <v>5712</v>
      </c>
      <c r="S631" s="7" t="s">
        <v>234</v>
      </c>
      <c r="T631" s="7" t="s">
        <v>217</v>
      </c>
      <c r="U631" s="7" t="s">
        <v>2330</v>
      </c>
      <c r="V631" s="7" t="s">
        <v>5962</v>
      </c>
      <c r="W631" s="7" t="s">
        <v>227</v>
      </c>
      <c r="X631" s="7" t="s">
        <v>200</v>
      </c>
      <c r="Y631" s="7" t="s">
        <v>5963</v>
      </c>
      <c r="Z631" s="7" t="s">
        <v>5964</v>
      </c>
      <c r="AA631" s="7" t="s">
        <v>3617</v>
      </c>
      <c r="AB631" s="7" t="s">
        <v>5649</v>
      </c>
      <c r="AC631" s="7" t="s">
        <v>6018</v>
      </c>
      <c r="AD631" s="8">
        <v>46049</v>
      </c>
      <c r="AE631" s="8">
        <v>46295</v>
      </c>
      <c r="AF631" s="7"/>
    </row>
    <row r="632" spans="1:32" ht="102" customHeight="1" x14ac:dyDescent="0.3">
      <c r="A632" s="5">
        <v>8877705</v>
      </c>
      <c r="B632" s="5" t="s">
        <v>3528</v>
      </c>
      <c r="C632" s="5" t="s">
        <v>6019</v>
      </c>
      <c r="D632" s="5" t="s">
        <v>3373</v>
      </c>
      <c r="E632" s="5" t="s">
        <v>203</v>
      </c>
      <c r="F632" s="5" t="s">
        <v>234</v>
      </c>
      <c r="G632" s="5" t="s">
        <v>208</v>
      </c>
      <c r="H632" s="5" t="s">
        <v>2330</v>
      </c>
      <c r="I632" s="5" t="s">
        <v>3529</v>
      </c>
      <c r="J632" s="5" t="s">
        <v>227</v>
      </c>
      <c r="K632" s="5" t="s">
        <v>200</v>
      </c>
      <c r="L632" s="5" t="s">
        <v>3530</v>
      </c>
      <c r="M632" s="5" t="s">
        <v>3475</v>
      </c>
      <c r="N632" s="5" t="s">
        <v>3729</v>
      </c>
      <c r="O632" s="5" t="s">
        <v>3627</v>
      </c>
      <c r="P632" s="5">
        <v>8884148</v>
      </c>
      <c r="Q632" s="5" t="s">
        <v>6020</v>
      </c>
      <c r="R632" s="5" t="s">
        <v>5712</v>
      </c>
      <c r="S632" s="5" t="s">
        <v>234</v>
      </c>
      <c r="T632" s="5" t="s">
        <v>208</v>
      </c>
      <c r="U632" s="5" t="s">
        <v>2330</v>
      </c>
      <c r="V632" s="5" t="s">
        <v>6021</v>
      </c>
      <c r="W632" s="5" t="s">
        <v>227</v>
      </c>
      <c r="X632" s="5" t="s">
        <v>200</v>
      </c>
      <c r="Y632" s="5" t="s">
        <v>5963</v>
      </c>
      <c r="Z632" s="5" t="s">
        <v>5964</v>
      </c>
      <c r="AA632" s="5" t="s">
        <v>3617</v>
      </c>
      <c r="AB632" s="5" t="s">
        <v>5649</v>
      </c>
      <c r="AC632" s="5" t="s">
        <v>6022</v>
      </c>
      <c r="AD632" s="6">
        <v>46049</v>
      </c>
      <c r="AE632" s="6">
        <v>46295</v>
      </c>
      <c r="AF632" s="5"/>
    </row>
    <row r="633" spans="1:32" ht="60.75" customHeight="1" x14ac:dyDescent="0.3">
      <c r="A633" s="7">
        <v>8877431</v>
      </c>
      <c r="B633" s="7" t="s">
        <v>3518</v>
      </c>
      <c r="C633" s="7" t="s">
        <v>6023</v>
      </c>
      <c r="D633" s="7" t="s">
        <v>3373</v>
      </c>
      <c r="E633" s="7" t="s">
        <v>203</v>
      </c>
      <c r="F633" s="7" t="s">
        <v>234</v>
      </c>
      <c r="G633" s="7" t="s">
        <v>208</v>
      </c>
      <c r="H633" s="7" t="s">
        <v>2330</v>
      </c>
      <c r="I633" s="7" t="s">
        <v>2797</v>
      </c>
      <c r="J633" s="7" t="s">
        <v>227</v>
      </c>
      <c r="K633" s="7" t="s">
        <v>200</v>
      </c>
      <c r="L633" s="7" t="s">
        <v>2798</v>
      </c>
      <c r="M633" s="7" t="s">
        <v>1328</v>
      </c>
      <c r="N633" s="7" t="s">
        <v>3729</v>
      </c>
      <c r="O633" s="7" t="s">
        <v>3894</v>
      </c>
      <c r="P633" s="7">
        <v>8884133</v>
      </c>
      <c r="Q633" s="7" t="s">
        <v>6024</v>
      </c>
      <c r="R633" s="7" t="s">
        <v>5712</v>
      </c>
      <c r="S633" s="7" t="s">
        <v>234</v>
      </c>
      <c r="T633" s="7" t="s">
        <v>208</v>
      </c>
      <c r="U633" s="7" t="s">
        <v>2330</v>
      </c>
      <c r="V633" s="7" t="s">
        <v>6025</v>
      </c>
      <c r="W633" s="7" t="s">
        <v>227</v>
      </c>
      <c r="X633" s="7" t="s">
        <v>200</v>
      </c>
      <c r="Y633" s="7" t="s">
        <v>5963</v>
      </c>
      <c r="Z633" s="7" t="s">
        <v>5964</v>
      </c>
      <c r="AA633" s="7" t="s">
        <v>3617</v>
      </c>
      <c r="AB633" s="7" t="s">
        <v>5649</v>
      </c>
      <c r="AC633" s="7" t="s">
        <v>6026</v>
      </c>
      <c r="AD633" s="8">
        <v>46048</v>
      </c>
      <c r="AE633" s="8">
        <v>46295</v>
      </c>
      <c r="AF633" s="7"/>
    </row>
    <row r="634" spans="1:32" ht="30" customHeight="1" x14ac:dyDescent="0.3">
      <c r="A634" s="5">
        <v>8870928</v>
      </c>
      <c r="B634" s="5" t="s">
        <v>3412</v>
      </c>
      <c r="C634" s="5"/>
      <c r="D634" s="5" t="s">
        <v>198</v>
      </c>
      <c r="E634" s="5" t="s">
        <v>203</v>
      </c>
      <c r="F634" s="5" t="s">
        <v>613</v>
      </c>
      <c r="G634" s="5" t="s">
        <v>217</v>
      </c>
      <c r="H634" s="5" t="s">
        <v>207</v>
      </c>
      <c r="I634" s="5" t="s">
        <v>3413</v>
      </c>
      <c r="J634" s="5" t="s">
        <v>608</v>
      </c>
      <c r="K634" s="5" t="s">
        <v>200</v>
      </c>
      <c r="L634" s="5" t="s">
        <v>3414</v>
      </c>
      <c r="M634" s="5" t="s">
        <v>1445</v>
      </c>
      <c r="N634" s="5" t="s">
        <v>3732</v>
      </c>
      <c r="O634" s="5" t="s">
        <v>3705</v>
      </c>
      <c r="P634" s="5">
        <v>8884137</v>
      </c>
      <c r="Q634" s="5" t="s">
        <v>6027</v>
      </c>
      <c r="R634" s="5" t="s">
        <v>5712</v>
      </c>
      <c r="S634" s="5" t="s">
        <v>234</v>
      </c>
      <c r="T634" s="5" t="s">
        <v>217</v>
      </c>
      <c r="U634" s="5" t="s">
        <v>2330</v>
      </c>
      <c r="V634" s="5" t="s">
        <v>6028</v>
      </c>
      <c r="W634" s="5" t="s">
        <v>227</v>
      </c>
      <c r="X634" s="5" t="s">
        <v>200</v>
      </c>
      <c r="Y634" s="5" t="s">
        <v>5963</v>
      </c>
      <c r="Z634" s="5" t="s">
        <v>5964</v>
      </c>
      <c r="AA634" s="5" t="s">
        <v>3617</v>
      </c>
      <c r="AB634" s="5" t="s">
        <v>5649</v>
      </c>
      <c r="AC634" s="5" t="s">
        <v>6029</v>
      </c>
      <c r="AD634" s="6">
        <v>46053</v>
      </c>
      <c r="AE634" s="5"/>
      <c r="AF634" s="5"/>
    </row>
    <row r="635" spans="1:32" ht="51" customHeight="1" x14ac:dyDescent="0.3">
      <c r="A635" s="7">
        <v>8876925</v>
      </c>
      <c r="B635" s="7" t="s">
        <v>3486</v>
      </c>
      <c r="C635" s="7" t="s">
        <v>6030</v>
      </c>
      <c r="D635" s="7" t="s">
        <v>3373</v>
      </c>
      <c r="E635" s="7" t="s">
        <v>203</v>
      </c>
      <c r="F635" s="7" t="s">
        <v>234</v>
      </c>
      <c r="G635" s="7" t="s">
        <v>217</v>
      </c>
      <c r="H635" s="7" t="s">
        <v>2330</v>
      </c>
      <c r="I635" s="7" t="s">
        <v>3487</v>
      </c>
      <c r="J635" s="7" t="s">
        <v>227</v>
      </c>
      <c r="K635" s="7" t="s">
        <v>200</v>
      </c>
      <c r="L635" s="7" t="s">
        <v>3488</v>
      </c>
      <c r="M635" s="7" t="s">
        <v>2708</v>
      </c>
      <c r="N635" s="7" t="s">
        <v>3729</v>
      </c>
      <c r="O635" s="7" t="s">
        <v>3741</v>
      </c>
      <c r="P635" s="7">
        <v>8884201</v>
      </c>
      <c r="Q635" s="7" t="s">
        <v>6031</v>
      </c>
      <c r="R635" s="7" t="s">
        <v>5712</v>
      </c>
      <c r="S635" s="7" t="s">
        <v>234</v>
      </c>
      <c r="T635" s="7" t="s">
        <v>208</v>
      </c>
      <c r="U635" s="7" t="s">
        <v>2330</v>
      </c>
      <c r="V635" s="7" t="s">
        <v>6032</v>
      </c>
      <c r="W635" s="7" t="s">
        <v>227</v>
      </c>
      <c r="X635" s="7" t="s">
        <v>200</v>
      </c>
      <c r="Y635" s="7" t="s">
        <v>5963</v>
      </c>
      <c r="Z635" s="7" t="s">
        <v>5964</v>
      </c>
      <c r="AA635" s="7" t="s">
        <v>3617</v>
      </c>
      <c r="AB635" s="7" t="s">
        <v>5649</v>
      </c>
      <c r="AC635" s="7" t="s">
        <v>6033</v>
      </c>
      <c r="AD635" s="8">
        <v>46048</v>
      </c>
      <c r="AE635" s="8">
        <v>46295</v>
      </c>
      <c r="AF635" s="7"/>
    </row>
    <row r="636" spans="1:32" ht="30" customHeight="1" x14ac:dyDescent="0.3">
      <c r="A636" s="5">
        <v>3651770</v>
      </c>
      <c r="B636" s="5" t="s">
        <v>1551</v>
      </c>
      <c r="C636" s="5" t="s">
        <v>6034</v>
      </c>
      <c r="D636" s="5" t="s">
        <v>198</v>
      </c>
      <c r="E636" s="5" t="s">
        <v>737</v>
      </c>
      <c r="F636" s="5" t="s">
        <v>234</v>
      </c>
      <c r="G636" s="5" t="s">
        <v>217</v>
      </c>
      <c r="H636" s="5" t="s">
        <v>207</v>
      </c>
      <c r="I636" s="5" t="s">
        <v>1552</v>
      </c>
      <c r="J636" s="5" t="s">
        <v>227</v>
      </c>
      <c r="K636" s="5" t="s">
        <v>200</v>
      </c>
      <c r="L636" s="5" t="s">
        <v>1553</v>
      </c>
      <c r="M636" s="5" t="s">
        <v>1247</v>
      </c>
      <c r="N636" s="5" t="s">
        <v>3608</v>
      </c>
      <c r="O636" s="5" t="s">
        <v>3646</v>
      </c>
      <c r="P636" s="5">
        <v>8884295</v>
      </c>
      <c r="Q636" s="5" t="s">
        <v>102</v>
      </c>
      <c r="R636" s="5" t="s">
        <v>5712</v>
      </c>
      <c r="S636" s="5" t="s">
        <v>234</v>
      </c>
      <c r="T636" s="5" t="s">
        <v>217</v>
      </c>
      <c r="U636" s="5" t="s">
        <v>2330</v>
      </c>
      <c r="V636" s="5" t="s">
        <v>6035</v>
      </c>
      <c r="W636" s="5" t="s">
        <v>227</v>
      </c>
      <c r="X636" s="5" t="s">
        <v>200</v>
      </c>
      <c r="Y636" s="5" t="s">
        <v>5963</v>
      </c>
      <c r="Z636" s="5" t="s">
        <v>5964</v>
      </c>
      <c r="AA636" s="5" t="s">
        <v>3617</v>
      </c>
      <c r="AB636" s="5" t="s">
        <v>5649</v>
      </c>
      <c r="AC636" s="5" t="s">
        <v>6036</v>
      </c>
      <c r="AD636" s="6">
        <v>46048</v>
      </c>
      <c r="AE636" s="6">
        <v>46295</v>
      </c>
      <c r="AF636" s="5"/>
    </row>
    <row r="637" spans="1:32" ht="40.5" customHeight="1" x14ac:dyDescent="0.3">
      <c r="A637" s="7">
        <v>5667151</v>
      </c>
      <c r="B637" s="7" t="s">
        <v>3455</v>
      </c>
      <c r="C637" s="7"/>
      <c r="D637" s="7" t="s">
        <v>354</v>
      </c>
      <c r="E637" s="7" t="s">
        <v>203</v>
      </c>
      <c r="F637" s="7" t="s">
        <v>433</v>
      </c>
      <c r="G637" s="7" t="s">
        <v>217</v>
      </c>
      <c r="H637" s="7" t="s">
        <v>2330</v>
      </c>
      <c r="I637" s="7" t="s">
        <v>3456</v>
      </c>
      <c r="J637" s="7" t="s">
        <v>227</v>
      </c>
      <c r="K637" s="7" t="s">
        <v>200</v>
      </c>
      <c r="L637" s="7" t="s">
        <v>3450</v>
      </c>
      <c r="M637" s="7" t="s">
        <v>1328</v>
      </c>
      <c r="N637" s="7" t="s">
        <v>3729</v>
      </c>
      <c r="O637" s="7" t="s">
        <v>3894</v>
      </c>
      <c r="P637" s="7">
        <v>8884213</v>
      </c>
      <c r="Q637" s="7" t="s">
        <v>6037</v>
      </c>
      <c r="R637" s="7" t="s">
        <v>5712</v>
      </c>
      <c r="S637" s="7" t="s">
        <v>234</v>
      </c>
      <c r="T637" s="7" t="s">
        <v>217</v>
      </c>
      <c r="U637" s="7" t="s">
        <v>2330</v>
      </c>
      <c r="V637" s="7" t="s">
        <v>6038</v>
      </c>
      <c r="W637" s="7" t="s">
        <v>227</v>
      </c>
      <c r="X637" s="7" t="s">
        <v>200</v>
      </c>
      <c r="Y637" s="7" t="s">
        <v>5963</v>
      </c>
      <c r="Z637" s="7" t="s">
        <v>5964</v>
      </c>
      <c r="AA637" s="7" t="s">
        <v>3617</v>
      </c>
      <c r="AB637" s="7" t="s">
        <v>5649</v>
      </c>
      <c r="AC637" s="7" t="s">
        <v>6039</v>
      </c>
      <c r="AD637" s="8">
        <v>46049</v>
      </c>
      <c r="AE637" s="7"/>
      <c r="AF637" s="7"/>
    </row>
    <row r="638" spans="1:32" ht="132" customHeight="1" x14ac:dyDescent="0.3">
      <c r="A638" s="5">
        <v>8870928</v>
      </c>
      <c r="B638" s="5" t="s">
        <v>3412</v>
      </c>
      <c r="C638" s="5" t="s">
        <v>6040</v>
      </c>
      <c r="D638" s="5" t="s">
        <v>3373</v>
      </c>
      <c r="E638" s="5" t="s">
        <v>203</v>
      </c>
      <c r="F638" s="5" t="s">
        <v>613</v>
      </c>
      <c r="G638" s="5" t="s">
        <v>217</v>
      </c>
      <c r="H638" s="5" t="s">
        <v>207</v>
      </c>
      <c r="I638" s="5" t="s">
        <v>3413</v>
      </c>
      <c r="J638" s="5" t="s">
        <v>608</v>
      </c>
      <c r="K638" s="5" t="s">
        <v>200</v>
      </c>
      <c r="L638" s="5" t="s">
        <v>3414</v>
      </c>
      <c r="M638" s="5" t="s">
        <v>1445</v>
      </c>
      <c r="N638" s="5" t="s">
        <v>3732</v>
      </c>
      <c r="O638" s="5" t="s">
        <v>3705</v>
      </c>
      <c r="P638" s="5">
        <v>8884198</v>
      </c>
      <c r="Q638" s="5" t="s">
        <v>6041</v>
      </c>
      <c r="R638" s="5" t="s">
        <v>5712</v>
      </c>
      <c r="S638" s="5" t="s">
        <v>234</v>
      </c>
      <c r="T638" s="5" t="s">
        <v>217</v>
      </c>
      <c r="U638" s="5" t="s">
        <v>2330</v>
      </c>
      <c r="V638" s="5" t="s">
        <v>6042</v>
      </c>
      <c r="W638" s="5" t="s">
        <v>227</v>
      </c>
      <c r="X638" s="5" t="s">
        <v>200</v>
      </c>
      <c r="Y638" s="5" t="s">
        <v>5963</v>
      </c>
      <c r="Z638" s="5" t="s">
        <v>5964</v>
      </c>
      <c r="AA638" s="5" t="s">
        <v>3617</v>
      </c>
      <c r="AB638" s="5" t="s">
        <v>5649</v>
      </c>
      <c r="AC638" s="5" t="s">
        <v>6043</v>
      </c>
      <c r="AD638" s="6">
        <v>46049</v>
      </c>
      <c r="AE638" s="6">
        <v>46326</v>
      </c>
      <c r="AF638" s="5"/>
    </row>
    <row r="639" spans="1:32" ht="132" customHeight="1" x14ac:dyDescent="0.3">
      <c r="A639" s="7">
        <v>8877419</v>
      </c>
      <c r="B639" s="7" t="s">
        <v>3516</v>
      </c>
      <c r="C639" s="7" t="s">
        <v>6044</v>
      </c>
      <c r="D639" s="7" t="s">
        <v>3373</v>
      </c>
      <c r="E639" s="7" t="s">
        <v>203</v>
      </c>
      <c r="F639" s="7" t="s">
        <v>234</v>
      </c>
      <c r="G639" s="7" t="s">
        <v>208</v>
      </c>
      <c r="H639" s="7" t="s">
        <v>2330</v>
      </c>
      <c r="I639" s="7" t="s">
        <v>3517</v>
      </c>
      <c r="J639" s="7" t="s">
        <v>227</v>
      </c>
      <c r="K639" s="7" t="s">
        <v>200</v>
      </c>
      <c r="L639" s="7" t="s">
        <v>2298</v>
      </c>
      <c r="M639" s="7" t="s">
        <v>2264</v>
      </c>
      <c r="N639" s="7" t="s">
        <v>3729</v>
      </c>
      <c r="O639" s="7" t="s">
        <v>3763</v>
      </c>
      <c r="P639" s="7">
        <v>8885642</v>
      </c>
      <c r="Q639" s="7" t="s">
        <v>6045</v>
      </c>
      <c r="R639" s="7" t="s">
        <v>5712</v>
      </c>
      <c r="S639" s="7" t="s">
        <v>234</v>
      </c>
      <c r="T639" s="7" t="s">
        <v>217</v>
      </c>
      <c r="U639" s="7" t="s">
        <v>2330</v>
      </c>
      <c r="V639" s="7" t="s">
        <v>6046</v>
      </c>
      <c r="W639" s="7" t="s">
        <v>227</v>
      </c>
      <c r="X639" s="7" t="s">
        <v>200</v>
      </c>
      <c r="Y639" s="7" t="s">
        <v>5969</v>
      </c>
      <c r="Z639" s="7" t="s">
        <v>5964</v>
      </c>
      <c r="AA639" s="7" t="s">
        <v>3617</v>
      </c>
      <c r="AB639" s="7" t="s">
        <v>5649</v>
      </c>
      <c r="AC639" s="7" t="s">
        <v>6047</v>
      </c>
      <c r="AD639" s="8">
        <v>46049</v>
      </c>
      <c r="AE639" s="8">
        <v>46354</v>
      </c>
      <c r="AF639" s="7"/>
    </row>
    <row r="640" spans="1:32" ht="71.25" customHeight="1" x14ac:dyDescent="0.3">
      <c r="A640" s="5">
        <v>8870766</v>
      </c>
      <c r="B640" s="5" t="s">
        <v>3383</v>
      </c>
      <c r="C640" s="5" t="s">
        <v>6048</v>
      </c>
      <c r="D640" s="5" t="s">
        <v>3373</v>
      </c>
      <c r="E640" s="5" t="s">
        <v>203</v>
      </c>
      <c r="F640" s="5" t="s">
        <v>418</v>
      </c>
      <c r="G640" s="5" t="s">
        <v>217</v>
      </c>
      <c r="H640" s="5" t="s">
        <v>2330</v>
      </c>
      <c r="I640" s="5" t="s">
        <v>3384</v>
      </c>
      <c r="J640" s="5" t="s">
        <v>227</v>
      </c>
      <c r="K640" s="5" t="s">
        <v>578</v>
      </c>
      <c r="L640" s="5" t="s">
        <v>3385</v>
      </c>
      <c r="M640" s="5" t="s">
        <v>1328</v>
      </c>
      <c r="N640" s="5" t="s">
        <v>3732</v>
      </c>
      <c r="O640" s="5" t="s">
        <v>3894</v>
      </c>
      <c r="P640" s="5">
        <v>8885683</v>
      </c>
      <c r="Q640" s="5" t="s">
        <v>6049</v>
      </c>
      <c r="R640" s="5" t="s">
        <v>5712</v>
      </c>
      <c r="S640" s="5" t="s">
        <v>234</v>
      </c>
      <c r="T640" s="5" t="s">
        <v>208</v>
      </c>
      <c r="U640" s="5" t="s">
        <v>2330</v>
      </c>
      <c r="V640" s="5" t="s">
        <v>6050</v>
      </c>
      <c r="W640" s="5" t="s">
        <v>227</v>
      </c>
      <c r="X640" s="5" t="s">
        <v>200</v>
      </c>
      <c r="Y640" s="5" t="s">
        <v>5969</v>
      </c>
      <c r="Z640" s="5" t="s">
        <v>5964</v>
      </c>
      <c r="AA640" s="5" t="s">
        <v>3617</v>
      </c>
      <c r="AB640" s="5" t="s">
        <v>5649</v>
      </c>
      <c r="AC640" s="5" t="s">
        <v>6051</v>
      </c>
      <c r="AD640" s="6">
        <v>46050</v>
      </c>
      <c r="AE640" s="6">
        <v>46356</v>
      </c>
      <c r="AF640" s="5"/>
    </row>
    <row r="641" spans="1:32" ht="40.5" customHeight="1" x14ac:dyDescent="0.3">
      <c r="A641" s="7">
        <v>3576930</v>
      </c>
      <c r="B641" s="7" t="s">
        <v>1479</v>
      </c>
      <c r="C641" s="7" t="s">
        <v>6052</v>
      </c>
      <c r="D641" s="7" t="s">
        <v>354</v>
      </c>
      <c r="E641" s="7" t="s">
        <v>203</v>
      </c>
      <c r="F641" s="7" t="s">
        <v>234</v>
      </c>
      <c r="G641" s="7" t="s">
        <v>208</v>
      </c>
      <c r="H641" s="7" t="s">
        <v>245</v>
      </c>
      <c r="I641" s="7" t="s">
        <v>1480</v>
      </c>
      <c r="J641" s="7" t="s">
        <v>227</v>
      </c>
      <c r="K641" s="7" t="s">
        <v>200</v>
      </c>
      <c r="L641" s="7" t="s">
        <v>1481</v>
      </c>
      <c r="M641" s="7" t="s">
        <v>1482</v>
      </c>
      <c r="N641" s="7" t="s">
        <v>3608</v>
      </c>
      <c r="O641" s="7" t="s">
        <v>3741</v>
      </c>
      <c r="P641" s="7">
        <v>5072638</v>
      </c>
      <c r="Q641" s="7" t="s">
        <v>2675</v>
      </c>
      <c r="R641" s="7" t="s">
        <v>203</v>
      </c>
      <c r="S641" s="7" t="s">
        <v>234</v>
      </c>
      <c r="T641" s="7" t="s">
        <v>217</v>
      </c>
      <c r="U641" s="7" t="s">
        <v>207</v>
      </c>
      <c r="V641" s="7" t="s">
        <v>2676</v>
      </c>
      <c r="W641" s="7" t="s">
        <v>227</v>
      </c>
      <c r="X641" s="7" t="s">
        <v>200</v>
      </c>
      <c r="Y641" s="7" t="s">
        <v>1481</v>
      </c>
      <c r="Z641" s="7" t="s">
        <v>2677</v>
      </c>
      <c r="AA641" s="7" t="s">
        <v>3623</v>
      </c>
      <c r="AB641" s="7" t="s">
        <v>3741</v>
      </c>
      <c r="AC641" s="7" t="s">
        <v>6053</v>
      </c>
      <c r="AD641" s="8">
        <v>45870</v>
      </c>
      <c r="AE641" s="8">
        <v>46234</v>
      </c>
      <c r="AF641" s="7"/>
    </row>
    <row r="642" spans="1:32" ht="60.75" customHeight="1" x14ac:dyDescent="0.3">
      <c r="A642" s="5">
        <v>8875371</v>
      </c>
      <c r="B642" s="5" t="s">
        <v>3444</v>
      </c>
      <c r="C642" s="5" t="s">
        <v>6054</v>
      </c>
      <c r="D642" s="5" t="s">
        <v>3373</v>
      </c>
      <c r="E642" s="5" t="s">
        <v>203</v>
      </c>
      <c r="F642" s="5" t="s">
        <v>234</v>
      </c>
      <c r="G642" s="5" t="s">
        <v>208</v>
      </c>
      <c r="H642" s="5" t="s">
        <v>2330</v>
      </c>
      <c r="I642" s="5" t="s">
        <v>3445</v>
      </c>
      <c r="J642" s="5" t="s">
        <v>227</v>
      </c>
      <c r="K642" s="5" t="s">
        <v>200</v>
      </c>
      <c r="L642" s="5" t="s">
        <v>3446</v>
      </c>
      <c r="M642" s="5" t="s">
        <v>1328</v>
      </c>
      <c r="N642" s="5" t="s">
        <v>3729</v>
      </c>
      <c r="O642" s="5" t="s">
        <v>3894</v>
      </c>
      <c r="P642" s="5">
        <v>8885575</v>
      </c>
      <c r="Q642" s="5" t="s">
        <v>6055</v>
      </c>
      <c r="R642" s="5" t="s">
        <v>5712</v>
      </c>
      <c r="S642" s="5" t="s">
        <v>234</v>
      </c>
      <c r="T642" s="5" t="s">
        <v>217</v>
      </c>
      <c r="U642" s="5" t="s">
        <v>2330</v>
      </c>
      <c r="V642" s="5" t="s">
        <v>6056</v>
      </c>
      <c r="W642" s="5" t="s">
        <v>227</v>
      </c>
      <c r="X642" s="5" t="s">
        <v>200</v>
      </c>
      <c r="Y642" s="5" t="s">
        <v>5969</v>
      </c>
      <c r="Z642" s="5" t="s">
        <v>5964</v>
      </c>
      <c r="AA642" s="5" t="s">
        <v>3617</v>
      </c>
      <c r="AB642" s="5" t="s">
        <v>5649</v>
      </c>
      <c r="AC642" s="5" t="s">
        <v>6057</v>
      </c>
      <c r="AD642" s="6">
        <v>46049</v>
      </c>
      <c r="AE642" s="6">
        <v>46356</v>
      </c>
      <c r="AF642" s="5"/>
    </row>
    <row r="643" spans="1:32" ht="142.5" customHeight="1" x14ac:dyDescent="0.3">
      <c r="A643" s="7">
        <v>8877296</v>
      </c>
      <c r="B643" s="7" t="s">
        <v>3510</v>
      </c>
      <c r="C643" s="7" t="s">
        <v>6058</v>
      </c>
      <c r="D643" s="7" t="s">
        <v>3373</v>
      </c>
      <c r="E643" s="7" t="s">
        <v>203</v>
      </c>
      <c r="F643" s="7" t="s">
        <v>234</v>
      </c>
      <c r="G643" s="7" t="s">
        <v>208</v>
      </c>
      <c r="H643" s="7" t="s">
        <v>2330</v>
      </c>
      <c r="I643" s="7" t="s">
        <v>3511</v>
      </c>
      <c r="J643" s="7" t="s">
        <v>227</v>
      </c>
      <c r="K643" s="7" t="s">
        <v>200</v>
      </c>
      <c r="L643" s="7" t="s">
        <v>3512</v>
      </c>
      <c r="M643" s="7" t="s">
        <v>690</v>
      </c>
      <c r="N643" s="7" t="s">
        <v>3729</v>
      </c>
      <c r="O643" s="7" t="s">
        <v>3824</v>
      </c>
      <c r="P643" s="7">
        <v>8884219</v>
      </c>
      <c r="Q643" s="7" t="s">
        <v>6059</v>
      </c>
      <c r="R643" s="7" t="s">
        <v>5712</v>
      </c>
      <c r="S643" s="7" t="s">
        <v>234</v>
      </c>
      <c r="T643" s="7" t="s">
        <v>208</v>
      </c>
      <c r="U643" s="7" t="s">
        <v>2330</v>
      </c>
      <c r="V643" s="7" t="s">
        <v>6060</v>
      </c>
      <c r="W643" s="7" t="s">
        <v>227</v>
      </c>
      <c r="X643" s="7" t="s">
        <v>200</v>
      </c>
      <c r="Y643" s="7" t="s">
        <v>6061</v>
      </c>
      <c r="Z643" s="7" t="s">
        <v>5964</v>
      </c>
      <c r="AA643" s="7" t="s">
        <v>3617</v>
      </c>
      <c r="AB643" s="7" t="s">
        <v>5649</v>
      </c>
      <c r="AC643" s="7" t="s">
        <v>6062</v>
      </c>
      <c r="AD643" s="8">
        <v>46050</v>
      </c>
      <c r="AE643" s="8">
        <v>46325</v>
      </c>
      <c r="AF643" s="7"/>
    </row>
    <row r="644" spans="1:32" ht="51" customHeight="1" x14ac:dyDescent="0.3">
      <c r="A644" s="5">
        <v>8876931</v>
      </c>
      <c r="B644" s="5" t="s">
        <v>3489</v>
      </c>
      <c r="C644" s="5" t="s">
        <v>6063</v>
      </c>
      <c r="D644" s="5" t="s">
        <v>3373</v>
      </c>
      <c r="E644" s="5" t="s">
        <v>203</v>
      </c>
      <c r="F644" s="5" t="s">
        <v>234</v>
      </c>
      <c r="G644" s="5" t="s">
        <v>217</v>
      </c>
      <c r="H644" s="5" t="s">
        <v>2330</v>
      </c>
      <c r="I644" s="5" t="s">
        <v>3490</v>
      </c>
      <c r="J644" s="5" t="s">
        <v>227</v>
      </c>
      <c r="K644" s="5" t="s">
        <v>200</v>
      </c>
      <c r="L644" s="5" t="s">
        <v>819</v>
      </c>
      <c r="M644" s="5" t="s">
        <v>2459</v>
      </c>
      <c r="N644" s="5" t="s">
        <v>3729</v>
      </c>
      <c r="O644" s="5" t="s">
        <v>3843</v>
      </c>
      <c r="P644" s="5">
        <v>8884204</v>
      </c>
      <c r="Q644" s="5" t="s">
        <v>6064</v>
      </c>
      <c r="R644" s="5" t="s">
        <v>5712</v>
      </c>
      <c r="S644" s="5" t="s">
        <v>234</v>
      </c>
      <c r="T644" s="5" t="s">
        <v>208</v>
      </c>
      <c r="U644" s="5" t="s">
        <v>2330</v>
      </c>
      <c r="V644" s="5" t="s">
        <v>5951</v>
      </c>
      <c r="W644" s="5" t="s">
        <v>227</v>
      </c>
      <c r="X644" s="5" t="s">
        <v>200</v>
      </c>
      <c r="Y644" s="5" t="s">
        <v>5963</v>
      </c>
      <c r="Z644" s="5" t="s">
        <v>5964</v>
      </c>
      <c r="AA644" s="5" t="s">
        <v>3617</v>
      </c>
      <c r="AB644" s="5" t="s">
        <v>5649</v>
      </c>
      <c r="AC644" s="5" t="s">
        <v>6065</v>
      </c>
      <c r="AD644" s="6">
        <v>46048</v>
      </c>
      <c r="AE644" s="6">
        <v>46295</v>
      </c>
      <c r="AF644" s="5"/>
    </row>
    <row r="645" spans="1:32" ht="132" customHeight="1" x14ac:dyDescent="0.3">
      <c r="A645" s="7">
        <v>5469368</v>
      </c>
      <c r="B645" s="7" t="s">
        <v>3492</v>
      </c>
      <c r="C645" s="7" t="s">
        <v>6066</v>
      </c>
      <c r="D645" s="7" t="s">
        <v>3373</v>
      </c>
      <c r="E645" s="7" t="s">
        <v>203</v>
      </c>
      <c r="F645" s="7" t="s">
        <v>234</v>
      </c>
      <c r="G645" s="7" t="s">
        <v>208</v>
      </c>
      <c r="H645" s="7" t="s">
        <v>2330</v>
      </c>
      <c r="I645" s="7" t="s">
        <v>3493</v>
      </c>
      <c r="J645" s="7" t="s">
        <v>227</v>
      </c>
      <c r="K645" s="7" t="s">
        <v>200</v>
      </c>
      <c r="L645" s="7" t="s">
        <v>3446</v>
      </c>
      <c r="M645" s="7" t="s">
        <v>3494</v>
      </c>
      <c r="N645" s="7" t="s">
        <v>3729</v>
      </c>
      <c r="O645" s="7" t="s">
        <v>4356</v>
      </c>
      <c r="P645" s="7">
        <v>8885686</v>
      </c>
      <c r="Q645" s="7" t="s">
        <v>6067</v>
      </c>
      <c r="R645" s="7" t="s">
        <v>5712</v>
      </c>
      <c r="S645" s="7" t="s">
        <v>234</v>
      </c>
      <c r="T645" s="7" t="s">
        <v>217</v>
      </c>
      <c r="U645" s="7" t="s">
        <v>207</v>
      </c>
      <c r="V645" s="7" t="s">
        <v>6068</v>
      </c>
      <c r="W645" s="7" t="s">
        <v>227</v>
      </c>
      <c r="X645" s="7" t="s">
        <v>200</v>
      </c>
      <c r="Y645" s="7" t="s">
        <v>5969</v>
      </c>
      <c r="Z645" s="7" t="s">
        <v>5964</v>
      </c>
      <c r="AA645" s="7" t="s">
        <v>3617</v>
      </c>
      <c r="AB645" s="7" t="s">
        <v>5649</v>
      </c>
      <c r="AC645" s="7" t="s">
        <v>6069</v>
      </c>
      <c r="AD645" s="8">
        <v>46049</v>
      </c>
      <c r="AE645" s="8">
        <v>46357</v>
      </c>
      <c r="AF645" s="7"/>
    </row>
    <row r="646" spans="1:32" ht="71.25" customHeight="1" x14ac:dyDescent="0.3">
      <c r="A646" s="5">
        <v>8876892</v>
      </c>
      <c r="B646" s="5" t="s">
        <v>3484</v>
      </c>
      <c r="C646" s="5" t="s">
        <v>6070</v>
      </c>
      <c r="D646" s="5" t="s">
        <v>3373</v>
      </c>
      <c r="E646" s="5" t="s">
        <v>203</v>
      </c>
      <c r="F646" s="5" t="s">
        <v>234</v>
      </c>
      <c r="G646" s="5" t="s">
        <v>208</v>
      </c>
      <c r="H646" s="5" t="s">
        <v>2330</v>
      </c>
      <c r="I646" s="5" t="s">
        <v>3485</v>
      </c>
      <c r="J646" s="5" t="s">
        <v>227</v>
      </c>
      <c r="K646" s="5" t="s">
        <v>200</v>
      </c>
      <c r="L646" s="5" t="s">
        <v>3399</v>
      </c>
      <c r="M646" s="5" t="s">
        <v>1328</v>
      </c>
      <c r="N646" s="5" t="s">
        <v>3729</v>
      </c>
      <c r="O646" s="5" t="s">
        <v>3894</v>
      </c>
      <c r="P646" s="5">
        <v>8885603</v>
      </c>
      <c r="Q646" s="5" t="s">
        <v>6071</v>
      </c>
      <c r="R646" s="5" t="s">
        <v>5712</v>
      </c>
      <c r="S646" s="5" t="s">
        <v>234</v>
      </c>
      <c r="T646" s="5" t="s">
        <v>217</v>
      </c>
      <c r="U646" s="5" t="s">
        <v>2330</v>
      </c>
      <c r="V646" s="5" t="s">
        <v>6072</v>
      </c>
      <c r="W646" s="5" t="s">
        <v>227</v>
      </c>
      <c r="X646" s="5" t="s">
        <v>200</v>
      </c>
      <c r="Y646" s="5" t="s">
        <v>5969</v>
      </c>
      <c r="Z646" s="5" t="s">
        <v>5964</v>
      </c>
      <c r="AA646" s="5" t="s">
        <v>3617</v>
      </c>
      <c r="AB646" s="5" t="s">
        <v>5649</v>
      </c>
      <c r="AC646" s="5" t="s">
        <v>6073</v>
      </c>
      <c r="AD646" s="6">
        <v>46049</v>
      </c>
      <c r="AE646" s="6">
        <v>46357</v>
      </c>
      <c r="AF646" s="5"/>
    </row>
    <row r="647" spans="1:32" ht="30" customHeight="1" x14ac:dyDescent="0.3">
      <c r="A647" s="7">
        <v>4927060</v>
      </c>
      <c r="B647" s="7" t="s">
        <v>2449</v>
      </c>
      <c r="C647" s="7" t="s">
        <v>6074</v>
      </c>
      <c r="D647" s="7" t="s">
        <v>198</v>
      </c>
      <c r="E647" s="7" t="s">
        <v>203</v>
      </c>
      <c r="F647" s="7" t="s">
        <v>234</v>
      </c>
      <c r="G647" s="7" t="s">
        <v>217</v>
      </c>
      <c r="H647" s="7" t="s">
        <v>207</v>
      </c>
      <c r="I647" s="7" t="s">
        <v>756</v>
      </c>
      <c r="J647" s="7" t="s">
        <v>227</v>
      </c>
      <c r="K647" s="7" t="s">
        <v>413</v>
      </c>
      <c r="L647" s="7" t="s">
        <v>2450</v>
      </c>
      <c r="M647" s="7" t="s">
        <v>2451</v>
      </c>
      <c r="N647" s="7" t="s">
        <v>3612</v>
      </c>
      <c r="O647" s="7" t="s">
        <v>3702</v>
      </c>
      <c r="P647" s="7">
        <v>8881877</v>
      </c>
      <c r="Q647" s="7" t="s">
        <v>6075</v>
      </c>
      <c r="R647" s="7" t="s">
        <v>5712</v>
      </c>
      <c r="S647" s="7" t="s">
        <v>234</v>
      </c>
      <c r="T647" s="7" t="s">
        <v>208</v>
      </c>
      <c r="U647" s="7" t="s">
        <v>2330</v>
      </c>
      <c r="V647" s="7" t="s">
        <v>6076</v>
      </c>
      <c r="W647" s="7" t="s">
        <v>227</v>
      </c>
      <c r="X647" s="7" t="s">
        <v>888</v>
      </c>
      <c r="Y647" s="7" t="s">
        <v>6077</v>
      </c>
      <c r="Z647" s="7" t="s">
        <v>5715</v>
      </c>
      <c r="AA647" s="7" t="s">
        <v>3617</v>
      </c>
      <c r="AB647" s="7" t="s">
        <v>5649</v>
      </c>
      <c r="AC647" s="7" t="s">
        <v>6078</v>
      </c>
      <c r="AD647" s="8">
        <v>45958</v>
      </c>
      <c r="AE647" s="7"/>
      <c r="AF647" s="7"/>
    </row>
    <row r="648" spans="1:32" ht="102" customHeight="1" x14ac:dyDescent="0.3">
      <c r="A648" s="5">
        <v>8870688</v>
      </c>
      <c r="B648" s="5" t="s">
        <v>3376</v>
      </c>
      <c r="C648" s="5" t="s">
        <v>6079</v>
      </c>
      <c r="D648" s="5" t="s">
        <v>3373</v>
      </c>
      <c r="E648" s="5" t="s">
        <v>203</v>
      </c>
      <c r="F648" s="5" t="s">
        <v>234</v>
      </c>
      <c r="G648" s="5" t="s">
        <v>217</v>
      </c>
      <c r="H648" s="5" t="s">
        <v>2330</v>
      </c>
      <c r="I648" s="5" t="s">
        <v>3377</v>
      </c>
      <c r="J648" s="5" t="s">
        <v>227</v>
      </c>
      <c r="K648" s="5" t="s">
        <v>200</v>
      </c>
      <c r="L648" s="5" t="s">
        <v>3378</v>
      </c>
      <c r="M648" s="5" t="s">
        <v>1328</v>
      </c>
      <c r="N648" s="5" t="s">
        <v>3732</v>
      </c>
      <c r="O648" s="5" t="s">
        <v>3894</v>
      </c>
      <c r="P648" s="5">
        <v>8884203</v>
      </c>
      <c r="Q648" s="5" t="s">
        <v>6080</v>
      </c>
      <c r="R648" s="5" t="s">
        <v>5712</v>
      </c>
      <c r="S648" s="5" t="s">
        <v>234</v>
      </c>
      <c r="T648" s="5" t="s">
        <v>217</v>
      </c>
      <c r="U648" s="5" t="s">
        <v>2330</v>
      </c>
      <c r="V648" s="5" t="s">
        <v>6081</v>
      </c>
      <c r="W648" s="5" t="s">
        <v>227</v>
      </c>
      <c r="X648" s="5" t="s">
        <v>200</v>
      </c>
      <c r="Y648" s="5" t="s">
        <v>5963</v>
      </c>
      <c r="Z648" s="5" t="s">
        <v>5964</v>
      </c>
      <c r="AA648" s="5" t="s">
        <v>3617</v>
      </c>
      <c r="AB648" s="5" t="s">
        <v>5649</v>
      </c>
      <c r="AC648" s="5" t="s">
        <v>6082</v>
      </c>
      <c r="AD648" s="6">
        <v>46038</v>
      </c>
      <c r="AE648" s="6">
        <v>46266</v>
      </c>
      <c r="AF648" s="5"/>
    </row>
    <row r="649" spans="1:32" ht="60.75" customHeight="1" x14ac:dyDescent="0.3">
      <c r="A649" s="7">
        <v>8877126</v>
      </c>
      <c r="B649" s="7" t="s">
        <v>3508</v>
      </c>
      <c r="C649" s="7" t="s">
        <v>6083</v>
      </c>
      <c r="D649" s="7" t="s">
        <v>198</v>
      </c>
      <c r="E649" s="7" t="s">
        <v>203</v>
      </c>
      <c r="F649" s="7" t="s">
        <v>234</v>
      </c>
      <c r="G649" s="7" t="s">
        <v>217</v>
      </c>
      <c r="H649" s="7" t="s">
        <v>2330</v>
      </c>
      <c r="I649" s="7" t="s">
        <v>2544</v>
      </c>
      <c r="J649" s="7" t="s">
        <v>227</v>
      </c>
      <c r="K649" s="7" t="s">
        <v>200</v>
      </c>
      <c r="L649" s="7" t="s">
        <v>1368</v>
      </c>
      <c r="M649" s="7" t="s">
        <v>1369</v>
      </c>
      <c r="N649" s="7" t="s">
        <v>3729</v>
      </c>
      <c r="O649" s="7" t="s">
        <v>3912</v>
      </c>
      <c r="P649" s="7">
        <v>8885572</v>
      </c>
      <c r="Q649" s="7" t="s">
        <v>6084</v>
      </c>
      <c r="R649" s="7" t="s">
        <v>5712</v>
      </c>
      <c r="S649" s="7" t="s">
        <v>234</v>
      </c>
      <c r="T649" s="7" t="s">
        <v>208</v>
      </c>
      <c r="U649" s="7" t="s">
        <v>207</v>
      </c>
      <c r="V649" s="7" t="s">
        <v>6085</v>
      </c>
      <c r="W649" s="7" t="s">
        <v>227</v>
      </c>
      <c r="X649" s="7" t="s">
        <v>200</v>
      </c>
      <c r="Y649" s="7" t="s">
        <v>5969</v>
      </c>
      <c r="Z649" s="7" t="s">
        <v>5964</v>
      </c>
      <c r="AA649" s="7" t="s">
        <v>3617</v>
      </c>
      <c r="AB649" s="7" t="s">
        <v>5649</v>
      </c>
      <c r="AC649" s="7" t="s">
        <v>6086</v>
      </c>
      <c r="AD649" s="8">
        <v>46049</v>
      </c>
      <c r="AE649" s="7"/>
      <c r="AF649" s="7"/>
    </row>
    <row r="650" spans="1:32" ht="71.25" customHeight="1" x14ac:dyDescent="0.3">
      <c r="A650" s="5">
        <v>8876703</v>
      </c>
      <c r="B650" s="5" t="s">
        <v>3472</v>
      </c>
      <c r="C650" s="5" t="s">
        <v>6087</v>
      </c>
      <c r="D650" s="5" t="s">
        <v>3373</v>
      </c>
      <c r="E650" s="5" t="s">
        <v>203</v>
      </c>
      <c r="F650" s="5" t="s">
        <v>234</v>
      </c>
      <c r="G650" s="5" t="s">
        <v>217</v>
      </c>
      <c r="H650" s="5" t="s">
        <v>2330</v>
      </c>
      <c r="I650" s="5" t="s">
        <v>3473</v>
      </c>
      <c r="J650" s="5" t="s">
        <v>227</v>
      </c>
      <c r="K650" s="5" t="s">
        <v>200</v>
      </c>
      <c r="L650" s="5" t="s">
        <v>3474</v>
      </c>
      <c r="M650" s="5" t="s">
        <v>3475</v>
      </c>
      <c r="N650" s="5" t="s">
        <v>3729</v>
      </c>
      <c r="O650" s="5" t="s">
        <v>3627</v>
      </c>
      <c r="P650" s="5">
        <v>8885701</v>
      </c>
      <c r="Q650" s="5" t="s">
        <v>6088</v>
      </c>
      <c r="R650" s="5" t="s">
        <v>5712</v>
      </c>
      <c r="S650" s="5" t="s">
        <v>234</v>
      </c>
      <c r="T650" s="5" t="s">
        <v>217</v>
      </c>
      <c r="U650" s="5" t="s">
        <v>2330</v>
      </c>
      <c r="V650" s="5" t="s">
        <v>6089</v>
      </c>
      <c r="W650" s="5" t="s">
        <v>227</v>
      </c>
      <c r="X650" s="5" t="s">
        <v>200</v>
      </c>
      <c r="Y650" s="5" t="s">
        <v>5969</v>
      </c>
      <c r="Z650" s="5" t="s">
        <v>5964</v>
      </c>
      <c r="AA650" s="5" t="s">
        <v>3617</v>
      </c>
      <c r="AB650" s="5" t="s">
        <v>5649</v>
      </c>
      <c r="AC650" s="5" t="s">
        <v>6090</v>
      </c>
      <c r="AD650" s="6">
        <v>46049</v>
      </c>
      <c r="AE650" s="6">
        <v>46387</v>
      </c>
      <c r="AF650" s="5"/>
    </row>
    <row r="651" spans="1:32" ht="81" customHeight="1" x14ac:dyDescent="0.3">
      <c r="A651" s="7">
        <v>8877127</v>
      </c>
      <c r="B651" s="7" t="s">
        <v>3506</v>
      </c>
      <c r="C651" s="7" t="s">
        <v>6091</v>
      </c>
      <c r="D651" s="7" t="s">
        <v>3373</v>
      </c>
      <c r="E651" s="7" t="s">
        <v>203</v>
      </c>
      <c r="F651" s="7" t="s">
        <v>234</v>
      </c>
      <c r="G651" s="7" t="s">
        <v>208</v>
      </c>
      <c r="H651" s="7" t="s">
        <v>2330</v>
      </c>
      <c r="I651" s="7" t="s">
        <v>3507</v>
      </c>
      <c r="J651" s="7" t="s">
        <v>227</v>
      </c>
      <c r="K651" s="7" t="s">
        <v>200</v>
      </c>
      <c r="L651" s="7" t="s">
        <v>3310</v>
      </c>
      <c r="M651" s="7" t="s">
        <v>1328</v>
      </c>
      <c r="N651" s="7" t="s">
        <v>3729</v>
      </c>
      <c r="O651" s="7" t="s">
        <v>3894</v>
      </c>
      <c r="P651" s="7">
        <v>8885763</v>
      </c>
      <c r="Q651" s="7" t="s">
        <v>6092</v>
      </c>
      <c r="R651" s="7" t="s">
        <v>5712</v>
      </c>
      <c r="S651" s="7" t="s">
        <v>234</v>
      </c>
      <c r="T651" s="7" t="s">
        <v>217</v>
      </c>
      <c r="U651" s="7" t="s">
        <v>2330</v>
      </c>
      <c r="V651" s="7" t="s">
        <v>6093</v>
      </c>
      <c r="W651" s="7" t="s">
        <v>227</v>
      </c>
      <c r="X651" s="7" t="s">
        <v>200</v>
      </c>
      <c r="Y651" s="7" t="s">
        <v>5969</v>
      </c>
      <c r="Z651" s="7" t="s">
        <v>5964</v>
      </c>
      <c r="AA651" s="7" t="s">
        <v>3617</v>
      </c>
      <c r="AB651" s="7" t="s">
        <v>5649</v>
      </c>
      <c r="AC651" s="7" t="s">
        <v>6094</v>
      </c>
      <c r="AD651" s="8">
        <v>46049</v>
      </c>
      <c r="AE651" s="8">
        <v>46356</v>
      </c>
      <c r="AF651" s="7"/>
    </row>
    <row r="652" spans="1:32" ht="81" customHeight="1" x14ac:dyDescent="0.3">
      <c r="A652" s="5">
        <v>8877584</v>
      </c>
      <c r="B652" s="5" t="s">
        <v>3521</v>
      </c>
      <c r="C652" s="5" t="s">
        <v>6095</v>
      </c>
      <c r="D652" s="5" t="s">
        <v>3373</v>
      </c>
      <c r="E652" s="5" t="s">
        <v>203</v>
      </c>
      <c r="F652" s="5" t="s">
        <v>234</v>
      </c>
      <c r="G652" s="5" t="s">
        <v>217</v>
      </c>
      <c r="H652" s="5" t="s">
        <v>2330</v>
      </c>
      <c r="I652" s="5" t="s">
        <v>3522</v>
      </c>
      <c r="J652" s="5" t="s">
        <v>227</v>
      </c>
      <c r="K652" s="5" t="s">
        <v>200</v>
      </c>
      <c r="L652" s="5" t="s">
        <v>3523</v>
      </c>
      <c r="M652" s="5" t="s">
        <v>1369</v>
      </c>
      <c r="N652" s="5" t="s">
        <v>3729</v>
      </c>
      <c r="O652" s="5" t="s">
        <v>3912</v>
      </c>
      <c r="P652" s="5">
        <v>8885584</v>
      </c>
      <c r="Q652" s="5" t="s">
        <v>6096</v>
      </c>
      <c r="R652" s="5" t="s">
        <v>5712</v>
      </c>
      <c r="S652" s="5" t="s">
        <v>234</v>
      </c>
      <c r="T652" s="5" t="s">
        <v>217</v>
      </c>
      <c r="U652" s="5" t="s">
        <v>2330</v>
      </c>
      <c r="V652" s="5" t="s">
        <v>6097</v>
      </c>
      <c r="W652" s="5" t="s">
        <v>227</v>
      </c>
      <c r="X652" s="5" t="s">
        <v>200</v>
      </c>
      <c r="Y652" s="5" t="s">
        <v>5969</v>
      </c>
      <c r="Z652" s="5" t="s">
        <v>5964</v>
      </c>
      <c r="AA652" s="5" t="s">
        <v>3617</v>
      </c>
      <c r="AB652" s="5" t="s">
        <v>5649</v>
      </c>
      <c r="AC652" s="5" t="s">
        <v>6098</v>
      </c>
      <c r="AD652" s="6">
        <v>46051</v>
      </c>
      <c r="AE652" s="6">
        <v>46356</v>
      </c>
      <c r="AF652" s="5"/>
    </row>
    <row r="653" spans="1:32" ht="30" customHeight="1" x14ac:dyDescent="0.3">
      <c r="A653" s="7">
        <v>8875371</v>
      </c>
      <c r="B653" s="7" t="s">
        <v>3444</v>
      </c>
      <c r="C653" s="7"/>
      <c r="D653" s="7" t="s">
        <v>198</v>
      </c>
      <c r="E653" s="7" t="s">
        <v>203</v>
      </c>
      <c r="F653" s="7" t="s">
        <v>234</v>
      </c>
      <c r="G653" s="7" t="s">
        <v>208</v>
      </c>
      <c r="H653" s="7" t="s">
        <v>2330</v>
      </c>
      <c r="I653" s="7" t="s">
        <v>3445</v>
      </c>
      <c r="J653" s="7" t="s">
        <v>227</v>
      </c>
      <c r="K653" s="7" t="s">
        <v>200</v>
      </c>
      <c r="L653" s="7" t="s">
        <v>3446</v>
      </c>
      <c r="M653" s="7" t="s">
        <v>1328</v>
      </c>
      <c r="N653" s="7" t="s">
        <v>3729</v>
      </c>
      <c r="O653" s="7" t="s">
        <v>3894</v>
      </c>
      <c r="P653" s="7">
        <v>8884323</v>
      </c>
      <c r="Q653" s="7" t="s">
        <v>6099</v>
      </c>
      <c r="R653" s="7" t="s">
        <v>5712</v>
      </c>
      <c r="S653" s="7" t="s">
        <v>234</v>
      </c>
      <c r="T653" s="7" t="s">
        <v>217</v>
      </c>
      <c r="U653" s="7" t="s">
        <v>2330</v>
      </c>
      <c r="V653" s="7" t="s">
        <v>6100</v>
      </c>
      <c r="W653" s="7" t="s">
        <v>227</v>
      </c>
      <c r="X653" s="7" t="s">
        <v>200</v>
      </c>
      <c r="Y653" s="7" t="s">
        <v>5963</v>
      </c>
      <c r="Z653" s="7" t="s">
        <v>5964</v>
      </c>
      <c r="AA653" s="7" t="s">
        <v>3617</v>
      </c>
      <c r="AB653" s="7" t="s">
        <v>5649</v>
      </c>
      <c r="AC653" s="7" t="s">
        <v>6101</v>
      </c>
      <c r="AD653" s="8">
        <v>46048</v>
      </c>
      <c r="AE653" s="8">
        <v>46295</v>
      </c>
      <c r="AF653" s="7"/>
    </row>
    <row r="654" spans="1:32" ht="336" customHeight="1" x14ac:dyDescent="0.3">
      <c r="A654" s="5">
        <v>8877793</v>
      </c>
      <c r="B654" s="5" t="s">
        <v>3532</v>
      </c>
      <c r="C654" s="5" t="s">
        <v>6102</v>
      </c>
      <c r="D654" s="5" t="s">
        <v>3373</v>
      </c>
      <c r="E654" s="5" t="s">
        <v>203</v>
      </c>
      <c r="F654" s="5" t="s">
        <v>418</v>
      </c>
      <c r="G654" s="5" t="s">
        <v>208</v>
      </c>
      <c r="H654" s="5" t="s">
        <v>2330</v>
      </c>
      <c r="I654" s="5" t="s">
        <v>3533</v>
      </c>
      <c r="J654" s="5" t="s">
        <v>227</v>
      </c>
      <c r="K654" s="5" t="s">
        <v>200</v>
      </c>
      <c r="L654" s="5" t="s">
        <v>3534</v>
      </c>
      <c r="M654" s="5" t="s">
        <v>1031</v>
      </c>
      <c r="N654" s="5" t="s">
        <v>3729</v>
      </c>
      <c r="O654" s="5" t="s">
        <v>3627</v>
      </c>
      <c r="P654" s="5">
        <v>8884214</v>
      </c>
      <c r="Q654" s="5" t="s">
        <v>6103</v>
      </c>
      <c r="R654" s="5" t="s">
        <v>5712</v>
      </c>
      <c r="S654" s="5" t="s">
        <v>234</v>
      </c>
      <c r="T654" s="5" t="s">
        <v>217</v>
      </c>
      <c r="U654" s="5" t="s">
        <v>207</v>
      </c>
      <c r="V654" s="5" t="s">
        <v>6104</v>
      </c>
      <c r="W654" s="5" t="s">
        <v>227</v>
      </c>
      <c r="X654" s="5" t="s">
        <v>200</v>
      </c>
      <c r="Y654" s="5" t="s">
        <v>5963</v>
      </c>
      <c r="Z654" s="5" t="s">
        <v>5964</v>
      </c>
      <c r="AA654" s="5" t="s">
        <v>3617</v>
      </c>
      <c r="AB654" s="5" t="s">
        <v>5649</v>
      </c>
      <c r="AC654" s="5" t="s">
        <v>6105</v>
      </c>
      <c r="AD654" s="6">
        <v>46049</v>
      </c>
      <c r="AE654" s="6">
        <v>46326</v>
      </c>
      <c r="AF654" s="5"/>
    </row>
    <row r="655" spans="1:32" ht="71.25" customHeight="1" x14ac:dyDescent="0.3">
      <c r="A655" s="7">
        <v>8877127</v>
      </c>
      <c r="B655" s="7" t="s">
        <v>3506</v>
      </c>
      <c r="C655" s="7"/>
      <c r="D655" s="7" t="s">
        <v>3373</v>
      </c>
      <c r="E655" s="7" t="s">
        <v>203</v>
      </c>
      <c r="F655" s="7" t="s">
        <v>234</v>
      </c>
      <c r="G655" s="7" t="s">
        <v>208</v>
      </c>
      <c r="H655" s="7" t="s">
        <v>2330</v>
      </c>
      <c r="I655" s="7" t="s">
        <v>3507</v>
      </c>
      <c r="J655" s="7" t="s">
        <v>227</v>
      </c>
      <c r="K655" s="7" t="s">
        <v>200</v>
      </c>
      <c r="L655" s="7" t="s">
        <v>3310</v>
      </c>
      <c r="M655" s="7" t="s">
        <v>1328</v>
      </c>
      <c r="N655" s="7" t="s">
        <v>3729</v>
      </c>
      <c r="O655" s="7" t="s">
        <v>3894</v>
      </c>
      <c r="P655" s="7">
        <v>8884136</v>
      </c>
      <c r="Q655" s="7" t="s">
        <v>56</v>
      </c>
      <c r="R655" s="7" t="s">
        <v>5712</v>
      </c>
      <c r="S655" s="7" t="s">
        <v>234</v>
      </c>
      <c r="T655" s="7" t="s">
        <v>217</v>
      </c>
      <c r="U655" s="7" t="s">
        <v>2330</v>
      </c>
      <c r="V655" s="7" t="s">
        <v>6106</v>
      </c>
      <c r="W655" s="7" t="s">
        <v>227</v>
      </c>
      <c r="X655" s="7" t="s">
        <v>200</v>
      </c>
      <c r="Y655" s="7" t="s">
        <v>5963</v>
      </c>
      <c r="Z655" s="7" t="s">
        <v>5964</v>
      </c>
      <c r="AA655" s="7" t="s">
        <v>3617</v>
      </c>
      <c r="AB655" s="7" t="s">
        <v>5649</v>
      </c>
      <c r="AC655" s="7" t="s">
        <v>6107</v>
      </c>
      <c r="AD655" s="8">
        <v>46048</v>
      </c>
      <c r="AE655" s="8">
        <v>46296</v>
      </c>
      <c r="AF655" s="7" t="s">
        <v>3641</v>
      </c>
    </row>
    <row r="656" spans="1:32" ht="51" customHeight="1" x14ac:dyDescent="0.3">
      <c r="A656" s="5">
        <v>8877127</v>
      </c>
      <c r="B656" s="5" t="s">
        <v>3506</v>
      </c>
      <c r="C656" s="5" t="s">
        <v>6108</v>
      </c>
      <c r="D656" s="5" t="s">
        <v>3373</v>
      </c>
      <c r="E656" s="5" t="s">
        <v>203</v>
      </c>
      <c r="F656" s="5" t="s">
        <v>234</v>
      </c>
      <c r="G656" s="5" t="s">
        <v>208</v>
      </c>
      <c r="H656" s="5" t="s">
        <v>2330</v>
      </c>
      <c r="I656" s="5" t="s">
        <v>3507</v>
      </c>
      <c r="J656" s="5" t="s">
        <v>227</v>
      </c>
      <c r="K656" s="5" t="s">
        <v>200</v>
      </c>
      <c r="L656" s="5" t="s">
        <v>3310</v>
      </c>
      <c r="M656" s="5" t="s">
        <v>1328</v>
      </c>
      <c r="N656" s="5" t="s">
        <v>3729</v>
      </c>
      <c r="O656" s="5" t="s">
        <v>3894</v>
      </c>
      <c r="P656" s="5">
        <v>8884135</v>
      </c>
      <c r="Q656" s="5" t="s">
        <v>6109</v>
      </c>
      <c r="R656" s="5" t="s">
        <v>5712</v>
      </c>
      <c r="S656" s="5" t="s">
        <v>234</v>
      </c>
      <c r="T656" s="5" t="s">
        <v>208</v>
      </c>
      <c r="U656" s="5" t="s">
        <v>2330</v>
      </c>
      <c r="V656" s="5" t="s">
        <v>6110</v>
      </c>
      <c r="W656" s="5" t="s">
        <v>227</v>
      </c>
      <c r="X656" s="5" t="s">
        <v>200</v>
      </c>
      <c r="Y656" s="5" t="s">
        <v>5963</v>
      </c>
      <c r="Z656" s="5" t="s">
        <v>5964</v>
      </c>
      <c r="AA656" s="5" t="s">
        <v>3617</v>
      </c>
      <c r="AB656" s="5" t="s">
        <v>5649</v>
      </c>
      <c r="AC656" s="5" t="s">
        <v>6111</v>
      </c>
      <c r="AD656" s="6">
        <v>46049</v>
      </c>
      <c r="AE656" s="6">
        <v>46326</v>
      </c>
      <c r="AF656" s="5"/>
    </row>
    <row r="657" spans="1:32" ht="30" customHeight="1" x14ac:dyDescent="0.3">
      <c r="A657" s="7">
        <v>8874853</v>
      </c>
      <c r="B657" s="7" t="s">
        <v>3437</v>
      </c>
      <c r="C657" s="7"/>
      <c r="D657" s="7" t="s">
        <v>3373</v>
      </c>
      <c r="E657" s="7" t="s">
        <v>203</v>
      </c>
      <c r="F657" s="7" t="s">
        <v>234</v>
      </c>
      <c r="G657" s="7" t="s">
        <v>208</v>
      </c>
      <c r="H657" s="7" t="s">
        <v>2330</v>
      </c>
      <c r="I657" s="7" t="s">
        <v>3438</v>
      </c>
      <c r="J657" s="7" t="s">
        <v>227</v>
      </c>
      <c r="K657" s="7" t="s">
        <v>200</v>
      </c>
      <c r="L657" s="7" t="s">
        <v>3439</v>
      </c>
      <c r="M657" s="7" t="s">
        <v>1328</v>
      </c>
      <c r="N657" s="7" t="s">
        <v>3729</v>
      </c>
      <c r="O657" s="7" t="s">
        <v>3894</v>
      </c>
      <c r="P657" s="7">
        <v>8884131</v>
      </c>
      <c r="Q657" s="7" t="s">
        <v>6112</v>
      </c>
      <c r="R657" s="7" t="s">
        <v>5712</v>
      </c>
      <c r="S657" s="7" t="s">
        <v>234</v>
      </c>
      <c r="T657" s="7" t="s">
        <v>217</v>
      </c>
      <c r="U657" s="7" t="s">
        <v>207</v>
      </c>
      <c r="V657" s="7" t="s">
        <v>6113</v>
      </c>
      <c r="W657" s="7" t="s">
        <v>227</v>
      </c>
      <c r="X657" s="7" t="s">
        <v>200</v>
      </c>
      <c r="Y657" s="7" t="s">
        <v>5963</v>
      </c>
      <c r="Z657" s="7" t="s">
        <v>5964</v>
      </c>
      <c r="AA657" s="7" t="s">
        <v>3617</v>
      </c>
      <c r="AB657" s="7" t="s">
        <v>5649</v>
      </c>
      <c r="AC657" s="7" t="s">
        <v>6114</v>
      </c>
      <c r="AD657" s="8">
        <v>46049</v>
      </c>
      <c r="AE657" s="7"/>
      <c r="AF657" s="7"/>
    </row>
    <row r="658" spans="1:32" ht="111.75" customHeight="1" x14ac:dyDescent="0.3">
      <c r="A658" s="5">
        <v>5597900</v>
      </c>
      <c r="B658" s="5" t="s">
        <v>3306</v>
      </c>
      <c r="C658" s="5" t="s">
        <v>6115</v>
      </c>
      <c r="D658" s="5" t="s">
        <v>862</v>
      </c>
      <c r="E658" s="5" t="s">
        <v>203</v>
      </c>
      <c r="F658" s="5" t="s">
        <v>234</v>
      </c>
      <c r="G658" s="5" t="s">
        <v>208</v>
      </c>
      <c r="H658" s="5" t="s">
        <v>207</v>
      </c>
      <c r="I658" s="5" t="s">
        <v>3211</v>
      </c>
      <c r="J658" s="5" t="s">
        <v>227</v>
      </c>
      <c r="K658" s="5" t="s">
        <v>200</v>
      </c>
      <c r="L658" s="5" t="s">
        <v>1057</v>
      </c>
      <c r="M658" s="5" t="s">
        <v>1445</v>
      </c>
      <c r="N658" s="5" t="s">
        <v>3612</v>
      </c>
      <c r="O658" s="5" t="s">
        <v>3705</v>
      </c>
      <c r="P658" s="5">
        <v>3806111</v>
      </c>
      <c r="Q658" s="5" t="s">
        <v>6116</v>
      </c>
      <c r="R658" s="5" t="s">
        <v>203</v>
      </c>
      <c r="S658" s="5" t="s">
        <v>234</v>
      </c>
      <c r="T658" s="5" t="s">
        <v>208</v>
      </c>
      <c r="U658" s="5" t="s">
        <v>207</v>
      </c>
      <c r="V658" s="5" t="s">
        <v>6117</v>
      </c>
      <c r="W658" s="5" t="s">
        <v>227</v>
      </c>
      <c r="X658" s="5" t="s">
        <v>200</v>
      </c>
      <c r="Y658" s="5" t="s">
        <v>6118</v>
      </c>
      <c r="Z658" s="5" t="s">
        <v>1319</v>
      </c>
      <c r="AA658" s="5" t="s">
        <v>3608</v>
      </c>
      <c r="AB658" s="5" t="s">
        <v>3763</v>
      </c>
      <c r="AC658" s="5" t="s">
        <v>6119</v>
      </c>
      <c r="AD658" s="6">
        <v>46056</v>
      </c>
      <c r="AE658" s="6">
        <v>46353</v>
      </c>
      <c r="AF658" s="5"/>
    </row>
    <row r="659" spans="1:32" ht="51" customHeight="1" x14ac:dyDescent="0.3">
      <c r="A659" s="7">
        <v>8876925</v>
      </c>
      <c r="B659" s="7" t="s">
        <v>3486</v>
      </c>
      <c r="C659" s="7" t="s">
        <v>6120</v>
      </c>
      <c r="D659" s="7" t="s">
        <v>3373</v>
      </c>
      <c r="E659" s="7" t="s">
        <v>203</v>
      </c>
      <c r="F659" s="7" t="s">
        <v>234</v>
      </c>
      <c r="G659" s="7" t="s">
        <v>217</v>
      </c>
      <c r="H659" s="7" t="s">
        <v>2330</v>
      </c>
      <c r="I659" s="7" t="s">
        <v>3487</v>
      </c>
      <c r="J659" s="7" t="s">
        <v>227</v>
      </c>
      <c r="K659" s="7" t="s">
        <v>200</v>
      </c>
      <c r="L659" s="7" t="s">
        <v>3488</v>
      </c>
      <c r="M659" s="7" t="s">
        <v>2708</v>
      </c>
      <c r="N659" s="7" t="s">
        <v>3729</v>
      </c>
      <c r="O659" s="7" t="s">
        <v>3741</v>
      </c>
      <c r="P659" s="7">
        <v>8885781</v>
      </c>
      <c r="Q659" s="7" t="s">
        <v>6121</v>
      </c>
      <c r="R659" s="7" t="s">
        <v>5712</v>
      </c>
      <c r="S659" s="7" t="s">
        <v>234</v>
      </c>
      <c r="T659" s="7" t="s">
        <v>217</v>
      </c>
      <c r="U659" s="7" t="s">
        <v>2330</v>
      </c>
      <c r="V659" s="7" t="s">
        <v>6122</v>
      </c>
      <c r="W659" s="7" t="s">
        <v>227</v>
      </c>
      <c r="X659" s="7" t="s">
        <v>200</v>
      </c>
      <c r="Y659" s="7" t="s">
        <v>5969</v>
      </c>
      <c r="Z659" s="7" t="s">
        <v>5964</v>
      </c>
      <c r="AA659" s="7" t="s">
        <v>3617</v>
      </c>
      <c r="AB659" s="7" t="s">
        <v>5649</v>
      </c>
      <c r="AC659" s="7" t="s">
        <v>6123</v>
      </c>
      <c r="AD659" s="8">
        <v>46049</v>
      </c>
      <c r="AE659" s="8">
        <v>46356</v>
      </c>
      <c r="AF659" s="7"/>
    </row>
    <row r="660" spans="1:32" ht="142.5" customHeight="1" x14ac:dyDescent="0.3">
      <c r="A660" s="5">
        <v>8870688</v>
      </c>
      <c r="B660" s="5" t="s">
        <v>3376</v>
      </c>
      <c r="C660" s="5" t="s">
        <v>6124</v>
      </c>
      <c r="D660" s="5" t="s">
        <v>3373</v>
      </c>
      <c r="E660" s="5" t="s">
        <v>203</v>
      </c>
      <c r="F660" s="5" t="s">
        <v>234</v>
      </c>
      <c r="G660" s="5" t="s">
        <v>217</v>
      </c>
      <c r="H660" s="5" t="s">
        <v>2330</v>
      </c>
      <c r="I660" s="5" t="s">
        <v>3377</v>
      </c>
      <c r="J660" s="5" t="s">
        <v>227</v>
      </c>
      <c r="K660" s="5" t="s">
        <v>200</v>
      </c>
      <c r="L660" s="5" t="s">
        <v>3378</v>
      </c>
      <c r="M660" s="5" t="s">
        <v>1328</v>
      </c>
      <c r="N660" s="5" t="s">
        <v>3732</v>
      </c>
      <c r="O660" s="5" t="s">
        <v>3894</v>
      </c>
      <c r="P660" s="5">
        <v>8884416</v>
      </c>
      <c r="Q660" s="5" t="s">
        <v>6125</v>
      </c>
      <c r="R660" s="5" t="s">
        <v>5712</v>
      </c>
      <c r="S660" s="5" t="s">
        <v>234</v>
      </c>
      <c r="T660" s="5" t="s">
        <v>208</v>
      </c>
      <c r="U660" s="5" t="s">
        <v>2330</v>
      </c>
      <c r="V660" s="5" t="s">
        <v>5988</v>
      </c>
      <c r="W660" s="5" t="s">
        <v>227</v>
      </c>
      <c r="X660" s="5" t="s">
        <v>200</v>
      </c>
      <c r="Y660" s="5" t="s">
        <v>5963</v>
      </c>
      <c r="Z660" s="5" t="s">
        <v>5964</v>
      </c>
      <c r="AA660" s="5" t="s">
        <v>3617</v>
      </c>
      <c r="AB660" s="5" t="s">
        <v>5649</v>
      </c>
      <c r="AC660" s="5" t="s">
        <v>6126</v>
      </c>
      <c r="AD660" s="6">
        <v>46049</v>
      </c>
      <c r="AE660" s="6">
        <v>46326</v>
      </c>
      <c r="AF660" s="5"/>
    </row>
    <row r="661" spans="1:32" ht="71.25" customHeight="1" x14ac:dyDescent="0.3">
      <c r="A661" s="7">
        <v>8870860</v>
      </c>
      <c r="B661" s="7" t="s">
        <v>3400</v>
      </c>
      <c r="C661" s="7" t="s">
        <v>6127</v>
      </c>
      <c r="D661" s="7" t="s">
        <v>3373</v>
      </c>
      <c r="E661" s="7" t="s">
        <v>203</v>
      </c>
      <c r="F661" s="7" t="s">
        <v>234</v>
      </c>
      <c r="G661" s="7" t="s">
        <v>208</v>
      </c>
      <c r="H661" s="7" t="s">
        <v>2330</v>
      </c>
      <c r="I661" s="7" t="s">
        <v>3401</v>
      </c>
      <c r="J661" s="7" t="s">
        <v>227</v>
      </c>
      <c r="K661" s="7" t="s">
        <v>200</v>
      </c>
      <c r="L661" s="7" t="s">
        <v>3402</v>
      </c>
      <c r="M661" s="7" t="s">
        <v>283</v>
      </c>
      <c r="N661" s="7" t="s">
        <v>3732</v>
      </c>
      <c r="O661" s="7" t="s">
        <v>3646</v>
      </c>
      <c r="P661" s="7">
        <v>8885569</v>
      </c>
      <c r="Q661" s="7" t="s">
        <v>6128</v>
      </c>
      <c r="R661" s="7" t="s">
        <v>5712</v>
      </c>
      <c r="S661" s="7" t="s">
        <v>234</v>
      </c>
      <c r="T661" s="7" t="s">
        <v>217</v>
      </c>
      <c r="U661" s="7" t="s">
        <v>2330</v>
      </c>
      <c r="V661" s="7" t="s">
        <v>6129</v>
      </c>
      <c r="W661" s="7" t="s">
        <v>227</v>
      </c>
      <c r="X661" s="7" t="s">
        <v>200</v>
      </c>
      <c r="Y661" s="7" t="s">
        <v>5969</v>
      </c>
      <c r="Z661" s="7" t="s">
        <v>5964</v>
      </c>
      <c r="AA661" s="7" t="s">
        <v>3617</v>
      </c>
      <c r="AB661" s="7" t="s">
        <v>5649</v>
      </c>
      <c r="AC661" s="7" t="s">
        <v>6130</v>
      </c>
      <c r="AD661" s="8">
        <v>46049</v>
      </c>
      <c r="AE661" s="8">
        <v>46356</v>
      </c>
      <c r="AF661" s="7"/>
    </row>
    <row r="662" spans="1:32" ht="71.25" customHeight="1" x14ac:dyDescent="0.3">
      <c r="A662" s="5">
        <v>8877693</v>
      </c>
      <c r="B662" s="5" t="s">
        <v>3531</v>
      </c>
      <c r="C662" s="5" t="s">
        <v>6131</v>
      </c>
      <c r="D662" s="5" t="s">
        <v>3373</v>
      </c>
      <c r="E662" s="5" t="s">
        <v>203</v>
      </c>
      <c r="F662" s="5" t="s">
        <v>234</v>
      </c>
      <c r="G662" s="5" t="s">
        <v>208</v>
      </c>
      <c r="H662" s="5" t="s">
        <v>2330</v>
      </c>
      <c r="I662" s="5" t="s">
        <v>3438</v>
      </c>
      <c r="J662" s="5" t="s">
        <v>227</v>
      </c>
      <c r="K662" s="5" t="s">
        <v>200</v>
      </c>
      <c r="L662" s="5" t="s">
        <v>3439</v>
      </c>
      <c r="M662" s="5" t="s">
        <v>1328</v>
      </c>
      <c r="N662" s="5" t="s">
        <v>3729</v>
      </c>
      <c r="O662" s="5" t="s">
        <v>3894</v>
      </c>
      <c r="P662" s="5">
        <v>8885680</v>
      </c>
      <c r="Q662" s="5" t="s">
        <v>6132</v>
      </c>
      <c r="R662" s="5" t="s">
        <v>5712</v>
      </c>
      <c r="S662" s="5" t="s">
        <v>234</v>
      </c>
      <c r="T662" s="5" t="s">
        <v>217</v>
      </c>
      <c r="U662" s="5" t="s">
        <v>2330</v>
      </c>
      <c r="V662" s="5" t="s">
        <v>6133</v>
      </c>
      <c r="W662" s="5" t="s">
        <v>227</v>
      </c>
      <c r="X662" s="5" t="s">
        <v>200</v>
      </c>
      <c r="Y662" s="5" t="s">
        <v>5969</v>
      </c>
      <c r="Z662" s="5" t="s">
        <v>5964</v>
      </c>
      <c r="AA662" s="5" t="s">
        <v>3617</v>
      </c>
      <c r="AB662" s="5" t="s">
        <v>5649</v>
      </c>
      <c r="AC662" s="5" t="s">
        <v>6134</v>
      </c>
      <c r="AD662" s="6">
        <v>46050</v>
      </c>
      <c r="AE662" s="6">
        <v>46356</v>
      </c>
      <c r="AF662" s="5"/>
    </row>
    <row r="663" spans="1:32" ht="132" customHeight="1" x14ac:dyDescent="0.3">
      <c r="A663" s="7">
        <v>8876417</v>
      </c>
      <c r="B663" s="7" t="s">
        <v>3468</v>
      </c>
      <c r="C663" s="7" t="s">
        <v>6135</v>
      </c>
      <c r="D663" s="7" t="s">
        <v>3373</v>
      </c>
      <c r="E663" s="7" t="s">
        <v>203</v>
      </c>
      <c r="F663" s="7" t="s">
        <v>418</v>
      </c>
      <c r="G663" s="7" t="s">
        <v>208</v>
      </c>
      <c r="H663" s="7" t="s">
        <v>2330</v>
      </c>
      <c r="I663" s="7" t="s">
        <v>3469</v>
      </c>
      <c r="J663" s="7" t="s">
        <v>227</v>
      </c>
      <c r="K663" s="7" t="s">
        <v>200</v>
      </c>
      <c r="L663" s="7" t="s">
        <v>2704</v>
      </c>
      <c r="M663" s="7" t="s">
        <v>1203</v>
      </c>
      <c r="N663" s="7" t="s">
        <v>3729</v>
      </c>
      <c r="O663" s="7" t="s">
        <v>3743</v>
      </c>
      <c r="P663" s="7">
        <v>8885570</v>
      </c>
      <c r="Q663" s="7" t="s">
        <v>6136</v>
      </c>
      <c r="R663" s="7"/>
      <c r="S663" s="7" t="s">
        <v>234</v>
      </c>
      <c r="T663" s="7" t="s">
        <v>217</v>
      </c>
      <c r="U663" s="7" t="s">
        <v>2330</v>
      </c>
      <c r="V663" s="7"/>
      <c r="W663" s="7" t="s">
        <v>227</v>
      </c>
      <c r="X663" s="7"/>
      <c r="Y663" s="7"/>
      <c r="Z663" s="7"/>
      <c r="AA663" s="7" t="s">
        <v>3617</v>
      </c>
      <c r="AB663" s="7"/>
      <c r="AC663" s="7" t="s">
        <v>6137</v>
      </c>
      <c r="AD663" s="8">
        <v>46049</v>
      </c>
      <c r="AE663" s="8">
        <v>46356</v>
      </c>
      <c r="AF663" s="7"/>
    </row>
    <row r="664" spans="1:32" ht="142.5" customHeight="1" x14ac:dyDescent="0.3">
      <c r="A664" s="5">
        <v>8877646</v>
      </c>
      <c r="B664" s="5" t="s">
        <v>3524</v>
      </c>
      <c r="C664" s="5" t="s">
        <v>6138</v>
      </c>
      <c r="D664" s="5" t="s">
        <v>3373</v>
      </c>
      <c r="E664" s="5" t="s">
        <v>203</v>
      </c>
      <c r="F664" s="5" t="s">
        <v>234</v>
      </c>
      <c r="G664" s="5" t="s">
        <v>208</v>
      </c>
      <c r="H664" s="5" t="s">
        <v>2330</v>
      </c>
      <c r="I664" s="5" t="s">
        <v>2457</v>
      </c>
      <c r="J664" s="5" t="s">
        <v>227</v>
      </c>
      <c r="K664" s="5" t="s">
        <v>200</v>
      </c>
      <c r="L664" s="5" t="s">
        <v>2458</v>
      </c>
      <c r="M664" s="5" t="s">
        <v>3525</v>
      </c>
      <c r="N664" s="5" t="s">
        <v>3729</v>
      </c>
      <c r="O664" s="5" t="s">
        <v>3843</v>
      </c>
      <c r="P664" s="5">
        <v>8884129</v>
      </c>
      <c r="Q664" s="5" t="s">
        <v>6139</v>
      </c>
      <c r="R664" s="5" t="s">
        <v>5712</v>
      </c>
      <c r="S664" s="5" t="s">
        <v>234</v>
      </c>
      <c r="T664" s="5" t="s">
        <v>208</v>
      </c>
      <c r="U664" s="5" t="s">
        <v>2330</v>
      </c>
      <c r="V664" s="5" t="s">
        <v>2734</v>
      </c>
      <c r="W664" s="5" t="s">
        <v>227</v>
      </c>
      <c r="X664" s="5" t="s">
        <v>200</v>
      </c>
      <c r="Y664" s="5" t="s">
        <v>5963</v>
      </c>
      <c r="Z664" s="5" t="s">
        <v>5964</v>
      </c>
      <c r="AA664" s="5" t="s">
        <v>3617</v>
      </c>
      <c r="AB664" s="5" t="s">
        <v>5649</v>
      </c>
      <c r="AC664" s="5" t="s">
        <v>6140</v>
      </c>
      <c r="AD664" s="6">
        <v>46049</v>
      </c>
      <c r="AE664" s="6">
        <v>46295</v>
      </c>
      <c r="AF664" s="5"/>
    </row>
    <row r="665" spans="1:32" ht="71.25" customHeight="1" x14ac:dyDescent="0.3">
      <c r="A665" s="7">
        <v>8877127</v>
      </c>
      <c r="B665" s="7" t="s">
        <v>3506</v>
      </c>
      <c r="C665" s="7" t="s">
        <v>6141</v>
      </c>
      <c r="D665" s="7" t="s">
        <v>3373</v>
      </c>
      <c r="E665" s="7" t="s">
        <v>203</v>
      </c>
      <c r="F665" s="7" t="s">
        <v>234</v>
      </c>
      <c r="G665" s="7" t="s">
        <v>208</v>
      </c>
      <c r="H665" s="7" t="s">
        <v>2330</v>
      </c>
      <c r="I665" s="7" t="s">
        <v>3507</v>
      </c>
      <c r="J665" s="7" t="s">
        <v>227</v>
      </c>
      <c r="K665" s="7" t="s">
        <v>200</v>
      </c>
      <c r="L665" s="7" t="s">
        <v>3310</v>
      </c>
      <c r="M665" s="7" t="s">
        <v>1328</v>
      </c>
      <c r="N665" s="7" t="s">
        <v>3729</v>
      </c>
      <c r="O665" s="7" t="s">
        <v>3894</v>
      </c>
      <c r="P665" s="7">
        <v>8884218</v>
      </c>
      <c r="Q665" s="7" t="s">
        <v>6142</v>
      </c>
      <c r="R665" s="7" t="s">
        <v>5712</v>
      </c>
      <c r="S665" s="7" t="s">
        <v>234</v>
      </c>
      <c r="T665" s="7" t="s">
        <v>208</v>
      </c>
      <c r="U665" s="7" t="s">
        <v>207</v>
      </c>
      <c r="V665" s="7" t="s">
        <v>6143</v>
      </c>
      <c r="W665" s="7" t="s">
        <v>227</v>
      </c>
      <c r="X665" s="7" t="s">
        <v>200</v>
      </c>
      <c r="Y665" s="7" t="s">
        <v>5963</v>
      </c>
      <c r="Z665" s="7" t="s">
        <v>5964</v>
      </c>
      <c r="AA665" s="7" t="s">
        <v>3617</v>
      </c>
      <c r="AB665" s="7" t="s">
        <v>5649</v>
      </c>
      <c r="AC665" s="7" t="s">
        <v>6144</v>
      </c>
      <c r="AD665" s="8">
        <v>46049</v>
      </c>
      <c r="AE665" s="8">
        <v>46326</v>
      </c>
      <c r="AF665" s="7" t="s">
        <v>3641</v>
      </c>
    </row>
    <row r="666" spans="1:32" ht="91.5" customHeight="1" x14ac:dyDescent="0.3">
      <c r="A666" s="5">
        <v>8871842</v>
      </c>
      <c r="B666" s="5" t="s">
        <v>3422</v>
      </c>
      <c r="C666" s="5" t="s">
        <v>6145</v>
      </c>
      <c r="D666" s="5" t="s">
        <v>3373</v>
      </c>
      <c r="E666" s="5" t="s">
        <v>203</v>
      </c>
      <c r="F666" s="5" t="s">
        <v>234</v>
      </c>
      <c r="G666" s="5" t="s">
        <v>208</v>
      </c>
      <c r="H666" s="5" t="s">
        <v>2330</v>
      </c>
      <c r="I666" s="5" t="s">
        <v>3423</v>
      </c>
      <c r="J666" s="5" t="s">
        <v>227</v>
      </c>
      <c r="K666" s="5" t="s">
        <v>200</v>
      </c>
      <c r="L666" s="5" t="s">
        <v>1418</v>
      </c>
      <c r="M666" s="5" t="s">
        <v>1328</v>
      </c>
      <c r="N666" s="5" t="s">
        <v>3732</v>
      </c>
      <c r="O666" s="5" t="s">
        <v>3894</v>
      </c>
      <c r="P666" s="5">
        <v>8885890</v>
      </c>
      <c r="Q666" s="5" t="s">
        <v>6146</v>
      </c>
      <c r="R666" s="5" t="s">
        <v>5712</v>
      </c>
      <c r="S666" s="5" t="s">
        <v>234</v>
      </c>
      <c r="T666" s="5" t="s">
        <v>217</v>
      </c>
      <c r="U666" s="5" t="s">
        <v>2330</v>
      </c>
      <c r="V666" s="5" t="s">
        <v>6147</v>
      </c>
      <c r="W666" s="5" t="s">
        <v>227</v>
      </c>
      <c r="X666" s="5" t="s">
        <v>200</v>
      </c>
      <c r="Y666" s="5" t="s">
        <v>5969</v>
      </c>
      <c r="Z666" s="5" t="s">
        <v>5964</v>
      </c>
      <c r="AA666" s="5" t="s">
        <v>3617</v>
      </c>
      <c r="AB666" s="5" t="s">
        <v>5649</v>
      </c>
      <c r="AC666" s="5" t="s">
        <v>6148</v>
      </c>
      <c r="AD666" s="6">
        <v>46049</v>
      </c>
      <c r="AE666" s="6">
        <v>46357</v>
      </c>
      <c r="AF666" s="5"/>
    </row>
    <row r="667" spans="1:32" ht="40.5" customHeight="1" x14ac:dyDescent="0.3">
      <c r="A667" s="7">
        <v>8876892</v>
      </c>
      <c r="B667" s="7" t="s">
        <v>3484</v>
      </c>
      <c r="C667" s="7" t="s">
        <v>6149</v>
      </c>
      <c r="D667" s="7" t="s">
        <v>3373</v>
      </c>
      <c r="E667" s="7" t="s">
        <v>203</v>
      </c>
      <c r="F667" s="7" t="s">
        <v>234</v>
      </c>
      <c r="G667" s="7" t="s">
        <v>208</v>
      </c>
      <c r="H667" s="7" t="s">
        <v>2330</v>
      </c>
      <c r="I667" s="7" t="s">
        <v>3485</v>
      </c>
      <c r="J667" s="7" t="s">
        <v>227</v>
      </c>
      <c r="K667" s="7" t="s">
        <v>200</v>
      </c>
      <c r="L667" s="7" t="s">
        <v>3399</v>
      </c>
      <c r="M667" s="7" t="s">
        <v>1328</v>
      </c>
      <c r="N667" s="7" t="s">
        <v>3729</v>
      </c>
      <c r="O667" s="7" t="s">
        <v>3894</v>
      </c>
      <c r="P667" s="7">
        <v>8885551</v>
      </c>
      <c r="Q667" s="7" t="s">
        <v>6150</v>
      </c>
      <c r="R667" s="7" t="s">
        <v>5712</v>
      </c>
      <c r="S667" s="7" t="s">
        <v>234</v>
      </c>
      <c r="T667" s="7" t="s">
        <v>217</v>
      </c>
      <c r="U667" s="7" t="s">
        <v>2330</v>
      </c>
      <c r="V667" s="7" t="s">
        <v>6151</v>
      </c>
      <c r="W667" s="7" t="s">
        <v>227</v>
      </c>
      <c r="X667" s="7" t="s">
        <v>200</v>
      </c>
      <c r="Y667" s="7" t="s">
        <v>5969</v>
      </c>
      <c r="Z667" s="7" t="s">
        <v>5964</v>
      </c>
      <c r="AA667" s="7" t="s">
        <v>3617</v>
      </c>
      <c r="AB667" s="7" t="s">
        <v>5649</v>
      </c>
      <c r="AC667" s="7" t="s">
        <v>6152</v>
      </c>
      <c r="AD667" s="8">
        <v>46048</v>
      </c>
      <c r="AE667" s="8">
        <v>46356</v>
      </c>
      <c r="AF667" s="7"/>
    </row>
    <row r="668" spans="1:32" ht="40.5" customHeight="1" x14ac:dyDescent="0.3">
      <c r="A668" s="5">
        <v>8876734</v>
      </c>
      <c r="B668" s="5" t="s">
        <v>3476</v>
      </c>
      <c r="C668" s="5" t="s">
        <v>6153</v>
      </c>
      <c r="D668" s="5" t="s">
        <v>1351</v>
      </c>
      <c r="E668" s="5" t="s">
        <v>203</v>
      </c>
      <c r="F668" s="5" t="s">
        <v>234</v>
      </c>
      <c r="G668" s="5" t="s">
        <v>208</v>
      </c>
      <c r="H668" s="5" t="s">
        <v>2330</v>
      </c>
      <c r="I668" s="5" t="s">
        <v>1572</v>
      </c>
      <c r="J668" s="5" t="s">
        <v>227</v>
      </c>
      <c r="K668" s="5" t="s">
        <v>200</v>
      </c>
      <c r="L668" s="5" t="s">
        <v>1573</v>
      </c>
      <c r="M668" s="5" t="s">
        <v>1328</v>
      </c>
      <c r="N668" s="5" t="s">
        <v>3729</v>
      </c>
      <c r="O668" s="5" t="s">
        <v>3894</v>
      </c>
      <c r="P668" s="5">
        <v>8885588</v>
      </c>
      <c r="Q668" s="5" t="s">
        <v>6154</v>
      </c>
      <c r="R668" s="5" t="s">
        <v>5712</v>
      </c>
      <c r="S668" s="5" t="s">
        <v>234</v>
      </c>
      <c r="T668" s="5" t="s">
        <v>217</v>
      </c>
      <c r="U668" s="5" t="s">
        <v>207</v>
      </c>
      <c r="V668" s="5" t="s">
        <v>6155</v>
      </c>
      <c r="W668" s="5" t="s">
        <v>227</v>
      </c>
      <c r="X668" s="5" t="s">
        <v>200</v>
      </c>
      <c r="Y668" s="5" t="s">
        <v>5969</v>
      </c>
      <c r="Z668" s="5" t="s">
        <v>5964</v>
      </c>
      <c r="AA668" s="5" t="s">
        <v>3617</v>
      </c>
      <c r="AB668" s="5" t="s">
        <v>5649</v>
      </c>
      <c r="AC668" s="5" t="s">
        <v>6156</v>
      </c>
      <c r="AD668" s="6">
        <v>46056</v>
      </c>
      <c r="AE668" s="6">
        <v>46353</v>
      </c>
      <c r="AF668" s="5"/>
    </row>
    <row r="669" spans="1:32" ht="132" customHeight="1" x14ac:dyDescent="0.3">
      <c r="A669" s="7">
        <v>8870735</v>
      </c>
      <c r="B669" s="7" t="s">
        <v>3381</v>
      </c>
      <c r="C669" s="7" t="s">
        <v>6157</v>
      </c>
      <c r="D669" s="7" t="s">
        <v>3373</v>
      </c>
      <c r="E669" s="7" t="s">
        <v>203</v>
      </c>
      <c r="F669" s="7" t="s">
        <v>418</v>
      </c>
      <c r="G669" s="7" t="s">
        <v>208</v>
      </c>
      <c r="H669" s="7" t="s">
        <v>2330</v>
      </c>
      <c r="I669" s="7" t="s">
        <v>3382</v>
      </c>
      <c r="J669" s="7" t="s">
        <v>227</v>
      </c>
      <c r="K669" s="7" t="s">
        <v>200</v>
      </c>
      <c r="L669" s="7" t="s">
        <v>1647</v>
      </c>
      <c r="M669" s="7" t="s">
        <v>1328</v>
      </c>
      <c r="N669" s="7" t="s">
        <v>3732</v>
      </c>
      <c r="O669" s="7" t="s">
        <v>3894</v>
      </c>
      <c r="P669" s="7">
        <v>8884171</v>
      </c>
      <c r="Q669" s="7" t="s">
        <v>6158</v>
      </c>
      <c r="R669" s="7" t="s">
        <v>5712</v>
      </c>
      <c r="S669" s="7" t="s">
        <v>234</v>
      </c>
      <c r="T669" s="7" t="s">
        <v>208</v>
      </c>
      <c r="U669" s="7" t="s">
        <v>2330</v>
      </c>
      <c r="V669" s="7" t="s">
        <v>6159</v>
      </c>
      <c r="W669" s="7" t="s">
        <v>227</v>
      </c>
      <c r="X669" s="7" t="s">
        <v>200</v>
      </c>
      <c r="Y669" s="7" t="s">
        <v>5963</v>
      </c>
      <c r="Z669" s="7" t="s">
        <v>5964</v>
      </c>
      <c r="AA669" s="7" t="s">
        <v>3617</v>
      </c>
      <c r="AB669" s="7" t="s">
        <v>5649</v>
      </c>
      <c r="AC669" s="7" t="s">
        <v>6160</v>
      </c>
      <c r="AD669" s="8">
        <v>46049</v>
      </c>
      <c r="AE669" s="8">
        <v>46295</v>
      </c>
      <c r="AF669" s="7"/>
    </row>
    <row r="670" spans="1:32" ht="173.25" customHeight="1" x14ac:dyDescent="0.3">
      <c r="A670" s="5">
        <v>8877431</v>
      </c>
      <c r="B670" s="5" t="s">
        <v>3518</v>
      </c>
      <c r="C670" s="5" t="s">
        <v>6161</v>
      </c>
      <c r="D670" s="5" t="s">
        <v>3373</v>
      </c>
      <c r="E670" s="5" t="s">
        <v>203</v>
      </c>
      <c r="F670" s="5" t="s">
        <v>234</v>
      </c>
      <c r="G670" s="5" t="s">
        <v>208</v>
      </c>
      <c r="H670" s="5" t="s">
        <v>2330</v>
      </c>
      <c r="I670" s="5" t="s">
        <v>2797</v>
      </c>
      <c r="J670" s="5" t="s">
        <v>227</v>
      </c>
      <c r="K670" s="5" t="s">
        <v>200</v>
      </c>
      <c r="L670" s="5" t="s">
        <v>2798</v>
      </c>
      <c r="M670" s="5" t="s">
        <v>1328</v>
      </c>
      <c r="N670" s="5" t="s">
        <v>3729</v>
      </c>
      <c r="O670" s="5" t="s">
        <v>3894</v>
      </c>
      <c r="P670" s="5">
        <v>8884267</v>
      </c>
      <c r="Q670" s="5" t="s">
        <v>6162</v>
      </c>
      <c r="R670" s="5" t="s">
        <v>5712</v>
      </c>
      <c r="S670" s="5" t="s">
        <v>234</v>
      </c>
      <c r="T670" s="5" t="s">
        <v>217</v>
      </c>
      <c r="U670" s="5" t="s">
        <v>2330</v>
      </c>
      <c r="V670" s="5" t="s">
        <v>6163</v>
      </c>
      <c r="W670" s="5" t="s">
        <v>227</v>
      </c>
      <c r="X670" s="5" t="s">
        <v>200</v>
      </c>
      <c r="Y670" s="5" t="s">
        <v>5963</v>
      </c>
      <c r="Z670" s="5" t="s">
        <v>6164</v>
      </c>
      <c r="AA670" s="5" t="s">
        <v>3617</v>
      </c>
      <c r="AB670" s="5" t="s">
        <v>5649</v>
      </c>
      <c r="AC670" s="5" t="s">
        <v>6165</v>
      </c>
      <c r="AD670" s="6">
        <v>46051</v>
      </c>
      <c r="AE670" s="6">
        <v>46295</v>
      </c>
      <c r="AF670" s="5"/>
    </row>
    <row r="671" spans="1:32" ht="142.5" customHeight="1" x14ac:dyDescent="0.3">
      <c r="A671" s="7">
        <v>8870794</v>
      </c>
      <c r="B671" s="7" t="s">
        <v>3386</v>
      </c>
      <c r="C671" s="7" t="s">
        <v>6166</v>
      </c>
      <c r="D671" s="7" t="s">
        <v>3373</v>
      </c>
      <c r="E671" s="7" t="s">
        <v>203</v>
      </c>
      <c r="F671" s="7" t="s">
        <v>234</v>
      </c>
      <c r="G671" s="7" t="s">
        <v>208</v>
      </c>
      <c r="H671" s="7" t="s">
        <v>2330</v>
      </c>
      <c r="I671" s="7" t="s">
        <v>3387</v>
      </c>
      <c r="J671" s="7" t="s">
        <v>227</v>
      </c>
      <c r="K671" s="7" t="s">
        <v>200</v>
      </c>
      <c r="L671" s="7" t="s">
        <v>3388</v>
      </c>
      <c r="M671" s="7" t="s">
        <v>3389</v>
      </c>
      <c r="N671" s="7" t="s">
        <v>3732</v>
      </c>
      <c r="O671" s="7" t="s">
        <v>3705</v>
      </c>
      <c r="P671" s="7">
        <v>8884128</v>
      </c>
      <c r="Q671" s="7" t="s">
        <v>6167</v>
      </c>
      <c r="R671" s="7" t="s">
        <v>5712</v>
      </c>
      <c r="S671" s="7" t="s">
        <v>234</v>
      </c>
      <c r="T671" s="7" t="s">
        <v>208</v>
      </c>
      <c r="U671" s="7" t="s">
        <v>2330</v>
      </c>
      <c r="V671" s="7" t="s">
        <v>6168</v>
      </c>
      <c r="W671" s="7" t="s">
        <v>227</v>
      </c>
      <c r="X671" s="7" t="s">
        <v>200</v>
      </c>
      <c r="Y671" s="7" t="s">
        <v>5963</v>
      </c>
      <c r="Z671" s="7" t="s">
        <v>5964</v>
      </c>
      <c r="AA671" s="7" t="s">
        <v>3617</v>
      </c>
      <c r="AB671" s="7" t="s">
        <v>5649</v>
      </c>
      <c r="AC671" s="7" t="s">
        <v>6169</v>
      </c>
      <c r="AD671" s="8">
        <v>46048</v>
      </c>
      <c r="AE671" s="8">
        <v>46295</v>
      </c>
      <c r="AF671" s="7"/>
    </row>
    <row r="672" spans="1:32" ht="409.5" customHeight="1" x14ac:dyDescent="0.3">
      <c r="A672" s="5">
        <v>4830601</v>
      </c>
      <c r="B672" s="5" t="s">
        <v>2246</v>
      </c>
      <c r="C672" s="5" t="s">
        <v>6170</v>
      </c>
      <c r="D672" s="5" t="s">
        <v>198</v>
      </c>
      <c r="E672" s="5" t="s">
        <v>203</v>
      </c>
      <c r="F672" s="5" t="s">
        <v>234</v>
      </c>
      <c r="G672" s="5" t="s">
        <v>217</v>
      </c>
      <c r="H672" s="5" t="s">
        <v>245</v>
      </c>
      <c r="I672" s="5" t="s">
        <v>2247</v>
      </c>
      <c r="J672" s="5" t="s">
        <v>227</v>
      </c>
      <c r="K672" s="5" t="s">
        <v>413</v>
      </c>
      <c r="L672" s="5" t="s">
        <v>2248</v>
      </c>
      <c r="M672" s="5" t="s">
        <v>2249</v>
      </c>
      <c r="N672" s="5" t="s">
        <v>3608</v>
      </c>
      <c r="O672" s="5" t="s">
        <v>3702</v>
      </c>
      <c r="P672" s="5">
        <v>8884622</v>
      </c>
      <c r="Q672" s="5" t="s">
        <v>5975</v>
      </c>
      <c r="R672" s="5" t="s">
        <v>5712</v>
      </c>
      <c r="S672" s="5" t="s">
        <v>234</v>
      </c>
      <c r="T672" s="5" t="s">
        <v>217</v>
      </c>
      <c r="U672" s="5" t="s">
        <v>2330</v>
      </c>
      <c r="V672" s="5" t="s">
        <v>5976</v>
      </c>
      <c r="W672" s="5" t="s">
        <v>227</v>
      </c>
      <c r="X672" s="5" t="s">
        <v>413</v>
      </c>
      <c r="Y672" s="5" t="s">
        <v>5714</v>
      </c>
      <c r="Z672" s="5" t="s">
        <v>5715</v>
      </c>
      <c r="AA672" s="5" t="s">
        <v>3617</v>
      </c>
      <c r="AB672" s="5" t="s">
        <v>5649</v>
      </c>
      <c r="AC672" s="5" t="s">
        <v>6171</v>
      </c>
      <c r="AD672" s="6">
        <v>46042</v>
      </c>
      <c r="AE672" s="5"/>
      <c r="AF672" s="5"/>
    </row>
    <row r="673" spans="1:32" ht="153" customHeight="1" x14ac:dyDescent="0.3">
      <c r="A673" s="7">
        <v>8870709</v>
      </c>
      <c r="B673" s="7" t="s">
        <v>3379</v>
      </c>
      <c r="C673" s="7" t="s">
        <v>6172</v>
      </c>
      <c r="D673" s="7" t="s">
        <v>3373</v>
      </c>
      <c r="E673" s="7" t="s">
        <v>203</v>
      </c>
      <c r="F673" s="7" t="s">
        <v>234</v>
      </c>
      <c r="G673" s="7" t="s">
        <v>208</v>
      </c>
      <c r="H673" s="7" t="s">
        <v>2330</v>
      </c>
      <c r="I673" s="7" t="s">
        <v>3380</v>
      </c>
      <c r="J673" s="7" t="s">
        <v>227</v>
      </c>
      <c r="K673" s="7" t="s">
        <v>200</v>
      </c>
      <c r="L673" s="7" t="s">
        <v>2818</v>
      </c>
      <c r="M673" s="7" t="s">
        <v>690</v>
      </c>
      <c r="N673" s="7" t="s">
        <v>3732</v>
      </c>
      <c r="O673" s="7" t="s">
        <v>3824</v>
      </c>
      <c r="P673" s="7">
        <v>8884212</v>
      </c>
      <c r="Q673" s="7" t="s">
        <v>6173</v>
      </c>
      <c r="R673" s="7" t="s">
        <v>5712</v>
      </c>
      <c r="S673" s="7" t="s">
        <v>234</v>
      </c>
      <c r="T673" s="7" t="s">
        <v>208</v>
      </c>
      <c r="U673" s="7" t="s">
        <v>2330</v>
      </c>
      <c r="V673" s="7" t="s">
        <v>6174</v>
      </c>
      <c r="W673" s="7" t="s">
        <v>227</v>
      </c>
      <c r="X673" s="7" t="s">
        <v>200</v>
      </c>
      <c r="Y673" s="7" t="s">
        <v>5963</v>
      </c>
      <c r="Z673" s="7" t="s">
        <v>5964</v>
      </c>
      <c r="AA673" s="7" t="s">
        <v>3617</v>
      </c>
      <c r="AB673" s="7" t="s">
        <v>5649</v>
      </c>
      <c r="AC673" s="7" t="s">
        <v>6175</v>
      </c>
      <c r="AD673" s="8">
        <v>46049</v>
      </c>
      <c r="AE673" s="8">
        <v>46297</v>
      </c>
      <c r="AF673" s="7" t="s">
        <v>3641</v>
      </c>
    </row>
    <row r="674" spans="1:32" ht="40.5" customHeight="1" x14ac:dyDescent="0.3">
      <c r="A674" s="5">
        <v>8870709</v>
      </c>
      <c r="B674" s="5" t="s">
        <v>3379</v>
      </c>
      <c r="C674" s="5"/>
      <c r="D674" s="5" t="s">
        <v>3373</v>
      </c>
      <c r="E674" s="5" t="s">
        <v>203</v>
      </c>
      <c r="F674" s="5" t="s">
        <v>234</v>
      </c>
      <c r="G674" s="5" t="s">
        <v>208</v>
      </c>
      <c r="H674" s="5" t="s">
        <v>2330</v>
      </c>
      <c r="I674" s="5" t="s">
        <v>3380</v>
      </c>
      <c r="J674" s="5" t="s">
        <v>227</v>
      </c>
      <c r="K674" s="5" t="s">
        <v>200</v>
      </c>
      <c r="L674" s="5" t="s">
        <v>2818</v>
      </c>
      <c r="M674" s="5" t="s">
        <v>690</v>
      </c>
      <c r="N674" s="5" t="s">
        <v>3732</v>
      </c>
      <c r="O674" s="5" t="s">
        <v>3824</v>
      </c>
      <c r="P674" s="5">
        <v>8885543</v>
      </c>
      <c r="Q674" s="5" t="s">
        <v>6176</v>
      </c>
      <c r="R674" s="5" t="s">
        <v>5712</v>
      </c>
      <c r="S674" s="5" t="s">
        <v>234</v>
      </c>
      <c r="T674" s="5" t="s">
        <v>217</v>
      </c>
      <c r="U674" s="5" t="s">
        <v>2330</v>
      </c>
      <c r="V674" s="5" t="s">
        <v>6177</v>
      </c>
      <c r="W674" s="5" t="s">
        <v>227</v>
      </c>
      <c r="X674" s="5" t="s">
        <v>200</v>
      </c>
      <c r="Y674" s="5" t="s">
        <v>5969</v>
      </c>
      <c r="Z674" s="5" t="s">
        <v>5964</v>
      </c>
      <c r="AA674" s="5" t="s">
        <v>3617</v>
      </c>
      <c r="AB674" s="5" t="s">
        <v>5649</v>
      </c>
      <c r="AC674" s="5" t="s">
        <v>6178</v>
      </c>
      <c r="AD674" s="6">
        <v>45992</v>
      </c>
      <c r="AE674" s="6">
        <v>46356</v>
      </c>
      <c r="AF674" s="5"/>
    </row>
    <row r="675" spans="1:32" ht="132" customHeight="1" x14ac:dyDescent="0.3">
      <c r="A675" s="7">
        <v>8877693</v>
      </c>
      <c r="B675" s="7" t="s">
        <v>3531</v>
      </c>
      <c r="C675" s="7" t="s">
        <v>6179</v>
      </c>
      <c r="D675" s="7" t="s">
        <v>3373</v>
      </c>
      <c r="E675" s="7" t="s">
        <v>203</v>
      </c>
      <c r="F675" s="7" t="s">
        <v>234</v>
      </c>
      <c r="G675" s="7" t="s">
        <v>208</v>
      </c>
      <c r="H675" s="7" t="s">
        <v>2330</v>
      </c>
      <c r="I675" s="7" t="s">
        <v>3438</v>
      </c>
      <c r="J675" s="7" t="s">
        <v>227</v>
      </c>
      <c r="K675" s="7" t="s">
        <v>200</v>
      </c>
      <c r="L675" s="7" t="s">
        <v>3439</v>
      </c>
      <c r="M675" s="7" t="s">
        <v>1328</v>
      </c>
      <c r="N675" s="7" t="s">
        <v>3729</v>
      </c>
      <c r="O675" s="7" t="s">
        <v>3894</v>
      </c>
      <c r="P675" s="7">
        <v>8885693</v>
      </c>
      <c r="Q675" s="7" t="s">
        <v>6180</v>
      </c>
      <c r="R675" s="7" t="s">
        <v>5712</v>
      </c>
      <c r="S675" s="7" t="s">
        <v>234</v>
      </c>
      <c r="T675" s="7" t="s">
        <v>217</v>
      </c>
      <c r="U675" s="7" t="s">
        <v>2330</v>
      </c>
      <c r="V675" s="7" t="s">
        <v>6181</v>
      </c>
      <c r="W675" s="7" t="s">
        <v>227</v>
      </c>
      <c r="X675" s="7" t="s">
        <v>200</v>
      </c>
      <c r="Y675" s="7" t="s">
        <v>5969</v>
      </c>
      <c r="Z675" s="7" t="s">
        <v>5964</v>
      </c>
      <c r="AA675" s="7" t="s">
        <v>3617</v>
      </c>
      <c r="AB675" s="7" t="s">
        <v>5649</v>
      </c>
      <c r="AC675" s="7" t="s">
        <v>6182</v>
      </c>
      <c r="AD675" s="8">
        <v>46050</v>
      </c>
      <c r="AE675" s="8">
        <v>46053</v>
      </c>
      <c r="AF675" s="7"/>
    </row>
    <row r="676" spans="1:32" ht="51" customHeight="1" x14ac:dyDescent="0.3">
      <c r="A676" s="5">
        <v>8876776</v>
      </c>
      <c r="B676" s="5" t="s">
        <v>3481</v>
      </c>
      <c r="C676" s="5" t="s">
        <v>6183</v>
      </c>
      <c r="D676" s="5" t="s">
        <v>3373</v>
      </c>
      <c r="E676" s="5" t="s">
        <v>203</v>
      </c>
      <c r="F676" s="5" t="s">
        <v>433</v>
      </c>
      <c r="G676" s="5" t="s">
        <v>208</v>
      </c>
      <c r="H676" s="5" t="s">
        <v>2330</v>
      </c>
      <c r="I676" s="5" t="s">
        <v>3482</v>
      </c>
      <c r="J676" s="5" t="s">
        <v>227</v>
      </c>
      <c r="K676" s="5" t="s">
        <v>200</v>
      </c>
      <c r="L676" s="5" t="s">
        <v>3483</v>
      </c>
      <c r="M676" s="5" t="s">
        <v>1328</v>
      </c>
      <c r="N676" s="5" t="s">
        <v>3729</v>
      </c>
      <c r="O676" s="5" t="s">
        <v>3894</v>
      </c>
      <c r="P676" s="5">
        <v>8884194</v>
      </c>
      <c r="Q676" s="5" t="s">
        <v>6184</v>
      </c>
      <c r="R676" s="5" t="s">
        <v>5712</v>
      </c>
      <c r="S676" s="5" t="s">
        <v>234</v>
      </c>
      <c r="T676" s="5" t="s">
        <v>217</v>
      </c>
      <c r="U676" s="5" t="s">
        <v>2330</v>
      </c>
      <c r="V676" s="5" t="s">
        <v>6185</v>
      </c>
      <c r="W676" s="5" t="s">
        <v>227</v>
      </c>
      <c r="X676" s="5" t="s">
        <v>200</v>
      </c>
      <c r="Y676" s="5" t="s">
        <v>5963</v>
      </c>
      <c r="Z676" s="5" t="s">
        <v>5964</v>
      </c>
      <c r="AA676" s="5" t="s">
        <v>3617</v>
      </c>
      <c r="AB676" s="5" t="s">
        <v>5649</v>
      </c>
      <c r="AC676" s="5" t="s">
        <v>6186</v>
      </c>
      <c r="AD676" s="6">
        <v>46051</v>
      </c>
      <c r="AE676" s="6">
        <v>46326</v>
      </c>
      <c r="AF676" s="5"/>
    </row>
    <row r="677" spans="1:32" ht="81" customHeight="1" x14ac:dyDescent="0.3">
      <c r="A677" s="7">
        <v>8876184</v>
      </c>
      <c r="B677" s="7" t="s">
        <v>3465</v>
      </c>
      <c r="C677" s="7" t="s">
        <v>6187</v>
      </c>
      <c r="D677" s="7" t="s">
        <v>3373</v>
      </c>
      <c r="E677" s="7" t="s">
        <v>203</v>
      </c>
      <c r="F677" s="7" t="s">
        <v>234</v>
      </c>
      <c r="G677" s="7" t="s">
        <v>217</v>
      </c>
      <c r="H677" s="7" t="s">
        <v>2330</v>
      </c>
      <c r="I677" s="7" t="s">
        <v>1201</v>
      </c>
      <c r="J677" s="7" t="s">
        <v>227</v>
      </c>
      <c r="K677" s="7" t="s">
        <v>200</v>
      </c>
      <c r="L677" s="7" t="s">
        <v>1202</v>
      </c>
      <c r="M677" s="7" t="s">
        <v>1203</v>
      </c>
      <c r="N677" s="7" t="s">
        <v>3729</v>
      </c>
      <c r="O677" s="7" t="s">
        <v>3743</v>
      </c>
      <c r="P677" s="7">
        <v>8885673</v>
      </c>
      <c r="Q677" s="7" t="s">
        <v>6188</v>
      </c>
      <c r="R677" s="7" t="s">
        <v>5712</v>
      </c>
      <c r="S677" s="7" t="s">
        <v>234</v>
      </c>
      <c r="T677" s="7" t="s">
        <v>217</v>
      </c>
      <c r="U677" s="7" t="s">
        <v>3569</v>
      </c>
      <c r="V677" s="7" t="s">
        <v>6189</v>
      </c>
      <c r="W677" s="7" t="s">
        <v>227</v>
      </c>
      <c r="X677" s="7" t="s">
        <v>200</v>
      </c>
      <c r="Y677" s="7" t="s">
        <v>5969</v>
      </c>
      <c r="Z677" s="7" t="s">
        <v>5964</v>
      </c>
      <c r="AA677" s="7" t="s">
        <v>3617</v>
      </c>
      <c r="AB677" s="7" t="s">
        <v>5649</v>
      </c>
      <c r="AC677" s="7" t="s">
        <v>6190</v>
      </c>
      <c r="AD677" s="8">
        <v>46051</v>
      </c>
      <c r="AE677" s="8">
        <v>46357</v>
      </c>
      <c r="AF677" s="7"/>
    </row>
    <row r="678" spans="1:32" ht="111.75" customHeight="1" x14ac:dyDescent="0.3">
      <c r="A678" s="5">
        <v>8877829</v>
      </c>
      <c r="B678" s="5" t="s">
        <v>3535</v>
      </c>
      <c r="C678" s="5" t="s">
        <v>6191</v>
      </c>
      <c r="D678" s="5" t="s">
        <v>3373</v>
      </c>
      <c r="E678" s="5" t="s">
        <v>203</v>
      </c>
      <c r="F678" s="5" t="s">
        <v>234</v>
      </c>
      <c r="G678" s="5" t="s">
        <v>217</v>
      </c>
      <c r="H678" s="5" t="s">
        <v>2330</v>
      </c>
      <c r="I678" s="5" t="s">
        <v>3536</v>
      </c>
      <c r="J678" s="5" t="s">
        <v>227</v>
      </c>
      <c r="K678" s="5" t="s">
        <v>200</v>
      </c>
      <c r="L678" s="5" t="s">
        <v>2282</v>
      </c>
      <c r="M678" s="5" t="s">
        <v>1328</v>
      </c>
      <c r="N678" s="5" t="s">
        <v>3729</v>
      </c>
      <c r="O678" s="5" t="s">
        <v>3894</v>
      </c>
      <c r="P678" s="5">
        <v>8884144</v>
      </c>
      <c r="Q678" s="5" t="s">
        <v>6192</v>
      </c>
      <c r="R678" s="5" t="s">
        <v>5712</v>
      </c>
      <c r="S678" s="5" t="s">
        <v>234</v>
      </c>
      <c r="T678" s="5" t="s">
        <v>217</v>
      </c>
      <c r="U678" s="5" t="s">
        <v>2330</v>
      </c>
      <c r="V678" s="5" t="s">
        <v>6028</v>
      </c>
      <c r="W678" s="5" t="s">
        <v>227</v>
      </c>
      <c r="X678" s="5" t="s">
        <v>200</v>
      </c>
      <c r="Y678" s="5" t="s">
        <v>5963</v>
      </c>
      <c r="Z678" s="5" t="s">
        <v>5964</v>
      </c>
      <c r="AA678" s="5" t="s">
        <v>3617</v>
      </c>
      <c r="AB678" s="5" t="s">
        <v>5649</v>
      </c>
      <c r="AC678" s="5" t="s">
        <v>6193</v>
      </c>
      <c r="AD678" s="6">
        <v>46052</v>
      </c>
      <c r="AE678" s="6">
        <v>46295</v>
      </c>
      <c r="AF678" s="5"/>
    </row>
    <row r="679" spans="1:32" ht="60.75" customHeight="1" x14ac:dyDescent="0.3">
      <c r="A679" s="7">
        <v>8877793</v>
      </c>
      <c r="B679" s="7" t="s">
        <v>3532</v>
      </c>
      <c r="C679" s="7" t="s">
        <v>6194</v>
      </c>
      <c r="D679" s="7" t="s">
        <v>3373</v>
      </c>
      <c r="E679" s="7" t="s">
        <v>203</v>
      </c>
      <c r="F679" s="7" t="s">
        <v>418</v>
      </c>
      <c r="G679" s="7" t="s">
        <v>208</v>
      </c>
      <c r="H679" s="7" t="s">
        <v>2330</v>
      </c>
      <c r="I679" s="7" t="s">
        <v>3533</v>
      </c>
      <c r="J679" s="7" t="s">
        <v>227</v>
      </c>
      <c r="K679" s="7" t="s">
        <v>200</v>
      </c>
      <c r="L679" s="7" t="s">
        <v>3534</v>
      </c>
      <c r="M679" s="7" t="s">
        <v>1031</v>
      </c>
      <c r="N679" s="7" t="s">
        <v>3729</v>
      </c>
      <c r="O679" s="7" t="s">
        <v>3627</v>
      </c>
      <c r="P679" s="7">
        <v>8885764</v>
      </c>
      <c r="Q679" s="7" t="s">
        <v>6195</v>
      </c>
      <c r="R679" s="7" t="s">
        <v>5712</v>
      </c>
      <c r="S679" s="7" t="s">
        <v>234</v>
      </c>
      <c r="T679" s="7" t="s">
        <v>208</v>
      </c>
      <c r="U679" s="7" t="s">
        <v>207</v>
      </c>
      <c r="V679" s="7" t="s">
        <v>4240</v>
      </c>
      <c r="W679" s="7" t="s">
        <v>227</v>
      </c>
      <c r="X679" s="7" t="s">
        <v>200</v>
      </c>
      <c r="Y679" s="7" t="s">
        <v>5969</v>
      </c>
      <c r="Z679" s="7" t="s">
        <v>5964</v>
      </c>
      <c r="AA679" s="7" t="s">
        <v>3617</v>
      </c>
      <c r="AB679" s="7" t="s">
        <v>5649</v>
      </c>
      <c r="AC679" s="7" t="s">
        <v>6196</v>
      </c>
      <c r="AD679" s="8">
        <v>46050</v>
      </c>
      <c r="AE679" s="8">
        <v>46356</v>
      </c>
      <c r="AF679" s="7"/>
    </row>
    <row r="680" spans="1:32" ht="111.75" customHeight="1" x14ac:dyDescent="0.3">
      <c r="A680" s="5">
        <v>5666961</v>
      </c>
      <c r="B680" s="5" t="s">
        <v>3403</v>
      </c>
      <c r="C680" s="5" t="s">
        <v>6197</v>
      </c>
      <c r="D680" s="5" t="s">
        <v>3373</v>
      </c>
      <c r="E680" s="5" t="s">
        <v>203</v>
      </c>
      <c r="F680" s="5" t="s">
        <v>418</v>
      </c>
      <c r="G680" s="5" t="s">
        <v>208</v>
      </c>
      <c r="H680" s="5" t="s">
        <v>2330</v>
      </c>
      <c r="I680" s="5" t="s">
        <v>3404</v>
      </c>
      <c r="J680" s="5" t="s">
        <v>227</v>
      </c>
      <c r="K680" s="5" t="s">
        <v>200</v>
      </c>
      <c r="L680" s="5" t="s">
        <v>3405</v>
      </c>
      <c r="M680" s="5" t="s">
        <v>3406</v>
      </c>
      <c r="N680" s="5" t="s">
        <v>3732</v>
      </c>
      <c r="O680" s="5" t="s">
        <v>3743</v>
      </c>
      <c r="P680" s="5">
        <v>8884207</v>
      </c>
      <c r="Q680" s="5" t="s">
        <v>104</v>
      </c>
      <c r="R680" s="5" t="s">
        <v>5712</v>
      </c>
      <c r="S680" s="5" t="s">
        <v>234</v>
      </c>
      <c r="T680" s="5" t="s">
        <v>217</v>
      </c>
      <c r="U680" s="5" t="s">
        <v>3569</v>
      </c>
      <c r="V680" s="5" t="s">
        <v>6198</v>
      </c>
      <c r="W680" s="5" t="s">
        <v>227</v>
      </c>
      <c r="X680" s="5" t="s">
        <v>200</v>
      </c>
      <c r="Y680" s="5" t="s">
        <v>5963</v>
      </c>
      <c r="Z680" s="5" t="s">
        <v>5964</v>
      </c>
      <c r="AA680" s="5" t="s">
        <v>3617</v>
      </c>
      <c r="AB680" s="5" t="s">
        <v>5649</v>
      </c>
      <c r="AC680" s="5" t="s">
        <v>6199</v>
      </c>
      <c r="AD680" s="6">
        <v>46051</v>
      </c>
      <c r="AE680" s="6">
        <v>46293</v>
      </c>
      <c r="AF680" s="5"/>
    </row>
    <row r="681" spans="1:32" ht="91.5" customHeight="1" x14ac:dyDescent="0.3">
      <c r="A681" s="7">
        <v>5666961</v>
      </c>
      <c r="B681" s="7" t="s">
        <v>3403</v>
      </c>
      <c r="C681" s="7" t="s">
        <v>6200</v>
      </c>
      <c r="D681" s="7" t="s">
        <v>3373</v>
      </c>
      <c r="E681" s="7" t="s">
        <v>203</v>
      </c>
      <c r="F681" s="7" t="s">
        <v>418</v>
      </c>
      <c r="G681" s="7" t="s">
        <v>208</v>
      </c>
      <c r="H681" s="7" t="s">
        <v>2330</v>
      </c>
      <c r="I681" s="7" t="s">
        <v>3404</v>
      </c>
      <c r="J681" s="7" t="s">
        <v>227</v>
      </c>
      <c r="K681" s="7" t="s">
        <v>200</v>
      </c>
      <c r="L681" s="7" t="s">
        <v>3405</v>
      </c>
      <c r="M681" s="7" t="s">
        <v>3406</v>
      </c>
      <c r="N681" s="7" t="s">
        <v>3732</v>
      </c>
      <c r="O681" s="7" t="s">
        <v>3743</v>
      </c>
      <c r="P681" s="7">
        <v>8885564</v>
      </c>
      <c r="Q681" s="7" t="s">
        <v>106</v>
      </c>
      <c r="R681" s="7" t="s">
        <v>5712</v>
      </c>
      <c r="S681" s="7" t="s">
        <v>234</v>
      </c>
      <c r="T681" s="7" t="s">
        <v>217</v>
      </c>
      <c r="U681" s="7" t="s">
        <v>2330</v>
      </c>
      <c r="V681" s="7" t="s">
        <v>6201</v>
      </c>
      <c r="W681" s="7" t="s">
        <v>227</v>
      </c>
      <c r="X681" s="7" t="s">
        <v>200</v>
      </c>
      <c r="Y681" s="7" t="s">
        <v>5969</v>
      </c>
      <c r="Z681" s="7" t="s">
        <v>5964</v>
      </c>
      <c r="AA681" s="7" t="s">
        <v>3617</v>
      </c>
      <c r="AB681" s="7" t="s">
        <v>5649</v>
      </c>
      <c r="AC681" s="7" t="s">
        <v>6202</v>
      </c>
      <c r="AD681" s="8">
        <v>46038</v>
      </c>
      <c r="AE681" s="8">
        <v>46357</v>
      </c>
      <c r="AF681" s="7"/>
    </row>
    <row r="682" spans="1:32" ht="81" customHeight="1" x14ac:dyDescent="0.3">
      <c r="A682" s="5">
        <v>8877431</v>
      </c>
      <c r="B682" s="5" t="s">
        <v>3518</v>
      </c>
      <c r="C682" s="5" t="s">
        <v>6203</v>
      </c>
      <c r="D682" s="5" t="s">
        <v>3373</v>
      </c>
      <c r="E682" s="5" t="s">
        <v>203</v>
      </c>
      <c r="F682" s="5" t="s">
        <v>234</v>
      </c>
      <c r="G682" s="5" t="s">
        <v>208</v>
      </c>
      <c r="H682" s="5" t="s">
        <v>2330</v>
      </c>
      <c r="I682" s="5" t="s">
        <v>2797</v>
      </c>
      <c r="J682" s="5" t="s">
        <v>227</v>
      </c>
      <c r="K682" s="5" t="s">
        <v>200</v>
      </c>
      <c r="L682" s="5" t="s">
        <v>2798</v>
      </c>
      <c r="M682" s="5" t="s">
        <v>1328</v>
      </c>
      <c r="N682" s="5" t="s">
        <v>3729</v>
      </c>
      <c r="O682" s="5" t="s">
        <v>3894</v>
      </c>
      <c r="P682" s="5">
        <v>8884220</v>
      </c>
      <c r="Q682" s="5" t="s">
        <v>6204</v>
      </c>
      <c r="R682" s="5" t="s">
        <v>5712</v>
      </c>
      <c r="S682" s="5" t="s">
        <v>234</v>
      </c>
      <c r="T682" s="5" t="s">
        <v>208</v>
      </c>
      <c r="U682" s="5" t="s">
        <v>2330</v>
      </c>
      <c r="V682" s="5" t="s">
        <v>6205</v>
      </c>
      <c r="W682" s="5" t="s">
        <v>227</v>
      </c>
      <c r="X682" s="5" t="s">
        <v>200</v>
      </c>
      <c r="Y682" s="5" t="s">
        <v>6206</v>
      </c>
      <c r="Z682" s="5" t="s">
        <v>5964</v>
      </c>
      <c r="AA682" s="5" t="s">
        <v>3617</v>
      </c>
      <c r="AB682" s="5" t="s">
        <v>5649</v>
      </c>
      <c r="AC682" s="5" t="s">
        <v>6207</v>
      </c>
      <c r="AD682" s="6">
        <v>46048</v>
      </c>
      <c r="AE682" s="6">
        <v>46357</v>
      </c>
      <c r="AF682" s="5"/>
    </row>
    <row r="683" spans="1:32" ht="51" customHeight="1" x14ac:dyDescent="0.3">
      <c r="A683" s="7">
        <v>8877127</v>
      </c>
      <c r="B683" s="7" t="s">
        <v>3506</v>
      </c>
      <c r="C683" s="7" t="s">
        <v>6208</v>
      </c>
      <c r="D683" s="7" t="s">
        <v>3373</v>
      </c>
      <c r="E683" s="7" t="s">
        <v>203</v>
      </c>
      <c r="F683" s="7" t="s">
        <v>234</v>
      </c>
      <c r="G683" s="7" t="s">
        <v>208</v>
      </c>
      <c r="H683" s="7" t="s">
        <v>2330</v>
      </c>
      <c r="I683" s="7" t="s">
        <v>3507</v>
      </c>
      <c r="J683" s="7" t="s">
        <v>227</v>
      </c>
      <c r="K683" s="7" t="s">
        <v>200</v>
      </c>
      <c r="L683" s="7" t="s">
        <v>3310</v>
      </c>
      <c r="M683" s="7" t="s">
        <v>1328</v>
      </c>
      <c r="N683" s="7" t="s">
        <v>3729</v>
      </c>
      <c r="O683" s="7" t="s">
        <v>3894</v>
      </c>
      <c r="P683" s="7">
        <v>8885581</v>
      </c>
      <c r="Q683" s="7" t="s">
        <v>6209</v>
      </c>
      <c r="R683" s="7" t="s">
        <v>5712</v>
      </c>
      <c r="S683" s="7" t="s">
        <v>234</v>
      </c>
      <c r="T683" s="7" t="s">
        <v>217</v>
      </c>
      <c r="U683" s="7" t="s">
        <v>2330</v>
      </c>
      <c r="V683" s="7" t="s">
        <v>6210</v>
      </c>
      <c r="W683" s="7" t="s">
        <v>227</v>
      </c>
      <c r="X683" s="7" t="s">
        <v>200</v>
      </c>
      <c r="Y683" s="7" t="s">
        <v>5969</v>
      </c>
      <c r="Z683" s="7" t="s">
        <v>5964</v>
      </c>
      <c r="AA683" s="7" t="s">
        <v>3617</v>
      </c>
      <c r="AB683" s="7" t="s">
        <v>5649</v>
      </c>
      <c r="AC683" s="7" t="s">
        <v>6211</v>
      </c>
      <c r="AD683" s="8">
        <v>46051</v>
      </c>
      <c r="AE683" s="7"/>
      <c r="AF683" s="7"/>
    </row>
    <row r="684" spans="1:32" ht="60.75" customHeight="1" x14ac:dyDescent="0.3">
      <c r="A684" s="5">
        <v>8877028</v>
      </c>
      <c r="B684" s="5" t="s">
        <v>3499</v>
      </c>
      <c r="C684" s="5" t="s">
        <v>6212</v>
      </c>
      <c r="D684" s="5" t="s">
        <v>3373</v>
      </c>
      <c r="E684" s="5" t="s">
        <v>203</v>
      </c>
      <c r="F684" s="5" t="s">
        <v>234</v>
      </c>
      <c r="G684" s="5" t="s">
        <v>208</v>
      </c>
      <c r="H684" s="5" t="s">
        <v>2330</v>
      </c>
      <c r="I684" s="5" t="s">
        <v>3500</v>
      </c>
      <c r="J684" s="5" t="s">
        <v>227</v>
      </c>
      <c r="K684" s="5" t="s">
        <v>200</v>
      </c>
      <c r="L684" s="5" t="s">
        <v>3501</v>
      </c>
      <c r="M684" s="5" t="s">
        <v>3502</v>
      </c>
      <c r="N684" s="5" t="s">
        <v>3729</v>
      </c>
      <c r="O684" s="5" t="s">
        <v>5649</v>
      </c>
      <c r="P684" s="5">
        <v>8885614</v>
      </c>
      <c r="Q684" s="5" t="s">
        <v>6213</v>
      </c>
      <c r="R684" s="5" t="s">
        <v>5712</v>
      </c>
      <c r="S684" s="5" t="s">
        <v>234</v>
      </c>
      <c r="T684" s="5" t="s">
        <v>208</v>
      </c>
      <c r="U684" s="5" t="s">
        <v>207</v>
      </c>
      <c r="V684" s="5" t="s">
        <v>6214</v>
      </c>
      <c r="W684" s="5" t="s">
        <v>227</v>
      </c>
      <c r="X684" s="5" t="s">
        <v>200</v>
      </c>
      <c r="Y684" s="5" t="s">
        <v>5969</v>
      </c>
      <c r="Z684" s="5" t="s">
        <v>5964</v>
      </c>
      <c r="AA684" s="5" t="s">
        <v>3617</v>
      </c>
      <c r="AB684" s="5" t="s">
        <v>5649</v>
      </c>
      <c r="AC684" s="5" t="s">
        <v>6215</v>
      </c>
      <c r="AD684" s="6">
        <v>46050</v>
      </c>
      <c r="AE684" s="6">
        <v>46356</v>
      </c>
      <c r="AF684" s="5"/>
    </row>
    <row r="685" spans="1:32" ht="60.75" customHeight="1" x14ac:dyDescent="0.3">
      <c r="A685" s="7">
        <v>8876184</v>
      </c>
      <c r="B685" s="7" t="s">
        <v>3465</v>
      </c>
      <c r="C685" s="7" t="s">
        <v>6216</v>
      </c>
      <c r="D685" s="7" t="s">
        <v>354</v>
      </c>
      <c r="E685" s="7" t="s">
        <v>203</v>
      </c>
      <c r="F685" s="7" t="s">
        <v>234</v>
      </c>
      <c r="G685" s="7" t="s">
        <v>217</v>
      </c>
      <c r="H685" s="7" t="s">
        <v>2330</v>
      </c>
      <c r="I685" s="7" t="s">
        <v>1201</v>
      </c>
      <c r="J685" s="7" t="s">
        <v>227</v>
      </c>
      <c r="K685" s="7" t="s">
        <v>200</v>
      </c>
      <c r="L685" s="7" t="s">
        <v>1202</v>
      </c>
      <c r="M685" s="7" t="s">
        <v>1203</v>
      </c>
      <c r="N685" s="7" t="s">
        <v>3729</v>
      </c>
      <c r="O685" s="7" t="s">
        <v>3743</v>
      </c>
      <c r="P685" s="7">
        <v>8884324</v>
      </c>
      <c r="Q685" s="7" t="s">
        <v>6217</v>
      </c>
      <c r="R685" s="7" t="s">
        <v>5712</v>
      </c>
      <c r="S685" s="7" t="s">
        <v>234</v>
      </c>
      <c r="T685" s="7" t="s">
        <v>208</v>
      </c>
      <c r="U685" s="7" t="s">
        <v>2330</v>
      </c>
      <c r="V685" s="7" t="s">
        <v>6100</v>
      </c>
      <c r="W685" s="7" t="s">
        <v>227</v>
      </c>
      <c r="X685" s="7" t="s">
        <v>200</v>
      </c>
      <c r="Y685" s="7" t="s">
        <v>5963</v>
      </c>
      <c r="Z685" s="7" t="s">
        <v>5964</v>
      </c>
      <c r="AA685" s="7" t="s">
        <v>3617</v>
      </c>
      <c r="AB685" s="7" t="s">
        <v>5649</v>
      </c>
      <c r="AC685" s="7" t="s">
        <v>6218</v>
      </c>
      <c r="AD685" s="8">
        <v>46059</v>
      </c>
      <c r="AE685" s="7"/>
      <c r="AF685" s="7"/>
    </row>
    <row r="686" spans="1:32" ht="60.75" customHeight="1" x14ac:dyDescent="0.3">
      <c r="A686" s="5">
        <v>8877028</v>
      </c>
      <c r="B686" s="5" t="s">
        <v>3499</v>
      </c>
      <c r="C686" s="5" t="s">
        <v>6219</v>
      </c>
      <c r="D686" s="5" t="s">
        <v>3373</v>
      </c>
      <c r="E686" s="5" t="s">
        <v>203</v>
      </c>
      <c r="F686" s="5" t="s">
        <v>234</v>
      </c>
      <c r="G686" s="5" t="s">
        <v>208</v>
      </c>
      <c r="H686" s="5" t="s">
        <v>2330</v>
      </c>
      <c r="I686" s="5" t="s">
        <v>3500</v>
      </c>
      <c r="J686" s="5" t="s">
        <v>227</v>
      </c>
      <c r="K686" s="5" t="s">
        <v>200</v>
      </c>
      <c r="L686" s="5" t="s">
        <v>3501</v>
      </c>
      <c r="M686" s="5" t="s">
        <v>3502</v>
      </c>
      <c r="N686" s="5" t="s">
        <v>3729</v>
      </c>
      <c r="O686" s="5" t="s">
        <v>5649</v>
      </c>
      <c r="P686" s="5">
        <v>8884200</v>
      </c>
      <c r="Q686" s="5" t="s">
        <v>6220</v>
      </c>
      <c r="R686" s="5" t="s">
        <v>5712</v>
      </c>
      <c r="S686" s="5" t="s">
        <v>234</v>
      </c>
      <c r="T686" s="5" t="s">
        <v>217</v>
      </c>
      <c r="U686" s="5" t="s">
        <v>2330</v>
      </c>
      <c r="V686" s="5" t="s">
        <v>6221</v>
      </c>
      <c r="W686" s="5" t="s">
        <v>227</v>
      </c>
      <c r="X686" s="5" t="s">
        <v>200</v>
      </c>
      <c r="Y686" s="5" t="s">
        <v>5963</v>
      </c>
      <c r="Z686" s="5" t="s">
        <v>5964</v>
      </c>
      <c r="AA686" s="5" t="s">
        <v>3617</v>
      </c>
      <c r="AB686" s="5" t="s">
        <v>5649</v>
      </c>
      <c r="AC686" s="5" t="s">
        <v>6222</v>
      </c>
      <c r="AD686" s="6">
        <v>46049</v>
      </c>
      <c r="AE686" s="6">
        <v>46295</v>
      </c>
      <c r="AF686" s="5"/>
    </row>
    <row r="687" spans="1:32" ht="40.5" customHeight="1" x14ac:dyDescent="0.3">
      <c r="A687" s="7">
        <v>8876748</v>
      </c>
      <c r="B687" s="7" t="s">
        <v>3477</v>
      </c>
      <c r="C687" s="7" t="s">
        <v>6223</v>
      </c>
      <c r="D687" s="7" t="s">
        <v>198</v>
      </c>
      <c r="E687" s="7" t="s">
        <v>203</v>
      </c>
      <c r="F687" s="7" t="s">
        <v>234</v>
      </c>
      <c r="G687" s="7" t="s">
        <v>208</v>
      </c>
      <c r="H687" s="7" t="s">
        <v>2330</v>
      </c>
      <c r="I687" s="7" t="s">
        <v>3478</v>
      </c>
      <c r="J687" s="7" t="s">
        <v>227</v>
      </c>
      <c r="K687" s="7" t="s">
        <v>200</v>
      </c>
      <c r="L687" s="7" t="s">
        <v>3479</v>
      </c>
      <c r="M687" s="7" t="s">
        <v>3179</v>
      </c>
      <c r="N687" s="7" t="s">
        <v>3729</v>
      </c>
      <c r="O687" s="7" t="s">
        <v>3743</v>
      </c>
      <c r="P687" s="7">
        <v>8885556</v>
      </c>
      <c r="Q687" s="7" t="s">
        <v>6224</v>
      </c>
      <c r="R687" s="7" t="s">
        <v>5712</v>
      </c>
      <c r="S687" s="7" t="s">
        <v>234</v>
      </c>
      <c r="T687" s="7" t="s">
        <v>217</v>
      </c>
      <c r="U687" s="7" t="s">
        <v>2330</v>
      </c>
      <c r="V687" s="7" t="s">
        <v>6225</v>
      </c>
      <c r="W687" s="7" t="s">
        <v>227</v>
      </c>
      <c r="X687" s="7" t="s">
        <v>200</v>
      </c>
      <c r="Y687" s="7" t="s">
        <v>5969</v>
      </c>
      <c r="Z687" s="7" t="s">
        <v>5964</v>
      </c>
      <c r="AA687" s="7" t="s">
        <v>3617</v>
      </c>
      <c r="AB687" s="7" t="s">
        <v>5649</v>
      </c>
      <c r="AC687" s="7" t="s">
        <v>6226</v>
      </c>
      <c r="AD687" s="8">
        <v>46052</v>
      </c>
      <c r="AE687" s="8">
        <v>46356</v>
      </c>
      <c r="AF687" s="7"/>
    </row>
    <row r="688" spans="1:32" ht="40.5" customHeight="1" x14ac:dyDescent="0.3">
      <c r="A688" s="5">
        <v>8877632</v>
      </c>
      <c r="B688" s="5" t="s">
        <v>3526</v>
      </c>
      <c r="C688" s="5" t="s">
        <v>6227</v>
      </c>
      <c r="D688" s="5" t="s">
        <v>3373</v>
      </c>
      <c r="E688" s="5" t="s">
        <v>203</v>
      </c>
      <c r="F688" s="5" t="s">
        <v>234</v>
      </c>
      <c r="G688" s="5" t="s">
        <v>217</v>
      </c>
      <c r="H688" s="5" t="s">
        <v>2330</v>
      </c>
      <c r="I688" s="5" t="s">
        <v>3527</v>
      </c>
      <c r="J688" s="5" t="s">
        <v>227</v>
      </c>
      <c r="K688" s="5" t="s">
        <v>200</v>
      </c>
      <c r="L688" s="5" t="s">
        <v>3224</v>
      </c>
      <c r="M688" s="5" t="s">
        <v>1369</v>
      </c>
      <c r="N688" s="5" t="s">
        <v>3729</v>
      </c>
      <c r="O688" s="5" t="s">
        <v>3912</v>
      </c>
      <c r="P688" s="5">
        <v>8885558</v>
      </c>
      <c r="Q688" s="5" t="s">
        <v>6228</v>
      </c>
      <c r="R688" s="5" t="s">
        <v>5712</v>
      </c>
      <c r="S688" s="5" t="s">
        <v>234</v>
      </c>
      <c r="T688" s="5" t="s">
        <v>217</v>
      </c>
      <c r="U688" s="5" t="s">
        <v>2330</v>
      </c>
      <c r="V688" s="5" t="s">
        <v>6229</v>
      </c>
      <c r="W688" s="5" t="s">
        <v>227</v>
      </c>
      <c r="X688" s="5" t="s">
        <v>200</v>
      </c>
      <c r="Y688" s="5" t="s">
        <v>5969</v>
      </c>
      <c r="Z688" s="5" t="s">
        <v>5964</v>
      </c>
      <c r="AA688" s="5" t="s">
        <v>3617</v>
      </c>
      <c r="AB688" s="5" t="s">
        <v>5649</v>
      </c>
      <c r="AC688" s="5" t="s">
        <v>6230</v>
      </c>
      <c r="AD688" s="6">
        <v>46049</v>
      </c>
      <c r="AE688" s="6">
        <v>46356</v>
      </c>
      <c r="AF688" s="5"/>
    </row>
    <row r="689" spans="1:32" ht="122.25" customHeight="1" x14ac:dyDescent="0.3">
      <c r="A689" s="7">
        <v>4877594</v>
      </c>
      <c r="B689" s="7" t="s">
        <v>2357</v>
      </c>
      <c r="C689" s="7" t="s">
        <v>6231</v>
      </c>
      <c r="D689" s="7" t="s">
        <v>198</v>
      </c>
      <c r="E689" s="7" t="s">
        <v>203</v>
      </c>
      <c r="F689" s="7" t="s">
        <v>234</v>
      </c>
      <c r="G689" s="7" t="s">
        <v>208</v>
      </c>
      <c r="H689" s="7" t="s">
        <v>207</v>
      </c>
      <c r="I689" s="7" t="s">
        <v>2359</v>
      </c>
      <c r="J689" s="7" t="s">
        <v>227</v>
      </c>
      <c r="K689" s="7" t="s">
        <v>200</v>
      </c>
      <c r="L689" s="7" t="s">
        <v>2360</v>
      </c>
      <c r="M689" s="7" t="s">
        <v>2361</v>
      </c>
      <c r="N689" s="7" t="s">
        <v>3623</v>
      </c>
      <c r="O689" s="7" t="s">
        <v>3736</v>
      </c>
      <c r="P689" s="7">
        <v>8885762</v>
      </c>
      <c r="Q689" s="7" t="s">
        <v>50</v>
      </c>
      <c r="R689" s="7" t="s">
        <v>5712</v>
      </c>
      <c r="S689" s="7" t="s">
        <v>234</v>
      </c>
      <c r="T689" s="7" t="s">
        <v>217</v>
      </c>
      <c r="U689" s="7" t="s">
        <v>2330</v>
      </c>
      <c r="V689" s="7" t="s">
        <v>6232</v>
      </c>
      <c r="W689" s="7" t="s">
        <v>227</v>
      </c>
      <c r="X689" s="7" t="s">
        <v>200</v>
      </c>
      <c r="Y689" s="7" t="s">
        <v>5969</v>
      </c>
      <c r="Z689" s="7" t="s">
        <v>5964</v>
      </c>
      <c r="AA689" s="7" t="s">
        <v>3617</v>
      </c>
      <c r="AB689" s="7" t="s">
        <v>5649</v>
      </c>
      <c r="AC689" s="7" t="s">
        <v>6233</v>
      </c>
      <c r="AD689" s="8">
        <v>46055</v>
      </c>
      <c r="AE689" s="8">
        <v>46371</v>
      </c>
      <c r="AF689" s="7"/>
    </row>
    <row r="690" spans="1:32" ht="71.25" customHeight="1" x14ac:dyDescent="0.3">
      <c r="A690" s="5">
        <v>8877632</v>
      </c>
      <c r="B690" s="5" t="s">
        <v>3526</v>
      </c>
      <c r="C690" s="5" t="s">
        <v>6234</v>
      </c>
      <c r="D690" s="5" t="s">
        <v>3373</v>
      </c>
      <c r="E690" s="5" t="s">
        <v>203</v>
      </c>
      <c r="F690" s="5" t="s">
        <v>234</v>
      </c>
      <c r="G690" s="5" t="s">
        <v>217</v>
      </c>
      <c r="H690" s="5" t="s">
        <v>2330</v>
      </c>
      <c r="I690" s="5" t="s">
        <v>3527</v>
      </c>
      <c r="J690" s="5" t="s">
        <v>227</v>
      </c>
      <c r="K690" s="5" t="s">
        <v>200</v>
      </c>
      <c r="L690" s="5" t="s">
        <v>3224</v>
      </c>
      <c r="M690" s="5" t="s">
        <v>1369</v>
      </c>
      <c r="N690" s="5" t="s">
        <v>3729</v>
      </c>
      <c r="O690" s="5" t="s">
        <v>3912</v>
      </c>
      <c r="P690" s="5">
        <v>8885774</v>
      </c>
      <c r="Q690" s="5" t="s">
        <v>6235</v>
      </c>
      <c r="R690" s="5" t="s">
        <v>5712</v>
      </c>
      <c r="S690" s="5" t="s">
        <v>234</v>
      </c>
      <c r="T690" s="5" t="s">
        <v>217</v>
      </c>
      <c r="U690" s="5" t="s">
        <v>2330</v>
      </c>
      <c r="V690" s="5" t="s">
        <v>6236</v>
      </c>
      <c r="W690" s="5" t="s">
        <v>227</v>
      </c>
      <c r="X690" s="5" t="s">
        <v>200</v>
      </c>
      <c r="Y690" s="5" t="s">
        <v>5969</v>
      </c>
      <c r="Z690" s="5" t="s">
        <v>5964</v>
      </c>
      <c r="AA690" s="5" t="s">
        <v>3617</v>
      </c>
      <c r="AB690" s="5" t="s">
        <v>5649</v>
      </c>
      <c r="AC690" s="5" t="s">
        <v>6237</v>
      </c>
      <c r="AD690" s="6">
        <v>46049</v>
      </c>
      <c r="AE690" s="6">
        <v>46356</v>
      </c>
      <c r="AF690" s="5"/>
    </row>
    <row r="691" spans="1:32" ht="40.5" customHeight="1" x14ac:dyDescent="0.3">
      <c r="A691" s="7">
        <v>8877646</v>
      </c>
      <c r="B691" s="7" t="s">
        <v>3524</v>
      </c>
      <c r="C691" s="7"/>
      <c r="D691" s="7" t="s">
        <v>198</v>
      </c>
      <c r="E691" s="7" t="s">
        <v>203</v>
      </c>
      <c r="F691" s="7" t="s">
        <v>234</v>
      </c>
      <c r="G691" s="7" t="s">
        <v>208</v>
      </c>
      <c r="H691" s="7" t="s">
        <v>2330</v>
      </c>
      <c r="I691" s="7" t="s">
        <v>2457</v>
      </c>
      <c r="J691" s="7" t="s">
        <v>227</v>
      </c>
      <c r="K691" s="7" t="s">
        <v>200</v>
      </c>
      <c r="L691" s="7" t="s">
        <v>2458</v>
      </c>
      <c r="M691" s="7" t="s">
        <v>3525</v>
      </c>
      <c r="N691" s="7" t="s">
        <v>3729</v>
      </c>
      <c r="O691" s="7" t="s">
        <v>3843</v>
      </c>
      <c r="P691" s="7">
        <v>8874225</v>
      </c>
      <c r="Q691" s="7" t="s">
        <v>6238</v>
      </c>
      <c r="R691" s="7" t="s">
        <v>5712</v>
      </c>
      <c r="S691" s="7" t="s">
        <v>234</v>
      </c>
      <c r="T691" s="7" t="s">
        <v>217</v>
      </c>
      <c r="U691" s="7" t="s">
        <v>2330</v>
      </c>
      <c r="V691" s="7" t="s">
        <v>6239</v>
      </c>
      <c r="W691" s="7" t="s">
        <v>227</v>
      </c>
      <c r="X691" s="7" t="s">
        <v>200</v>
      </c>
      <c r="Y691" s="7" t="s">
        <v>5963</v>
      </c>
      <c r="Z691" s="7" t="s">
        <v>5964</v>
      </c>
      <c r="AA691" s="7" t="s">
        <v>3617</v>
      </c>
      <c r="AB691" s="7" t="s">
        <v>5649</v>
      </c>
      <c r="AC691" s="7" t="s">
        <v>6240</v>
      </c>
      <c r="AD691" s="8">
        <v>46038</v>
      </c>
      <c r="AE691" s="8">
        <v>46296</v>
      </c>
      <c r="AF691" s="7"/>
    </row>
    <row r="692" spans="1:32" ht="40.5" customHeight="1" x14ac:dyDescent="0.3">
      <c r="A692" s="5">
        <v>8876748</v>
      </c>
      <c r="B692" s="5" t="s">
        <v>3477</v>
      </c>
      <c r="C692" s="5" t="s">
        <v>6241</v>
      </c>
      <c r="D692" s="5" t="s">
        <v>3373</v>
      </c>
      <c r="E692" s="5" t="s">
        <v>203</v>
      </c>
      <c r="F692" s="5" t="s">
        <v>234</v>
      </c>
      <c r="G692" s="5" t="s">
        <v>208</v>
      </c>
      <c r="H692" s="5" t="s">
        <v>2330</v>
      </c>
      <c r="I692" s="5" t="s">
        <v>3478</v>
      </c>
      <c r="J692" s="5" t="s">
        <v>227</v>
      </c>
      <c r="K692" s="5" t="s">
        <v>200</v>
      </c>
      <c r="L692" s="5" t="s">
        <v>3479</v>
      </c>
      <c r="M692" s="5" t="s">
        <v>3179</v>
      </c>
      <c r="N692" s="5" t="s">
        <v>3729</v>
      </c>
      <c r="O692" s="5" t="s">
        <v>3743</v>
      </c>
      <c r="P692" s="5">
        <v>8884218</v>
      </c>
      <c r="Q692" s="5" t="s">
        <v>6142</v>
      </c>
      <c r="R692" s="5" t="s">
        <v>5712</v>
      </c>
      <c r="S692" s="5" t="s">
        <v>234</v>
      </c>
      <c r="T692" s="5" t="s">
        <v>208</v>
      </c>
      <c r="U692" s="5" t="s">
        <v>207</v>
      </c>
      <c r="V692" s="5" t="s">
        <v>6143</v>
      </c>
      <c r="W692" s="5" t="s">
        <v>227</v>
      </c>
      <c r="X692" s="5" t="s">
        <v>200</v>
      </c>
      <c r="Y692" s="5" t="s">
        <v>5963</v>
      </c>
      <c r="Z692" s="5" t="s">
        <v>5964</v>
      </c>
      <c r="AA692" s="5" t="s">
        <v>3617</v>
      </c>
      <c r="AB692" s="5" t="s">
        <v>5649</v>
      </c>
      <c r="AC692" s="5" t="s">
        <v>6242</v>
      </c>
      <c r="AD692" s="6">
        <v>46049</v>
      </c>
      <c r="AE692" s="6">
        <v>46326</v>
      </c>
      <c r="AF692" s="5"/>
    </row>
    <row r="693" spans="1:32" ht="122.25" customHeight="1" x14ac:dyDescent="0.3">
      <c r="A693" s="7">
        <v>8876185</v>
      </c>
      <c r="B693" s="7" t="s">
        <v>3460</v>
      </c>
      <c r="C693" s="7" t="s">
        <v>6243</v>
      </c>
      <c r="D693" s="7" t="s">
        <v>3373</v>
      </c>
      <c r="E693" s="7" t="s">
        <v>203</v>
      </c>
      <c r="F693" s="7" t="s">
        <v>433</v>
      </c>
      <c r="G693" s="7" t="s">
        <v>208</v>
      </c>
      <c r="H693" s="7" t="s">
        <v>2330</v>
      </c>
      <c r="I693" s="7" t="s">
        <v>3461</v>
      </c>
      <c r="J693" s="7" t="s">
        <v>227</v>
      </c>
      <c r="K693" s="7" t="s">
        <v>200</v>
      </c>
      <c r="L693" s="7" t="s">
        <v>2478</v>
      </c>
      <c r="M693" s="7" t="s">
        <v>1328</v>
      </c>
      <c r="N693" s="7" t="s">
        <v>3729</v>
      </c>
      <c r="O693" s="7" t="s">
        <v>3894</v>
      </c>
      <c r="P693" s="7">
        <v>8885694</v>
      </c>
      <c r="Q693" s="7" t="s">
        <v>6244</v>
      </c>
      <c r="R693" s="7" t="s">
        <v>5712</v>
      </c>
      <c r="S693" s="7" t="s">
        <v>234</v>
      </c>
      <c r="T693" s="7" t="s">
        <v>217</v>
      </c>
      <c r="U693" s="7" t="s">
        <v>2330</v>
      </c>
      <c r="V693" s="7" t="s">
        <v>6245</v>
      </c>
      <c r="W693" s="7" t="s">
        <v>227</v>
      </c>
      <c r="X693" s="7" t="s">
        <v>200</v>
      </c>
      <c r="Y693" s="7" t="s">
        <v>5969</v>
      </c>
      <c r="Z693" s="7" t="s">
        <v>5964</v>
      </c>
      <c r="AA693" s="7" t="s">
        <v>3617</v>
      </c>
      <c r="AB693" s="7" t="s">
        <v>5649</v>
      </c>
      <c r="AC693" s="7" t="s">
        <v>6246</v>
      </c>
      <c r="AD693" s="8">
        <v>46050</v>
      </c>
      <c r="AE693" s="8">
        <v>46356</v>
      </c>
      <c r="AF693" s="7"/>
    </row>
    <row r="694" spans="1:32" ht="30" customHeight="1" x14ac:dyDescent="0.3">
      <c r="A694" s="5">
        <v>8876746</v>
      </c>
      <c r="B694" s="5" t="s">
        <v>3480</v>
      </c>
      <c r="C694" s="5"/>
      <c r="D694" s="5" t="s">
        <v>3373</v>
      </c>
      <c r="E694" s="5" t="s">
        <v>203</v>
      </c>
      <c r="F694" s="5" t="s">
        <v>418</v>
      </c>
      <c r="G694" s="5" t="s">
        <v>208</v>
      </c>
      <c r="H694" s="5" t="s">
        <v>2330</v>
      </c>
      <c r="I694" s="5" t="s">
        <v>3223</v>
      </c>
      <c r="J694" s="5" t="s">
        <v>227</v>
      </c>
      <c r="K694" s="5" t="s">
        <v>200</v>
      </c>
      <c r="L694" s="5" t="s">
        <v>3224</v>
      </c>
      <c r="M694" s="5" t="s">
        <v>1369</v>
      </c>
      <c r="N694" s="5" t="s">
        <v>3729</v>
      </c>
      <c r="O694" s="5" t="s">
        <v>3912</v>
      </c>
      <c r="P694" s="5">
        <v>8885744</v>
      </c>
      <c r="Q694" s="5" t="s">
        <v>66</v>
      </c>
      <c r="R694" s="5" t="s">
        <v>5712</v>
      </c>
      <c r="S694" s="5" t="s">
        <v>234</v>
      </c>
      <c r="T694" s="5" t="s">
        <v>217</v>
      </c>
      <c r="U694" s="5" t="s">
        <v>2330</v>
      </c>
      <c r="V694" s="5" t="s">
        <v>772</v>
      </c>
      <c r="W694" s="5" t="s">
        <v>227</v>
      </c>
      <c r="X694" s="5" t="s">
        <v>200</v>
      </c>
      <c r="Y694" s="5" t="s">
        <v>5969</v>
      </c>
      <c r="Z694" s="5" t="s">
        <v>5964</v>
      </c>
      <c r="AA694" s="5" t="s">
        <v>3617</v>
      </c>
      <c r="AB694" s="5" t="s">
        <v>5649</v>
      </c>
      <c r="AC694" s="5" t="s">
        <v>6247</v>
      </c>
      <c r="AD694" s="6">
        <v>46049</v>
      </c>
      <c r="AE694" s="6">
        <v>46355</v>
      </c>
      <c r="AF694" s="5"/>
    </row>
    <row r="695" spans="1:32" ht="193.5" customHeight="1" x14ac:dyDescent="0.3">
      <c r="A695" s="7">
        <v>8870687</v>
      </c>
      <c r="B695" s="7" t="s">
        <v>3372</v>
      </c>
      <c r="C695" s="7" t="s">
        <v>6248</v>
      </c>
      <c r="D695" s="7" t="s">
        <v>198</v>
      </c>
      <c r="E695" s="7" t="s">
        <v>203</v>
      </c>
      <c r="F695" s="7" t="s">
        <v>418</v>
      </c>
      <c r="G695" s="7" t="s">
        <v>217</v>
      </c>
      <c r="H695" s="7" t="s">
        <v>2330</v>
      </c>
      <c r="I695" s="7" t="s">
        <v>3374</v>
      </c>
      <c r="J695" s="7" t="s">
        <v>227</v>
      </c>
      <c r="K695" s="7" t="s">
        <v>200</v>
      </c>
      <c r="L695" s="7" t="s">
        <v>3151</v>
      </c>
      <c r="M695" s="7" t="s">
        <v>1328</v>
      </c>
      <c r="N695" s="7" t="s">
        <v>3732</v>
      </c>
      <c r="O695" s="7" t="s">
        <v>3894</v>
      </c>
      <c r="P695" s="7">
        <v>8885591</v>
      </c>
      <c r="Q695" s="7" t="s">
        <v>6249</v>
      </c>
      <c r="R695" s="7" t="s">
        <v>5712</v>
      </c>
      <c r="S695" s="7" t="s">
        <v>234</v>
      </c>
      <c r="T695" s="7" t="s">
        <v>217</v>
      </c>
      <c r="U695" s="7" t="s">
        <v>2330</v>
      </c>
      <c r="V695" s="7" t="s">
        <v>6250</v>
      </c>
      <c r="W695" s="7" t="s">
        <v>227</v>
      </c>
      <c r="X695" s="7" t="s">
        <v>200</v>
      </c>
      <c r="Y695" s="7" t="s">
        <v>5969</v>
      </c>
      <c r="Z695" s="7" t="s">
        <v>5964</v>
      </c>
      <c r="AA695" s="7" t="s">
        <v>3617</v>
      </c>
      <c r="AB695" s="7" t="s">
        <v>5649</v>
      </c>
      <c r="AC695" s="7" t="s">
        <v>6251</v>
      </c>
      <c r="AD695" s="8">
        <v>46062</v>
      </c>
      <c r="AE695" s="8">
        <v>46356</v>
      </c>
      <c r="AF695" s="7"/>
    </row>
    <row r="696" spans="1:32" ht="81" customHeight="1" x14ac:dyDescent="0.3">
      <c r="A696" s="5">
        <v>8870913</v>
      </c>
      <c r="B696" s="5" t="s">
        <v>3409</v>
      </c>
      <c r="C696" s="5" t="s">
        <v>6252</v>
      </c>
      <c r="D696" s="5" t="s">
        <v>3373</v>
      </c>
      <c r="E696" s="5" t="s">
        <v>203</v>
      </c>
      <c r="F696" s="5" t="s">
        <v>613</v>
      </c>
      <c r="G696" s="5" t="s">
        <v>217</v>
      </c>
      <c r="H696" s="5" t="s">
        <v>207</v>
      </c>
      <c r="I696" s="5" t="s">
        <v>3410</v>
      </c>
      <c r="J696" s="5" t="s">
        <v>608</v>
      </c>
      <c r="K696" s="5" t="s">
        <v>200</v>
      </c>
      <c r="L696" s="5" t="s">
        <v>2532</v>
      </c>
      <c r="M696" s="5" t="s">
        <v>2459</v>
      </c>
      <c r="N696" s="5" t="s">
        <v>3732</v>
      </c>
      <c r="O696" s="5" t="s">
        <v>3843</v>
      </c>
      <c r="P696" s="5">
        <v>8885615</v>
      </c>
      <c r="Q696" s="5" t="s">
        <v>26</v>
      </c>
      <c r="R696" s="5" t="s">
        <v>5712</v>
      </c>
      <c r="S696" s="5" t="s">
        <v>234</v>
      </c>
      <c r="T696" s="5" t="s">
        <v>217</v>
      </c>
      <c r="U696" s="5" t="s">
        <v>207</v>
      </c>
      <c r="V696" s="5" t="s">
        <v>6253</v>
      </c>
      <c r="W696" s="5" t="s">
        <v>227</v>
      </c>
      <c r="X696" s="5" t="s">
        <v>200</v>
      </c>
      <c r="Y696" s="5" t="s">
        <v>5969</v>
      </c>
      <c r="Z696" s="5" t="s">
        <v>5964</v>
      </c>
      <c r="AA696" s="5" t="s">
        <v>3617</v>
      </c>
      <c r="AB696" s="5" t="s">
        <v>5649</v>
      </c>
      <c r="AC696" s="5" t="s">
        <v>6254</v>
      </c>
      <c r="AD696" s="6">
        <v>46049</v>
      </c>
      <c r="AE696" s="6">
        <v>46356</v>
      </c>
      <c r="AF696" s="5"/>
    </row>
    <row r="697" spans="1:32" ht="30" customHeight="1" x14ac:dyDescent="0.3">
      <c r="A697" s="7">
        <v>8874853</v>
      </c>
      <c r="B697" s="7" t="s">
        <v>3437</v>
      </c>
      <c r="C697" s="7" t="s">
        <v>6255</v>
      </c>
      <c r="D697" s="7" t="s">
        <v>3373</v>
      </c>
      <c r="E697" s="7" t="s">
        <v>203</v>
      </c>
      <c r="F697" s="7" t="s">
        <v>234</v>
      </c>
      <c r="G697" s="7" t="s">
        <v>208</v>
      </c>
      <c r="H697" s="7" t="s">
        <v>2330</v>
      </c>
      <c r="I697" s="7" t="s">
        <v>3438</v>
      </c>
      <c r="J697" s="7" t="s">
        <v>227</v>
      </c>
      <c r="K697" s="7" t="s">
        <v>200</v>
      </c>
      <c r="L697" s="7" t="s">
        <v>3439</v>
      </c>
      <c r="M697" s="7" t="s">
        <v>1328</v>
      </c>
      <c r="N697" s="7" t="s">
        <v>3729</v>
      </c>
      <c r="O697" s="7" t="s">
        <v>3894</v>
      </c>
      <c r="P697" s="7">
        <v>8885716</v>
      </c>
      <c r="Q697" s="7" t="s">
        <v>6256</v>
      </c>
      <c r="R697" s="7" t="s">
        <v>5712</v>
      </c>
      <c r="S697" s="7" t="s">
        <v>234</v>
      </c>
      <c r="T697" s="7" t="s">
        <v>217</v>
      </c>
      <c r="U697" s="7" t="s">
        <v>2330</v>
      </c>
      <c r="V697" s="7" t="s">
        <v>6257</v>
      </c>
      <c r="W697" s="7" t="s">
        <v>227</v>
      </c>
      <c r="X697" s="7" t="s">
        <v>200</v>
      </c>
      <c r="Y697" s="7" t="s">
        <v>5969</v>
      </c>
      <c r="Z697" s="7" t="s">
        <v>5964</v>
      </c>
      <c r="AA697" s="7" t="s">
        <v>3617</v>
      </c>
      <c r="AB697" s="7" t="s">
        <v>5649</v>
      </c>
      <c r="AC697" s="7" t="s">
        <v>6258</v>
      </c>
      <c r="AD697" s="8">
        <v>46062</v>
      </c>
      <c r="AE697" s="8">
        <v>46356</v>
      </c>
      <c r="AF697" s="7"/>
    </row>
    <row r="698" spans="1:32" ht="81" customHeight="1" x14ac:dyDescent="0.3">
      <c r="A698" s="5">
        <v>5166268</v>
      </c>
      <c r="B698" s="5" t="s">
        <v>2837</v>
      </c>
      <c r="C698" s="5" t="s">
        <v>6259</v>
      </c>
      <c r="D698" s="5" t="s">
        <v>3373</v>
      </c>
      <c r="E698" s="5" t="s">
        <v>203</v>
      </c>
      <c r="F698" s="5" t="s">
        <v>234</v>
      </c>
      <c r="G698" s="5" t="s">
        <v>208</v>
      </c>
      <c r="H698" s="5" t="s">
        <v>207</v>
      </c>
      <c r="I698" s="5" t="s">
        <v>2026</v>
      </c>
      <c r="J698" s="5" t="s">
        <v>227</v>
      </c>
      <c r="K698" s="5" t="s">
        <v>578</v>
      </c>
      <c r="L698" s="5" t="s">
        <v>2027</v>
      </c>
      <c r="M698" s="5" t="s">
        <v>540</v>
      </c>
      <c r="N698" s="5" t="s">
        <v>3623</v>
      </c>
      <c r="O698" s="5" t="s">
        <v>3894</v>
      </c>
      <c r="P698" s="5">
        <v>8885549</v>
      </c>
      <c r="Q698" s="5" t="s">
        <v>6260</v>
      </c>
      <c r="R698" s="5" t="s">
        <v>5712</v>
      </c>
      <c r="S698" s="5" t="s">
        <v>234</v>
      </c>
      <c r="T698" s="5" t="s">
        <v>208</v>
      </c>
      <c r="U698" s="5" t="s">
        <v>2330</v>
      </c>
      <c r="V698" s="5" t="s">
        <v>6261</v>
      </c>
      <c r="W698" s="5" t="s">
        <v>227</v>
      </c>
      <c r="X698" s="5" t="s">
        <v>200</v>
      </c>
      <c r="Y698" s="5" t="s">
        <v>5969</v>
      </c>
      <c r="Z698" s="5" t="s">
        <v>5964</v>
      </c>
      <c r="AA698" s="5" t="s">
        <v>3617</v>
      </c>
      <c r="AB698" s="5" t="s">
        <v>5649</v>
      </c>
      <c r="AC698" s="5" t="s">
        <v>6262</v>
      </c>
      <c r="AD698" s="6">
        <v>46054</v>
      </c>
      <c r="AE698" s="6">
        <v>46357</v>
      </c>
      <c r="AF698" s="5"/>
    </row>
    <row r="699" spans="1:32" ht="111.75" customHeight="1" x14ac:dyDescent="0.3">
      <c r="A699" s="7">
        <v>8870861</v>
      </c>
      <c r="B699" s="7" t="s">
        <v>3407</v>
      </c>
      <c r="C699" s="7" t="s">
        <v>6263</v>
      </c>
      <c r="D699" s="7" t="s">
        <v>198</v>
      </c>
      <c r="E699" s="7" t="s">
        <v>203</v>
      </c>
      <c r="F699" s="7" t="s">
        <v>418</v>
      </c>
      <c r="G699" s="7" t="s">
        <v>208</v>
      </c>
      <c r="H699" s="7" t="s">
        <v>207</v>
      </c>
      <c r="I699" s="7" t="s">
        <v>3408</v>
      </c>
      <c r="J699" s="7" t="s">
        <v>227</v>
      </c>
      <c r="K699" s="7" t="s">
        <v>200</v>
      </c>
      <c r="L699" s="7" t="s">
        <v>3131</v>
      </c>
      <c r="M699" s="7" t="s">
        <v>283</v>
      </c>
      <c r="N699" s="7" t="s">
        <v>3732</v>
      </c>
      <c r="O699" s="7" t="s">
        <v>3646</v>
      </c>
      <c r="P699" s="7">
        <v>8885801</v>
      </c>
      <c r="Q699" s="7" t="s">
        <v>6264</v>
      </c>
      <c r="R699" s="7" t="s">
        <v>5712</v>
      </c>
      <c r="S699" s="7" t="s">
        <v>234</v>
      </c>
      <c r="T699" s="7" t="s">
        <v>217</v>
      </c>
      <c r="U699" s="7" t="s">
        <v>2330</v>
      </c>
      <c r="V699" s="7" t="s">
        <v>6265</v>
      </c>
      <c r="W699" s="7" t="s">
        <v>227</v>
      </c>
      <c r="X699" s="7" t="s">
        <v>200</v>
      </c>
      <c r="Y699" s="7" t="s">
        <v>5969</v>
      </c>
      <c r="Z699" s="7" t="s">
        <v>5964</v>
      </c>
      <c r="AA699" s="7" t="s">
        <v>3617</v>
      </c>
      <c r="AB699" s="7" t="s">
        <v>5649</v>
      </c>
      <c r="AC699" s="7" t="s">
        <v>6266</v>
      </c>
      <c r="AD699" s="8">
        <v>46049</v>
      </c>
      <c r="AE699" s="8">
        <v>46414</v>
      </c>
      <c r="AF699" s="7"/>
    </row>
    <row r="700" spans="1:32" ht="122.25" customHeight="1" x14ac:dyDescent="0.3">
      <c r="A700" s="5">
        <v>8870861</v>
      </c>
      <c r="B700" s="5" t="s">
        <v>3407</v>
      </c>
      <c r="C700" s="5" t="s">
        <v>6267</v>
      </c>
      <c r="D700" s="5" t="s">
        <v>3373</v>
      </c>
      <c r="E700" s="5" t="s">
        <v>203</v>
      </c>
      <c r="F700" s="5" t="s">
        <v>418</v>
      </c>
      <c r="G700" s="5" t="s">
        <v>208</v>
      </c>
      <c r="H700" s="5" t="s">
        <v>207</v>
      </c>
      <c r="I700" s="5" t="s">
        <v>3408</v>
      </c>
      <c r="J700" s="5" t="s">
        <v>227</v>
      </c>
      <c r="K700" s="5" t="s">
        <v>200</v>
      </c>
      <c r="L700" s="5" t="s">
        <v>3131</v>
      </c>
      <c r="M700" s="5" t="s">
        <v>283</v>
      </c>
      <c r="N700" s="5" t="s">
        <v>3732</v>
      </c>
      <c r="O700" s="5" t="s">
        <v>3646</v>
      </c>
      <c r="P700" s="5">
        <v>8885702</v>
      </c>
      <c r="Q700" s="5" t="s">
        <v>90</v>
      </c>
      <c r="R700" s="5" t="s">
        <v>5712</v>
      </c>
      <c r="S700" s="5" t="s">
        <v>444</v>
      </c>
      <c r="T700" s="5" t="s">
        <v>217</v>
      </c>
      <c r="U700" s="5" t="s">
        <v>2330</v>
      </c>
      <c r="V700" s="5" t="s">
        <v>6268</v>
      </c>
      <c r="W700" s="5" t="s">
        <v>227</v>
      </c>
      <c r="X700" s="5" t="s">
        <v>200</v>
      </c>
      <c r="Y700" s="5" t="s">
        <v>5969</v>
      </c>
      <c r="Z700" s="5" t="s">
        <v>5964</v>
      </c>
      <c r="AA700" s="5" t="s">
        <v>3617</v>
      </c>
      <c r="AB700" s="5" t="s">
        <v>5649</v>
      </c>
      <c r="AC700" s="5" t="s">
        <v>6269</v>
      </c>
      <c r="AD700" s="6">
        <v>46049</v>
      </c>
      <c r="AE700" s="6">
        <v>46356</v>
      </c>
      <c r="AF700" s="5"/>
    </row>
    <row r="701" spans="1:32" ht="102" customHeight="1" x14ac:dyDescent="0.3">
      <c r="A701" s="7">
        <v>3342913</v>
      </c>
      <c r="B701" s="7" t="s">
        <v>1200</v>
      </c>
      <c r="C701" s="7" t="s">
        <v>6270</v>
      </c>
      <c r="D701" s="7" t="s">
        <v>198</v>
      </c>
      <c r="E701" s="7" t="s">
        <v>203</v>
      </c>
      <c r="F701" s="7" t="s">
        <v>234</v>
      </c>
      <c r="G701" s="7" t="s">
        <v>208</v>
      </c>
      <c r="H701" s="7" t="s">
        <v>245</v>
      </c>
      <c r="I701" s="7" t="s">
        <v>1201</v>
      </c>
      <c r="J701" s="7" t="s">
        <v>227</v>
      </c>
      <c r="K701" s="7" t="s">
        <v>200</v>
      </c>
      <c r="L701" s="7" t="s">
        <v>1202</v>
      </c>
      <c r="M701" s="7" t="s">
        <v>1203</v>
      </c>
      <c r="N701" s="7" t="s">
        <v>3602</v>
      </c>
      <c r="O701" s="7" t="s">
        <v>3743</v>
      </c>
      <c r="P701" s="7">
        <v>8877383</v>
      </c>
      <c r="Q701" s="7" t="s">
        <v>6271</v>
      </c>
      <c r="R701" s="7" t="s">
        <v>203</v>
      </c>
      <c r="S701" s="7" t="s">
        <v>234</v>
      </c>
      <c r="T701" s="7" t="s">
        <v>217</v>
      </c>
      <c r="U701" s="7" t="s">
        <v>2330</v>
      </c>
      <c r="V701" s="7" t="s">
        <v>6272</v>
      </c>
      <c r="W701" s="7" t="s">
        <v>227</v>
      </c>
      <c r="X701" s="7" t="s">
        <v>200</v>
      </c>
      <c r="Y701" s="7" t="s">
        <v>2999</v>
      </c>
      <c r="Z701" s="7" t="s">
        <v>6273</v>
      </c>
      <c r="AA701" s="7" t="s">
        <v>3729</v>
      </c>
      <c r="AB701" s="7" t="s">
        <v>4011</v>
      </c>
      <c r="AC701" s="7" t="s">
        <v>6274</v>
      </c>
      <c r="AD701" s="8">
        <v>46065</v>
      </c>
      <c r="AE701" s="7"/>
      <c r="AF701" s="7"/>
    </row>
    <row r="702" spans="1:32" ht="285" customHeight="1" x14ac:dyDescent="0.3">
      <c r="A702" s="5">
        <v>4913930</v>
      </c>
      <c r="B702" s="5" t="s">
        <v>2427</v>
      </c>
      <c r="C702" s="5" t="s">
        <v>6275</v>
      </c>
      <c r="D702" s="5" t="s">
        <v>198</v>
      </c>
      <c r="E702" s="5" t="s">
        <v>203</v>
      </c>
      <c r="F702" s="5" t="s">
        <v>234</v>
      </c>
      <c r="G702" s="5" t="s">
        <v>208</v>
      </c>
      <c r="H702" s="5" t="s">
        <v>207</v>
      </c>
      <c r="I702" s="5" t="s">
        <v>2428</v>
      </c>
      <c r="J702" s="5" t="s">
        <v>227</v>
      </c>
      <c r="K702" s="5" t="s">
        <v>200</v>
      </c>
      <c r="L702" s="5" t="s">
        <v>2429</v>
      </c>
      <c r="M702" s="5" t="s">
        <v>2097</v>
      </c>
      <c r="N702" s="5" t="s">
        <v>3623</v>
      </c>
      <c r="O702" s="5" t="s">
        <v>3894</v>
      </c>
      <c r="P702" s="5">
        <v>8877608</v>
      </c>
      <c r="Q702" s="5" t="s">
        <v>6276</v>
      </c>
      <c r="R702" s="5" t="s">
        <v>203</v>
      </c>
      <c r="S702" s="5" t="s">
        <v>234</v>
      </c>
      <c r="T702" s="5" t="s">
        <v>208</v>
      </c>
      <c r="U702" s="5" t="s">
        <v>2330</v>
      </c>
      <c r="V702" s="5" t="s">
        <v>6277</v>
      </c>
      <c r="W702" s="5" t="s">
        <v>227</v>
      </c>
      <c r="X702" s="5" t="s">
        <v>200</v>
      </c>
      <c r="Y702" s="5" t="s">
        <v>6278</v>
      </c>
      <c r="Z702" s="5" t="s">
        <v>4169</v>
      </c>
      <c r="AA702" s="5" t="s">
        <v>3729</v>
      </c>
      <c r="AB702" s="5" t="s">
        <v>3912</v>
      </c>
      <c r="AC702" s="5" t="s">
        <v>6279</v>
      </c>
      <c r="AD702" s="6">
        <v>46073</v>
      </c>
      <c r="AE702" s="6">
        <v>46101</v>
      </c>
      <c r="AF702" s="5"/>
    </row>
    <row r="703" spans="1:32" ht="183" customHeight="1" x14ac:dyDescent="0.3">
      <c r="A703" s="7">
        <v>8879012</v>
      </c>
      <c r="B703" s="7" t="s">
        <v>3542</v>
      </c>
      <c r="C703" s="7" t="s">
        <v>6280</v>
      </c>
      <c r="D703" s="7" t="s">
        <v>3373</v>
      </c>
      <c r="E703" s="7" t="s">
        <v>203</v>
      </c>
      <c r="F703" s="7" t="s">
        <v>433</v>
      </c>
      <c r="G703" s="7" t="s">
        <v>208</v>
      </c>
      <c r="H703" s="7" t="s">
        <v>2330</v>
      </c>
      <c r="I703" s="7" t="s">
        <v>3543</v>
      </c>
      <c r="J703" s="7" t="s">
        <v>227</v>
      </c>
      <c r="K703" s="7" t="s">
        <v>200</v>
      </c>
      <c r="L703" s="7" t="s">
        <v>2818</v>
      </c>
      <c r="M703" s="7" t="s">
        <v>1203</v>
      </c>
      <c r="N703" s="7" t="s">
        <v>3729</v>
      </c>
      <c r="O703" s="7" t="s">
        <v>3743</v>
      </c>
      <c r="P703" s="7">
        <v>8884134</v>
      </c>
      <c r="Q703" s="7" t="s">
        <v>128</v>
      </c>
      <c r="R703" s="7" t="s">
        <v>5712</v>
      </c>
      <c r="S703" s="7" t="s">
        <v>234</v>
      </c>
      <c r="T703" s="7" t="s">
        <v>208</v>
      </c>
      <c r="U703" s="7" t="s">
        <v>2330</v>
      </c>
      <c r="V703" s="7" t="s">
        <v>1922</v>
      </c>
      <c r="W703" s="7" t="s">
        <v>227</v>
      </c>
      <c r="X703" s="7" t="s">
        <v>200</v>
      </c>
      <c r="Y703" s="7" t="s">
        <v>5963</v>
      </c>
      <c r="Z703" s="7" t="s">
        <v>5964</v>
      </c>
      <c r="AA703" s="7" t="s">
        <v>3617</v>
      </c>
      <c r="AB703" s="7" t="s">
        <v>5649</v>
      </c>
      <c r="AC703" s="7" t="s">
        <v>6281</v>
      </c>
      <c r="AD703" s="8">
        <v>46048</v>
      </c>
      <c r="AE703" s="8">
        <v>46295</v>
      </c>
      <c r="AF703" s="7"/>
    </row>
    <row r="704" spans="1:32" ht="173.25" customHeight="1" x14ac:dyDescent="0.3">
      <c r="A704" s="5">
        <v>4804325</v>
      </c>
      <c r="B704" s="5" t="s">
        <v>2192</v>
      </c>
      <c r="C704" s="5" t="s">
        <v>6282</v>
      </c>
      <c r="D704" s="5" t="s">
        <v>198</v>
      </c>
      <c r="E704" s="5" t="s">
        <v>203</v>
      </c>
      <c r="F704" s="5" t="s">
        <v>234</v>
      </c>
      <c r="G704" s="5" t="s">
        <v>208</v>
      </c>
      <c r="H704" s="5" t="s">
        <v>207</v>
      </c>
      <c r="I704" s="5" t="s">
        <v>2096</v>
      </c>
      <c r="J704" s="5" t="s">
        <v>227</v>
      </c>
      <c r="K704" s="5" t="s">
        <v>200</v>
      </c>
      <c r="L704" s="5" t="s">
        <v>1418</v>
      </c>
      <c r="M704" s="5" t="s">
        <v>2097</v>
      </c>
      <c r="N704" s="5" t="s">
        <v>3608</v>
      </c>
      <c r="O704" s="5" t="s">
        <v>3894</v>
      </c>
      <c r="P704" s="5">
        <v>8886252</v>
      </c>
      <c r="Q704" s="5" t="s">
        <v>6283</v>
      </c>
      <c r="R704" s="5" t="s">
        <v>203</v>
      </c>
      <c r="S704" s="5" t="s">
        <v>234</v>
      </c>
      <c r="T704" s="5" t="s">
        <v>217</v>
      </c>
      <c r="U704" s="5" t="s">
        <v>2330</v>
      </c>
      <c r="V704" s="5" t="s">
        <v>6284</v>
      </c>
      <c r="W704" s="5" t="s">
        <v>227</v>
      </c>
      <c r="X704" s="5" t="s">
        <v>200</v>
      </c>
      <c r="Y704" s="5" t="s">
        <v>6285</v>
      </c>
      <c r="Z704" s="5" t="s">
        <v>1369</v>
      </c>
      <c r="AA704" s="5" t="s">
        <v>3617</v>
      </c>
      <c r="AB704" s="5" t="s">
        <v>3912</v>
      </c>
      <c r="AC704" s="5" t="s">
        <v>6286</v>
      </c>
      <c r="AD704" s="6">
        <v>46062</v>
      </c>
      <c r="AE704" s="6">
        <v>46354</v>
      </c>
      <c r="AF704" s="5"/>
    </row>
    <row r="705" spans="1:32" ht="40.5" customHeight="1" x14ac:dyDescent="0.3">
      <c r="A705" s="7">
        <v>8870813</v>
      </c>
      <c r="B705" s="7" t="s">
        <v>3392</v>
      </c>
      <c r="C705" s="7"/>
      <c r="D705" s="7" t="s">
        <v>3373</v>
      </c>
      <c r="E705" s="7" t="s">
        <v>203</v>
      </c>
      <c r="F705" s="7" t="s">
        <v>234</v>
      </c>
      <c r="G705" s="7" t="s">
        <v>217</v>
      </c>
      <c r="H705" s="7" t="s">
        <v>2330</v>
      </c>
      <c r="I705" s="7" t="s">
        <v>3393</v>
      </c>
      <c r="J705" s="7" t="s">
        <v>227</v>
      </c>
      <c r="K705" s="7" t="s">
        <v>200</v>
      </c>
      <c r="L705" s="7" t="s">
        <v>2567</v>
      </c>
      <c r="M705" s="7" t="s">
        <v>3394</v>
      </c>
      <c r="N705" s="7" t="s">
        <v>3732</v>
      </c>
      <c r="O705" s="7" t="s">
        <v>3609</v>
      </c>
      <c r="P705" s="7">
        <v>8884126</v>
      </c>
      <c r="Q705" s="7" t="s">
        <v>96</v>
      </c>
      <c r="R705" s="7" t="s">
        <v>5712</v>
      </c>
      <c r="S705" s="7" t="s">
        <v>418</v>
      </c>
      <c r="T705" s="7" t="s">
        <v>217</v>
      </c>
      <c r="U705" s="7" t="s">
        <v>2330</v>
      </c>
      <c r="V705" s="7" t="s">
        <v>6287</v>
      </c>
      <c r="W705" s="7" t="s">
        <v>227</v>
      </c>
      <c r="X705" s="7" t="s">
        <v>200</v>
      </c>
      <c r="Y705" s="7" t="s">
        <v>5963</v>
      </c>
      <c r="Z705" s="7" t="s">
        <v>5964</v>
      </c>
      <c r="AA705" s="7" t="s">
        <v>3617</v>
      </c>
      <c r="AB705" s="7" t="s">
        <v>5649</v>
      </c>
      <c r="AC705" s="7" t="s">
        <v>6288</v>
      </c>
      <c r="AD705" s="8">
        <v>46058</v>
      </c>
      <c r="AE705" s="8">
        <v>46300</v>
      </c>
      <c r="AF705" s="7"/>
    </row>
    <row r="706" spans="1:32" ht="102" customHeight="1" x14ac:dyDescent="0.3">
      <c r="A706" s="5">
        <v>2991004</v>
      </c>
      <c r="B706" s="5" t="s">
        <v>766</v>
      </c>
      <c r="C706" s="5" t="s">
        <v>6289</v>
      </c>
      <c r="D706" s="5" t="s">
        <v>198</v>
      </c>
      <c r="E706" s="5" t="s">
        <v>203</v>
      </c>
      <c r="F706" s="5" t="s">
        <v>234</v>
      </c>
      <c r="G706" s="5" t="s">
        <v>208</v>
      </c>
      <c r="H706" s="5" t="s">
        <v>245</v>
      </c>
      <c r="I706" s="5" t="s">
        <v>767</v>
      </c>
      <c r="J706" s="5" t="s">
        <v>227</v>
      </c>
      <c r="K706" s="5" t="s">
        <v>200</v>
      </c>
      <c r="L706" s="5" t="s">
        <v>768</v>
      </c>
      <c r="M706" s="5" t="s">
        <v>769</v>
      </c>
      <c r="N706" s="5" t="s">
        <v>3602</v>
      </c>
      <c r="O706" s="5" t="s">
        <v>3715</v>
      </c>
      <c r="P706" s="5">
        <v>5524563</v>
      </c>
      <c r="Q706" s="5" t="s">
        <v>6290</v>
      </c>
      <c r="R706" s="5" t="s">
        <v>203</v>
      </c>
      <c r="S706" s="5" t="s">
        <v>234</v>
      </c>
      <c r="T706" s="5" t="s">
        <v>217</v>
      </c>
      <c r="U706" s="5" t="s">
        <v>245</v>
      </c>
      <c r="V706" s="5" t="s">
        <v>6291</v>
      </c>
      <c r="W706" s="5" t="s">
        <v>227</v>
      </c>
      <c r="X706" s="5" t="s">
        <v>200</v>
      </c>
      <c r="Y706" s="5" t="s">
        <v>784</v>
      </c>
      <c r="Z706" s="5" t="s">
        <v>1067</v>
      </c>
      <c r="AA706" s="5" t="s">
        <v>3612</v>
      </c>
      <c r="AB706" s="5" t="s">
        <v>3715</v>
      </c>
      <c r="AC706" s="5" t="s">
        <v>6292</v>
      </c>
      <c r="AD706" s="6">
        <v>46065</v>
      </c>
      <c r="AE706" s="6">
        <v>46154</v>
      </c>
      <c r="AF706" s="5"/>
    </row>
    <row r="707" spans="1:32" ht="40.5" customHeight="1" x14ac:dyDescent="0.3">
      <c r="A707" s="7">
        <v>8877028</v>
      </c>
      <c r="B707" s="7" t="s">
        <v>3499</v>
      </c>
      <c r="C707" s="7" t="s">
        <v>6293</v>
      </c>
      <c r="D707" s="7" t="s">
        <v>3373</v>
      </c>
      <c r="E707" s="7" t="s">
        <v>203</v>
      </c>
      <c r="F707" s="7" t="s">
        <v>234</v>
      </c>
      <c r="G707" s="7" t="s">
        <v>208</v>
      </c>
      <c r="H707" s="7" t="s">
        <v>2330</v>
      </c>
      <c r="I707" s="7" t="s">
        <v>3500</v>
      </c>
      <c r="J707" s="7" t="s">
        <v>227</v>
      </c>
      <c r="K707" s="7" t="s">
        <v>200</v>
      </c>
      <c r="L707" s="7" t="s">
        <v>3501</v>
      </c>
      <c r="M707" s="7" t="s">
        <v>3502</v>
      </c>
      <c r="N707" s="7" t="s">
        <v>3729</v>
      </c>
      <c r="O707" s="7" t="s">
        <v>5649</v>
      </c>
      <c r="P707" s="7">
        <v>8885796</v>
      </c>
      <c r="Q707" s="7" t="s">
        <v>6294</v>
      </c>
      <c r="R707" s="7" t="s">
        <v>5712</v>
      </c>
      <c r="S707" s="7" t="s">
        <v>234</v>
      </c>
      <c r="T707" s="7" t="s">
        <v>217</v>
      </c>
      <c r="U707" s="7" t="s">
        <v>207</v>
      </c>
      <c r="V707" s="7" t="s">
        <v>6295</v>
      </c>
      <c r="W707" s="7" t="s">
        <v>227</v>
      </c>
      <c r="X707" s="7" t="s">
        <v>200</v>
      </c>
      <c r="Y707" s="7" t="s">
        <v>5969</v>
      </c>
      <c r="Z707" s="7" t="s">
        <v>5964</v>
      </c>
      <c r="AA707" s="7" t="s">
        <v>3617</v>
      </c>
      <c r="AB707" s="7" t="s">
        <v>5649</v>
      </c>
      <c r="AC707" s="7" t="s">
        <v>6296</v>
      </c>
      <c r="AD707" s="8">
        <v>46063</v>
      </c>
      <c r="AE707" s="7"/>
      <c r="AF707" s="7"/>
    </row>
    <row r="708" spans="1:32" ht="102" customHeight="1" x14ac:dyDescent="0.3">
      <c r="A708" s="5">
        <v>8870827</v>
      </c>
      <c r="B708" s="5" t="s">
        <v>3397</v>
      </c>
      <c r="C708" s="5" t="s">
        <v>6297</v>
      </c>
      <c r="D708" s="5" t="s">
        <v>3373</v>
      </c>
      <c r="E708" s="5" t="s">
        <v>203</v>
      </c>
      <c r="F708" s="5" t="s">
        <v>234</v>
      </c>
      <c r="G708" s="5" t="s">
        <v>217</v>
      </c>
      <c r="H708" s="5" t="s">
        <v>2330</v>
      </c>
      <c r="I708" s="5" t="s">
        <v>3398</v>
      </c>
      <c r="J708" s="5" t="s">
        <v>227</v>
      </c>
      <c r="K708" s="5" t="s">
        <v>200</v>
      </c>
      <c r="L708" s="5" t="s">
        <v>3399</v>
      </c>
      <c r="M708" s="5" t="s">
        <v>1328</v>
      </c>
      <c r="N708" s="5" t="s">
        <v>3732</v>
      </c>
      <c r="O708" s="5" t="s">
        <v>3894</v>
      </c>
      <c r="P708" s="5">
        <v>8884149</v>
      </c>
      <c r="Q708" s="5" t="s">
        <v>48</v>
      </c>
      <c r="R708" s="5" t="s">
        <v>5712</v>
      </c>
      <c r="S708" s="5" t="s">
        <v>234</v>
      </c>
      <c r="T708" s="5" t="s">
        <v>217</v>
      </c>
      <c r="U708" s="5" t="s">
        <v>2330</v>
      </c>
      <c r="V708" s="5" t="s">
        <v>5962</v>
      </c>
      <c r="W708" s="5" t="s">
        <v>227</v>
      </c>
      <c r="X708" s="5" t="s">
        <v>200</v>
      </c>
      <c r="Y708" s="5" t="s">
        <v>5963</v>
      </c>
      <c r="Z708" s="5" t="s">
        <v>5964</v>
      </c>
      <c r="AA708" s="5" t="s">
        <v>3617</v>
      </c>
      <c r="AB708" s="5" t="s">
        <v>5649</v>
      </c>
      <c r="AC708" s="5" t="s">
        <v>6298</v>
      </c>
      <c r="AD708" s="6">
        <v>46049</v>
      </c>
      <c r="AE708" s="6">
        <v>46295</v>
      </c>
      <c r="AF708" s="5"/>
    </row>
    <row r="709" spans="1:32" ht="91.5" customHeight="1" x14ac:dyDescent="0.3">
      <c r="A709" s="7">
        <v>8870827</v>
      </c>
      <c r="B709" s="7" t="s">
        <v>3397</v>
      </c>
      <c r="C709" s="7" t="s">
        <v>6299</v>
      </c>
      <c r="D709" s="7" t="s">
        <v>3373</v>
      </c>
      <c r="E709" s="7" t="s">
        <v>203</v>
      </c>
      <c r="F709" s="7" t="s">
        <v>234</v>
      </c>
      <c r="G709" s="7" t="s">
        <v>217</v>
      </c>
      <c r="H709" s="7" t="s">
        <v>2330</v>
      </c>
      <c r="I709" s="7" t="s">
        <v>3398</v>
      </c>
      <c r="J709" s="7" t="s">
        <v>227</v>
      </c>
      <c r="K709" s="7" t="s">
        <v>200</v>
      </c>
      <c r="L709" s="7" t="s">
        <v>3399</v>
      </c>
      <c r="M709" s="7" t="s">
        <v>1328</v>
      </c>
      <c r="N709" s="7" t="s">
        <v>3732</v>
      </c>
      <c r="O709" s="7" t="s">
        <v>3894</v>
      </c>
      <c r="P709" s="7">
        <v>8884241</v>
      </c>
      <c r="Q709" s="7" t="s">
        <v>6300</v>
      </c>
      <c r="R709" s="7" t="s">
        <v>5712</v>
      </c>
      <c r="S709" s="7" t="s">
        <v>234</v>
      </c>
      <c r="T709" s="7" t="s">
        <v>217</v>
      </c>
      <c r="U709" s="7" t="s">
        <v>207</v>
      </c>
      <c r="V709" s="7" t="s">
        <v>5962</v>
      </c>
      <c r="W709" s="7" t="s">
        <v>227</v>
      </c>
      <c r="X709" s="7" t="s">
        <v>200</v>
      </c>
      <c r="Y709" s="7" t="s">
        <v>5963</v>
      </c>
      <c r="Z709" s="7" t="s">
        <v>5964</v>
      </c>
      <c r="AA709" s="7" t="s">
        <v>3617</v>
      </c>
      <c r="AB709" s="7" t="s">
        <v>5649</v>
      </c>
      <c r="AC709" s="7" t="s">
        <v>6301</v>
      </c>
      <c r="AD709" s="8">
        <v>46049</v>
      </c>
      <c r="AE709" s="8">
        <v>46295</v>
      </c>
      <c r="AF709" s="7"/>
    </row>
    <row r="710" spans="1:32" ht="30" customHeight="1" x14ac:dyDescent="0.3">
      <c r="A710" s="5">
        <v>3847764</v>
      </c>
      <c r="B710" s="5" t="s">
        <v>1724</v>
      </c>
      <c r="C710" s="5" t="s">
        <v>6302</v>
      </c>
      <c r="D710" s="5" t="s">
        <v>198</v>
      </c>
      <c r="E710" s="5" t="s">
        <v>203</v>
      </c>
      <c r="F710" s="5" t="s">
        <v>444</v>
      </c>
      <c r="G710" s="5" t="s">
        <v>208</v>
      </c>
      <c r="H710" s="5" t="s">
        <v>207</v>
      </c>
      <c r="I710" s="5" t="s">
        <v>1725</v>
      </c>
      <c r="J710" s="5" t="s">
        <v>227</v>
      </c>
      <c r="K710" s="5" t="s">
        <v>200</v>
      </c>
      <c r="L710" s="5" t="s">
        <v>1726</v>
      </c>
      <c r="M710" s="5" t="s">
        <v>1215</v>
      </c>
      <c r="N710" s="5" t="s">
        <v>3608</v>
      </c>
      <c r="O710" s="5" t="s">
        <v>3763</v>
      </c>
      <c r="P710" s="5">
        <v>5695368</v>
      </c>
      <c r="Q710" s="5" t="s">
        <v>6303</v>
      </c>
      <c r="R710" s="5" t="s">
        <v>203</v>
      </c>
      <c r="S710" s="5" t="s">
        <v>444</v>
      </c>
      <c r="T710" s="5" t="s">
        <v>208</v>
      </c>
      <c r="U710" s="5" t="s">
        <v>2330</v>
      </c>
      <c r="V710" s="5" t="s">
        <v>6304</v>
      </c>
      <c r="W710" s="5" t="s">
        <v>227</v>
      </c>
      <c r="X710" s="5" t="s">
        <v>200</v>
      </c>
      <c r="Y710" s="5" t="s">
        <v>456</v>
      </c>
      <c r="Z710" s="5" t="s">
        <v>1723</v>
      </c>
      <c r="AA710" s="5" t="s">
        <v>3732</v>
      </c>
      <c r="AB710" s="5" t="s">
        <v>3646</v>
      </c>
      <c r="AC710" s="5" t="s">
        <v>6305</v>
      </c>
      <c r="AD710" s="6">
        <v>46034</v>
      </c>
      <c r="AE710" s="6">
        <v>46215</v>
      </c>
      <c r="AF710" s="5"/>
    </row>
    <row r="711" spans="1:32" ht="111.75" customHeight="1" x14ac:dyDescent="0.3">
      <c r="A711" s="7">
        <v>8872041</v>
      </c>
      <c r="B711" s="7" t="s">
        <v>3424</v>
      </c>
      <c r="C711" s="7" t="s">
        <v>6306</v>
      </c>
      <c r="D711" s="7" t="s">
        <v>3373</v>
      </c>
      <c r="E711" s="7" t="s">
        <v>203</v>
      </c>
      <c r="F711" s="7" t="s">
        <v>234</v>
      </c>
      <c r="G711" s="7" t="s">
        <v>208</v>
      </c>
      <c r="H711" s="7" t="s">
        <v>2330</v>
      </c>
      <c r="I711" s="7" t="s">
        <v>3106</v>
      </c>
      <c r="J711" s="7" t="s">
        <v>227</v>
      </c>
      <c r="K711" s="7" t="s">
        <v>200</v>
      </c>
      <c r="L711" s="7" t="s">
        <v>3107</v>
      </c>
      <c r="M711" s="7" t="s">
        <v>982</v>
      </c>
      <c r="N711" s="7" t="s">
        <v>3729</v>
      </c>
      <c r="O711" s="7" t="s">
        <v>3725</v>
      </c>
      <c r="P711" s="7">
        <v>8885566</v>
      </c>
      <c r="Q711" s="7" t="s">
        <v>76</v>
      </c>
      <c r="R711" s="7" t="s">
        <v>5712</v>
      </c>
      <c r="S711" s="7" t="s">
        <v>234</v>
      </c>
      <c r="T711" s="7" t="s">
        <v>208</v>
      </c>
      <c r="U711" s="7" t="s">
        <v>2330</v>
      </c>
      <c r="V711" s="7" t="s">
        <v>6307</v>
      </c>
      <c r="W711" s="7" t="s">
        <v>227</v>
      </c>
      <c r="X711" s="7" t="s">
        <v>200</v>
      </c>
      <c r="Y711" s="7" t="s">
        <v>5969</v>
      </c>
      <c r="Z711" s="7" t="s">
        <v>5964</v>
      </c>
      <c r="AA711" s="7" t="s">
        <v>3617</v>
      </c>
      <c r="AB711" s="7" t="s">
        <v>5649</v>
      </c>
      <c r="AC711" s="7" t="s">
        <v>6308</v>
      </c>
      <c r="AD711" s="8">
        <v>45992</v>
      </c>
      <c r="AE711" s="8">
        <v>46356</v>
      </c>
      <c r="AF711" s="7"/>
    </row>
    <row r="712" spans="1:32" ht="51" customHeight="1" x14ac:dyDescent="0.3">
      <c r="A712" s="5">
        <v>4820851</v>
      </c>
      <c r="B712" s="5" t="s">
        <v>2222</v>
      </c>
      <c r="C712" s="5" t="s">
        <v>6309</v>
      </c>
      <c r="D712" s="5" t="s">
        <v>198</v>
      </c>
      <c r="E712" s="5" t="s">
        <v>203</v>
      </c>
      <c r="F712" s="5" t="s">
        <v>234</v>
      </c>
      <c r="G712" s="5" t="s">
        <v>208</v>
      </c>
      <c r="H712" s="5" t="s">
        <v>207</v>
      </c>
      <c r="I712" s="5" t="s">
        <v>2223</v>
      </c>
      <c r="J712" s="5" t="s">
        <v>227</v>
      </c>
      <c r="K712" s="5" t="s">
        <v>888</v>
      </c>
      <c r="L712" s="5" t="s">
        <v>2224</v>
      </c>
      <c r="M712" s="5" t="s">
        <v>2225</v>
      </c>
      <c r="N712" s="5" t="s">
        <v>3617</v>
      </c>
      <c r="O712" s="5" t="s">
        <v>3837</v>
      </c>
      <c r="P712" s="5">
        <v>4757777</v>
      </c>
      <c r="Q712" s="5" t="s">
        <v>6310</v>
      </c>
      <c r="R712" s="5" t="s">
        <v>203</v>
      </c>
      <c r="S712" s="5" t="s">
        <v>234</v>
      </c>
      <c r="T712" s="5" t="s">
        <v>217</v>
      </c>
      <c r="U712" s="5" t="s">
        <v>2330</v>
      </c>
      <c r="V712" s="5" t="s">
        <v>6311</v>
      </c>
      <c r="W712" s="5" t="s">
        <v>227</v>
      </c>
      <c r="X712" s="5" t="s">
        <v>200</v>
      </c>
      <c r="Y712" s="5" t="s">
        <v>6312</v>
      </c>
      <c r="Z712" s="5" t="s">
        <v>6313</v>
      </c>
      <c r="AA712" s="5" t="s">
        <v>3623</v>
      </c>
      <c r="AB712" s="5" t="s">
        <v>3886</v>
      </c>
      <c r="AC712" s="5" t="s">
        <v>6314</v>
      </c>
      <c r="AD712" s="6">
        <v>46058</v>
      </c>
      <c r="AE712" s="5"/>
      <c r="AF712" s="5"/>
    </row>
    <row r="713" spans="1:32" ht="111.75" customHeight="1" x14ac:dyDescent="0.3">
      <c r="A713" s="7">
        <v>5349222</v>
      </c>
      <c r="B713" s="7" t="s">
        <v>3171</v>
      </c>
      <c r="C713" s="7" t="s">
        <v>6315</v>
      </c>
      <c r="D713" s="7" t="s">
        <v>862</v>
      </c>
      <c r="E713" s="7" t="s">
        <v>203</v>
      </c>
      <c r="F713" s="7" t="s">
        <v>433</v>
      </c>
      <c r="G713" s="7" t="s">
        <v>208</v>
      </c>
      <c r="H713" s="7" t="s">
        <v>207</v>
      </c>
      <c r="I713" s="7" t="s">
        <v>3173</v>
      </c>
      <c r="J713" s="7" t="s">
        <v>227</v>
      </c>
      <c r="K713" s="7" t="s">
        <v>200</v>
      </c>
      <c r="L713" s="7" t="s">
        <v>3174</v>
      </c>
      <c r="M713" s="7" t="s">
        <v>2013</v>
      </c>
      <c r="N713" s="7" t="s">
        <v>3612</v>
      </c>
      <c r="O713" s="7" t="s">
        <v>3743</v>
      </c>
      <c r="P713" s="7">
        <v>8881974</v>
      </c>
      <c r="Q713" s="7" t="s">
        <v>6316</v>
      </c>
      <c r="R713" s="7" t="s">
        <v>203</v>
      </c>
      <c r="S713" s="7" t="s">
        <v>234</v>
      </c>
      <c r="T713" s="7" t="s">
        <v>208</v>
      </c>
      <c r="U713" s="7" t="s">
        <v>207</v>
      </c>
      <c r="V713" s="7" t="s">
        <v>3173</v>
      </c>
      <c r="W713" s="7" t="s">
        <v>227</v>
      </c>
      <c r="X713" s="7" t="s">
        <v>200</v>
      </c>
      <c r="Y713" s="7" t="s">
        <v>3174</v>
      </c>
      <c r="Z713" s="7" t="s">
        <v>982</v>
      </c>
      <c r="AA713" s="7" t="s">
        <v>3617</v>
      </c>
      <c r="AB713" s="7" t="s">
        <v>3725</v>
      </c>
      <c r="AC713" s="7" t="s">
        <v>6317</v>
      </c>
      <c r="AD713" s="8">
        <v>46044</v>
      </c>
      <c r="AE713" s="8">
        <v>46203</v>
      </c>
      <c r="AF713" s="7"/>
    </row>
    <row r="714" spans="1:32" ht="183" customHeight="1" x14ac:dyDescent="0.3">
      <c r="A714" s="5">
        <v>4815289</v>
      </c>
      <c r="B714" s="5" t="s">
        <v>2208</v>
      </c>
      <c r="C714" s="5" t="s">
        <v>6318</v>
      </c>
      <c r="D714" s="5" t="s">
        <v>3373</v>
      </c>
      <c r="E714" s="5" t="s">
        <v>203</v>
      </c>
      <c r="F714" s="5" t="s">
        <v>418</v>
      </c>
      <c r="G714" s="5" t="s">
        <v>208</v>
      </c>
      <c r="H714" s="5" t="s">
        <v>207</v>
      </c>
      <c r="I714" s="5" t="s">
        <v>2209</v>
      </c>
      <c r="J714" s="5" t="s">
        <v>227</v>
      </c>
      <c r="K714" s="5" t="s">
        <v>200</v>
      </c>
      <c r="L714" s="5" t="s">
        <v>2210</v>
      </c>
      <c r="M714" s="5" t="s">
        <v>1007</v>
      </c>
      <c r="N714" s="5" t="s">
        <v>3623</v>
      </c>
      <c r="O714" s="5" t="s">
        <v>4181</v>
      </c>
      <c r="P714" s="5">
        <v>5501954</v>
      </c>
      <c r="Q714" s="5" t="s">
        <v>6319</v>
      </c>
      <c r="R714" s="5" t="s">
        <v>203</v>
      </c>
      <c r="S714" s="5" t="s">
        <v>234</v>
      </c>
      <c r="T714" s="5" t="s">
        <v>217</v>
      </c>
      <c r="U714" s="5" t="s">
        <v>207</v>
      </c>
      <c r="V714" s="5" t="s">
        <v>3186</v>
      </c>
      <c r="W714" s="5" t="s">
        <v>227</v>
      </c>
      <c r="X714" s="5" t="s">
        <v>200</v>
      </c>
      <c r="Y714" s="5" t="s">
        <v>2210</v>
      </c>
      <c r="Z714" s="5" t="s">
        <v>982</v>
      </c>
      <c r="AA714" s="5" t="s">
        <v>3612</v>
      </c>
      <c r="AB714" s="5" t="s">
        <v>3705</v>
      </c>
      <c r="AC714" s="5" t="s">
        <v>6320</v>
      </c>
      <c r="AD714" s="6">
        <v>46062</v>
      </c>
      <c r="AE714" s="6">
        <v>46356</v>
      </c>
      <c r="AF714" s="5"/>
    </row>
    <row r="715" spans="1:32" ht="51" customHeight="1" x14ac:dyDescent="0.3">
      <c r="A715" s="7">
        <v>4851838</v>
      </c>
      <c r="B715" s="7" t="s">
        <v>6321</v>
      </c>
      <c r="C715" s="7" t="s">
        <v>6322</v>
      </c>
      <c r="D715" s="7" t="s">
        <v>198</v>
      </c>
      <c r="E715" s="7" t="s">
        <v>203</v>
      </c>
      <c r="F715" s="7" t="s">
        <v>433</v>
      </c>
      <c r="G715" s="7" t="s">
        <v>217</v>
      </c>
      <c r="H715" s="7" t="s">
        <v>207</v>
      </c>
      <c r="I715" s="7" t="s">
        <v>3044</v>
      </c>
      <c r="J715" s="7" t="s">
        <v>227</v>
      </c>
      <c r="K715" s="7" t="s">
        <v>200</v>
      </c>
      <c r="L715" s="7" t="s">
        <v>3045</v>
      </c>
      <c r="M715" s="7" t="s">
        <v>855</v>
      </c>
      <c r="N715" s="7" t="s">
        <v>3608</v>
      </c>
      <c r="O715" s="7" t="s">
        <v>3837</v>
      </c>
      <c r="P715" s="7">
        <v>4757777</v>
      </c>
      <c r="Q715" s="7" t="s">
        <v>6310</v>
      </c>
      <c r="R715" s="7" t="s">
        <v>203</v>
      </c>
      <c r="S715" s="7" t="s">
        <v>234</v>
      </c>
      <c r="T715" s="7" t="s">
        <v>217</v>
      </c>
      <c r="U715" s="7" t="s">
        <v>2330</v>
      </c>
      <c r="V715" s="7" t="s">
        <v>6311</v>
      </c>
      <c r="W715" s="7" t="s">
        <v>227</v>
      </c>
      <c r="X715" s="7" t="s">
        <v>200</v>
      </c>
      <c r="Y715" s="7" t="s">
        <v>6312</v>
      </c>
      <c r="Z715" s="7" t="s">
        <v>6313</v>
      </c>
      <c r="AA715" s="7" t="s">
        <v>3623</v>
      </c>
      <c r="AB715" s="7" t="s">
        <v>3886</v>
      </c>
      <c r="AC715" s="7" t="s">
        <v>6323</v>
      </c>
      <c r="AD715" s="8">
        <v>46059</v>
      </c>
      <c r="AE715" s="7"/>
      <c r="AF715" s="7"/>
    </row>
    <row r="716" spans="1:32" ht="81" customHeight="1" x14ac:dyDescent="0.3">
      <c r="A716" s="5">
        <v>4657810</v>
      </c>
      <c r="B716" s="5" t="s">
        <v>1938</v>
      </c>
      <c r="C716" s="5" t="s">
        <v>6324</v>
      </c>
      <c r="D716" s="5" t="s">
        <v>198</v>
      </c>
      <c r="E716" s="5" t="s">
        <v>203</v>
      </c>
      <c r="F716" s="5" t="s">
        <v>433</v>
      </c>
      <c r="G716" s="5" t="s">
        <v>208</v>
      </c>
      <c r="H716" s="5" t="s">
        <v>233</v>
      </c>
      <c r="I716" s="5" t="s">
        <v>1939</v>
      </c>
      <c r="J716" s="5" t="s">
        <v>227</v>
      </c>
      <c r="K716" s="5" t="s">
        <v>200</v>
      </c>
      <c r="L716" s="5" t="s">
        <v>784</v>
      </c>
      <c r="M716" s="5" t="s">
        <v>785</v>
      </c>
      <c r="N716" s="5" t="s">
        <v>3608</v>
      </c>
      <c r="O716" s="5" t="s">
        <v>3715</v>
      </c>
      <c r="P716" s="5">
        <v>5147875</v>
      </c>
      <c r="Q716" s="5" t="s">
        <v>6325</v>
      </c>
      <c r="R716" s="5" t="s">
        <v>203</v>
      </c>
      <c r="S716" s="5" t="s">
        <v>234</v>
      </c>
      <c r="T716" s="5" t="s">
        <v>217</v>
      </c>
      <c r="U716" s="5" t="s">
        <v>207</v>
      </c>
      <c r="V716" s="5" t="s">
        <v>6326</v>
      </c>
      <c r="W716" s="5" t="s">
        <v>227</v>
      </c>
      <c r="X716" s="5" t="s">
        <v>200</v>
      </c>
      <c r="Y716" s="5" t="s">
        <v>3314</v>
      </c>
      <c r="Z716" s="5" t="s">
        <v>6327</v>
      </c>
      <c r="AA716" s="5" t="s">
        <v>3623</v>
      </c>
      <c r="AB716" s="5" t="s">
        <v>3763</v>
      </c>
      <c r="AC716" s="5" t="s">
        <v>6328</v>
      </c>
      <c r="AD716" s="6">
        <v>46069</v>
      </c>
      <c r="AE716" s="6">
        <v>47848</v>
      </c>
      <c r="AF716" s="5"/>
    </row>
    <row r="717" spans="1:32" ht="409.5" customHeight="1" x14ac:dyDescent="0.3">
      <c r="A717" s="7">
        <v>5469368</v>
      </c>
      <c r="B717" s="7" t="s">
        <v>3492</v>
      </c>
      <c r="C717" s="7" t="s">
        <v>6329</v>
      </c>
      <c r="D717" s="7" t="s">
        <v>3373</v>
      </c>
      <c r="E717" s="7" t="s">
        <v>203</v>
      </c>
      <c r="F717" s="7" t="s">
        <v>234</v>
      </c>
      <c r="G717" s="7" t="s">
        <v>208</v>
      </c>
      <c r="H717" s="7" t="s">
        <v>2330</v>
      </c>
      <c r="I717" s="7" t="s">
        <v>3493</v>
      </c>
      <c r="J717" s="7" t="s">
        <v>227</v>
      </c>
      <c r="K717" s="7" t="s">
        <v>200</v>
      </c>
      <c r="L717" s="7" t="s">
        <v>3446</v>
      </c>
      <c r="M717" s="7" t="s">
        <v>3494</v>
      </c>
      <c r="N717" s="7" t="s">
        <v>3729</v>
      </c>
      <c r="O717" s="7" t="s">
        <v>4356</v>
      </c>
      <c r="P717" s="7">
        <v>8885706</v>
      </c>
      <c r="Q717" s="7" t="s">
        <v>6330</v>
      </c>
      <c r="R717" s="7" t="s">
        <v>5712</v>
      </c>
      <c r="S717" s="7" t="s">
        <v>234</v>
      </c>
      <c r="T717" s="7" t="s">
        <v>217</v>
      </c>
      <c r="U717" s="7" t="s">
        <v>2330</v>
      </c>
      <c r="V717" s="7" t="s">
        <v>6331</v>
      </c>
      <c r="W717" s="7" t="s">
        <v>227</v>
      </c>
      <c r="X717" s="7" t="s">
        <v>200</v>
      </c>
      <c r="Y717" s="7" t="s">
        <v>5969</v>
      </c>
      <c r="Z717" s="7" t="s">
        <v>5964</v>
      </c>
      <c r="AA717" s="7" t="s">
        <v>3617</v>
      </c>
      <c r="AB717" s="7" t="s">
        <v>5649</v>
      </c>
      <c r="AC717" s="7" t="s">
        <v>6332</v>
      </c>
      <c r="AD717" s="8">
        <v>46048</v>
      </c>
      <c r="AE717" s="8">
        <v>46356</v>
      </c>
      <c r="AF717" s="7"/>
    </row>
    <row r="718" spans="1:32" ht="30" customHeight="1" x14ac:dyDescent="0.3">
      <c r="A718" s="5">
        <v>5454506</v>
      </c>
      <c r="B718" s="5" t="s">
        <v>3222</v>
      </c>
      <c r="C718" s="5"/>
      <c r="D718" s="5" t="s">
        <v>198</v>
      </c>
      <c r="E718" s="5" t="s">
        <v>203</v>
      </c>
      <c r="F718" s="5" t="s">
        <v>418</v>
      </c>
      <c r="G718" s="5" t="s">
        <v>217</v>
      </c>
      <c r="H718" s="5" t="s">
        <v>2330</v>
      </c>
      <c r="I718" s="5" t="s">
        <v>3223</v>
      </c>
      <c r="J718" s="5" t="s">
        <v>227</v>
      </c>
      <c r="K718" s="5" t="s">
        <v>200</v>
      </c>
      <c r="L718" s="5" t="s">
        <v>3224</v>
      </c>
      <c r="M718" s="5" t="s">
        <v>1369</v>
      </c>
      <c r="N718" s="5" t="s">
        <v>3612</v>
      </c>
      <c r="O718" s="5" t="s">
        <v>3912</v>
      </c>
      <c r="P718" s="5">
        <v>5256682</v>
      </c>
      <c r="Q718" s="5" t="s">
        <v>6333</v>
      </c>
      <c r="R718" s="5" t="s">
        <v>737</v>
      </c>
      <c r="S718" s="5" t="s">
        <v>234</v>
      </c>
      <c r="T718" s="5" t="s">
        <v>217</v>
      </c>
      <c r="U718" s="5" t="s">
        <v>2330</v>
      </c>
      <c r="V718" s="5" t="s">
        <v>6334</v>
      </c>
      <c r="W718" s="5" t="s">
        <v>227</v>
      </c>
      <c r="X718" s="5" t="s">
        <v>200</v>
      </c>
      <c r="Y718" s="5" t="s">
        <v>1440</v>
      </c>
      <c r="Z718" s="5" t="s">
        <v>2063</v>
      </c>
      <c r="AA718" s="5" t="s">
        <v>3623</v>
      </c>
      <c r="AB718" s="5" t="s">
        <v>3635</v>
      </c>
      <c r="AC718" s="5" t="s">
        <v>6335</v>
      </c>
      <c r="AD718" s="6">
        <v>46084</v>
      </c>
      <c r="AE718" s="6">
        <v>46234</v>
      </c>
      <c r="AF718" s="5"/>
    </row>
    <row r="719" spans="1:32" ht="315.75" customHeight="1" x14ac:dyDescent="0.3">
      <c r="A719" s="7">
        <v>4532031</v>
      </c>
      <c r="B719" s="7" t="s">
        <v>1826</v>
      </c>
      <c r="C719" s="7" t="s">
        <v>6336</v>
      </c>
      <c r="D719" s="7" t="s">
        <v>198</v>
      </c>
      <c r="E719" s="7" t="s">
        <v>203</v>
      </c>
      <c r="F719" s="7" t="s">
        <v>234</v>
      </c>
      <c r="G719" s="7" t="s">
        <v>217</v>
      </c>
      <c r="H719" s="7" t="s">
        <v>245</v>
      </c>
      <c r="I719" s="7" t="s">
        <v>1827</v>
      </c>
      <c r="J719" s="7" t="s">
        <v>227</v>
      </c>
      <c r="K719" s="7" t="s">
        <v>413</v>
      </c>
      <c r="L719" s="7" t="s">
        <v>1828</v>
      </c>
      <c r="M719" s="7" t="s">
        <v>1829</v>
      </c>
      <c r="N719" s="7" t="s">
        <v>3602</v>
      </c>
      <c r="O719" s="7" t="s">
        <v>4767</v>
      </c>
      <c r="P719" s="7">
        <v>8877766</v>
      </c>
      <c r="Q719" s="7" t="s">
        <v>6337</v>
      </c>
      <c r="R719" s="7" t="s">
        <v>203</v>
      </c>
      <c r="S719" s="7" t="s">
        <v>234</v>
      </c>
      <c r="T719" s="7" t="s">
        <v>217</v>
      </c>
      <c r="U719" s="7" t="s">
        <v>2330</v>
      </c>
      <c r="V719" s="7" t="s">
        <v>6338</v>
      </c>
      <c r="W719" s="7" t="s">
        <v>227</v>
      </c>
      <c r="X719" s="7" t="s">
        <v>413</v>
      </c>
      <c r="Y719" s="7" t="s">
        <v>6339</v>
      </c>
      <c r="Z719" s="7" t="s">
        <v>6340</v>
      </c>
      <c r="AA719" s="7" t="s">
        <v>3617</v>
      </c>
      <c r="AB719" s="7" t="s">
        <v>3763</v>
      </c>
      <c r="AC719" s="7" t="s">
        <v>6341</v>
      </c>
      <c r="AD719" s="8">
        <v>46090</v>
      </c>
      <c r="AE719" s="7"/>
      <c r="AF719" s="7"/>
    </row>
    <row r="720" spans="1:32" ht="366.75" customHeight="1" x14ac:dyDescent="0.3">
      <c r="A720" s="5">
        <v>8020797</v>
      </c>
      <c r="B720" s="5" t="s">
        <v>3364</v>
      </c>
      <c r="C720" s="5" t="s">
        <v>6342</v>
      </c>
      <c r="D720" s="5" t="s">
        <v>198</v>
      </c>
      <c r="E720" s="5" t="s">
        <v>203</v>
      </c>
      <c r="F720" s="5" t="s">
        <v>418</v>
      </c>
      <c r="G720" s="5" t="s">
        <v>217</v>
      </c>
      <c r="H720" s="5" t="s">
        <v>233</v>
      </c>
      <c r="I720" s="5" t="s">
        <v>3365</v>
      </c>
      <c r="J720" s="5" t="s">
        <v>227</v>
      </c>
      <c r="K720" s="5" t="s">
        <v>888</v>
      </c>
      <c r="L720" s="5" t="s">
        <v>2340</v>
      </c>
      <c r="M720" s="5" t="s">
        <v>3366</v>
      </c>
      <c r="N720" s="5" t="s">
        <v>3623</v>
      </c>
      <c r="O720" s="5" t="s">
        <v>3837</v>
      </c>
      <c r="P720" s="5">
        <v>4820851</v>
      </c>
      <c r="Q720" s="5" t="s">
        <v>2222</v>
      </c>
      <c r="R720" s="5" t="s">
        <v>203</v>
      </c>
      <c r="S720" s="5" t="s">
        <v>234</v>
      </c>
      <c r="T720" s="5" t="s">
        <v>208</v>
      </c>
      <c r="U720" s="5" t="s">
        <v>207</v>
      </c>
      <c r="V720" s="5" t="s">
        <v>2223</v>
      </c>
      <c r="W720" s="5" t="s">
        <v>227</v>
      </c>
      <c r="X720" s="5" t="s">
        <v>888</v>
      </c>
      <c r="Y720" s="5" t="s">
        <v>2224</v>
      </c>
      <c r="Z720" s="5" t="s">
        <v>2225</v>
      </c>
      <c r="AA720" s="5" t="s">
        <v>3617</v>
      </c>
      <c r="AB720" s="5" t="s">
        <v>3837</v>
      </c>
      <c r="AC720" s="5" t="s">
        <v>6343</v>
      </c>
      <c r="AD720" s="6">
        <v>46076</v>
      </c>
      <c r="AE720" s="6">
        <v>46446</v>
      </c>
      <c r="AF720" s="5"/>
    </row>
    <row r="721" spans="1:32" ht="234" customHeight="1" x14ac:dyDescent="0.3">
      <c r="A721" s="7">
        <v>4851838</v>
      </c>
      <c r="B721" s="7" t="s">
        <v>6321</v>
      </c>
      <c r="C721" s="7" t="s">
        <v>6344</v>
      </c>
      <c r="D721" s="7" t="s">
        <v>198</v>
      </c>
      <c r="E721" s="7" t="s">
        <v>203</v>
      </c>
      <c r="F721" s="7" t="s">
        <v>433</v>
      </c>
      <c r="G721" s="7" t="s">
        <v>217</v>
      </c>
      <c r="H721" s="7" t="s">
        <v>207</v>
      </c>
      <c r="I721" s="7" t="s">
        <v>3044</v>
      </c>
      <c r="J721" s="7" t="s">
        <v>227</v>
      </c>
      <c r="K721" s="7" t="s">
        <v>200</v>
      </c>
      <c r="L721" s="7" t="s">
        <v>3045</v>
      </c>
      <c r="M721" s="7" t="s">
        <v>855</v>
      </c>
      <c r="N721" s="7" t="s">
        <v>3608</v>
      </c>
      <c r="O721" s="7" t="s">
        <v>3837</v>
      </c>
      <c r="P721" s="7">
        <v>5010349</v>
      </c>
      <c r="Q721" s="7" t="s">
        <v>5614</v>
      </c>
      <c r="R721" s="7" t="s">
        <v>203</v>
      </c>
      <c r="S721" s="7" t="s">
        <v>234</v>
      </c>
      <c r="T721" s="7" t="s">
        <v>217</v>
      </c>
      <c r="U721" s="7" t="s">
        <v>207</v>
      </c>
      <c r="V721" s="7" t="s">
        <v>5615</v>
      </c>
      <c r="W721" s="7" t="s">
        <v>227</v>
      </c>
      <c r="X721" s="7" t="s">
        <v>200</v>
      </c>
      <c r="Y721" s="7" t="s">
        <v>5616</v>
      </c>
      <c r="Z721" s="7" t="s">
        <v>700</v>
      </c>
      <c r="AA721" s="7" t="s">
        <v>3623</v>
      </c>
      <c r="AB721" s="7" t="s">
        <v>4478</v>
      </c>
      <c r="AC721" s="7" t="s">
        <v>6345</v>
      </c>
      <c r="AD721" s="8">
        <v>46083</v>
      </c>
      <c r="AE721" s="7"/>
      <c r="AF721" s="7"/>
    </row>
    <row r="722" spans="1:32" ht="153" customHeight="1" x14ac:dyDescent="0.3">
      <c r="A722" s="5">
        <v>5454506</v>
      </c>
      <c r="B722" s="5" t="s">
        <v>3222</v>
      </c>
      <c r="C722" s="5" t="s">
        <v>6346</v>
      </c>
      <c r="D722" s="5" t="s">
        <v>198</v>
      </c>
      <c r="E722" s="5" t="s">
        <v>203</v>
      </c>
      <c r="F722" s="5" t="s">
        <v>418</v>
      </c>
      <c r="G722" s="5" t="s">
        <v>217</v>
      </c>
      <c r="H722" s="5" t="s">
        <v>2330</v>
      </c>
      <c r="I722" s="5" t="s">
        <v>3223</v>
      </c>
      <c r="J722" s="5" t="s">
        <v>227</v>
      </c>
      <c r="K722" s="5" t="s">
        <v>200</v>
      </c>
      <c r="L722" s="5" t="s">
        <v>3224</v>
      </c>
      <c r="M722" s="5" t="s">
        <v>1369</v>
      </c>
      <c r="N722" s="5" t="s">
        <v>3612</v>
      </c>
      <c r="O722" s="5" t="s">
        <v>3912</v>
      </c>
      <c r="P722" s="5">
        <v>5412501</v>
      </c>
      <c r="Q722" s="5" t="s">
        <v>6347</v>
      </c>
      <c r="R722" s="5" t="s">
        <v>203</v>
      </c>
      <c r="S722" s="5" t="s">
        <v>444</v>
      </c>
      <c r="T722" s="5" t="s">
        <v>208</v>
      </c>
      <c r="U722" s="5" t="s">
        <v>2330</v>
      </c>
      <c r="V722" s="5" t="s">
        <v>6348</v>
      </c>
      <c r="W722" s="5" t="s">
        <v>227</v>
      </c>
      <c r="X722" s="5" t="s">
        <v>200</v>
      </c>
      <c r="Y722" s="5" t="s">
        <v>456</v>
      </c>
      <c r="Z722" s="5" t="s">
        <v>1723</v>
      </c>
      <c r="AA722" s="5" t="s">
        <v>3612</v>
      </c>
      <c r="AB722" s="5" t="s">
        <v>3646</v>
      </c>
      <c r="AC722" s="5" t="s">
        <v>6349</v>
      </c>
      <c r="AD722" s="6">
        <v>46078</v>
      </c>
      <c r="AE722" s="5"/>
      <c r="AF722" s="5"/>
    </row>
    <row r="723" spans="1:32" ht="142.5" customHeight="1" x14ac:dyDescent="0.3">
      <c r="A723" s="7">
        <v>3678482</v>
      </c>
      <c r="B723" s="7" t="s">
        <v>1571</v>
      </c>
      <c r="C723" s="7" t="s">
        <v>6350</v>
      </c>
      <c r="D723" s="7" t="s">
        <v>1351</v>
      </c>
      <c r="E723" s="7" t="s">
        <v>203</v>
      </c>
      <c r="F723" s="7" t="s">
        <v>444</v>
      </c>
      <c r="G723" s="7" t="s">
        <v>208</v>
      </c>
      <c r="H723" s="7" t="s">
        <v>207</v>
      </c>
      <c r="I723" s="7" t="s">
        <v>1572</v>
      </c>
      <c r="J723" s="7" t="s">
        <v>227</v>
      </c>
      <c r="K723" s="7" t="s">
        <v>200</v>
      </c>
      <c r="L723" s="7" t="s">
        <v>1573</v>
      </c>
      <c r="M723" s="7" t="s">
        <v>1574</v>
      </c>
      <c r="N723" s="7" t="s">
        <v>3608</v>
      </c>
      <c r="O723" s="7" t="s">
        <v>3824</v>
      </c>
      <c r="P723" s="7">
        <v>8884974</v>
      </c>
      <c r="Q723" s="7" t="s">
        <v>6351</v>
      </c>
      <c r="R723" s="7" t="s">
        <v>203</v>
      </c>
      <c r="S723" s="7" t="s">
        <v>234</v>
      </c>
      <c r="T723" s="7" t="s">
        <v>217</v>
      </c>
      <c r="U723" s="7" t="s">
        <v>2330</v>
      </c>
      <c r="V723" s="7" t="s">
        <v>1572</v>
      </c>
      <c r="W723" s="7" t="s">
        <v>227</v>
      </c>
      <c r="X723" s="7" t="s">
        <v>200</v>
      </c>
      <c r="Y723" s="7" t="s">
        <v>1573</v>
      </c>
      <c r="Z723" s="7" t="s">
        <v>1574</v>
      </c>
      <c r="AA723" s="7" t="s">
        <v>3617</v>
      </c>
      <c r="AB723" s="7" t="s">
        <v>3824</v>
      </c>
      <c r="AC723" s="7" t="s">
        <v>6352</v>
      </c>
      <c r="AD723" s="8">
        <v>46084</v>
      </c>
      <c r="AE723" s="8">
        <v>46356</v>
      </c>
      <c r="AF723" s="7"/>
    </row>
    <row r="724" spans="1:32" ht="409.5" customHeight="1" x14ac:dyDescent="0.3">
      <c r="A724" s="5">
        <v>2053527</v>
      </c>
      <c r="B724" s="5" t="s">
        <v>659</v>
      </c>
      <c r="C724" s="5" t="s">
        <v>6353</v>
      </c>
      <c r="D724" s="5" t="s">
        <v>198</v>
      </c>
      <c r="E724" s="5" t="s">
        <v>203</v>
      </c>
      <c r="F724" s="5" t="s">
        <v>444</v>
      </c>
      <c r="G724" s="5" t="s">
        <v>208</v>
      </c>
      <c r="H724" s="5" t="s">
        <v>233</v>
      </c>
      <c r="I724" s="5" t="s">
        <v>660</v>
      </c>
      <c r="J724" s="5" t="s">
        <v>227</v>
      </c>
      <c r="K724" s="5" t="s">
        <v>200</v>
      </c>
      <c r="L724" s="5" t="s">
        <v>661</v>
      </c>
      <c r="M724" s="5" t="s">
        <v>662</v>
      </c>
      <c r="N724" s="5" t="s">
        <v>3652</v>
      </c>
      <c r="O724" s="5" t="s">
        <v>3736</v>
      </c>
      <c r="P724" s="5">
        <v>5243254</v>
      </c>
      <c r="Q724" s="5" t="s">
        <v>6354</v>
      </c>
      <c r="R724" s="5" t="s">
        <v>737</v>
      </c>
      <c r="S724" s="5" t="s">
        <v>234</v>
      </c>
      <c r="T724" s="5" t="s">
        <v>208</v>
      </c>
      <c r="U724" s="5" t="s">
        <v>207</v>
      </c>
      <c r="V724" s="5" t="s">
        <v>6355</v>
      </c>
      <c r="W724" s="5" t="s">
        <v>227</v>
      </c>
      <c r="X724" s="5" t="s">
        <v>200</v>
      </c>
      <c r="Y724" s="5" t="s">
        <v>6356</v>
      </c>
      <c r="Z724" s="5" t="s">
        <v>1247</v>
      </c>
      <c r="AA724" s="5" t="s">
        <v>3617</v>
      </c>
      <c r="AB724" s="5" t="s">
        <v>3646</v>
      </c>
      <c r="AC724" s="5" t="s">
        <v>6357</v>
      </c>
      <c r="AD724" s="6">
        <v>46113</v>
      </c>
      <c r="AE724" s="5"/>
      <c r="AF724" s="5"/>
    </row>
    <row r="725" spans="1:32" ht="71.25" customHeight="1" x14ac:dyDescent="0.3">
      <c r="A725" s="7">
        <v>4526651</v>
      </c>
      <c r="B725" s="7" t="s">
        <v>4436</v>
      </c>
      <c r="C725" s="7" t="s">
        <v>6358</v>
      </c>
      <c r="D725" s="7" t="s">
        <v>198</v>
      </c>
      <c r="E725" s="7" t="s">
        <v>203</v>
      </c>
      <c r="F725" s="7" t="s">
        <v>433</v>
      </c>
      <c r="G725" s="7" t="s">
        <v>217</v>
      </c>
      <c r="H725" s="7" t="s">
        <v>245</v>
      </c>
      <c r="I725" s="7" t="s">
        <v>4438</v>
      </c>
      <c r="J725" s="7" t="s">
        <v>227</v>
      </c>
      <c r="K725" s="7" t="s">
        <v>413</v>
      </c>
      <c r="L725" s="7" t="s">
        <v>4439</v>
      </c>
      <c r="M725" s="7" t="s">
        <v>4440</v>
      </c>
      <c r="N725" s="7" t="s">
        <v>3602</v>
      </c>
      <c r="O725" s="7" t="s">
        <v>3603</v>
      </c>
      <c r="P725" s="7">
        <v>5530385</v>
      </c>
      <c r="Q725" s="7" t="s">
        <v>6359</v>
      </c>
      <c r="R725" s="7" t="s">
        <v>203</v>
      </c>
      <c r="S725" s="7" t="s">
        <v>444</v>
      </c>
      <c r="T725" s="7" t="s">
        <v>217</v>
      </c>
      <c r="U725" s="7" t="s">
        <v>2330</v>
      </c>
      <c r="V725" s="7" t="s">
        <v>4550</v>
      </c>
      <c r="W725" s="7" t="s">
        <v>227</v>
      </c>
      <c r="X725" s="7" t="s">
        <v>200</v>
      </c>
      <c r="Y725" s="7" t="s">
        <v>4551</v>
      </c>
      <c r="Z725" s="7" t="s">
        <v>4552</v>
      </c>
      <c r="AA725" s="7" t="s">
        <v>3729</v>
      </c>
      <c r="AB725" s="7" t="s">
        <v>3609</v>
      </c>
      <c r="AC725" s="7" t="s">
        <v>6360</v>
      </c>
      <c r="AD725" s="8">
        <v>46083</v>
      </c>
      <c r="AE725" s="8">
        <v>46356</v>
      </c>
      <c r="AF725" s="7"/>
    </row>
    <row r="726" spans="1:32" ht="409.5" customHeight="1" x14ac:dyDescent="0.3">
      <c r="A726" s="5">
        <v>8872336</v>
      </c>
      <c r="B726" s="5" t="s">
        <v>3425</v>
      </c>
      <c r="C726" s="5" t="s">
        <v>6361</v>
      </c>
      <c r="D726" s="5" t="s">
        <v>354</v>
      </c>
      <c r="E726" s="5" t="s">
        <v>203</v>
      </c>
      <c r="F726" s="5" t="s">
        <v>1184</v>
      </c>
      <c r="G726" s="5" t="s">
        <v>208</v>
      </c>
      <c r="H726" s="5" t="s">
        <v>245</v>
      </c>
      <c r="I726" s="5" t="s">
        <v>1180</v>
      </c>
      <c r="J726" s="5" t="s">
        <v>1179</v>
      </c>
      <c r="K726" s="5" t="s">
        <v>200</v>
      </c>
      <c r="L726" s="5" t="s">
        <v>1181</v>
      </c>
      <c r="M726" s="5" t="s">
        <v>324</v>
      </c>
      <c r="N726" s="5" t="s">
        <v>3732</v>
      </c>
      <c r="O726" s="5" t="s">
        <v>3743</v>
      </c>
      <c r="P726" s="5">
        <v>5185521</v>
      </c>
      <c r="Q726" s="5" t="s">
        <v>6362</v>
      </c>
      <c r="R726" s="5" t="s">
        <v>203</v>
      </c>
      <c r="S726" s="5" t="s">
        <v>234</v>
      </c>
      <c r="T726" s="5" t="s">
        <v>208</v>
      </c>
      <c r="U726" s="5" t="s">
        <v>207</v>
      </c>
      <c r="V726" s="5" t="s">
        <v>6363</v>
      </c>
      <c r="W726" s="5" t="s">
        <v>227</v>
      </c>
      <c r="X726" s="5" t="s">
        <v>200</v>
      </c>
      <c r="Y726" s="5" t="s">
        <v>6364</v>
      </c>
      <c r="Z726" s="5" t="s">
        <v>3179</v>
      </c>
      <c r="AA726" s="5" t="s">
        <v>3623</v>
      </c>
      <c r="AB726" s="5" t="s">
        <v>3743</v>
      </c>
      <c r="AC726" s="5" t="s">
        <v>6365</v>
      </c>
      <c r="AD726" s="6">
        <v>46063</v>
      </c>
      <c r="AE726" s="6">
        <v>46244</v>
      </c>
      <c r="AF726" s="5"/>
    </row>
    <row r="727" spans="1:32" ht="213.75" customHeight="1" x14ac:dyDescent="0.3">
      <c r="A727" s="7">
        <v>5454506</v>
      </c>
      <c r="B727" s="7" t="s">
        <v>3222</v>
      </c>
      <c r="C727" s="7" t="s">
        <v>6366</v>
      </c>
      <c r="D727" s="7" t="s">
        <v>198</v>
      </c>
      <c r="E727" s="7" t="s">
        <v>203</v>
      </c>
      <c r="F727" s="7" t="s">
        <v>418</v>
      </c>
      <c r="G727" s="7" t="s">
        <v>217</v>
      </c>
      <c r="H727" s="7" t="s">
        <v>2330</v>
      </c>
      <c r="I727" s="7" t="s">
        <v>3223</v>
      </c>
      <c r="J727" s="7" t="s">
        <v>227</v>
      </c>
      <c r="K727" s="7" t="s">
        <v>200</v>
      </c>
      <c r="L727" s="7" t="s">
        <v>3224</v>
      </c>
      <c r="M727" s="7" t="s">
        <v>1369</v>
      </c>
      <c r="N727" s="7" t="s">
        <v>3612</v>
      </c>
      <c r="O727" s="7" t="s">
        <v>3912</v>
      </c>
      <c r="P727" s="7">
        <v>5428882</v>
      </c>
      <c r="Q727" s="7" t="s">
        <v>6367</v>
      </c>
      <c r="R727" s="7" t="s">
        <v>737</v>
      </c>
      <c r="S727" s="7" t="s">
        <v>234</v>
      </c>
      <c r="T727" s="7" t="s">
        <v>217</v>
      </c>
      <c r="U727" s="7" t="s">
        <v>2330</v>
      </c>
      <c r="V727" s="7" t="s">
        <v>6368</v>
      </c>
      <c r="W727" s="7" t="s">
        <v>227</v>
      </c>
      <c r="X727" s="7" t="s">
        <v>200</v>
      </c>
      <c r="Y727" s="7" t="s">
        <v>4921</v>
      </c>
      <c r="Z727" s="7" t="s">
        <v>5163</v>
      </c>
      <c r="AA727" s="7" t="s">
        <v>3612</v>
      </c>
      <c r="AB727" s="7" t="s">
        <v>3933</v>
      </c>
      <c r="AC727" s="7" t="s">
        <v>6369</v>
      </c>
      <c r="AD727" s="8">
        <v>46083</v>
      </c>
      <c r="AE727" s="8">
        <v>46448</v>
      </c>
      <c r="AF727" s="7"/>
    </row>
    <row r="728" spans="1:32" ht="30" customHeight="1" x14ac:dyDescent="0.3">
      <c r="A728" s="5">
        <v>8876191</v>
      </c>
      <c r="B728" s="5" t="s">
        <v>3462</v>
      </c>
      <c r="C728" s="5"/>
      <c r="D728" s="5" t="s">
        <v>198</v>
      </c>
      <c r="E728" s="5" t="s">
        <v>203</v>
      </c>
      <c r="F728" s="5" t="s">
        <v>444</v>
      </c>
      <c r="G728" s="5" t="s">
        <v>208</v>
      </c>
      <c r="H728" s="5" t="s">
        <v>245</v>
      </c>
      <c r="I728" s="5" t="s">
        <v>558</v>
      </c>
      <c r="J728" s="5" t="s">
        <v>227</v>
      </c>
      <c r="K728" s="5" t="s">
        <v>200</v>
      </c>
      <c r="L728" s="5" t="s">
        <v>559</v>
      </c>
      <c r="M728" s="5" t="s">
        <v>3463</v>
      </c>
      <c r="N728" s="5" t="s">
        <v>3729</v>
      </c>
      <c r="O728" s="5" t="s">
        <v>3743</v>
      </c>
      <c r="P728" s="5">
        <v>5477190</v>
      </c>
      <c r="Q728" s="5" t="s">
        <v>6370</v>
      </c>
      <c r="R728" s="5" t="s">
        <v>203</v>
      </c>
      <c r="S728" s="5" t="s">
        <v>418</v>
      </c>
      <c r="T728" s="5" t="s">
        <v>217</v>
      </c>
      <c r="U728" s="5" t="s">
        <v>207</v>
      </c>
      <c r="V728" s="5" t="s">
        <v>6371</v>
      </c>
      <c r="W728" s="5" t="s">
        <v>227</v>
      </c>
      <c r="X728" s="5" t="s">
        <v>200</v>
      </c>
      <c r="Y728" s="5" t="s">
        <v>5106</v>
      </c>
      <c r="Z728" s="5" t="s">
        <v>1445</v>
      </c>
      <c r="AA728" s="5" t="s">
        <v>3612</v>
      </c>
      <c r="AB728" s="5" t="s">
        <v>3705</v>
      </c>
      <c r="AC728" s="5" t="s">
        <v>6372</v>
      </c>
      <c r="AD728" s="6">
        <v>46079</v>
      </c>
      <c r="AE728" s="5"/>
      <c r="AF728" s="5"/>
    </row>
    <row r="729" spans="1:32" ht="91.5" customHeight="1" x14ac:dyDescent="0.3">
      <c r="A729" s="7">
        <v>4936795</v>
      </c>
      <c r="B729" s="7" t="s">
        <v>2470</v>
      </c>
      <c r="C729" s="7" t="s">
        <v>6373</v>
      </c>
      <c r="D729" s="7" t="s">
        <v>198</v>
      </c>
      <c r="E729" s="7" t="s">
        <v>203</v>
      </c>
      <c r="F729" s="7" t="s">
        <v>234</v>
      </c>
      <c r="G729" s="7" t="s">
        <v>217</v>
      </c>
      <c r="H729" s="7" t="s">
        <v>207</v>
      </c>
      <c r="I729" s="7" t="s">
        <v>2471</v>
      </c>
      <c r="J729" s="7" t="s">
        <v>227</v>
      </c>
      <c r="K729" s="7" t="s">
        <v>200</v>
      </c>
      <c r="L729" s="7" t="s">
        <v>2472</v>
      </c>
      <c r="M729" s="7" t="s">
        <v>685</v>
      </c>
      <c r="N729" s="7" t="s">
        <v>3623</v>
      </c>
      <c r="O729" s="7" t="s">
        <v>3824</v>
      </c>
      <c r="P729" s="7">
        <v>3188116</v>
      </c>
      <c r="Q729" s="7" t="s">
        <v>6374</v>
      </c>
      <c r="R729" s="7" t="s">
        <v>203</v>
      </c>
      <c r="S729" s="7" t="s">
        <v>234</v>
      </c>
      <c r="T729" s="7" t="s">
        <v>208</v>
      </c>
      <c r="U729" s="7" t="s">
        <v>245</v>
      </c>
      <c r="V729" s="7" t="s">
        <v>6375</v>
      </c>
      <c r="W729" s="7" t="s">
        <v>227</v>
      </c>
      <c r="X729" s="7" t="s">
        <v>200</v>
      </c>
      <c r="Y729" s="7" t="s">
        <v>2039</v>
      </c>
      <c r="Z729" s="7" t="s">
        <v>2040</v>
      </c>
      <c r="AA729" s="7" t="s">
        <v>3602</v>
      </c>
      <c r="AB729" s="7" t="s">
        <v>3646</v>
      </c>
      <c r="AC729" s="7" t="s">
        <v>6376</v>
      </c>
      <c r="AD729" s="8">
        <v>46065</v>
      </c>
      <c r="AE729" s="8">
        <v>46234</v>
      </c>
      <c r="AF729" s="7"/>
    </row>
    <row r="730" spans="1:32" ht="40.5" customHeight="1" x14ac:dyDescent="0.3">
      <c r="A730" s="5">
        <v>4936795</v>
      </c>
      <c r="B730" s="5" t="s">
        <v>2470</v>
      </c>
      <c r="C730" s="5" t="s">
        <v>6377</v>
      </c>
      <c r="D730" s="5" t="s">
        <v>198</v>
      </c>
      <c r="E730" s="5" t="s">
        <v>203</v>
      </c>
      <c r="F730" s="5" t="s">
        <v>234</v>
      </c>
      <c r="G730" s="5" t="s">
        <v>217</v>
      </c>
      <c r="H730" s="5" t="s">
        <v>207</v>
      </c>
      <c r="I730" s="5" t="s">
        <v>2471</v>
      </c>
      <c r="J730" s="5" t="s">
        <v>227</v>
      </c>
      <c r="K730" s="5" t="s">
        <v>200</v>
      </c>
      <c r="L730" s="5" t="s">
        <v>2472</v>
      </c>
      <c r="M730" s="5" t="s">
        <v>685</v>
      </c>
      <c r="N730" s="5" t="s">
        <v>3623</v>
      </c>
      <c r="O730" s="5" t="s">
        <v>3824</v>
      </c>
      <c r="P730" s="5">
        <v>5256682</v>
      </c>
      <c r="Q730" s="5" t="s">
        <v>6333</v>
      </c>
      <c r="R730" s="5" t="s">
        <v>737</v>
      </c>
      <c r="S730" s="5" t="s">
        <v>234</v>
      </c>
      <c r="T730" s="5" t="s">
        <v>217</v>
      </c>
      <c r="U730" s="5" t="s">
        <v>2330</v>
      </c>
      <c r="V730" s="5" t="s">
        <v>6334</v>
      </c>
      <c r="W730" s="5" t="s">
        <v>227</v>
      </c>
      <c r="X730" s="5" t="s">
        <v>200</v>
      </c>
      <c r="Y730" s="5" t="s">
        <v>1440</v>
      </c>
      <c r="Z730" s="5" t="s">
        <v>2063</v>
      </c>
      <c r="AA730" s="5" t="s">
        <v>3623</v>
      </c>
      <c r="AB730" s="5" t="s">
        <v>3635</v>
      </c>
      <c r="AC730" s="5" t="s">
        <v>6378</v>
      </c>
      <c r="AD730" s="6">
        <v>46084</v>
      </c>
      <c r="AE730" s="6">
        <v>46234</v>
      </c>
      <c r="AF730" s="5"/>
    </row>
    <row r="731" spans="1:32" ht="40.5" customHeight="1" x14ac:dyDescent="0.3">
      <c r="A731" s="7">
        <v>8870860</v>
      </c>
      <c r="B731" s="7" t="s">
        <v>3400</v>
      </c>
      <c r="C731" s="7" t="s">
        <v>6379</v>
      </c>
      <c r="D731" s="7" t="s">
        <v>3373</v>
      </c>
      <c r="E731" s="7" t="s">
        <v>203</v>
      </c>
      <c r="F731" s="7" t="s">
        <v>234</v>
      </c>
      <c r="G731" s="7" t="s">
        <v>208</v>
      </c>
      <c r="H731" s="7" t="s">
        <v>2330</v>
      </c>
      <c r="I731" s="7" t="s">
        <v>3401</v>
      </c>
      <c r="J731" s="7" t="s">
        <v>227</v>
      </c>
      <c r="K731" s="7" t="s">
        <v>200</v>
      </c>
      <c r="L731" s="7" t="s">
        <v>3402</v>
      </c>
      <c r="M731" s="7" t="s">
        <v>283</v>
      </c>
      <c r="N731" s="7" t="s">
        <v>3732</v>
      </c>
      <c r="O731" s="7" t="s">
        <v>3646</v>
      </c>
      <c r="P731" s="7">
        <v>8884197</v>
      </c>
      <c r="Q731" s="7" t="s">
        <v>6380</v>
      </c>
      <c r="R731" s="7" t="s">
        <v>5712</v>
      </c>
      <c r="S731" s="7" t="s">
        <v>234</v>
      </c>
      <c r="T731" s="7" t="s">
        <v>217</v>
      </c>
      <c r="U731" s="7" t="s">
        <v>2330</v>
      </c>
      <c r="V731" s="7" t="s">
        <v>6381</v>
      </c>
      <c r="W731" s="7" t="s">
        <v>227</v>
      </c>
      <c r="X731" s="7" t="s">
        <v>200</v>
      </c>
      <c r="Y731" s="7" t="s">
        <v>5963</v>
      </c>
      <c r="Z731" s="7" t="s">
        <v>5964</v>
      </c>
      <c r="AA731" s="7" t="s">
        <v>3617</v>
      </c>
      <c r="AB731" s="7" t="s">
        <v>5649</v>
      </c>
      <c r="AC731" s="7" t="s">
        <v>6382</v>
      </c>
      <c r="AD731" s="8">
        <v>46055</v>
      </c>
      <c r="AE731" s="7"/>
      <c r="AF731" s="7"/>
    </row>
    <row r="732" spans="1:32" ht="40.5" customHeight="1" x14ac:dyDescent="0.3">
      <c r="A732" s="5">
        <v>5453100</v>
      </c>
      <c r="B732" s="5" t="s">
        <v>3219</v>
      </c>
      <c r="C732" s="5"/>
      <c r="D732" s="5" t="s">
        <v>198</v>
      </c>
      <c r="E732" s="5" t="s">
        <v>203</v>
      </c>
      <c r="F732" s="5" t="s">
        <v>234</v>
      </c>
      <c r="G732" s="5" t="s">
        <v>208</v>
      </c>
      <c r="H732" s="5" t="s">
        <v>207</v>
      </c>
      <c r="I732" s="5" t="s">
        <v>3220</v>
      </c>
      <c r="J732" s="5" t="s">
        <v>227</v>
      </c>
      <c r="K732" s="5" t="s">
        <v>200</v>
      </c>
      <c r="L732" s="5" t="s">
        <v>505</v>
      </c>
      <c r="M732" s="5" t="s">
        <v>3078</v>
      </c>
      <c r="N732" s="5" t="s">
        <v>3612</v>
      </c>
      <c r="O732" s="5" t="s">
        <v>4356</v>
      </c>
      <c r="P732" s="5">
        <v>8884974</v>
      </c>
      <c r="Q732" s="5" t="s">
        <v>6351</v>
      </c>
      <c r="R732" s="5" t="s">
        <v>203</v>
      </c>
      <c r="S732" s="5" t="s">
        <v>234</v>
      </c>
      <c r="T732" s="5" t="s">
        <v>217</v>
      </c>
      <c r="U732" s="5" t="s">
        <v>2330</v>
      </c>
      <c r="V732" s="5" t="s">
        <v>1572</v>
      </c>
      <c r="W732" s="5" t="s">
        <v>227</v>
      </c>
      <c r="X732" s="5" t="s">
        <v>200</v>
      </c>
      <c r="Y732" s="5" t="s">
        <v>1573</v>
      </c>
      <c r="Z732" s="5" t="s">
        <v>1574</v>
      </c>
      <c r="AA732" s="5" t="s">
        <v>3617</v>
      </c>
      <c r="AB732" s="5" t="s">
        <v>3824</v>
      </c>
      <c r="AC732" s="5" t="s">
        <v>6383</v>
      </c>
      <c r="AD732" s="6">
        <v>46085</v>
      </c>
      <c r="AE732" s="5"/>
      <c r="AF732" s="5"/>
    </row>
    <row r="733" spans="1:32" ht="40.5" customHeight="1" x14ac:dyDescent="0.3">
      <c r="A733" s="7">
        <v>8870816</v>
      </c>
      <c r="B733" s="7" t="s">
        <v>3395</v>
      </c>
      <c r="C733" s="7"/>
      <c r="D733" s="7" t="s">
        <v>198</v>
      </c>
      <c r="E733" s="7" t="s">
        <v>203</v>
      </c>
      <c r="F733" s="7" t="s">
        <v>234</v>
      </c>
      <c r="G733" s="7" t="s">
        <v>217</v>
      </c>
      <c r="H733" s="7" t="s">
        <v>2330</v>
      </c>
      <c r="I733" s="7" t="s">
        <v>3396</v>
      </c>
      <c r="J733" s="7" t="s">
        <v>227</v>
      </c>
      <c r="K733" s="7" t="s">
        <v>200</v>
      </c>
      <c r="L733" s="7" t="s">
        <v>1726</v>
      </c>
      <c r="M733" s="7" t="s">
        <v>2459</v>
      </c>
      <c r="N733" s="7" t="s">
        <v>3732</v>
      </c>
      <c r="O733" s="7" t="s">
        <v>3843</v>
      </c>
      <c r="P733" s="7">
        <v>8885685</v>
      </c>
      <c r="Q733" s="7" t="s">
        <v>94</v>
      </c>
      <c r="R733" s="7" t="s">
        <v>5712</v>
      </c>
      <c r="S733" s="7" t="s">
        <v>234</v>
      </c>
      <c r="T733" s="7" t="s">
        <v>208</v>
      </c>
      <c r="U733" s="7" t="s">
        <v>207</v>
      </c>
      <c r="V733" s="7" t="s">
        <v>6384</v>
      </c>
      <c r="W733" s="7" t="s">
        <v>227</v>
      </c>
      <c r="X733" s="7" t="s">
        <v>200</v>
      </c>
      <c r="Y733" s="7" t="s">
        <v>5969</v>
      </c>
      <c r="Z733" s="7" t="s">
        <v>5964</v>
      </c>
      <c r="AA733" s="7" t="s">
        <v>3617</v>
      </c>
      <c r="AB733" s="7" t="s">
        <v>5649</v>
      </c>
      <c r="AC733" s="7" t="s">
        <v>6385</v>
      </c>
      <c r="AD733" s="8">
        <v>46069</v>
      </c>
      <c r="AE733" s="7"/>
      <c r="AF733" s="7"/>
    </row>
    <row r="734" spans="1:32" ht="40.5" customHeight="1" x14ac:dyDescent="0.3">
      <c r="A734" s="5">
        <v>3530221</v>
      </c>
      <c r="B734" s="5" t="s">
        <v>1434</v>
      </c>
      <c r="C734" s="5"/>
      <c r="D734" s="5" t="s">
        <v>198</v>
      </c>
      <c r="E734" s="5" t="s">
        <v>203</v>
      </c>
      <c r="F734" s="5" t="s">
        <v>234</v>
      </c>
      <c r="G734" s="5" t="s">
        <v>217</v>
      </c>
      <c r="H734" s="5" t="s">
        <v>207</v>
      </c>
      <c r="I734" s="5" t="s">
        <v>1435</v>
      </c>
      <c r="J734" s="5" t="s">
        <v>227</v>
      </c>
      <c r="K734" s="5" t="s">
        <v>413</v>
      </c>
      <c r="L734" s="5" t="s">
        <v>1436</v>
      </c>
      <c r="M734" s="5" t="s">
        <v>1432</v>
      </c>
      <c r="N734" s="5" t="s">
        <v>3623</v>
      </c>
      <c r="O734" s="5" t="s">
        <v>3743</v>
      </c>
      <c r="P734" s="5">
        <v>8885436</v>
      </c>
      <c r="Q734" s="5" t="s">
        <v>6386</v>
      </c>
      <c r="R734" s="5" t="s">
        <v>203</v>
      </c>
      <c r="S734" s="5" t="s">
        <v>234</v>
      </c>
      <c r="T734" s="5" t="s">
        <v>217</v>
      </c>
      <c r="U734" s="5" t="s">
        <v>207</v>
      </c>
      <c r="V734" s="5" t="s">
        <v>6387</v>
      </c>
      <c r="W734" s="5" t="s">
        <v>227</v>
      </c>
      <c r="X734" s="5" t="s">
        <v>413</v>
      </c>
      <c r="Y734" s="5" t="s">
        <v>1431</v>
      </c>
      <c r="Z734" s="5" t="s">
        <v>1782</v>
      </c>
      <c r="AA734" s="5" t="s">
        <v>3617</v>
      </c>
      <c r="AB734" s="5" t="s">
        <v>3705</v>
      </c>
      <c r="AC734" s="5" t="s">
        <v>6388</v>
      </c>
      <c r="AD734" s="6">
        <v>46086</v>
      </c>
      <c r="AE734" s="5"/>
      <c r="AF734" s="5"/>
    </row>
    <row r="735" spans="1:32" ht="346.5" customHeight="1" x14ac:dyDescent="0.3">
      <c r="A735" s="7">
        <v>2793423</v>
      </c>
      <c r="B735" s="7" t="s">
        <v>607</v>
      </c>
      <c r="C735" s="7" t="s">
        <v>6389</v>
      </c>
      <c r="D735" s="7" t="s">
        <v>198</v>
      </c>
      <c r="E735" s="7" t="s">
        <v>203</v>
      </c>
      <c r="F735" s="7" t="s">
        <v>613</v>
      </c>
      <c r="G735" s="7" t="s">
        <v>217</v>
      </c>
      <c r="H735" s="7" t="s">
        <v>245</v>
      </c>
      <c r="I735" s="7" t="s">
        <v>609</v>
      </c>
      <c r="J735" s="7" t="s">
        <v>608</v>
      </c>
      <c r="K735" s="7" t="s">
        <v>200</v>
      </c>
      <c r="L735" s="7" t="s">
        <v>610</v>
      </c>
      <c r="M735" s="7" t="s">
        <v>611</v>
      </c>
      <c r="N735" s="7" t="s">
        <v>3652</v>
      </c>
      <c r="O735" s="7" t="s">
        <v>3630</v>
      </c>
      <c r="P735" s="7">
        <v>8880649</v>
      </c>
      <c r="Q735" s="7" t="s">
        <v>3557</v>
      </c>
      <c r="R735" s="7" t="s">
        <v>203</v>
      </c>
      <c r="S735" s="7" t="s">
        <v>613</v>
      </c>
      <c r="T735" s="7" t="s">
        <v>217</v>
      </c>
      <c r="U735" s="7" t="s">
        <v>207</v>
      </c>
      <c r="V735" s="7" t="s">
        <v>3558</v>
      </c>
      <c r="W735" s="7" t="s">
        <v>608</v>
      </c>
      <c r="X735" s="7" t="s">
        <v>200</v>
      </c>
      <c r="Y735" s="7" t="s">
        <v>610</v>
      </c>
      <c r="Z735" s="7" t="s">
        <v>330</v>
      </c>
      <c r="AA735" s="7" t="s">
        <v>3617</v>
      </c>
      <c r="AB735" s="7" t="s">
        <v>3630</v>
      </c>
      <c r="AC735" s="7" t="s">
        <v>6390</v>
      </c>
      <c r="AD735" s="8">
        <v>46083</v>
      </c>
      <c r="AE735" s="8">
        <v>46477</v>
      </c>
      <c r="AF735" s="7"/>
    </row>
    <row r="736" spans="1:32" ht="60.75" customHeight="1" x14ac:dyDescent="0.3">
      <c r="A736" s="5">
        <v>4793056</v>
      </c>
      <c r="B736" s="5" t="s">
        <v>2182</v>
      </c>
      <c r="C736" s="5" t="s">
        <v>5909</v>
      </c>
      <c r="D736" s="5" t="s">
        <v>198</v>
      </c>
      <c r="E736" s="5" t="s">
        <v>203</v>
      </c>
      <c r="F736" s="5" t="s">
        <v>234</v>
      </c>
      <c r="G736" s="5" t="s">
        <v>217</v>
      </c>
      <c r="H736" s="5" t="s">
        <v>245</v>
      </c>
      <c r="I736" s="5" t="s">
        <v>2183</v>
      </c>
      <c r="J736" s="5" t="s">
        <v>227</v>
      </c>
      <c r="K736" s="5" t="s">
        <v>413</v>
      </c>
      <c r="L736" s="5" t="s">
        <v>2184</v>
      </c>
      <c r="M736" s="5" t="s">
        <v>448</v>
      </c>
      <c r="N736" s="5" t="s">
        <v>3608</v>
      </c>
      <c r="O736" s="5" t="s">
        <v>3743</v>
      </c>
      <c r="P736" s="5">
        <v>3242145</v>
      </c>
      <c r="Q736" s="5" t="s">
        <v>6391</v>
      </c>
      <c r="R736" s="5" t="s">
        <v>203</v>
      </c>
      <c r="S736" s="5" t="s">
        <v>234</v>
      </c>
      <c r="T736" s="5" t="s">
        <v>217</v>
      </c>
      <c r="U736" s="5" t="s">
        <v>245</v>
      </c>
      <c r="V736" s="5" t="s">
        <v>6392</v>
      </c>
      <c r="W736" s="5" t="s">
        <v>227</v>
      </c>
      <c r="X736" s="5" t="s">
        <v>413</v>
      </c>
      <c r="Y736" s="5" t="s">
        <v>4527</v>
      </c>
      <c r="Z736" s="5" t="s">
        <v>6393</v>
      </c>
      <c r="AA736" s="5" t="s">
        <v>3623</v>
      </c>
      <c r="AB736" s="5" t="s">
        <v>3763</v>
      </c>
      <c r="AC736" s="5" t="s">
        <v>6394</v>
      </c>
      <c r="AD736" s="6">
        <v>46090</v>
      </c>
      <c r="AE736" s="6">
        <v>46121</v>
      </c>
      <c r="AF736" s="5"/>
    </row>
    <row r="737" spans="1:32" ht="213.75" customHeight="1" x14ac:dyDescent="0.3">
      <c r="A737" s="7">
        <v>4936795</v>
      </c>
      <c r="B737" s="7" t="s">
        <v>2470</v>
      </c>
      <c r="C737" s="7" t="s">
        <v>6395</v>
      </c>
      <c r="D737" s="7" t="s">
        <v>198</v>
      </c>
      <c r="E737" s="7" t="s">
        <v>203</v>
      </c>
      <c r="F737" s="7" t="s">
        <v>234</v>
      </c>
      <c r="G737" s="7" t="s">
        <v>217</v>
      </c>
      <c r="H737" s="7" t="s">
        <v>207</v>
      </c>
      <c r="I737" s="7" t="s">
        <v>2471</v>
      </c>
      <c r="J737" s="7" t="s">
        <v>227</v>
      </c>
      <c r="K737" s="7" t="s">
        <v>200</v>
      </c>
      <c r="L737" s="7" t="s">
        <v>2472</v>
      </c>
      <c r="M737" s="7" t="s">
        <v>685</v>
      </c>
      <c r="N737" s="7" t="s">
        <v>3623</v>
      </c>
      <c r="O737" s="7" t="s">
        <v>3824</v>
      </c>
      <c r="P737" s="7">
        <v>5326583</v>
      </c>
      <c r="Q737" s="7" t="s">
        <v>3134</v>
      </c>
      <c r="R737" s="7" t="s">
        <v>203</v>
      </c>
      <c r="S737" s="7" t="s">
        <v>234</v>
      </c>
      <c r="T737" s="7" t="s">
        <v>217</v>
      </c>
      <c r="U737" s="7" t="s">
        <v>207</v>
      </c>
      <c r="V737" s="7" t="s">
        <v>1664</v>
      </c>
      <c r="W737" s="7" t="s">
        <v>227</v>
      </c>
      <c r="X737" s="7" t="s">
        <v>200</v>
      </c>
      <c r="Y737" s="7" t="s">
        <v>1665</v>
      </c>
      <c r="Z737" s="7" t="s">
        <v>3078</v>
      </c>
      <c r="AA737" s="7" t="s">
        <v>3612</v>
      </c>
      <c r="AB737" s="7" t="s">
        <v>4356</v>
      </c>
      <c r="AC737" s="7" t="s">
        <v>6396</v>
      </c>
      <c r="AD737" s="8">
        <v>45930</v>
      </c>
      <c r="AE737" s="8">
        <v>46022</v>
      </c>
      <c r="AF737" s="7"/>
    </row>
    <row r="738" spans="1:32" ht="30" customHeight="1" x14ac:dyDescent="0.3">
      <c r="A738" s="5">
        <v>4927060</v>
      </c>
      <c r="B738" s="5" t="s">
        <v>2449</v>
      </c>
      <c r="C738" s="5" t="s">
        <v>6397</v>
      </c>
      <c r="D738" s="5" t="s">
        <v>1351</v>
      </c>
      <c r="E738" s="5" t="s">
        <v>203</v>
      </c>
      <c r="F738" s="5" t="s">
        <v>234</v>
      </c>
      <c r="G738" s="5" t="s">
        <v>217</v>
      </c>
      <c r="H738" s="5" t="s">
        <v>207</v>
      </c>
      <c r="I738" s="5" t="s">
        <v>756</v>
      </c>
      <c r="J738" s="5" t="s">
        <v>227</v>
      </c>
      <c r="K738" s="5" t="s">
        <v>413</v>
      </c>
      <c r="L738" s="5" t="s">
        <v>2450</v>
      </c>
      <c r="M738" s="5" t="s">
        <v>2451</v>
      </c>
      <c r="N738" s="5" t="s">
        <v>3612</v>
      </c>
      <c r="O738" s="5" t="s">
        <v>3702</v>
      </c>
      <c r="P738" s="5">
        <v>4946669</v>
      </c>
      <c r="Q738" s="5" t="s">
        <v>2490</v>
      </c>
      <c r="R738" s="5" t="s">
        <v>203</v>
      </c>
      <c r="S738" s="5" t="s">
        <v>418</v>
      </c>
      <c r="T738" s="5" t="s">
        <v>217</v>
      </c>
      <c r="U738" s="5" t="s">
        <v>245</v>
      </c>
      <c r="V738" s="5" t="s">
        <v>2491</v>
      </c>
      <c r="W738" s="5" t="s">
        <v>227</v>
      </c>
      <c r="X738" s="5" t="s">
        <v>413</v>
      </c>
      <c r="Y738" s="5" t="s">
        <v>2492</v>
      </c>
      <c r="Z738" s="5" t="s">
        <v>2493</v>
      </c>
      <c r="AA738" s="5" t="s">
        <v>3623</v>
      </c>
      <c r="AB738" s="5" t="s">
        <v>4356</v>
      </c>
      <c r="AC738" s="5" t="s">
        <v>6398</v>
      </c>
      <c r="AD738" s="6">
        <v>45992</v>
      </c>
      <c r="AE738" s="6">
        <v>46812</v>
      </c>
      <c r="AF738" s="5"/>
    </row>
    <row r="739" spans="1:32" ht="30" customHeight="1" x14ac:dyDescent="0.3">
      <c r="A739" s="7">
        <v>8876703</v>
      </c>
      <c r="B739" s="7" t="s">
        <v>3472</v>
      </c>
      <c r="C739" s="7"/>
      <c r="D739" s="7" t="s">
        <v>3373</v>
      </c>
      <c r="E739" s="7" t="s">
        <v>203</v>
      </c>
      <c r="F739" s="7" t="s">
        <v>234</v>
      </c>
      <c r="G739" s="7" t="s">
        <v>217</v>
      </c>
      <c r="H739" s="7" t="s">
        <v>2330</v>
      </c>
      <c r="I739" s="7" t="s">
        <v>3473</v>
      </c>
      <c r="J739" s="7" t="s">
        <v>227</v>
      </c>
      <c r="K739" s="7" t="s">
        <v>200</v>
      </c>
      <c r="L739" s="7" t="s">
        <v>3474</v>
      </c>
      <c r="M739" s="7" t="s">
        <v>3475</v>
      </c>
      <c r="N739" s="7" t="s">
        <v>3729</v>
      </c>
      <c r="O739" s="7" t="s">
        <v>3627</v>
      </c>
      <c r="P739" s="7">
        <v>8884208</v>
      </c>
      <c r="Q739" s="7" t="s">
        <v>6399</v>
      </c>
      <c r="R739" s="7" t="s">
        <v>5712</v>
      </c>
      <c r="S739" s="7" t="s">
        <v>234</v>
      </c>
      <c r="T739" s="7" t="s">
        <v>208</v>
      </c>
      <c r="U739" s="7" t="s">
        <v>207</v>
      </c>
      <c r="V739" s="7" t="s">
        <v>6400</v>
      </c>
      <c r="W739" s="7" t="s">
        <v>227</v>
      </c>
      <c r="X739" s="7" t="s">
        <v>200</v>
      </c>
      <c r="Y739" s="7" t="s">
        <v>5963</v>
      </c>
      <c r="Z739" s="7" t="s">
        <v>5964</v>
      </c>
      <c r="AA739" s="7" t="s">
        <v>3617</v>
      </c>
      <c r="AB739" s="7" t="s">
        <v>5649</v>
      </c>
      <c r="AC739" s="7" t="s">
        <v>6401</v>
      </c>
      <c r="AD739" s="8">
        <v>45931</v>
      </c>
      <c r="AE739" s="8">
        <v>46295</v>
      </c>
      <c r="AF739" s="7"/>
    </row>
    <row r="740" spans="1:32" ht="40.5" customHeight="1" x14ac:dyDescent="0.3">
      <c r="A740" s="5">
        <v>3527808</v>
      </c>
      <c r="B740" s="5" t="s">
        <v>1429</v>
      </c>
      <c r="C740" s="5" t="s">
        <v>6402</v>
      </c>
      <c r="D740" s="5" t="s">
        <v>862</v>
      </c>
      <c r="E740" s="5" t="s">
        <v>203</v>
      </c>
      <c r="F740" s="5" t="s">
        <v>234</v>
      </c>
      <c r="G740" s="5" t="s">
        <v>217</v>
      </c>
      <c r="H740" s="5" t="s">
        <v>207</v>
      </c>
      <c r="I740" s="5" t="s">
        <v>1430</v>
      </c>
      <c r="J740" s="5" t="s">
        <v>227</v>
      </c>
      <c r="K740" s="5" t="s">
        <v>413</v>
      </c>
      <c r="L740" s="5" t="s">
        <v>1431</v>
      </c>
      <c r="M740" s="5" t="s">
        <v>1432</v>
      </c>
      <c r="N740" s="5" t="s">
        <v>3608</v>
      </c>
      <c r="O740" s="5" t="s">
        <v>3743</v>
      </c>
      <c r="P740" s="5">
        <v>5462584</v>
      </c>
      <c r="Q740" s="5" t="s">
        <v>6403</v>
      </c>
      <c r="R740" s="5" t="s">
        <v>203</v>
      </c>
      <c r="S740" s="5" t="s">
        <v>234</v>
      </c>
      <c r="T740" s="5" t="s">
        <v>217</v>
      </c>
      <c r="U740" s="5" t="s">
        <v>245</v>
      </c>
      <c r="V740" s="5" t="s">
        <v>6404</v>
      </c>
      <c r="W740" s="5" t="s">
        <v>227</v>
      </c>
      <c r="X740" s="5" t="s">
        <v>413</v>
      </c>
      <c r="Y740" s="5" t="s">
        <v>6405</v>
      </c>
      <c r="Z740" s="5" t="s">
        <v>982</v>
      </c>
      <c r="AA740" s="5" t="s">
        <v>3612</v>
      </c>
      <c r="AB740" s="5" t="s">
        <v>3725</v>
      </c>
      <c r="AC740" s="5" t="s">
        <v>6406</v>
      </c>
      <c r="AD740" s="6">
        <v>46088</v>
      </c>
      <c r="AE740" s="5"/>
      <c r="AF740" s="5"/>
    </row>
    <row r="741" spans="1:32" ht="102" customHeight="1" x14ac:dyDescent="0.3">
      <c r="A741" s="7">
        <v>4535286</v>
      </c>
      <c r="B741" s="7" t="s">
        <v>1837</v>
      </c>
      <c r="C741" s="7" t="s">
        <v>6407</v>
      </c>
      <c r="D741" s="7" t="s">
        <v>198</v>
      </c>
      <c r="E741" s="7" t="s">
        <v>203</v>
      </c>
      <c r="F741" s="7" t="s">
        <v>433</v>
      </c>
      <c r="G741" s="7" t="s">
        <v>217</v>
      </c>
      <c r="H741" s="7" t="s">
        <v>233</v>
      </c>
      <c r="I741" s="7" t="s">
        <v>1838</v>
      </c>
      <c r="J741" s="7" t="s">
        <v>227</v>
      </c>
      <c r="K741" s="7" t="s">
        <v>200</v>
      </c>
      <c r="L741" s="7" t="s">
        <v>684</v>
      </c>
      <c r="M741" s="7" t="s">
        <v>1839</v>
      </c>
      <c r="N741" s="7" t="s">
        <v>3608</v>
      </c>
      <c r="O741" s="7" t="s">
        <v>3824</v>
      </c>
      <c r="P741" s="7">
        <v>5404940</v>
      </c>
      <c r="Q741" s="7" t="s">
        <v>6408</v>
      </c>
      <c r="R741" s="7" t="s">
        <v>203</v>
      </c>
      <c r="S741" s="7"/>
      <c r="T741" s="7" t="s">
        <v>208</v>
      </c>
      <c r="U741" s="7" t="s">
        <v>207</v>
      </c>
      <c r="V741" s="7" t="s">
        <v>4711</v>
      </c>
      <c r="W741" s="7" t="s">
        <v>211</v>
      </c>
      <c r="X741" s="7" t="s">
        <v>200</v>
      </c>
      <c r="Y741" s="7" t="s">
        <v>6409</v>
      </c>
      <c r="Z741" s="7" t="s">
        <v>6410</v>
      </c>
      <c r="AA741" s="7" t="s">
        <v>3612</v>
      </c>
      <c r="AB741" s="7" t="s">
        <v>4356</v>
      </c>
      <c r="AC741" s="7" t="s">
        <v>6411</v>
      </c>
      <c r="AD741" s="8">
        <v>46083</v>
      </c>
      <c r="AE741" s="8">
        <v>46387</v>
      </c>
      <c r="AF741" s="7"/>
    </row>
    <row r="742" spans="1:32" ht="30" customHeight="1" x14ac:dyDescent="0.3">
      <c r="A742" s="5">
        <v>5655552</v>
      </c>
      <c r="B742" s="5" t="s">
        <v>402</v>
      </c>
      <c r="C742" s="5"/>
      <c r="D742" s="5" t="s">
        <v>198</v>
      </c>
      <c r="E742" s="5" t="s">
        <v>203</v>
      </c>
      <c r="F742" s="5"/>
      <c r="G742" s="5" t="s">
        <v>217</v>
      </c>
      <c r="H742" s="5" t="s">
        <v>207</v>
      </c>
      <c r="I742" s="5" t="s">
        <v>404</v>
      </c>
      <c r="J742" s="5" t="s">
        <v>403</v>
      </c>
      <c r="K742" s="5" t="s">
        <v>200</v>
      </c>
      <c r="L742" s="5" t="s">
        <v>405</v>
      </c>
      <c r="M742" s="5" t="s">
        <v>272</v>
      </c>
      <c r="N742" s="5" t="s">
        <v>3732</v>
      </c>
      <c r="O742" s="5" t="s">
        <v>3609</v>
      </c>
      <c r="P742" s="5">
        <v>8878601</v>
      </c>
      <c r="Q742" s="5" t="s">
        <v>6412</v>
      </c>
      <c r="R742" s="5" t="s">
        <v>651</v>
      </c>
      <c r="S742" s="5" t="s">
        <v>6413</v>
      </c>
      <c r="T742" s="5" t="s">
        <v>208</v>
      </c>
      <c r="U742" s="5" t="s">
        <v>2330</v>
      </c>
      <c r="V742" s="5" t="s">
        <v>404</v>
      </c>
      <c r="W742" s="5" t="s">
        <v>403</v>
      </c>
      <c r="X742" s="5" t="s">
        <v>200</v>
      </c>
      <c r="Y742" s="5" t="s">
        <v>6414</v>
      </c>
      <c r="Z742" s="5" t="s">
        <v>3502</v>
      </c>
      <c r="AA742" s="5" t="s">
        <v>3729</v>
      </c>
      <c r="AB742" s="5" t="s">
        <v>5649</v>
      </c>
      <c r="AC742" s="5" t="s">
        <v>6415</v>
      </c>
      <c r="AD742" s="6">
        <v>46084</v>
      </c>
      <c r="AE742" s="5"/>
      <c r="AF742" s="5"/>
    </row>
    <row r="743" spans="1:32" ht="30" customHeight="1" x14ac:dyDescent="0.3">
      <c r="A743" s="7">
        <v>5399335</v>
      </c>
      <c r="B743" s="7" t="s">
        <v>3192</v>
      </c>
      <c r="C743" s="7" t="s">
        <v>6416</v>
      </c>
      <c r="D743" s="7" t="s">
        <v>198</v>
      </c>
      <c r="E743" s="7" t="s">
        <v>203</v>
      </c>
      <c r="F743" s="7" t="s">
        <v>433</v>
      </c>
      <c r="G743" s="7" t="s">
        <v>208</v>
      </c>
      <c r="H743" s="7" t="s">
        <v>207</v>
      </c>
      <c r="I743" s="7" t="s">
        <v>1869</v>
      </c>
      <c r="J743" s="7" t="s">
        <v>227</v>
      </c>
      <c r="K743" s="7" t="s">
        <v>200</v>
      </c>
      <c r="L743" s="7" t="s">
        <v>1870</v>
      </c>
      <c r="M743" s="7" t="s">
        <v>848</v>
      </c>
      <c r="N743" s="7" t="s">
        <v>3612</v>
      </c>
      <c r="O743" s="7" t="s">
        <v>3743</v>
      </c>
      <c r="P743" s="7">
        <v>5406420</v>
      </c>
      <c r="Q743" s="7" t="s">
        <v>3193</v>
      </c>
      <c r="R743" s="7" t="s">
        <v>203</v>
      </c>
      <c r="S743" s="7" t="s">
        <v>418</v>
      </c>
      <c r="T743" s="7" t="s">
        <v>208</v>
      </c>
      <c r="U743" s="7" t="s">
        <v>2330</v>
      </c>
      <c r="V743" s="7" t="s">
        <v>2687</v>
      </c>
      <c r="W743" s="7" t="s">
        <v>227</v>
      </c>
      <c r="X743" s="7" t="s">
        <v>200</v>
      </c>
      <c r="Y743" s="7" t="s">
        <v>1025</v>
      </c>
      <c r="Z743" s="7" t="s">
        <v>705</v>
      </c>
      <c r="AA743" s="7" t="s">
        <v>3612</v>
      </c>
      <c r="AB743" s="7" t="s">
        <v>3743</v>
      </c>
      <c r="AC743" s="7" t="s">
        <v>6417</v>
      </c>
      <c r="AD743" s="8">
        <v>46042</v>
      </c>
      <c r="AE743" s="7"/>
      <c r="AF743" s="7"/>
    </row>
    <row r="744" spans="1:32" ht="409.5" customHeight="1" x14ac:dyDescent="0.3">
      <c r="A744" s="5">
        <v>8877271</v>
      </c>
      <c r="B744" s="5" t="s">
        <v>3509</v>
      </c>
      <c r="C744" s="5" t="s">
        <v>6418</v>
      </c>
      <c r="D744" s="5" t="s">
        <v>3373</v>
      </c>
      <c r="E744" s="5" t="s">
        <v>203</v>
      </c>
      <c r="F744" s="5" t="s">
        <v>234</v>
      </c>
      <c r="G744" s="5" t="s">
        <v>217</v>
      </c>
      <c r="H744" s="5" t="s">
        <v>2330</v>
      </c>
      <c r="I744" s="5" t="s">
        <v>3393</v>
      </c>
      <c r="J744" s="5" t="s">
        <v>227</v>
      </c>
      <c r="K744" s="5" t="s">
        <v>200</v>
      </c>
      <c r="L744" s="5" t="s">
        <v>2567</v>
      </c>
      <c r="M744" s="5" t="s">
        <v>3394</v>
      </c>
      <c r="N744" s="5" t="s">
        <v>3729</v>
      </c>
      <c r="O744" s="5" t="s">
        <v>3609</v>
      </c>
      <c r="P744" s="5">
        <v>8884172</v>
      </c>
      <c r="Q744" s="5" t="s">
        <v>124</v>
      </c>
      <c r="R744" s="5" t="s">
        <v>5712</v>
      </c>
      <c r="S744" s="5" t="s">
        <v>234</v>
      </c>
      <c r="T744" s="5" t="s">
        <v>217</v>
      </c>
      <c r="U744" s="5" t="s">
        <v>3569</v>
      </c>
      <c r="V744" s="5" t="s">
        <v>4209</v>
      </c>
      <c r="W744" s="5" t="s">
        <v>227</v>
      </c>
      <c r="X744" s="5" t="s">
        <v>200</v>
      </c>
      <c r="Y744" s="5" t="s">
        <v>5963</v>
      </c>
      <c r="Z744" s="5" t="s">
        <v>5964</v>
      </c>
      <c r="AA744" s="5" t="s">
        <v>3617</v>
      </c>
      <c r="AB744" s="5" t="s">
        <v>5649</v>
      </c>
      <c r="AC744" s="5" t="s">
        <v>6419</v>
      </c>
      <c r="AD744" s="6">
        <v>46098</v>
      </c>
      <c r="AE744" s="6">
        <v>46325</v>
      </c>
      <c r="AF744" s="5"/>
    </row>
    <row r="745" spans="1:32" ht="40.5" customHeight="1" x14ac:dyDescent="0.3">
      <c r="A745" s="7">
        <v>2978210</v>
      </c>
      <c r="B745" s="7" t="s">
        <v>547</v>
      </c>
      <c r="C745" s="7"/>
      <c r="D745" s="7" t="s">
        <v>354</v>
      </c>
      <c r="E745" s="7" t="s">
        <v>203</v>
      </c>
      <c r="F745" s="7" t="s">
        <v>418</v>
      </c>
      <c r="G745" s="7" t="s">
        <v>217</v>
      </c>
      <c r="H745" s="7" t="s">
        <v>245</v>
      </c>
      <c r="I745" s="7" t="s">
        <v>549</v>
      </c>
      <c r="J745" s="7" t="s">
        <v>227</v>
      </c>
      <c r="K745" s="7" t="s">
        <v>413</v>
      </c>
      <c r="L745" s="7" t="s">
        <v>550</v>
      </c>
      <c r="M745" s="7" t="s">
        <v>540</v>
      </c>
      <c r="N745" s="7" t="s">
        <v>3602</v>
      </c>
      <c r="O745" s="7" t="s">
        <v>3894</v>
      </c>
      <c r="P745" s="7">
        <v>5118638</v>
      </c>
      <c r="Q745" s="7" t="s">
        <v>6420</v>
      </c>
      <c r="R745" s="7" t="s">
        <v>203</v>
      </c>
      <c r="S745" s="7" t="s">
        <v>418</v>
      </c>
      <c r="T745" s="7" t="s">
        <v>217</v>
      </c>
      <c r="U745" s="7" t="s">
        <v>245</v>
      </c>
      <c r="V745" s="7" t="s">
        <v>2912</v>
      </c>
      <c r="W745" s="7" t="s">
        <v>227</v>
      </c>
      <c r="X745" s="7" t="s">
        <v>413</v>
      </c>
      <c r="Y745" s="7" t="s">
        <v>2492</v>
      </c>
      <c r="Z745" s="7" t="s">
        <v>2621</v>
      </c>
      <c r="AA745" s="7" t="s">
        <v>3623</v>
      </c>
      <c r="AB745" s="7" t="s">
        <v>4356</v>
      </c>
      <c r="AC745" s="7" t="s">
        <v>6421</v>
      </c>
      <c r="AD745" s="8">
        <v>46098</v>
      </c>
      <c r="AE745" s="8">
        <v>46357</v>
      </c>
      <c r="AF745" s="7"/>
    </row>
    <row r="746" spans="1:32" ht="30" customHeight="1" x14ac:dyDescent="0.3">
      <c r="A746" s="5">
        <v>8873444</v>
      </c>
      <c r="B746" s="5" t="s">
        <v>3429</v>
      </c>
      <c r="C746" s="5" t="s">
        <v>6422</v>
      </c>
      <c r="D746" s="5" t="s">
        <v>198</v>
      </c>
      <c r="E746" s="5" t="s">
        <v>203</v>
      </c>
      <c r="F746" s="5" t="s">
        <v>418</v>
      </c>
      <c r="G746" s="5" t="s">
        <v>217</v>
      </c>
      <c r="H746" s="5" t="s">
        <v>207</v>
      </c>
      <c r="I746" s="5" t="s">
        <v>3430</v>
      </c>
      <c r="J746" s="5" t="s">
        <v>227</v>
      </c>
      <c r="K746" s="5" t="s">
        <v>413</v>
      </c>
      <c r="L746" s="5" t="s">
        <v>3431</v>
      </c>
      <c r="M746" s="5" t="s">
        <v>448</v>
      </c>
      <c r="N746" s="5" t="s">
        <v>3729</v>
      </c>
      <c r="O746" s="5" t="s">
        <v>3743</v>
      </c>
      <c r="P746" s="5">
        <v>3188116</v>
      </c>
      <c r="Q746" s="5" t="s">
        <v>6374</v>
      </c>
      <c r="R746" s="5" t="s">
        <v>203</v>
      </c>
      <c r="S746" s="5" t="s">
        <v>234</v>
      </c>
      <c r="T746" s="5" t="s">
        <v>208</v>
      </c>
      <c r="U746" s="5" t="s">
        <v>245</v>
      </c>
      <c r="V746" s="5" t="s">
        <v>6375</v>
      </c>
      <c r="W746" s="5" t="s">
        <v>227</v>
      </c>
      <c r="X746" s="5" t="s">
        <v>200</v>
      </c>
      <c r="Y746" s="5" t="s">
        <v>2039</v>
      </c>
      <c r="Z746" s="5" t="s">
        <v>2040</v>
      </c>
      <c r="AA746" s="5" t="s">
        <v>3602</v>
      </c>
      <c r="AB746" s="5" t="s">
        <v>3646</v>
      </c>
      <c r="AC746" s="5" t="s">
        <v>6423</v>
      </c>
      <c r="AD746" s="6">
        <v>46065</v>
      </c>
      <c r="AE746" s="6">
        <v>46234</v>
      </c>
      <c r="AF746" s="5"/>
    </row>
    <row r="747" spans="1:32" ht="244.5" customHeight="1" x14ac:dyDescent="0.3">
      <c r="A747" s="7">
        <v>5090598</v>
      </c>
      <c r="B747" s="7" t="s">
        <v>2699</v>
      </c>
      <c r="C747" s="7" t="s">
        <v>6424</v>
      </c>
      <c r="D747" s="7" t="s">
        <v>198</v>
      </c>
      <c r="E747" s="7" t="s">
        <v>203</v>
      </c>
      <c r="F747" s="7" t="s">
        <v>433</v>
      </c>
      <c r="G747" s="7" t="s">
        <v>208</v>
      </c>
      <c r="H747" s="7" t="s">
        <v>207</v>
      </c>
      <c r="I747" s="7" t="s">
        <v>2700</v>
      </c>
      <c r="J747" s="7" t="s">
        <v>227</v>
      </c>
      <c r="K747" s="7" t="s">
        <v>200</v>
      </c>
      <c r="L747" s="7" t="s">
        <v>2701</v>
      </c>
      <c r="M747" s="7" t="s">
        <v>555</v>
      </c>
      <c r="N747" s="7" t="s">
        <v>3623</v>
      </c>
      <c r="O747" s="7" t="s">
        <v>3751</v>
      </c>
      <c r="P747" s="7">
        <v>8878576</v>
      </c>
      <c r="Q747" s="7" t="s">
        <v>6425</v>
      </c>
      <c r="R747" s="7" t="s">
        <v>651</v>
      </c>
      <c r="S747" s="7" t="s">
        <v>1184</v>
      </c>
      <c r="T747" s="7" t="s">
        <v>217</v>
      </c>
      <c r="U747" s="7" t="s">
        <v>207</v>
      </c>
      <c r="V747" s="7" t="s">
        <v>6426</v>
      </c>
      <c r="W747" s="7" t="s">
        <v>1179</v>
      </c>
      <c r="X747" s="7" t="s">
        <v>200</v>
      </c>
      <c r="Y747" s="7" t="s">
        <v>6427</v>
      </c>
      <c r="Z747" s="7" t="s">
        <v>3502</v>
      </c>
      <c r="AA747" s="7" t="s">
        <v>3729</v>
      </c>
      <c r="AB747" s="7" t="s">
        <v>5649</v>
      </c>
      <c r="AC747" s="7" t="s">
        <v>6428</v>
      </c>
      <c r="AD747" s="8">
        <v>46023</v>
      </c>
      <c r="AE747" s="8">
        <v>46387</v>
      </c>
      <c r="AF747" s="7"/>
    </row>
    <row r="748" spans="1:32" ht="102" customHeight="1" x14ac:dyDescent="0.3">
      <c r="A748" s="5">
        <v>8877271</v>
      </c>
      <c r="B748" s="5" t="s">
        <v>3509</v>
      </c>
      <c r="C748" s="5" t="s">
        <v>6429</v>
      </c>
      <c r="D748" s="5" t="s">
        <v>3373</v>
      </c>
      <c r="E748" s="5" t="s">
        <v>203</v>
      </c>
      <c r="F748" s="5" t="s">
        <v>234</v>
      </c>
      <c r="G748" s="5" t="s">
        <v>217</v>
      </c>
      <c r="H748" s="5" t="s">
        <v>2330</v>
      </c>
      <c r="I748" s="5" t="s">
        <v>3393</v>
      </c>
      <c r="J748" s="5" t="s">
        <v>227</v>
      </c>
      <c r="K748" s="5" t="s">
        <v>200</v>
      </c>
      <c r="L748" s="5" t="s">
        <v>2567</v>
      </c>
      <c r="M748" s="5" t="s">
        <v>3394</v>
      </c>
      <c r="N748" s="5" t="s">
        <v>3729</v>
      </c>
      <c r="O748" s="5" t="s">
        <v>3609</v>
      </c>
      <c r="P748" s="5">
        <v>8884212</v>
      </c>
      <c r="Q748" s="5" t="s">
        <v>6173</v>
      </c>
      <c r="R748" s="5" t="s">
        <v>5712</v>
      </c>
      <c r="S748" s="5" t="s">
        <v>234</v>
      </c>
      <c r="T748" s="5" t="s">
        <v>208</v>
      </c>
      <c r="U748" s="5" t="s">
        <v>2330</v>
      </c>
      <c r="V748" s="5" t="s">
        <v>6174</v>
      </c>
      <c r="W748" s="5" t="s">
        <v>227</v>
      </c>
      <c r="X748" s="5" t="s">
        <v>200</v>
      </c>
      <c r="Y748" s="5" t="s">
        <v>5963</v>
      </c>
      <c r="Z748" s="5" t="s">
        <v>5964</v>
      </c>
      <c r="AA748" s="5" t="s">
        <v>3617</v>
      </c>
      <c r="AB748" s="5" t="s">
        <v>5649</v>
      </c>
      <c r="AC748" s="5" t="s">
        <v>6430</v>
      </c>
      <c r="AD748" s="6">
        <v>46100</v>
      </c>
      <c r="AE748" s="6">
        <v>46295</v>
      </c>
      <c r="AF748" s="5"/>
    </row>
  </sheetData>
  <autoFilter ref="A3:AF3" xr:uid="{00000000-0009-0000-0000-000003000000}"/>
  <mergeCells count="2">
    <mergeCell ref="A1:T1"/>
    <mergeCell ref="A2:T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48"/>
  <sheetViews>
    <sheetView zoomScaleNormal="100" workbookViewId="0">
      <pane ySplit="4" topLeftCell="A17" activePane="bottomLeft" state="frozen"/>
      <selection pane="bottomLeft" activeCell="B4" sqref="B4"/>
    </sheetView>
  </sheetViews>
  <sheetFormatPr defaultColWidth="8.6640625" defaultRowHeight="14.4" x14ac:dyDescent="0.3"/>
  <cols>
    <col min="1" max="1" width="13.6640625" customWidth="1"/>
    <col min="2" max="2" width="26" customWidth="1"/>
    <col min="3" max="3" width="24" customWidth="1"/>
    <col min="4" max="5" width="12" customWidth="1"/>
    <col min="6" max="6" width="14" customWidth="1"/>
    <col min="7" max="8" width="16" customWidth="1"/>
  </cols>
  <sheetData>
    <row r="1" spans="1:8" ht="31.5" customHeight="1" x14ac:dyDescent="0.3">
      <c r="A1" s="70" t="s">
        <v>6431</v>
      </c>
      <c r="B1" s="9">
        <f>COUNTA('Paste - Mentors'!B4:B5000)</f>
        <v>926</v>
      </c>
      <c r="D1" s="71" t="s">
        <v>6432</v>
      </c>
      <c r="E1" s="9">
        <f>COUNTIF(G4:G948,"Available")</f>
        <v>805</v>
      </c>
    </row>
    <row r="2" spans="1:8" ht="24" customHeight="1" x14ac:dyDescent="0.3">
      <c r="C2" s="4" t="str">
        <f>IFERROR(VLOOKUP(E1,'Paste - Mentors'!$A:$B,2,0),"")</f>
        <v/>
      </c>
    </row>
    <row r="3" spans="1:8" ht="24" customHeight="1" x14ac:dyDescent="0.3">
      <c r="A3" s="69" t="s">
        <v>1</v>
      </c>
      <c r="B3" s="69" t="s">
        <v>6433</v>
      </c>
      <c r="C3" s="69" t="s">
        <v>6434</v>
      </c>
      <c r="D3" s="69" t="s">
        <v>186</v>
      </c>
      <c r="E3" s="69" t="s">
        <v>6435</v>
      </c>
      <c r="F3" s="69" t="s">
        <v>6436</v>
      </c>
      <c r="G3" s="69" t="s">
        <v>6437</v>
      </c>
      <c r="H3" s="69" t="s">
        <v>6438</v>
      </c>
    </row>
    <row r="4" spans="1:8" ht="30" customHeight="1" x14ac:dyDescent="0.3">
      <c r="A4" s="43">
        <f>'Paste - Mentors'!A4</f>
        <v>5183472</v>
      </c>
      <c r="B4" s="3" t="str">
        <f>IFERROR(VLOOKUP(A4,'Paste - Mentors'!$A:$B,2,0),"")</f>
        <v>Gerald Maunda</v>
      </c>
      <c r="C4" s="3" t="str">
        <f>IFERROR(VLOOKUP(A4,'Paste - Mentors'!$A:$D,4,0),"")</f>
        <v>Career Mentor</v>
      </c>
      <c r="D4" s="43" t="str">
        <f>IFERROR(VLOOKUP(A4,'Paste - Mentors'!$A:$F,6,0),"")</f>
        <v>FNB</v>
      </c>
      <c r="E4" s="43" t="str">
        <f>IFERROR(VLOOKUP(A4,'Paste - Mentors'!$A:$E,5,0),"")</f>
        <v>Zambia</v>
      </c>
      <c r="F4" s="43">
        <f>IF(A4="","",COUNTIFS('Paste - Relationships'!$A:$A,A4,'Paste - Relationships'!$AE:$AE,""))</f>
        <v>0</v>
      </c>
      <c r="G4" s="43" t="str">
        <f t="shared" ref="G4:G67" si="0">IF(A4="","",IF(F4&gt;=3,"At Capacity",IF(F4=0,"Available","Has Capacity")))</f>
        <v>Available</v>
      </c>
      <c r="H4" s="43" t="str">
        <f>IF(A4="","",IF(COUNTIF('Programme Mentors'!$A:$A,A4)&gt;0,"Enrolled","—"))</f>
        <v>—</v>
      </c>
    </row>
    <row r="5" spans="1:8" ht="14.25" customHeight="1" x14ac:dyDescent="0.3">
      <c r="A5" s="9">
        <f>'Paste - Mentors'!A5</f>
        <v>5495989</v>
      </c>
      <c r="B5" s="4" t="str">
        <f>IFERROR(VLOOKUP(A5,'Paste - Mentors'!$A:$B,2,0),"")</f>
        <v>Bonolo Molebatsi</v>
      </c>
      <c r="C5" s="4" t="str">
        <f>IFERROR(VLOOKUP(A5,'Paste - Mentors'!$A:$D,4,0),"")</f>
        <v>Career Mentor</v>
      </c>
      <c r="D5" s="9" t="str">
        <f>IFERROR(VLOOKUP(A5,'Paste - Mentors'!$A:$F,6,0),"")</f>
        <v>FNB</v>
      </c>
      <c r="E5" s="9" t="str">
        <f>IFERROR(VLOOKUP(A5,'Paste - Mentors'!$A:$E,5,0),"")</f>
        <v>Botswana</v>
      </c>
      <c r="F5" s="9">
        <f>IF(A5="","",COUNTIFS('Paste - Relationships'!$A:$A,A5,'Paste - Relationships'!$AE:$AE,""))</f>
        <v>1</v>
      </c>
      <c r="G5" s="9" t="str">
        <f t="shared" si="0"/>
        <v>Has Capacity</v>
      </c>
      <c r="H5" s="9" t="str">
        <f>IF(A5="","",IF(COUNTIF('Programme Mentors'!$A:$A,A5)&gt;0,"Enrolled","—"))</f>
        <v>—</v>
      </c>
    </row>
    <row r="6" spans="1:8" ht="14.25" customHeight="1" x14ac:dyDescent="0.3">
      <c r="A6" s="43">
        <f>'Paste - Mentors'!A6</f>
        <v>5009642</v>
      </c>
      <c r="B6" s="3" t="str">
        <f>IFERROR(VLOOKUP(A6,'Paste - Mentors'!$A:$B,2,0),"")</f>
        <v>Otisitswe Faith Rathedi</v>
      </c>
      <c r="C6" s="3" t="str">
        <f>IFERROR(VLOOKUP(A6,'Paste - Mentors'!$A:$D,4,0),"")</f>
        <v>Career Mentor
Leadership Mentor</v>
      </c>
      <c r="D6" s="43" t="str">
        <f>IFERROR(VLOOKUP(A6,'Paste - Mentors'!$A:$F,6,0),"")</f>
        <v>FNB</v>
      </c>
      <c r="E6" s="43" t="str">
        <f>IFERROR(VLOOKUP(A6,'Paste - Mentors'!$A:$E,5,0),"")</f>
        <v>Botswana</v>
      </c>
      <c r="F6" s="43">
        <f>IF(A6="","",COUNTIFS('Paste - Relationships'!$A:$A,A6,'Paste - Relationships'!$AE:$AE,""))</f>
        <v>1</v>
      </c>
      <c r="G6" s="43" t="str">
        <f t="shared" si="0"/>
        <v>Has Capacity</v>
      </c>
      <c r="H6" s="43" t="str">
        <f>IF(A6="","",IF(COUNTIF('Programme Mentors'!$A:$A,A6)&gt;0,"Enrolled","—"))</f>
        <v>—</v>
      </c>
    </row>
    <row r="7" spans="1:8" ht="33.75" customHeight="1" x14ac:dyDescent="0.3">
      <c r="A7" s="9">
        <f>'Paste - Mentors'!A7</f>
        <v>5109140</v>
      </c>
      <c r="B7" s="4" t="str">
        <f>IFERROR(VLOOKUP(A7,'Paste - Mentors'!$A:$B,2,0),"")</f>
        <v>Bydon Longwe</v>
      </c>
      <c r="C7" s="4" t="str">
        <f>IFERROR(VLOOKUP(A7,'Paste - Mentors'!$A:$D,4,0),"")</f>
        <v>Career Mentor</v>
      </c>
      <c r="D7" s="9" t="str">
        <f>IFERROR(VLOOKUP(A7,'Paste - Mentors'!$A:$F,6,0),"")</f>
        <v>FNB</v>
      </c>
      <c r="E7" s="9" t="str">
        <f>IFERROR(VLOOKUP(A7,'Paste - Mentors'!$A:$E,5,0),"")</f>
        <v>South Africa</v>
      </c>
      <c r="F7" s="9">
        <f>IF(A7="","",COUNTIFS('Paste - Relationships'!$A:$A,A7,'Paste - Relationships'!$AE:$AE,""))</f>
        <v>1</v>
      </c>
      <c r="G7" s="9" t="str">
        <f t="shared" si="0"/>
        <v>Has Capacity</v>
      </c>
      <c r="H7" s="9" t="str">
        <f>IF(A7="","",IF(COUNTIF('Programme Mentors'!$A:$A,A7)&gt;0,"Enrolled","—"))</f>
        <v>—</v>
      </c>
    </row>
    <row r="8" spans="1:8" ht="14.25" customHeight="1" x14ac:dyDescent="0.3">
      <c r="A8" s="43">
        <f>'Paste - Mentors'!A8</f>
        <v>4946073</v>
      </c>
      <c r="B8" s="3" t="str">
        <f>IFERROR(VLOOKUP(A8,'Paste - Mentors'!$A:$B,2,0),"")</f>
        <v>Patrick Bontsibokae</v>
      </c>
      <c r="C8" s="3" t="str">
        <f>IFERROR(VLOOKUP(A8,'Paste - Mentors'!$A:$D,4,0),"")</f>
        <v>Career Mentor</v>
      </c>
      <c r="D8" s="43" t="str">
        <f>IFERROR(VLOOKUP(A8,'Paste - Mentors'!$A:$F,6,0),"")</f>
        <v>FNB</v>
      </c>
      <c r="E8" s="43" t="str">
        <f>IFERROR(VLOOKUP(A8,'Paste - Mentors'!$A:$E,5,0),"")</f>
        <v>Botswana</v>
      </c>
      <c r="F8" s="43">
        <f>IF(A8="","",COUNTIFS('Paste - Relationships'!$A:$A,A8,'Paste - Relationships'!$AE:$AE,""))</f>
        <v>0</v>
      </c>
      <c r="G8" s="43" t="str">
        <f t="shared" si="0"/>
        <v>Available</v>
      </c>
      <c r="H8" s="43" t="str">
        <f>IF(A8="","",IF(COUNTIF('Programme Mentors'!$A:$A,A8)&gt;0,"Enrolled","—"))</f>
        <v>—</v>
      </c>
    </row>
    <row r="9" spans="1:8" ht="14.25" customHeight="1" x14ac:dyDescent="0.3">
      <c r="A9" s="9">
        <f>'Paste - Mentors'!A9</f>
        <v>4997751</v>
      </c>
      <c r="B9" s="4" t="str">
        <f>IFERROR(VLOOKUP(A9,'Paste - Mentors'!$A:$B,2,0),"")</f>
        <v>Caroline Kepaletswe</v>
      </c>
      <c r="C9" s="4" t="str">
        <f>IFERROR(VLOOKUP(A9,'Paste - Mentors'!$A:$D,4,0),"")</f>
        <v>Career Mentor</v>
      </c>
      <c r="D9" s="9" t="str">
        <f>IFERROR(VLOOKUP(A9,'Paste - Mentors'!$A:$F,6,0),"")</f>
        <v>FNB</v>
      </c>
      <c r="E9" s="9" t="str">
        <f>IFERROR(VLOOKUP(A9,'Paste - Mentors'!$A:$E,5,0),"")</f>
        <v>Botswana</v>
      </c>
      <c r="F9" s="9">
        <f>IF(A9="","",COUNTIFS('Paste - Relationships'!$A:$A,A9,'Paste - Relationships'!$AE:$AE,""))</f>
        <v>1</v>
      </c>
      <c r="G9" s="9" t="str">
        <f t="shared" si="0"/>
        <v>Has Capacity</v>
      </c>
      <c r="H9" s="9" t="str">
        <f>IF(A9="","",IF(COUNTIF('Programme Mentors'!$A:$A,A9)&gt;0,"Enrolled","—"))</f>
        <v>—</v>
      </c>
    </row>
    <row r="10" spans="1:8" ht="14.25" customHeight="1" x14ac:dyDescent="0.3">
      <c r="A10" s="43">
        <f>'Paste - Mentors'!A10</f>
        <v>4714849</v>
      </c>
      <c r="B10" s="3" t="str">
        <f>IFERROR(VLOOKUP(A10,'Paste - Mentors'!$A:$B,2,0),"")</f>
        <v>Chapita Mbuzi</v>
      </c>
      <c r="C10" s="3" t="str">
        <f>IFERROR(VLOOKUP(A10,'Paste - Mentors'!$A:$D,4,0),"")</f>
        <v>Career Mentor</v>
      </c>
      <c r="D10" s="43" t="str">
        <f>IFERROR(VLOOKUP(A10,'Paste - Mentors'!$A:$F,6,0),"")</f>
        <v>FNB</v>
      </c>
      <c r="E10" s="43" t="str">
        <f>IFERROR(VLOOKUP(A10,'Paste - Mentors'!$A:$E,5,0),"")</f>
        <v>Zambia</v>
      </c>
      <c r="F10" s="43">
        <f>IF(A10="","",COUNTIFS('Paste - Relationships'!$A:$A,A10,'Paste - Relationships'!$AE:$AE,""))</f>
        <v>0</v>
      </c>
      <c r="G10" s="43" t="str">
        <f t="shared" si="0"/>
        <v>Available</v>
      </c>
      <c r="H10" s="43" t="str">
        <f>IF(A10="","",IF(COUNTIF('Programme Mentors'!$A:$A,A10)&gt;0,"Enrolled","—"))</f>
        <v>—</v>
      </c>
    </row>
    <row r="11" spans="1:8" ht="14.25" customHeight="1" x14ac:dyDescent="0.3">
      <c r="A11" s="9">
        <f>'Paste - Mentors'!A11</f>
        <v>3872521</v>
      </c>
      <c r="B11" s="4" t="str">
        <f>IFERROR(VLOOKUP(A11,'Paste - Mentors'!$A:$B,2,0),"")</f>
        <v>Wiza Phiri</v>
      </c>
      <c r="C11" s="4" t="str">
        <f>IFERROR(VLOOKUP(A11,'Paste - Mentors'!$A:$D,4,0),"")</f>
        <v>Career Mentor</v>
      </c>
      <c r="D11" s="9" t="str">
        <f>IFERROR(VLOOKUP(A11,'Paste - Mentors'!$A:$F,6,0),"")</f>
        <v>FNB</v>
      </c>
      <c r="E11" s="9" t="str">
        <f>IFERROR(VLOOKUP(A11,'Paste - Mentors'!$A:$E,5,0),"")</f>
        <v>Zambia</v>
      </c>
      <c r="F11" s="9">
        <f>IF(A11="","",COUNTIFS('Paste - Relationships'!$A:$A,A11,'Paste - Relationships'!$AE:$AE,""))</f>
        <v>0</v>
      </c>
      <c r="G11" s="9" t="str">
        <f t="shared" si="0"/>
        <v>Available</v>
      </c>
      <c r="H11" s="9" t="str">
        <f>IF(A11="","",IF(COUNTIF('Programme Mentors'!$A:$A,A11)&gt;0,"Enrolled","—"))</f>
        <v>—</v>
      </c>
    </row>
    <row r="12" spans="1:8" ht="14.25" customHeight="1" x14ac:dyDescent="0.3">
      <c r="A12" s="43">
        <f>'Paste - Mentors'!A12</f>
        <v>4930088</v>
      </c>
      <c r="B12" s="3" t="str">
        <f>IFERROR(VLOOKUP(A12,'Paste - Mentors'!$A:$B,2,0),"")</f>
        <v>Retselisitsoe Sylvia Khet'semane</v>
      </c>
      <c r="C12" s="3" t="str">
        <f>IFERROR(VLOOKUP(A12,'Paste - Mentors'!$A:$D,4,0),"")</f>
        <v>Career Mentor</v>
      </c>
      <c r="D12" s="43" t="str">
        <f>IFERROR(VLOOKUP(A12,'Paste - Mentors'!$A:$F,6,0),"")</f>
        <v>FNB</v>
      </c>
      <c r="E12" s="43" t="str">
        <f>IFERROR(VLOOKUP(A12,'Paste - Mentors'!$A:$E,5,0),"")</f>
        <v>Lesotho</v>
      </c>
      <c r="F12" s="43">
        <f>IF(A12="","",COUNTIFS('Paste - Relationships'!$A:$A,A12,'Paste - Relationships'!$AE:$AE,""))</f>
        <v>0</v>
      </c>
      <c r="G12" s="43" t="str">
        <f t="shared" si="0"/>
        <v>Available</v>
      </c>
      <c r="H12" s="43" t="str">
        <f>IF(A12="","",IF(COUNTIF('Programme Mentors'!$A:$A,A12)&gt;0,"Enrolled","—"))</f>
        <v>—</v>
      </c>
    </row>
    <row r="13" spans="1:8" ht="14.25" customHeight="1" x14ac:dyDescent="0.3">
      <c r="A13" s="9">
        <f>'Paste - Mentors'!A13</f>
        <v>4989171</v>
      </c>
      <c r="B13" s="4" t="str">
        <f>IFERROR(VLOOKUP(A13,'Paste - Mentors'!$A:$B,2,0),"")</f>
        <v>Borethe Mogwe</v>
      </c>
      <c r="C13" s="4" t="str">
        <f>IFERROR(VLOOKUP(A13,'Paste - Mentors'!$A:$D,4,0),"")</f>
        <v>Career Mentor</v>
      </c>
      <c r="D13" s="9" t="str">
        <f>IFERROR(VLOOKUP(A13,'Paste - Mentors'!$A:$F,6,0),"")</f>
        <v>FNB</v>
      </c>
      <c r="E13" s="9" t="str">
        <f>IFERROR(VLOOKUP(A13,'Paste - Mentors'!$A:$E,5,0),"")</f>
        <v>Botswana</v>
      </c>
      <c r="F13" s="9">
        <f>IF(A13="","",COUNTIFS('Paste - Relationships'!$A:$A,A13,'Paste - Relationships'!$AE:$AE,""))</f>
        <v>2</v>
      </c>
      <c r="G13" s="9" t="str">
        <f t="shared" si="0"/>
        <v>Has Capacity</v>
      </c>
      <c r="H13" s="9" t="str">
        <f>IF(A13="","",IF(COUNTIF('Programme Mentors'!$A:$A,A13)&gt;0,"Enrolled","—"))</f>
        <v>—</v>
      </c>
    </row>
    <row r="14" spans="1:8" ht="14.25" customHeight="1" x14ac:dyDescent="0.3">
      <c r="A14" s="43">
        <f>'Paste - Mentors'!A14</f>
        <v>4804473</v>
      </c>
      <c r="B14" s="3" t="str">
        <f>IFERROR(VLOOKUP(A14,'Paste - Mentors'!$A:$B,2,0),"")</f>
        <v>Gofaone Mokalake</v>
      </c>
      <c r="C14" s="3" t="str">
        <f>IFERROR(VLOOKUP(A14,'Paste - Mentors'!$A:$D,4,0),"")</f>
        <v>Career Mentor
Leadership Mentor</v>
      </c>
      <c r="D14" s="43" t="str">
        <f>IFERROR(VLOOKUP(A14,'Paste - Mentors'!$A:$F,6,0),"")</f>
        <v>FNB</v>
      </c>
      <c r="E14" s="43" t="str">
        <f>IFERROR(VLOOKUP(A14,'Paste - Mentors'!$A:$E,5,0),"")</f>
        <v>Botswana</v>
      </c>
      <c r="F14" s="43">
        <f>IF(A14="","",COUNTIFS('Paste - Relationships'!$A:$A,A14,'Paste - Relationships'!$AE:$AE,""))</f>
        <v>0</v>
      </c>
      <c r="G14" s="43" t="str">
        <f t="shared" si="0"/>
        <v>Available</v>
      </c>
      <c r="H14" s="43" t="str">
        <f>IF(A14="","",IF(COUNTIF('Programme Mentors'!$A:$A,A14)&gt;0,"Enrolled","—"))</f>
        <v>—</v>
      </c>
    </row>
    <row r="15" spans="1:8" ht="33.75" customHeight="1" x14ac:dyDescent="0.3">
      <c r="A15" s="9">
        <f>'Paste - Mentors'!A15</f>
        <v>4868455</v>
      </c>
      <c r="B15" s="4" t="str">
        <f>IFERROR(VLOOKUP(A15,'Paste - Mentors'!$A:$B,2,0),"")</f>
        <v>Tshepo Sentle</v>
      </c>
      <c r="C15" s="4" t="str">
        <f>IFERROR(VLOOKUP(A15,'Paste - Mentors'!$A:$D,4,0),"")</f>
        <v>Career Mentor</v>
      </c>
      <c r="D15" s="9" t="str">
        <f>IFERROR(VLOOKUP(A15,'Paste - Mentors'!$A:$F,6,0),"")</f>
        <v>FNB</v>
      </c>
      <c r="E15" s="9" t="str">
        <f>IFERROR(VLOOKUP(A15,'Paste - Mentors'!$A:$E,5,0),"")</f>
        <v>Botswana</v>
      </c>
      <c r="F15" s="9">
        <f>IF(A15="","",COUNTIFS('Paste - Relationships'!$A:$A,A15,'Paste - Relationships'!$AE:$AE,""))</f>
        <v>0</v>
      </c>
      <c r="G15" s="9" t="str">
        <f t="shared" si="0"/>
        <v>Available</v>
      </c>
      <c r="H15" s="9" t="str">
        <f>IF(A15="","",IF(COUNTIF('Programme Mentors'!$A:$A,A15)&gt;0,"Enrolled","—"))</f>
        <v>—</v>
      </c>
    </row>
    <row r="16" spans="1:8" ht="14.25" customHeight="1" x14ac:dyDescent="0.3">
      <c r="A16" s="43">
        <f>'Paste - Mentors'!A16</f>
        <v>4873033</v>
      </c>
      <c r="B16" s="3" t="str">
        <f>IFERROR(VLOOKUP(A16,'Paste - Mentors'!$A:$B,2,0),"")</f>
        <v>Collen Tshebo</v>
      </c>
      <c r="C16" s="3" t="str">
        <f>IFERROR(VLOOKUP(A16,'Paste - Mentors'!$A:$D,4,0),"")</f>
        <v>Career Mentor
Leadership Mentor
Technical Mentor
Transition Mentor
Workplace  Buddy</v>
      </c>
      <c r="D16" s="43" t="str">
        <f>IFERROR(VLOOKUP(A16,'Paste - Mentors'!$A:$F,6,0),"")</f>
        <v>FNB</v>
      </c>
      <c r="E16" s="43" t="str">
        <f>IFERROR(VLOOKUP(A16,'Paste - Mentors'!$A:$E,5,0),"")</f>
        <v>Botswana</v>
      </c>
      <c r="F16" s="43">
        <f>IF(A16="","",COUNTIFS('Paste - Relationships'!$A:$A,A16,'Paste - Relationships'!$AE:$AE,""))</f>
        <v>1</v>
      </c>
      <c r="G16" s="43" t="str">
        <f t="shared" si="0"/>
        <v>Has Capacity</v>
      </c>
      <c r="H16" s="43" t="str">
        <f>IF(A16="","",IF(COUNTIF('Programme Mentors'!$A:$A,A16)&gt;0,"Enrolled","—"))</f>
        <v>—</v>
      </c>
    </row>
    <row r="17" spans="1:8" ht="102" customHeight="1" x14ac:dyDescent="0.3">
      <c r="A17" s="9">
        <f>'Paste - Mentors'!A17</f>
        <v>2893622</v>
      </c>
      <c r="B17" s="4" t="str">
        <f>IFERROR(VLOOKUP(A17,'Paste - Mentors'!$A:$B,2,0),"")</f>
        <v>Mothibi Tangane</v>
      </c>
      <c r="C17" s="4" t="str">
        <f>IFERROR(VLOOKUP(A17,'Paste - Mentors'!$A:$D,4,0),"")</f>
        <v>Career Mentor</v>
      </c>
      <c r="D17" s="9" t="str">
        <f>IFERROR(VLOOKUP(A17,'Paste - Mentors'!$A:$F,6,0),"")</f>
        <v>FNB</v>
      </c>
      <c r="E17" s="9" t="str">
        <f>IFERROR(VLOOKUP(A17,'Paste - Mentors'!$A:$E,5,0),"")</f>
        <v>Botswana</v>
      </c>
      <c r="F17" s="9">
        <f>IF(A17="","",COUNTIFS('Paste - Relationships'!$A:$A,A17,'Paste - Relationships'!$AE:$AE,""))</f>
        <v>0</v>
      </c>
      <c r="G17" s="9" t="str">
        <f t="shared" si="0"/>
        <v>Available</v>
      </c>
      <c r="H17" s="9" t="str">
        <f>IF(A17="","",IF(COUNTIF('Programme Mentors'!$A:$A,A17)&gt;0,"Enrolled","—"))</f>
        <v>—</v>
      </c>
    </row>
    <row r="18" spans="1:8" ht="14.25" customHeight="1" x14ac:dyDescent="0.3">
      <c r="A18" s="43">
        <f>'Paste - Mentors'!A18</f>
        <v>4633369</v>
      </c>
      <c r="B18" s="3" t="str">
        <f>IFERROR(VLOOKUP(A18,'Paste - Mentors'!$A:$B,2,0),"")</f>
        <v>Chipo Mwenya</v>
      </c>
      <c r="C18" s="3" t="str">
        <f>IFERROR(VLOOKUP(A18,'Paste - Mentors'!$A:$D,4,0),"")</f>
        <v>Career Mentor</v>
      </c>
      <c r="D18" s="43" t="str">
        <f>IFERROR(VLOOKUP(A18,'Paste - Mentors'!$A:$F,6,0),"")</f>
        <v>FNB</v>
      </c>
      <c r="E18" s="43" t="str">
        <f>IFERROR(VLOOKUP(A18,'Paste - Mentors'!$A:$E,5,0),"")</f>
        <v>Zambia</v>
      </c>
      <c r="F18" s="43">
        <f>IF(A18="","",COUNTIFS('Paste - Relationships'!$A:$A,A18,'Paste - Relationships'!$AE:$AE,""))</f>
        <v>0</v>
      </c>
      <c r="G18" s="43" t="str">
        <f t="shared" si="0"/>
        <v>Available</v>
      </c>
      <c r="H18" s="43" t="str">
        <f>IF(A18="","",IF(COUNTIF('Programme Mentors'!$A:$A,A18)&gt;0,"Enrolled","—"))</f>
        <v>—</v>
      </c>
    </row>
    <row r="19" spans="1:8" ht="14.25" customHeight="1" x14ac:dyDescent="0.3">
      <c r="A19" s="9">
        <f>'Paste - Mentors'!A19</f>
        <v>3246388</v>
      </c>
      <c r="B19" s="4" t="str">
        <f>IFERROR(VLOOKUP(A19,'Paste - Mentors'!$A:$B,2,0),"")</f>
        <v>Phetso Ntsowe</v>
      </c>
      <c r="C19" s="4" t="str">
        <f>IFERROR(VLOOKUP(A19,'Paste - Mentors'!$A:$D,4,0),"")</f>
        <v>Career Mentor
Leadership Mentor</v>
      </c>
      <c r="D19" s="9" t="str">
        <f>IFERROR(VLOOKUP(A19,'Paste - Mentors'!$A:$F,6,0),"")</f>
        <v>FNB</v>
      </c>
      <c r="E19" s="9" t="str">
        <f>IFERROR(VLOOKUP(A19,'Paste - Mentors'!$A:$E,5,0),"")</f>
        <v>Botswana</v>
      </c>
      <c r="F19" s="9">
        <f>IF(A19="","",COUNTIFS('Paste - Relationships'!$A:$A,A19,'Paste - Relationships'!$AE:$AE,""))</f>
        <v>0</v>
      </c>
      <c r="G19" s="9" t="str">
        <f t="shared" si="0"/>
        <v>Available</v>
      </c>
      <c r="H19" s="9" t="str">
        <f>IF(A19="","",IF(COUNTIF('Programme Mentors'!$A:$A,A19)&gt;0,"Enrolled","—"))</f>
        <v>—</v>
      </c>
    </row>
    <row r="20" spans="1:8" ht="33.75" customHeight="1" x14ac:dyDescent="0.3">
      <c r="A20" s="43">
        <f>'Paste - Mentors'!A20</f>
        <v>3330370</v>
      </c>
      <c r="B20" s="3" t="str">
        <f>IFERROR(VLOOKUP(A20,'Paste - Mentors'!$A:$B,2,0),"")</f>
        <v>Likenkeng Lylian Morojele</v>
      </c>
      <c r="C20" s="3" t="str">
        <f>IFERROR(VLOOKUP(A20,'Paste - Mentors'!$A:$D,4,0),"")</f>
        <v>Career Mentor</v>
      </c>
      <c r="D20" s="43" t="str">
        <f>IFERROR(VLOOKUP(A20,'Paste - Mentors'!$A:$F,6,0),"")</f>
        <v>FNB</v>
      </c>
      <c r="E20" s="43" t="str">
        <f>IFERROR(VLOOKUP(A20,'Paste - Mentors'!$A:$E,5,0),"")</f>
        <v>Lesotho</v>
      </c>
      <c r="F20" s="43">
        <f>IF(A20="","",COUNTIFS('Paste - Relationships'!$A:$A,A20,'Paste - Relationships'!$AE:$AE,""))</f>
        <v>0</v>
      </c>
      <c r="G20" s="43" t="str">
        <f t="shared" si="0"/>
        <v>Available</v>
      </c>
      <c r="H20" s="43" t="str">
        <f>IF(A20="","",IF(COUNTIF('Programme Mentors'!$A:$A,A20)&gt;0,"Enrolled","—"))</f>
        <v>—</v>
      </c>
    </row>
    <row r="21" spans="1:8" ht="14.25" customHeight="1" x14ac:dyDescent="0.3">
      <c r="A21" s="9">
        <f>'Paste - Mentors'!A21</f>
        <v>4739736</v>
      </c>
      <c r="B21" s="4" t="str">
        <f>IFERROR(VLOOKUP(A21,'Paste - Mentors'!$A:$B,2,0),"")</f>
        <v>Neo Thebeng-Phuthego</v>
      </c>
      <c r="C21" s="4" t="str">
        <f>IFERROR(VLOOKUP(A21,'Paste - Mentors'!$A:$D,4,0),"")</f>
        <v>Career Mentor</v>
      </c>
      <c r="D21" s="9" t="str">
        <f>IFERROR(VLOOKUP(A21,'Paste - Mentors'!$A:$F,6,0),"")</f>
        <v>FNB</v>
      </c>
      <c r="E21" s="9" t="str">
        <f>IFERROR(VLOOKUP(A21,'Paste - Mentors'!$A:$E,5,0),"")</f>
        <v>Botswana</v>
      </c>
      <c r="F21" s="9">
        <f>IF(A21="","",COUNTIFS('Paste - Relationships'!$A:$A,A21,'Paste - Relationships'!$AE:$AE,""))</f>
        <v>1</v>
      </c>
      <c r="G21" s="9" t="str">
        <f t="shared" si="0"/>
        <v>Has Capacity</v>
      </c>
      <c r="H21" s="9" t="str">
        <f>IF(A21="","",IF(COUNTIF('Programme Mentors'!$A:$A,A21)&gt;0,"Enrolled","—"))</f>
        <v>—</v>
      </c>
    </row>
    <row r="22" spans="1:8" ht="14.25" customHeight="1" x14ac:dyDescent="0.3">
      <c r="A22" s="43">
        <f>'Paste - Mentors'!A22</f>
        <v>4827430</v>
      </c>
      <c r="B22" s="3" t="str">
        <f>IFERROR(VLOOKUP(A22,'Paste - Mentors'!$A:$B,2,0),"")</f>
        <v>Stephinah Magetse</v>
      </c>
      <c r="C22" s="3" t="str">
        <f>IFERROR(VLOOKUP(A22,'Paste - Mentors'!$A:$D,4,0),"")</f>
        <v>Career Mentor</v>
      </c>
      <c r="D22" s="43" t="str">
        <f>IFERROR(VLOOKUP(A22,'Paste - Mentors'!$A:$F,6,0),"")</f>
        <v>FNB</v>
      </c>
      <c r="E22" s="43" t="str">
        <f>IFERROR(VLOOKUP(A22,'Paste - Mentors'!$A:$E,5,0),"")</f>
        <v>Botswana</v>
      </c>
      <c r="F22" s="43">
        <f>IF(A22="","",COUNTIFS('Paste - Relationships'!$A:$A,A22,'Paste - Relationships'!$AE:$AE,""))</f>
        <v>1</v>
      </c>
      <c r="G22" s="43" t="str">
        <f t="shared" si="0"/>
        <v>Has Capacity</v>
      </c>
      <c r="H22" s="43" t="str">
        <f>IF(A22="","",IF(COUNTIF('Programme Mentors'!$A:$A,A22)&gt;0,"Enrolled","—"))</f>
        <v>—</v>
      </c>
    </row>
    <row r="23" spans="1:8" ht="14.25" customHeight="1" x14ac:dyDescent="0.3">
      <c r="A23" s="9">
        <f>'Paste - Mentors'!A23</f>
        <v>3243605</v>
      </c>
      <c r="B23" s="4" t="str">
        <f>IFERROR(VLOOKUP(A23,'Paste - Mentors'!$A:$B,2,0),"")</f>
        <v>Baile Corrigan</v>
      </c>
      <c r="C23" s="4" t="str">
        <f>IFERROR(VLOOKUP(A23,'Paste - Mentors'!$A:$D,4,0),"")</f>
        <v>Career Mentor</v>
      </c>
      <c r="D23" s="9" t="str">
        <f>IFERROR(VLOOKUP(A23,'Paste - Mentors'!$A:$F,6,0),"")</f>
        <v>FNB</v>
      </c>
      <c r="E23" s="9" t="str">
        <f>IFERROR(VLOOKUP(A23,'Paste - Mentors'!$A:$E,5,0),"")</f>
        <v>Botswana</v>
      </c>
      <c r="F23" s="9">
        <f>IF(A23="","",COUNTIFS('Paste - Relationships'!$A:$A,A23,'Paste - Relationships'!$AE:$AE,""))</f>
        <v>1</v>
      </c>
      <c r="G23" s="9" t="str">
        <f t="shared" si="0"/>
        <v>Has Capacity</v>
      </c>
      <c r="H23" s="9" t="str">
        <f>IF(A23="","",IF(COUNTIF('Programme Mentors'!$A:$A,A23)&gt;0,"Enrolled","—"))</f>
        <v>—</v>
      </c>
    </row>
    <row r="24" spans="1:8" ht="14.25" customHeight="1" x14ac:dyDescent="0.3">
      <c r="A24" s="43">
        <f>'Paste - Mentors'!A24</f>
        <v>5436346</v>
      </c>
      <c r="B24" s="3" t="str">
        <f>IFERROR(VLOOKUP(A24,'Paste - Mentors'!$A:$B,2,0),"")</f>
        <v>Billy Samuel Mwape</v>
      </c>
      <c r="C24" s="3" t="str">
        <f>IFERROR(VLOOKUP(A24,'Paste - Mentors'!$A:$D,4,0),"")</f>
        <v>Career Mentor
Leadership Mentor
Transition Mentor
Workplace  Buddy</v>
      </c>
      <c r="D24" s="43" t="str">
        <f>IFERROR(VLOOKUP(A24,'Paste - Mentors'!$A:$F,6,0),"")</f>
        <v>FNB</v>
      </c>
      <c r="E24" s="43" t="str">
        <f>IFERROR(VLOOKUP(A24,'Paste - Mentors'!$A:$E,5,0),"")</f>
        <v>Zambia</v>
      </c>
      <c r="F24" s="43">
        <f>IF(A24="","",COUNTIFS('Paste - Relationships'!$A:$A,A24,'Paste - Relationships'!$AE:$AE,""))</f>
        <v>1</v>
      </c>
      <c r="G24" s="43" t="str">
        <f t="shared" si="0"/>
        <v>Has Capacity</v>
      </c>
      <c r="H24" s="43" t="str">
        <f>IF(A24="","",IF(COUNTIF('Programme Mentors'!$A:$A,A24)&gt;0,"Enrolled","—"))</f>
        <v>—</v>
      </c>
    </row>
    <row r="25" spans="1:8" ht="79.5" customHeight="1" x14ac:dyDescent="0.3">
      <c r="A25" s="9">
        <f>'Paste - Mentors'!A25</f>
        <v>5066220</v>
      </c>
      <c r="B25" s="4" t="str">
        <f>IFERROR(VLOOKUP(A25,'Paste - Mentors'!$A:$B,2,0),"")</f>
        <v>Jj Jongman</v>
      </c>
      <c r="C25" s="4" t="str">
        <f>IFERROR(VLOOKUP(A25,'Paste - Mentors'!$A:$D,4,0),"")</f>
        <v>Career Mentor</v>
      </c>
      <c r="D25" s="9" t="str">
        <f>IFERROR(VLOOKUP(A25,'Paste - Mentors'!$A:$F,6,0),"")</f>
        <v>FNB</v>
      </c>
      <c r="E25" s="9" t="str">
        <f>IFERROR(VLOOKUP(A25,'Paste - Mentors'!$A:$E,5,0),"")</f>
        <v>Botswana</v>
      </c>
      <c r="F25" s="9">
        <f>IF(A25="","",COUNTIFS('Paste - Relationships'!$A:$A,A25,'Paste - Relationships'!$AE:$AE,""))</f>
        <v>0</v>
      </c>
      <c r="G25" s="9" t="str">
        <f t="shared" si="0"/>
        <v>Available</v>
      </c>
      <c r="H25" s="9" t="str">
        <f>IF(A25="","",IF(COUNTIF('Programme Mentors'!$A:$A,A25)&gt;0,"Enrolled","—"))</f>
        <v>—</v>
      </c>
    </row>
    <row r="26" spans="1:8" ht="14.25" customHeight="1" x14ac:dyDescent="0.3">
      <c r="A26" s="43">
        <f>'Paste - Mentors'!A26</f>
        <v>5385571</v>
      </c>
      <c r="B26" s="3" t="str">
        <f>IFERROR(VLOOKUP(A26,'Paste - Mentors'!$A:$B,2,0),"")</f>
        <v>Mwamba Musambo</v>
      </c>
      <c r="C26" s="3" t="str">
        <f>IFERROR(VLOOKUP(A26,'Paste - Mentors'!$A:$D,4,0),"")</f>
        <v>Career Mentor</v>
      </c>
      <c r="D26" s="43" t="str">
        <f>IFERROR(VLOOKUP(A26,'Paste - Mentors'!$A:$F,6,0),"")</f>
        <v>FNB</v>
      </c>
      <c r="E26" s="43" t="str">
        <f>IFERROR(VLOOKUP(A26,'Paste - Mentors'!$A:$E,5,0),"")</f>
        <v>Zambia</v>
      </c>
      <c r="F26" s="43">
        <f>IF(A26="","",COUNTIFS('Paste - Relationships'!$A:$A,A26,'Paste - Relationships'!$AE:$AE,""))</f>
        <v>0</v>
      </c>
      <c r="G26" s="43" t="str">
        <f t="shared" si="0"/>
        <v>Available</v>
      </c>
      <c r="H26" s="43" t="str">
        <f>IF(A26="","",IF(COUNTIF('Programme Mentors'!$A:$A,A26)&gt;0,"Enrolled","—"))</f>
        <v>—</v>
      </c>
    </row>
    <row r="27" spans="1:8" ht="14.25" customHeight="1" x14ac:dyDescent="0.3">
      <c r="A27" s="9">
        <f>'Paste - Mentors'!A27</f>
        <v>5101646</v>
      </c>
      <c r="B27" s="4" t="str">
        <f>IFERROR(VLOOKUP(A27,'Paste - Mentors'!$A:$B,2,0),"")</f>
        <v>Charity Mubitelela</v>
      </c>
      <c r="C27" s="4">
        <f>IFERROR(VLOOKUP(A27,'Paste - Mentors'!$A:$D,4,0),"")</f>
        <v>0</v>
      </c>
      <c r="D27" s="9" t="str">
        <f>IFERROR(VLOOKUP(A27,'Paste - Mentors'!$A:$F,6,0),"")</f>
        <v>FNB</v>
      </c>
      <c r="E27" s="9" t="str">
        <f>IFERROR(VLOOKUP(A27,'Paste - Mentors'!$A:$E,5,0),"")</f>
        <v>Zambia</v>
      </c>
      <c r="F27" s="9">
        <f>IF(A27="","",COUNTIFS('Paste - Relationships'!$A:$A,A27,'Paste - Relationships'!$AE:$AE,""))</f>
        <v>0</v>
      </c>
      <c r="G27" s="9" t="str">
        <f t="shared" si="0"/>
        <v>Available</v>
      </c>
      <c r="H27" s="9" t="str">
        <f>IF(A27="","",IF(COUNTIF('Programme Mentors'!$A:$A,A27)&gt;0,"Enrolled","—"))</f>
        <v>—</v>
      </c>
    </row>
    <row r="28" spans="1:8" ht="14.25" customHeight="1" x14ac:dyDescent="0.3">
      <c r="A28" s="43">
        <f>'Paste - Mentors'!A28</f>
        <v>4974220</v>
      </c>
      <c r="B28" s="3" t="str">
        <f>IFERROR(VLOOKUP(A28,'Paste - Mentors'!$A:$B,2,0),"")</f>
        <v>Kgosi Modisaeman</v>
      </c>
      <c r="C28" s="3" t="str">
        <f>IFERROR(VLOOKUP(A28,'Paste - Mentors'!$A:$D,4,0),"")</f>
        <v>Career Mentor
Leadership Mentor
Workplace  Buddy</v>
      </c>
      <c r="D28" s="43" t="str">
        <f>IFERROR(VLOOKUP(A28,'Paste - Mentors'!$A:$F,6,0),"")</f>
        <v>FNB</v>
      </c>
      <c r="E28" s="43" t="str">
        <f>IFERROR(VLOOKUP(A28,'Paste - Mentors'!$A:$E,5,0),"")</f>
        <v>Botswana</v>
      </c>
      <c r="F28" s="43">
        <f>IF(A28="","",COUNTIFS('Paste - Relationships'!$A:$A,A28,'Paste - Relationships'!$AE:$AE,""))</f>
        <v>0</v>
      </c>
      <c r="G28" s="43" t="str">
        <f t="shared" si="0"/>
        <v>Available</v>
      </c>
      <c r="H28" s="43" t="str">
        <f>IF(A28="","",IF(COUNTIF('Programme Mentors'!$A:$A,A28)&gt;0,"Enrolled","—"))</f>
        <v>—</v>
      </c>
    </row>
    <row r="29" spans="1:8" ht="57" customHeight="1" x14ac:dyDescent="0.3">
      <c r="A29" s="9">
        <f>'Paste - Mentors'!A29</f>
        <v>4904699</v>
      </c>
      <c r="B29" s="4" t="str">
        <f>IFERROR(VLOOKUP(A29,'Paste - Mentors'!$A:$B,2,0),"")</f>
        <v>Mcintire Luke</v>
      </c>
      <c r="C29" s="4" t="str">
        <f>IFERROR(VLOOKUP(A29,'Paste - Mentors'!$A:$D,4,0),"")</f>
        <v>Career Mentor</v>
      </c>
      <c r="D29" s="9" t="str">
        <f>IFERROR(VLOOKUP(A29,'Paste - Mentors'!$A:$F,6,0),"")</f>
        <v>FNB</v>
      </c>
      <c r="E29" s="9" t="str">
        <f>IFERROR(VLOOKUP(A29,'Paste - Mentors'!$A:$E,5,0),"")</f>
        <v>Botswana</v>
      </c>
      <c r="F29" s="9">
        <f>IF(A29="","",COUNTIFS('Paste - Relationships'!$A:$A,A29,'Paste - Relationships'!$AE:$AE,""))</f>
        <v>0</v>
      </c>
      <c r="G29" s="9" t="str">
        <f t="shared" si="0"/>
        <v>Available</v>
      </c>
      <c r="H29" s="9" t="str">
        <f>IF(A29="","",IF(COUNTIF('Programme Mentors'!$A:$A,A29)&gt;0,"Enrolled","—"))</f>
        <v>—</v>
      </c>
    </row>
    <row r="30" spans="1:8" ht="14.25" customHeight="1" x14ac:dyDescent="0.3">
      <c r="A30" s="43">
        <f>'Paste - Mentors'!A30</f>
        <v>5004608</v>
      </c>
      <c r="B30" s="3" t="str">
        <f>IFERROR(VLOOKUP(A30,'Paste - Mentors'!$A:$B,2,0),"")</f>
        <v>Maleseli Lorraine Chefa</v>
      </c>
      <c r="C30" s="3" t="str">
        <f>IFERROR(VLOOKUP(A30,'Paste - Mentors'!$A:$D,4,0),"")</f>
        <v>Leadership Mentor</v>
      </c>
      <c r="D30" s="43" t="str">
        <f>IFERROR(VLOOKUP(A30,'Paste - Mentors'!$A:$F,6,0),"")</f>
        <v>FNB</v>
      </c>
      <c r="E30" s="43" t="str">
        <f>IFERROR(VLOOKUP(A30,'Paste - Mentors'!$A:$E,5,0),"")</f>
        <v>Lesotho</v>
      </c>
      <c r="F30" s="43">
        <f>IF(A30="","",COUNTIFS('Paste - Relationships'!$A:$A,A30,'Paste - Relationships'!$AE:$AE,""))</f>
        <v>0</v>
      </c>
      <c r="G30" s="43" t="str">
        <f t="shared" si="0"/>
        <v>Available</v>
      </c>
      <c r="H30" s="43" t="str">
        <f>IF(A30="","",IF(COUNTIF('Programme Mentors'!$A:$A,A30)&gt;0,"Enrolled","—"))</f>
        <v>—</v>
      </c>
    </row>
    <row r="31" spans="1:8" ht="14.25" customHeight="1" x14ac:dyDescent="0.3">
      <c r="A31" s="9">
        <f>'Paste - Mentors'!A31</f>
        <v>4846443</v>
      </c>
      <c r="B31" s="4" t="str">
        <f>IFERROR(VLOOKUP(A31,'Paste - Mentors'!$A:$B,2,0),"")</f>
        <v>Kapumpe Chola</v>
      </c>
      <c r="C31" s="4" t="str">
        <f>IFERROR(VLOOKUP(A31,'Paste - Mentors'!$A:$D,4,0),"")</f>
        <v>Career Mentor</v>
      </c>
      <c r="D31" s="9" t="str">
        <f>IFERROR(VLOOKUP(A31,'Paste - Mentors'!$A:$F,6,0),"")</f>
        <v>FNB</v>
      </c>
      <c r="E31" s="9" t="str">
        <f>IFERROR(VLOOKUP(A31,'Paste - Mentors'!$A:$E,5,0),"")</f>
        <v>Zambia</v>
      </c>
      <c r="F31" s="9">
        <f>IF(A31="","",COUNTIFS('Paste - Relationships'!$A:$A,A31,'Paste - Relationships'!$AE:$AE,""))</f>
        <v>0</v>
      </c>
      <c r="G31" s="9" t="str">
        <f t="shared" si="0"/>
        <v>Available</v>
      </c>
      <c r="H31" s="9" t="str">
        <f>IF(A31="","",IF(COUNTIF('Programme Mentors'!$A:$A,A31)&gt;0,"Enrolled","—"))</f>
        <v>—</v>
      </c>
    </row>
    <row r="32" spans="1:8" ht="14.25" customHeight="1" x14ac:dyDescent="0.3">
      <c r="A32" s="43">
        <f>'Paste - Mentors'!A32</f>
        <v>4778561</v>
      </c>
      <c r="B32" s="3" t="str">
        <f>IFERROR(VLOOKUP(A32,'Paste - Mentors'!$A:$B,2,0),"")</f>
        <v>Mike Nyimbili</v>
      </c>
      <c r="C32" s="3" t="str">
        <f>IFERROR(VLOOKUP(A32,'Paste - Mentors'!$A:$D,4,0),"")</f>
        <v>Career Mentor</v>
      </c>
      <c r="D32" s="43" t="str">
        <f>IFERROR(VLOOKUP(A32,'Paste - Mentors'!$A:$F,6,0),"")</f>
        <v>FNB</v>
      </c>
      <c r="E32" s="43" t="str">
        <f>IFERROR(VLOOKUP(A32,'Paste - Mentors'!$A:$E,5,0),"")</f>
        <v>Zambia</v>
      </c>
      <c r="F32" s="43">
        <f>IF(A32="","",COUNTIFS('Paste - Relationships'!$A:$A,A32,'Paste - Relationships'!$AE:$AE,""))</f>
        <v>0</v>
      </c>
      <c r="G32" s="43" t="str">
        <f t="shared" si="0"/>
        <v>Available</v>
      </c>
      <c r="H32" s="43" t="str">
        <f>IF(A32="","",IF(COUNTIF('Programme Mentors'!$A:$A,A32)&gt;0,"Enrolled","—"))</f>
        <v>—</v>
      </c>
    </row>
    <row r="33" spans="1:8" ht="14.25" customHeight="1" x14ac:dyDescent="0.3">
      <c r="A33" s="9">
        <f>'Paste - Mentors'!A33</f>
        <v>4846583</v>
      </c>
      <c r="B33" s="4" t="str">
        <f>IFERROR(VLOOKUP(A33,'Paste - Mentors'!$A:$B,2,0),"")</f>
        <v>Alfred Mwanza</v>
      </c>
      <c r="C33" s="4" t="str">
        <f>IFERROR(VLOOKUP(A33,'Paste - Mentors'!$A:$D,4,0),"")</f>
        <v>Career Mentor</v>
      </c>
      <c r="D33" s="9" t="str">
        <f>IFERROR(VLOOKUP(A33,'Paste - Mentors'!$A:$F,6,0),"")</f>
        <v>FNB</v>
      </c>
      <c r="E33" s="9" t="str">
        <f>IFERROR(VLOOKUP(A33,'Paste - Mentors'!$A:$E,5,0),"")</f>
        <v>Zambia</v>
      </c>
      <c r="F33" s="9">
        <f>IF(A33="","",COUNTIFS('Paste - Relationships'!$A:$A,A33,'Paste - Relationships'!$AE:$AE,""))</f>
        <v>0</v>
      </c>
      <c r="G33" s="9" t="str">
        <f t="shared" si="0"/>
        <v>Available</v>
      </c>
      <c r="H33" s="9" t="str">
        <f>IF(A33="","",IF(COUNTIF('Programme Mentors'!$A:$A,A33)&gt;0,"Enrolled","—"))</f>
        <v>—</v>
      </c>
    </row>
    <row r="34" spans="1:8" ht="14.25" customHeight="1" x14ac:dyDescent="0.3">
      <c r="A34" s="43">
        <f>'Paste - Mentors'!A34</f>
        <v>4847393</v>
      </c>
      <c r="B34" s="3" t="str">
        <f>IFERROR(VLOOKUP(A34,'Paste - Mentors'!$A:$B,2,0),"")</f>
        <v>Ronald Mvula</v>
      </c>
      <c r="C34" s="3" t="str">
        <f>IFERROR(VLOOKUP(A34,'Paste - Mentors'!$A:$D,4,0),"")</f>
        <v>Career Mentor</v>
      </c>
      <c r="D34" s="43" t="str">
        <f>IFERROR(VLOOKUP(A34,'Paste - Mentors'!$A:$F,6,0),"")</f>
        <v>FNB</v>
      </c>
      <c r="E34" s="43" t="str">
        <f>IFERROR(VLOOKUP(A34,'Paste - Mentors'!$A:$E,5,0),"")</f>
        <v>Zambia</v>
      </c>
      <c r="F34" s="43">
        <f>IF(A34="","",COUNTIFS('Paste - Relationships'!$A:$A,A34,'Paste - Relationships'!$AE:$AE,""))</f>
        <v>0</v>
      </c>
      <c r="G34" s="43" t="str">
        <f t="shared" si="0"/>
        <v>Available</v>
      </c>
      <c r="H34" s="43" t="str">
        <f>IF(A34="","",IF(COUNTIF('Programme Mentors'!$A:$A,A34)&gt;0,"Enrolled","—"))</f>
        <v>—</v>
      </c>
    </row>
    <row r="35" spans="1:8" ht="14.25" customHeight="1" x14ac:dyDescent="0.3">
      <c r="A35" s="9">
        <f>'Paste - Mentors'!A35</f>
        <v>3511235</v>
      </c>
      <c r="B35" s="4" t="str">
        <f>IFERROR(VLOOKUP(A35,'Paste - Mentors'!$A:$B,2,0),"")</f>
        <v>Palesa Moeng</v>
      </c>
      <c r="C35" s="4" t="str">
        <f>IFERROR(VLOOKUP(A35,'Paste - Mentors'!$A:$D,4,0),"")</f>
        <v>Career Mentor
Leadership Mentor
Technical Mentor
Workplace  Buddy</v>
      </c>
      <c r="D35" s="9" t="str">
        <f>IFERROR(VLOOKUP(A35,'Paste - Mentors'!$A:$F,6,0),"")</f>
        <v>FNB</v>
      </c>
      <c r="E35" s="9" t="str">
        <f>IFERROR(VLOOKUP(A35,'Paste - Mentors'!$A:$E,5,0),"")</f>
        <v>Botswana</v>
      </c>
      <c r="F35" s="9">
        <f>IF(A35="","",COUNTIFS('Paste - Relationships'!$A:$A,A35,'Paste - Relationships'!$AE:$AE,""))</f>
        <v>2</v>
      </c>
      <c r="G35" s="9" t="str">
        <f t="shared" si="0"/>
        <v>Has Capacity</v>
      </c>
      <c r="H35" s="9" t="str">
        <f>IF(A35="","",IF(COUNTIF('Programme Mentors'!$A:$A,A35)&gt;0,"Enrolled","—"))</f>
        <v>—</v>
      </c>
    </row>
    <row r="36" spans="1:8" ht="79.5" customHeight="1" x14ac:dyDescent="0.3">
      <c r="A36" s="43">
        <f>'Paste - Mentors'!A36</f>
        <v>4784545</v>
      </c>
      <c r="B36" s="3" t="str">
        <f>IFERROR(VLOOKUP(A36,'Paste - Mentors'!$A:$B,2,0),"")</f>
        <v>Lesego Nkepe</v>
      </c>
      <c r="C36" s="3" t="str">
        <f>IFERROR(VLOOKUP(A36,'Paste - Mentors'!$A:$D,4,0),"")</f>
        <v>Career Mentor</v>
      </c>
      <c r="D36" s="43" t="str">
        <f>IFERROR(VLOOKUP(A36,'Paste - Mentors'!$A:$F,6,0),"")</f>
        <v>FNB</v>
      </c>
      <c r="E36" s="43" t="str">
        <f>IFERROR(VLOOKUP(A36,'Paste - Mentors'!$A:$E,5,0),"")</f>
        <v>Botswana</v>
      </c>
      <c r="F36" s="43">
        <f>IF(A36="","",COUNTIFS('Paste - Relationships'!$A:$A,A36,'Paste - Relationships'!$AE:$AE,""))</f>
        <v>0</v>
      </c>
      <c r="G36" s="43" t="str">
        <f t="shared" si="0"/>
        <v>Available</v>
      </c>
      <c r="H36" s="43" t="str">
        <f>IF(A36="","",IF(COUNTIF('Programme Mentors'!$A:$A,A36)&gt;0,"Enrolled","—"))</f>
        <v>—</v>
      </c>
    </row>
    <row r="37" spans="1:8" ht="14.25" customHeight="1" x14ac:dyDescent="0.3">
      <c r="A37" s="9">
        <f>'Paste - Mentors'!A37</f>
        <v>3244318</v>
      </c>
      <c r="B37" s="4" t="str">
        <f>IFERROR(VLOOKUP(A37,'Paste - Mentors'!$A:$B,2,0),"")</f>
        <v>Lydia Oakile</v>
      </c>
      <c r="C37" s="4" t="str">
        <f>IFERROR(VLOOKUP(A37,'Paste - Mentors'!$A:$D,4,0),"")</f>
        <v>Career Mentor</v>
      </c>
      <c r="D37" s="9" t="str">
        <f>IFERROR(VLOOKUP(A37,'Paste - Mentors'!$A:$F,6,0),"")</f>
        <v>FNB</v>
      </c>
      <c r="E37" s="9" t="str">
        <f>IFERROR(VLOOKUP(A37,'Paste - Mentors'!$A:$E,5,0),"")</f>
        <v>Botswana</v>
      </c>
      <c r="F37" s="9">
        <f>IF(A37="","",COUNTIFS('Paste - Relationships'!$A:$A,A37,'Paste - Relationships'!$AE:$AE,""))</f>
        <v>0</v>
      </c>
      <c r="G37" s="9" t="str">
        <f t="shared" si="0"/>
        <v>Available</v>
      </c>
      <c r="H37" s="9" t="str">
        <f>IF(A37="","",IF(COUNTIF('Programme Mentors'!$A:$A,A37)&gt;0,"Enrolled","—"))</f>
        <v>—</v>
      </c>
    </row>
    <row r="38" spans="1:8" ht="14.25" customHeight="1" x14ac:dyDescent="0.3">
      <c r="A38" s="43">
        <f>'Paste - Mentors'!A38</f>
        <v>2815966</v>
      </c>
      <c r="B38" s="3" t="str">
        <f>IFERROR(VLOOKUP(A38,'Paste - Mentors'!$A:$B,2,0),"")</f>
        <v>Kelebogile Disang</v>
      </c>
      <c r="C38" s="3" t="str">
        <f>IFERROR(VLOOKUP(A38,'Paste - Mentors'!$A:$D,4,0),"")</f>
        <v>Career Mentor</v>
      </c>
      <c r="D38" s="43" t="str">
        <f>IFERROR(VLOOKUP(A38,'Paste - Mentors'!$A:$F,6,0),"")</f>
        <v>FNB</v>
      </c>
      <c r="E38" s="43" t="str">
        <f>IFERROR(VLOOKUP(A38,'Paste - Mentors'!$A:$E,5,0),"")</f>
        <v>Botswana</v>
      </c>
      <c r="F38" s="43">
        <f>IF(A38="","",COUNTIFS('Paste - Relationships'!$A:$A,A38,'Paste - Relationships'!$AE:$AE,""))</f>
        <v>2</v>
      </c>
      <c r="G38" s="43" t="str">
        <f t="shared" si="0"/>
        <v>Has Capacity</v>
      </c>
      <c r="H38" s="43" t="str">
        <f>IF(A38="","",IF(COUNTIF('Programme Mentors'!$A:$A,A38)&gt;0,"Enrolled","—"))</f>
        <v>—</v>
      </c>
    </row>
    <row r="39" spans="1:8" ht="14.25" customHeight="1" x14ac:dyDescent="0.3">
      <c r="A39" s="9">
        <f>'Paste - Mentors'!A39</f>
        <v>3511847</v>
      </c>
      <c r="B39" s="4" t="str">
        <f>IFERROR(VLOOKUP(A39,'Paste - Mentors'!$A:$B,2,0),"")</f>
        <v>Amantle Mphoeng</v>
      </c>
      <c r="C39" s="4" t="str">
        <f>IFERROR(VLOOKUP(A39,'Paste - Mentors'!$A:$D,4,0),"")</f>
        <v>Career Mentor</v>
      </c>
      <c r="D39" s="9" t="str">
        <f>IFERROR(VLOOKUP(A39,'Paste - Mentors'!$A:$F,6,0),"")</f>
        <v>FNB</v>
      </c>
      <c r="E39" s="9" t="str">
        <f>IFERROR(VLOOKUP(A39,'Paste - Mentors'!$A:$E,5,0),"")</f>
        <v>Botswana</v>
      </c>
      <c r="F39" s="9">
        <f>IF(A39="","",COUNTIFS('Paste - Relationships'!$A:$A,A39,'Paste - Relationships'!$AE:$AE,""))</f>
        <v>1</v>
      </c>
      <c r="G39" s="9" t="str">
        <f t="shared" si="0"/>
        <v>Has Capacity</v>
      </c>
      <c r="H39" s="9" t="str">
        <f>IF(A39="","",IF(COUNTIF('Programme Mentors'!$A:$A,A39)&gt;0,"Enrolled","—"))</f>
        <v>—</v>
      </c>
    </row>
    <row r="40" spans="1:8" ht="14.25" customHeight="1" x14ac:dyDescent="0.3">
      <c r="A40" s="43">
        <f>'Paste - Mentors'!A40</f>
        <v>3506622</v>
      </c>
      <c r="B40" s="3" t="str">
        <f>IFERROR(VLOOKUP(A40,'Paste - Mentors'!$A:$B,2,0),"")</f>
        <v>Tekolo Rasenyai</v>
      </c>
      <c r="C40" s="3" t="str">
        <f>IFERROR(VLOOKUP(A40,'Paste - Mentors'!$A:$D,4,0),"")</f>
        <v>Career Mentor
Leadership Mentor</v>
      </c>
      <c r="D40" s="43" t="str">
        <f>IFERROR(VLOOKUP(A40,'Paste - Mentors'!$A:$F,6,0),"")</f>
        <v>FNB</v>
      </c>
      <c r="E40" s="43" t="str">
        <f>IFERROR(VLOOKUP(A40,'Paste - Mentors'!$A:$E,5,0),"")</f>
        <v>Botswana</v>
      </c>
      <c r="F40" s="43">
        <f>IF(A40="","",COUNTIFS('Paste - Relationships'!$A:$A,A40,'Paste - Relationships'!$AE:$AE,""))</f>
        <v>1</v>
      </c>
      <c r="G40" s="43" t="str">
        <f t="shared" si="0"/>
        <v>Has Capacity</v>
      </c>
      <c r="H40" s="43" t="str">
        <f>IF(A40="","",IF(COUNTIF('Programme Mentors'!$A:$A,A40)&gt;0,"Enrolled","—"))</f>
        <v>—</v>
      </c>
    </row>
    <row r="41" spans="1:8" ht="33.75" customHeight="1" x14ac:dyDescent="0.3">
      <c r="A41" s="9">
        <f>'Paste - Mentors'!A41</f>
        <v>5655552</v>
      </c>
      <c r="B41" s="4" t="str">
        <f>IFERROR(VLOOKUP(A41,'Paste - Mentors'!$A:$B,2,0),"")</f>
        <v>Shana Machado</v>
      </c>
      <c r="C41" s="4" t="str">
        <f>IFERROR(VLOOKUP(A41,'Paste - Mentors'!$A:$D,4,0),"")</f>
        <v>Career Mentor</v>
      </c>
      <c r="D41" s="9" t="str">
        <f>IFERROR(VLOOKUP(A41,'Paste - Mentors'!$A:$F,6,0),"")</f>
        <v>FNB</v>
      </c>
      <c r="E41" s="9" t="str">
        <f>IFERROR(VLOOKUP(A41,'Paste - Mentors'!$A:$E,5,0),"")</f>
        <v>Mozambique</v>
      </c>
      <c r="F41" s="9">
        <f>IF(A41="","",COUNTIFS('Paste - Relationships'!$A:$A,A41,'Paste - Relationships'!$AE:$AE,""))</f>
        <v>1</v>
      </c>
      <c r="G41" s="9" t="str">
        <f t="shared" si="0"/>
        <v>Has Capacity</v>
      </c>
      <c r="H41" s="9" t="str">
        <f>IF(A41="","",IF(COUNTIF('Programme Mentors'!$A:$A,A41)&gt;0,"Enrolled","—"))</f>
        <v>—</v>
      </c>
    </row>
    <row r="42" spans="1:8" ht="14.25" customHeight="1" x14ac:dyDescent="0.3">
      <c r="A42" s="43">
        <f>'Paste - Mentors'!A42</f>
        <v>3247449</v>
      </c>
      <c r="B42" s="3" t="str">
        <f>IFERROR(VLOOKUP(A42,'Paste - Mentors'!$A:$B,2,0),"")</f>
        <v>Linda Nengwenani</v>
      </c>
      <c r="C42" s="3" t="str">
        <f>IFERROR(VLOOKUP(A42,'Paste - Mentors'!$A:$D,4,0),"")</f>
        <v>Career Mentor</v>
      </c>
      <c r="D42" s="43" t="str">
        <f>IFERROR(VLOOKUP(A42,'Paste - Mentors'!$A:$F,6,0),"")</f>
        <v>FNB</v>
      </c>
      <c r="E42" s="43" t="str">
        <f>IFERROR(VLOOKUP(A42,'Paste - Mentors'!$A:$E,5,0),"")</f>
        <v>South Africa</v>
      </c>
      <c r="F42" s="43">
        <f>IF(A42="","",COUNTIFS('Paste - Relationships'!$A:$A,A42,'Paste - Relationships'!$AE:$AE,""))</f>
        <v>0</v>
      </c>
      <c r="G42" s="43" t="str">
        <f t="shared" si="0"/>
        <v>Available</v>
      </c>
      <c r="H42" s="43" t="str">
        <f>IF(A42="","",IF(COUNTIF('Programme Mentors'!$A:$A,A42)&gt;0,"Enrolled","—"))</f>
        <v>—</v>
      </c>
    </row>
    <row r="43" spans="1:8" ht="14.25" customHeight="1" x14ac:dyDescent="0.3">
      <c r="A43" s="9">
        <f>'Paste - Mentors'!A43</f>
        <v>3278212</v>
      </c>
      <c r="B43" s="4" t="str">
        <f>IFERROR(VLOOKUP(A43,'Paste - Mentors'!$A:$B,2,0),"")</f>
        <v>Sachin Arjun</v>
      </c>
      <c r="C43" s="4" t="str">
        <f>IFERROR(VLOOKUP(A43,'Paste - Mentors'!$A:$D,4,0),"")</f>
        <v>Career Mentor
Leadership Mentor
Workplace  Buddy</v>
      </c>
      <c r="D43" s="9" t="str">
        <f>IFERROR(VLOOKUP(A43,'Paste - Mentors'!$A:$F,6,0),"")</f>
        <v>RMB</v>
      </c>
      <c r="E43" s="9" t="str">
        <f>IFERROR(VLOOKUP(A43,'Paste - Mentors'!$A:$E,5,0),"")</f>
        <v>South Africa</v>
      </c>
      <c r="F43" s="9">
        <f>IF(A43="","",COUNTIFS('Paste - Relationships'!$A:$A,A43,'Paste - Relationships'!$AE:$AE,""))</f>
        <v>0</v>
      </c>
      <c r="G43" s="9" t="str">
        <f t="shared" si="0"/>
        <v>Available</v>
      </c>
      <c r="H43" s="9" t="str">
        <f>IF(A43="","",IF(COUNTIF('Programme Mentors'!$A:$A,A43)&gt;0,"Enrolled","—"))</f>
        <v>—</v>
      </c>
    </row>
    <row r="44" spans="1:8" ht="57" customHeight="1" x14ac:dyDescent="0.3">
      <c r="A44" s="43">
        <f>'Paste - Mentors'!A44</f>
        <v>3282961</v>
      </c>
      <c r="B44" s="3" t="str">
        <f>IFERROR(VLOOKUP(A44,'Paste - Mentors'!$A:$B,2,0),"")</f>
        <v>Yvonne September</v>
      </c>
      <c r="C44" s="3" t="str">
        <f>IFERROR(VLOOKUP(A44,'Paste - Mentors'!$A:$D,4,0),"")</f>
        <v>Career Mentor</v>
      </c>
      <c r="D44" s="43" t="str">
        <f>IFERROR(VLOOKUP(A44,'Paste - Mentors'!$A:$F,6,0),"")</f>
        <v>FNB</v>
      </c>
      <c r="E44" s="43" t="str">
        <f>IFERROR(VLOOKUP(A44,'Paste - Mentors'!$A:$E,5,0),"")</f>
        <v>South Africa</v>
      </c>
      <c r="F44" s="43">
        <f>IF(A44="","",COUNTIFS('Paste - Relationships'!$A:$A,A44,'Paste - Relationships'!$AE:$AE,""))</f>
        <v>1</v>
      </c>
      <c r="G44" s="43" t="str">
        <f t="shared" si="0"/>
        <v>Has Capacity</v>
      </c>
      <c r="H44" s="43" t="str">
        <f>IF(A44="","",IF(COUNTIF('Programme Mentors'!$A:$A,A44)&gt;0,"Enrolled","—"))</f>
        <v>—</v>
      </c>
    </row>
    <row r="45" spans="1:8" ht="14.25" customHeight="1" x14ac:dyDescent="0.3">
      <c r="A45" s="9">
        <f>'Paste - Mentors'!A45</f>
        <v>3290328</v>
      </c>
      <c r="B45" s="4" t="str">
        <f>IFERROR(VLOOKUP(A45,'Paste - Mentors'!$A:$B,2,0),"")</f>
        <v>Poloko Makhosane</v>
      </c>
      <c r="C45" s="4" t="str">
        <f>IFERROR(VLOOKUP(A45,'Paste - Mentors'!$A:$D,4,0),"")</f>
        <v>Career Mentor</v>
      </c>
      <c r="D45" s="9" t="str">
        <f>IFERROR(VLOOKUP(A45,'Paste - Mentors'!$A:$F,6,0),"")</f>
        <v>FNB</v>
      </c>
      <c r="E45" s="9" t="str">
        <f>IFERROR(VLOOKUP(A45,'Paste - Mentors'!$A:$E,5,0),"")</f>
        <v>South Africa</v>
      </c>
      <c r="F45" s="9">
        <f>IF(A45="","",COUNTIFS('Paste - Relationships'!$A:$A,A45,'Paste - Relationships'!$AE:$AE,""))</f>
        <v>0</v>
      </c>
      <c r="G45" s="9" t="str">
        <f t="shared" si="0"/>
        <v>Available</v>
      </c>
      <c r="H45" s="9" t="str">
        <f>IF(A45="","",IF(COUNTIF('Programme Mentors'!$A:$A,A45)&gt;0,"Enrolled","—"))</f>
        <v>—</v>
      </c>
    </row>
    <row r="46" spans="1:8" ht="14.25" customHeight="1" x14ac:dyDescent="0.3">
      <c r="A46" s="43">
        <f>'Paste - Mentors'!A46</f>
        <v>3292800</v>
      </c>
      <c r="B46" s="3" t="str">
        <f>IFERROR(VLOOKUP(A46,'Paste - Mentors'!$A:$B,2,0),"")</f>
        <v>Marilaine de Lange</v>
      </c>
      <c r="C46" s="3" t="str">
        <f>IFERROR(VLOOKUP(A46,'Paste - Mentors'!$A:$D,4,0),"")</f>
        <v>Career Mentor</v>
      </c>
      <c r="D46" s="43" t="str">
        <f>IFERROR(VLOOKUP(A46,'Paste - Mentors'!$A:$F,6,0),"")</f>
        <v>FNB</v>
      </c>
      <c r="E46" s="43" t="str">
        <f>IFERROR(VLOOKUP(A46,'Paste - Mentors'!$A:$E,5,0),"")</f>
        <v>South Africa</v>
      </c>
      <c r="F46" s="43">
        <f>IF(A46="","",COUNTIFS('Paste - Relationships'!$A:$A,A46,'Paste - Relationships'!$AE:$AE,""))</f>
        <v>0</v>
      </c>
      <c r="G46" s="43" t="str">
        <f t="shared" si="0"/>
        <v>Available</v>
      </c>
      <c r="H46" s="43" t="str">
        <f>IF(A46="","",IF(COUNTIF('Programme Mentors'!$A:$A,A46)&gt;0,"Enrolled","—"))</f>
        <v>—</v>
      </c>
    </row>
    <row r="47" spans="1:8" ht="14.25" customHeight="1" x14ac:dyDescent="0.3">
      <c r="A47" s="9">
        <f>'Paste - Mentors'!A47</f>
        <v>3209105</v>
      </c>
      <c r="B47" s="4" t="str">
        <f>IFERROR(VLOOKUP(A47,'Paste - Mentors'!$A:$B,2,0),"")</f>
        <v>Renusha Moodley</v>
      </c>
      <c r="C47" s="4" t="str">
        <f>IFERROR(VLOOKUP(A47,'Paste - Mentors'!$A:$D,4,0),"")</f>
        <v>Career Mentor</v>
      </c>
      <c r="D47" s="9" t="str">
        <f>IFERROR(VLOOKUP(A47,'Paste - Mentors'!$A:$F,6,0),"")</f>
        <v>FNB</v>
      </c>
      <c r="E47" s="9" t="str">
        <f>IFERROR(VLOOKUP(A47,'Paste - Mentors'!$A:$E,5,0),"")</f>
        <v>South Africa</v>
      </c>
      <c r="F47" s="9">
        <f>IF(A47="","",COUNTIFS('Paste - Relationships'!$A:$A,A47,'Paste - Relationships'!$AE:$AE,""))</f>
        <v>1</v>
      </c>
      <c r="G47" s="9" t="str">
        <f t="shared" si="0"/>
        <v>Has Capacity</v>
      </c>
      <c r="H47" s="9" t="str">
        <f>IF(A47="","",IF(COUNTIF('Programme Mentors'!$A:$A,A47)&gt;0,"Enrolled","—"))</f>
        <v>—</v>
      </c>
    </row>
    <row r="48" spans="1:8" ht="14.25" customHeight="1" x14ac:dyDescent="0.3">
      <c r="A48" s="43">
        <f>'Paste - Mentors'!A48</f>
        <v>3251268</v>
      </c>
      <c r="B48" s="3" t="str">
        <f>IFERROR(VLOOKUP(A48,'Paste - Mentors'!$A:$B,2,0),"")</f>
        <v>Wayne Fick</v>
      </c>
      <c r="C48" s="3" t="str">
        <f>IFERROR(VLOOKUP(A48,'Paste - Mentors'!$A:$D,4,0),"")</f>
        <v>Career Mentor</v>
      </c>
      <c r="D48" s="43" t="str">
        <f>IFERROR(VLOOKUP(A48,'Paste - Mentors'!$A:$F,6,0),"")</f>
        <v>FNB</v>
      </c>
      <c r="E48" s="43" t="str">
        <f>IFERROR(VLOOKUP(A48,'Paste - Mentors'!$A:$E,5,0),"")</f>
        <v>South Africa</v>
      </c>
      <c r="F48" s="43">
        <f>IF(A48="","",COUNTIFS('Paste - Relationships'!$A:$A,A48,'Paste - Relationships'!$AE:$AE,""))</f>
        <v>0</v>
      </c>
      <c r="G48" s="43" t="str">
        <f t="shared" si="0"/>
        <v>Available</v>
      </c>
      <c r="H48" s="43" t="str">
        <f>IF(A48="","",IF(COUNTIF('Programme Mentors'!$A:$A,A48)&gt;0,"Enrolled","—"))</f>
        <v>—</v>
      </c>
    </row>
    <row r="49" spans="1:8" ht="14.25" customHeight="1" x14ac:dyDescent="0.3">
      <c r="A49" s="9">
        <f>'Paste - Mentors'!A49</f>
        <v>3252965</v>
      </c>
      <c r="B49" s="4" t="str">
        <f>IFERROR(VLOOKUP(A49,'Paste - Mentors'!$A:$B,2,0),"")</f>
        <v>Venothan Padayachee</v>
      </c>
      <c r="C49" s="4" t="str">
        <f>IFERROR(VLOOKUP(A49,'Paste - Mentors'!$A:$D,4,0),"")</f>
        <v>Career Mentor</v>
      </c>
      <c r="D49" s="9" t="str">
        <f>IFERROR(VLOOKUP(A49,'Paste - Mentors'!$A:$F,6,0),"")</f>
        <v>RMB</v>
      </c>
      <c r="E49" s="9" t="str">
        <f>IFERROR(VLOOKUP(A49,'Paste - Mentors'!$A:$E,5,0),"")</f>
        <v>South Africa</v>
      </c>
      <c r="F49" s="9">
        <f>IF(A49="","",COUNTIFS('Paste - Relationships'!$A:$A,A49,'Paste - Relationships'!$AE:$AE,""))</f>
        <v>0</v>
      </c>
      <c r="G49" s="9" t="str">
        <f t="shared" si="0"/>
        <v>Available</v>
      </c>
      <c r="H49" s="9" t="str">
        <f>IF(A49="","",IF(COUNTIF('Programme Mentors'!$A:$A,A49)&gt;0,"Enrolled","—"))</f>
        <v>—</v>
      </c>
    </row>
    <row r="50" spans="1:8" ht="14.25" customHeight="1" x14ac:dyDescent="0.3">
      <c r="A50" s="43">
        <f>'Paste - Mentors'!A50</f>
        <v>3262766</v>
      </c>
      <c r="B50" s="3" t="str">
        <f>IFERROR(VLOOKUP(A50,'Paste - Mentors'!$A:$B,2,0),"")</f>
        <v>Pinkie Ngcobo</v>
      </c>
      <c r="C50" s="3" t="str">
        <f>IFERROR(VLOOKUP(A50,'Paste - Mentors'!$A:$D,4,0),"")</f>
        <v>Career Mentor</v>
      </c>
      <c r="D50" s="43" t="str">
        <f>IFERROR(VLOOKUP(A50,'Paste - Mentors'!$A:$F,6,0),"")</f>
        <v>FNB</v>
      </c>
      <c r="E50" s="43" t="str">
        <f>IFERROR(VLOOKUP(A50,'Paste - Mentors'!$A:$E,5,0),"")</f>
        <v>South Africa</v>
      </c>
      <c r="F50" s="43">
        <f>IF(A50="","",COUNTIFS('Paste - Relationships'!$A:$A,A50,'Paste - Relationships'!$AE:$AE,""))</f>
        <v>0</v>
      </c>
      <c r="G50" s="43" t="str">
        <f t="shared" si="0"/>
        <v>Available</v>
      </c>
      <c r="H50" s="43" t="str">
        <f>IF(A50="","",IF(COUNTIF('Programme Mentors'!$A:$A,A50)&gt;0,"Enrolled","—"))</f>
        <v>—</v>
      </c>
    </row>
    <row r="51" spans="1:8" ht="14.25" customHeight="1" x14ac:dyDescent="0.3">
      <c r="A51" s="9">
        <f>'Paste - Mentors'!A51</f>
        <v>3199703</v>
      </c>
      <c r="B51" s="4" t="str">
        <f>IFERROR(VLOOKUP(A51,'Paste - Mentors'!$A:$B,2,0),"")</f>
        <v>Zunairah Ismail</v>
      </c>
      <c r="C51" s="4" t="str">
        <f>IFERROR(VLOOKUP(A51,'Paste - Mentors'!$A:$D,4,0),"")</f>
        <v>Career Mentor</v>
      </c>
      <c r="D51" s="9" t="str">
        <f>IFERROR(VLOOKUP(A51,'Paste - Mentors'!$A:$F,6,0),"")</f>
        <v>FNB</v>
      </c>
      <c r="E51" s="9" t="str">
        <f>IFERROR(VLOOKUP(A51,'Paste - Mentors'!$A:$E,5,0),"")</f>
        <v>South Africa</v>
      </c>
      <c r="F51" s="9">
        <f>IF(A51="","",COUNTIFS('Paste - Relationships'!$A:$A,A51,'Paste - Relationships'!$AE:$AE,""))</f>
        <v>0</v>
      </c>
      <c r="G51" s="9" t="str">
        <f t="shared" si="0"/>
        <v>Available</v>
      </c>
      <c r="H51" s="9" t="str">
        <f>IF(A51="","",IF(COUNTIF('Programme Mentors'!$A:$A,A51)&gt;0,"Enrolled","—"))</f>
        <v>—</v>
      </c>
    </row>
    <row r="52" spans="1:8" ht="14.25" customHeight="1" x14ac:dyDescent="0.3">
      <c r="A52" s="43">
        <f>'Paste - Mentors'!A52</f>
        <v>3210103</v>
      </c>
      <c r="B52" s="3" t="str">
        <f>IFERROR(VLOOKUP(A52,'Paste - Mentors'!$A:$B,2,0),"")</f>
        <v>Johan Terblanche</v>
      </c>
      <c r="C52" s="3" t="str">
        <f>IFERROR(VLOOKUP(A52,'Paste - Mentors'!$A:$D,4,0),"")</f>
        <v>Career Mentor</v>
      </c>
      <c r="D52" s="43" t="str">
        <f>IFERROR(VLOOKUP(A52,'Paste - Mentors'!$A:$F,6,0),"")</f>
        <v>FNB</v>
      </c>
      <c r="E52" s="43" t="str">
        <f>IFERROR(VLOOKUP(A52,'Paste - Mentors'!$A:$E,5,0),"")</f>
        <v>South Africa</v>
      </c>
      <c r="F52" s="43">
        <f>IF(A52="","",COUNTIFS('Paste - Relationships'!$A:$A,A52,'Paste - Relationships'!$AE:$AE,""))</f>
        <v>0</v>
      </c>
      <c r="G52" s="43" t="str">
        <f t="shared" si="0"/>
        <v>Available</v>
      </c>
      <c r="H52" s="43" t="str">
        <f>IF(A52="","",IF(COUNTIF('Programme Mentors'!$A:$A,A52)&gt;0,"Enrolled","—"))</f>
        <v>—</v>
      </c>
    </row>
    <row r="53" spans="1:8" ht="14.25" customHeight="1" x14ac:dyDescent="0.3">
      <c r="A53" s="9">
        <f>'Paste - Mentors'!A53</f>
        <v>3252396</v>
      </c>
      <c r="B53" s="4" t="str">
        <f>IFERROR(VLOOKUP(A53,'Paste - Mentors'!$A:$B,2,0),"")</f>
        <v>Diran Gajoo</v>
      </c>
      <c r="C53" s="4" t="str">
        <f>IFERROR(VLOOKUP(A53,'Paste - Mentors'!$A:$D,4,0),"")</f>
        <v>Career Mentor</v>
      </c>
      <c r="D53" s="9" t="str">
        <f>IFERROR(VLOOKUP(A53,'Paste - Mentors'!$A:$F,6,0),"")</f>
        <v>FNB</v>
      </c>
      <c r="E53" s="9" t="str">
        <f>IFERROR(VLOOKUP(A53,'Paste - Mentors'!$A:$E,5,0),"")</f>
        <v>South Africa</v>
      </c>
      <c r="F53" s="9">
        <f>IF(A53="","",COUNTIFS('Paste - Relationships'!$A:$A,A53,'Paste - Relationships'!$AE:$AE,""))</f>
        <v>1</v>
      </c>
      <c r="G53" s="9" t="str">
        <f t="shared" si="0"/>
        <v>Has Capacity</v>
      </c>
      <c r="H53" s="9" t="str">
        <f>IF(A53="","",IF(COUNTIF('Programme Mentors'!$A:$A,A53)&gt;0,"Enrolled","—"))</f>
        <v>—</v>
      </c>
    </row>
    <row r="54" spans="1:8" ht="14.25" customHeight="1" x14ac:dyDescent="0.3">
      <c r="A54" s="43">
        <f>'Paste - Mentors'!A54</f>
        <v>3115011</v>
      </c>
      <c r="B54" s="3" t="str">
        <f>IFERROR(VLOOKUP(A54,'Paste - Mentors'!$A:$B,2,0),"")</f>
        <v>Violet Mayeza</v>
      </c>
      <c r="C54" s="3" t="str">
        <f>IFERROR(VLOOKUP(A54,'Paste - Mentors'!$A:$D,4,0),"")</f>
        <v>Career Mentor</v>
      </c>
      <c r="D54" s="43" t="str">
        <f>IFERROR(VLOOKUP(A54,'Paste - Mentors'!$A:$F,6,0),"")</f>
        <v>FNB</v>
      </c>
      <c r="E54" s="43" t="str">
        <f>IFERROR(VLOOKUP(A54,'Paste - Mentors'!$A:$E,5,0),"")</f>
        <v>South Africa</v>
      </c>
      <c r="F54" s="43">
        <f>IF(A54="","",COUNTIFS('Paste - Relationships'!$A:$A,A54,'Paste - Relationships'!$AE:$AE,""))</f>
        <v>0</v>
      </c>
      <c r="G54" s="43" t="str">
        <f t="shared" si="0"/>
        <v>Available</v>
      </c>
      <c r="H54" s="43" t="str">
        <f>IF(A54="","",IF(COUNTIF('Programme Mentors'!$A:$A,A54)&gt;0,"Enrolled","—"))</f>
        <v>—</v>
      </c>
    </row>
    <row r="55" spans="1:8" ht="14.25" customHeight="1" x14ac:dyDescent="0.3">
      <c r="A55" s="9">
        <f>'Paste - Mentors'!A55</f>
        <v>3158373</v>
      </c>
      <c r="B55" s="4" t="str">
        <f>IFERROR(VLOOKUP(A55,'Paste - Mentors'!$A:$B,2,0),"")</f>
        <v>Thami Simelani</v>
      </c>
      <c r="C55" s="4" t="str">
        <f>IFERROR(VLOOKUP(A55,'Paste - Mentors'!$A:$D,4,0),"")</f>
        <v>Career Mentor</v>
      </c>
      <c r="D55" s="9" t="str">
        <f>IFERROR(VLOOKUP(A55,'Paste - Mentors'!$A:$F,6,0),"")</f>
        <v>FNB</v>
      </c>
      <c r="E55" s="9" t="str">
        <f>IFERROR(VLOOKUP(A55,'Paste - Mentors'!$A:$E,5,0),"")</f>
        <v>South Africa</v>
      </c>
      <c r="F55" s="9">
        <f>IF(A55="","",COUNTIFS('Paste - Relationships'!$A:$A,A55,'Paste - Relationships'!$AE:$AE,""))</f>
        <v>0</v>
      </c>
      <c r="G55" s="9" t="str">
        <f t="shared" si="0"/>
        <v>Available</v>
      </c>
      <c r="H55" s="9" t="str">
        <f>IF(A55="","",IF(COUNTIF('Programme Mentors'!$A:$A,A55)&gt;0,"Enrolled","—"))</f>
        <v>—</v>
      </c>
    </row>
    <row r="56" spans="1:8" ht="14.25" customHeight="1" x14ac:dyDescent="0.3">
      <c r="A56" s="43">
        <f>'Paste - Mentors'!A56</f>
        <v>3173496</v>
      </c>
      <c r="B56" s="3" t="str">
        <f>IFERROR(VLOOKUP(A56,'Paste - Mentors'!$A:$B,2,0),"")</f>
        <v>Sibo Buthelezi</v>
      </c>
      <c r="C56" s="3" t="str">
        <f>IFERROR(VLOOKUP(A56,'Paste - Mentors'!$A:$D,4,0),"")</f>
        <v>Career Mentor</v>
      </c>
      <c r="D56" s="43" t="str">
        <f>IFERROR(VLOOKUP(A56,'Paste - Mentors'!$A:$F,6,0),"")</f>
        <v>FNB</v>
      </c>
      <c r="E56" s="43" t="str">
        <f>IFERROR(VLOOKUP(A56,'Paste - Mentors'!$A:$E,5,0),"")</f>
        <v>South Africa</v>
      </c>
      <c r="F56" s="43">
        <f>IF(A56="","",COUNTIFS('Paste - Relationships'!$A:$A,A56,'Paste - Relationships'!$AE:$AE,""))</f>
        <v>0</v>
      </c>
      <c r="G56" s="43" t="str">
        <f t="shared" si="0"/>
        <v>Available</v>
      </c>
      <c r="H56" s="43" t="str">
        <f>IF(A56="","",IF(COUNTIF('Programme Mentors'!$A:$A,A56)&gt;0,"Enrolled","—"))</f>
        <v>—</v>
      </c>
    </row>
    <row r="57" spans="1:8" ht="14.25" customHeight="1" x14ac:dyDescent="0.3">
      <c r="A57" s="9">
        <f>'Paste - Mentors'!A57</f>
        <v>3189058</v>
      </c>
      <c r="B57" s="4" t="str">
        <f>IFERROR(VLOOKUP(A57,'Paste - Mentors'!$A:$B,2,0),"")</f>
        <v>Gail Jacobs</v>
      </c>
      <c r="C57" s="4" t="str">
        <f>IFERROR(VLOOKUP(A57,'Paste - Mentors'!$A:$D,4,0),"")</f>
        <v>Career Mentor</v>
      </c>
      <c r="D57" s="9" t="str">
        <f>IFERROR(VLOOKUP(A57,'Paste - Mentors'!$A:$F,6,0),"")</f>
        <v>FNB</v>
      </c>
      <c r="E57" s="9" t="str">
        <f>IFERROR(VLOOKUP(A57,'Paste - Mentors'!$A:$E,5,0),"")</f>
        <v>South Africa</v>
      </c>
      <c r="F57" s="9">
        <f>IF(A57="","",COUNTIFS('Paste - Relationships'!$A:$A,A57,'Paste - Relationships'!$AE:$AE,""))</f>
        <v>0</v>
      </c>
      <c r="G57" s="9" t="str">
        <f t="shared" si="0"/>
        <v>Available</v>
      </c>
      <c r="H57" s="9" t="str">
        <f>IF(A57="","",IF(COUNTIF('Programme Mentors'!$A:$A,A57)&gt;0,"Enrolled","—"))</f>
        <v>—</v>
      </c>
    </row>
    <row r="58" spans="1:8" ht="14.25" customHeight="1" x14ac:dyDescent="0.3">
      <c r="A58" s="43">
        <f>'Paste - Mentors'!A58</f>
        <v>3174042</v>
      </c>
      <c r="B58" s="3" t="str">
        <f>IFERROR(VLOOKUP(A58,'Paste - Mentors'!$A:$B,2,0),"")</f>
        <v>Tsholofelo Rakumakoe</v>
      </c>
      <c r="C58" s="3" t="str">
        <f>IFERROR(VLOOKUP(A58,'Paste - Mentors'!$A:$D,4,0),"")</f>
        <v>Career Mentor</v>
      </c>
      <c r="D58" s="43" t="str">
        <f>IFERROR(VLOOKUP(A58,'Paste - Mentors'!$A:$F,6,0),"")</f>
        <v>FNB</v>
      </c>
      <c r="E58" s="43" t="str">
        <f>IFERROR(VLOOKUP(A58,'Paste - Mentors'!$A:$E,5,0),"")</f>
        <v>South Africa</v>
      </c>
      <c r="F58" s="43">
        <f>IF(A58="","",COUNTIFS('Paste - Relationships'!$A:$A,A58,'Paste - Relationships'!$AE:$AE,""))</f>
        <v>0</v>
      </c>
      <c r="G58" s="43" t="str">
        <f t="shared" si="0"/>
        <v>Available</v>
      </c>
      <c r="H58" s="43" t="str">
        <f>IF(A58="","",IF(COUNTIF('Programme Mentors'!$A:$A,A58)&gt;0,"Enrolled","—"))</f>
        <v>—</v>
      </c>
    </row>
    <row r="59" spans="1:8" ht="14.25" customHeight="1" x14ac:dyDescent="0.3">
      <c r="A59" s="9">
        <f>'Paste - Mentors'!A59</f>
        <v>3097935</v>
      </c>
      <c r="B59" s="4" t="str">
        <f>IFERROR(VLOOKUP(A59,'Paste - Mentors'!$A:$B,2,0),"")</f>
        <v>Monique Swart</v>
      </c>
      <c r="C59" s="4" t="str">
        <f>IFERROR(VLOOKUP(A59,'Paste - Mentors'!$A:$D,4,0),"")</f>
        <v>Career Mentor
Technical Mentor</v>
      </c>
      <c r="D59" s="9" t="str">
        <f>IFERROR(VLOOKUP(A59,'Paste - Mentors'!$A:$F,6,0),"")</f>
        <v>FNB</v>
      </c>
      <c r="E59" s="9" t="str">
        <f>IFERROR(VLOOKUP(A59,'Paste - Mentors'!$A:$E,5,0),"")</f>
        <v>South Africa</v>
      </c>
      <c r="F59" s="9">
        <f>IF(A59="","",COUNTIFS('Paste - Relationships'!$A:$A,A59,'Paste - Relationships'!$AE:$AE,""))</f>
        <v>0</v>
      </c>
      <c r="G59" s="9" t="str">
        <f t="shared" si="0"/>
        <v>Available</v>
      </c>
      <c r="H59" s="9" t="str">
        <f>IF(A59="","",IF(COUNTIF('Programme Mentors'!$A:$A,A59)&gt;0,"Enrolled","—"))</f>
        <v>—</v>
      </c>
    </row>
    <row r="60" spans="1:8" ht="33.75" customHeight="1" x14ac:dyDescent="0.3">
      <c r="A60" s="43">
        <f>'Paste - Mentors'!A60</f>
        <v>3117189</v>
      </c>
      <c r="B60" s="3" t="str">
        <f>IFERROR(VLOOKUP(A60,'Paste - Mentors'!$A:$B,2,0),"")</f>
        <v>Vanessa Maharaj</v>
      </c>
      <c r="C60" s="3" t="str">
        <f>IFERROR(VLOOKUP(A60,'Paste - Mentors'!$A:$D,4,0),"")</f>
        <v>Career Mentor</v>
      </c>
      <c r="D60" s="43" t="str">
        <f>IFERROR(VLOOKUP(A60,'Paste - Mentors'!$A:$F,6,0),"")</f>
        <v>FNB</v>
      </c>
      <c r="E60" s="43" t="str">
        <f>IFERROR(VLOOKUP(A60,'Paste - Mentors'!$A:$E,5,0),"")</f>
        <v>South Africa</v>
      </c>
      <c r="F60" s="43">
        <f>IF(A60="","",COUNTIFS('Paste - Relationships'!$A:$A,A60,'Paste - Relationships'!$AE:$AE,""))</f>
        <v>0</v>
      </c>
      <c r="G60" s="43" t="str">
        <f t="shared" si="0"/>
        <v>Available</v>
      </c>
      <c r="H60" s="43" t="str">
        <f>IF(A60="","",IF(COUNTIF('Programme Mentors'!$A:$A,A60)&gt;0,"Enrolled","—"))</f>
        <v>—</v>
      </c>
    </row>
    <row r="61" spans="1:8" ht="14.25" customHeight="1" x14ac:dyDescent="0.3">
      <c r="A61" s="9">
        <f>'Paste - Mentors'!A61</f>
        <v>3212998</v>
      </c>
      <c r="B61" s="4" t="str">
        <f>IFERROR(VLOOKUP(A61,'Paste - Mentors'!$A:$B,2,0),"")</f>
        <v>Carrie Anne Feldman</v>
      </c>
      <c r="C61" s="4" t="str">
        <f>IFERROR(VLOOKUP(A61,'Paste - Mentors'!$A:$D,4,0),"")</f>
        <v>Career Mentor</v>
      </c>
      <c r="D61" s="9" t="str">
        <f>IFERROR(VLOOKUP(A61,'Paste - Mentors'!$A:$F,6,0),"")</f>
        <v>FNB</v>
      </c>
      <c r="E61" s="9" t="str">
        <f>IFERROR(VLOOKUP(A61,'Paste - Mentors'!$A:$E,5,0),"")</f>
        <v>South Africa</v>
      </c>
      <c r="F61" s="9">
        <f>IF(A61="","",COUNTIFS('Paste - Relationships'!$A:$A,A61,'Paste - Relationships'!$AE:$AE,""))</f>
        <v>0</v>
      </c>
      <c r="G61" s="9" t="str">
        <f t="shared" si="0"/>
        <v>Available</v>
      </c>
      <c r="H61" s="9" t="str">
        <f>IF(A61="","",IF(COUNTIF('Programme Mentors'!$A:$A,A61)&gt;0,"Enrolled","—"))</f>
        <v>—</v>
      </c>
    </row>
    <row r="62" spans="1:8" ht="14.25" customHeight="1" x14ac:dyDescent="0.3">
      <c r="A62" s="43">
        <f>'Paste - Mentors'!A62</f>
        <v>3019055</v>
      </c>
      <c r="B62" s="3" t="str">
        <f>IFERROR(VLOOKUP(A62,'Paste - Mentors'!$A:$B,2,0),"")</f>
        <v>Willem Richard</v>
      </c>
      <c r="C62" s="3" t="str">
        <f>IFERROR(VLOOKUP(A62,'Paste - Mentors'!$A:$D,4,0),"")</f>
        <v>Career Mentor
Leadership Mentor</v>
      </c>
      <c r="D62" s="43" t="str">
        <f>IFERROR(VLOOKUP(A62,'Paste - Mentors'!$A:$F,6,0),"")</f>
        <v>RMB</v>
      </c>
      <c r="E62" s="43" t="str">
        <f>IFERROR(VLOOKUP(A62,'Paste - Mentors'!$A:$E,5,0),"")</f>
        <v>South Africa</v>
      </c>
      <c r="F62" s="43">
        <f>IF(A62="","",COUNTIFS('Paste - Relationships'!$A:$A,A62,'Paste - Relationships'!$AE:$AE,""))</f>
        <v>1</v>
      </c>
      <c r="G62" s="43" t="str">
        <f t="shared" si="0"/>
        <v>Has Capacity</v>
      </c>
      <c r="H62" s="43" t="str">
        <f>IF(A62="","",IF(COUNTIF('Programme Mentors'!$A:$A,A62)&gt;0,"Enrolled","—"))</f>
        <v>—</v>
      </c>
    </row>
    <row r="63" spans="1:8" ht="33.75" customHeight="1" x14ac:dyDescent="0.3">
      <c r="A63" s="9">
        <f>'Paste - Mentors'!A63</f>
        <v>3020312</v>
      </c>
      <c r="B63" s="4" t="str">
        <f>IFERROR(VLOOKUP(A63,'Paste - Mentors'!$A:$B,2,0),"")</f>
        <v>Malebo Phahlamohlaka</v>
      </c>
      <c r="C63" s="4" t="str">
        <f>IFERROR(VLOOKUP(A63,'Paste - Mentors'!$A:$D,4,0),"")</f>
        <v>Career Mentor</v>
      </c>
      <c r="D63" s="9" t="str">
        <f>IFERROR(VLOOKUP(A63,'Paste - Mentors'!$A:$F,6,0),"")</f>
        <v>FNB</v>
      </c>
      <c r="E63" s="9" t="str">
        <f>IFERROR(VLOOKUP(A63,'Paste - Mentors'!$A:$E,5,0),"")</f>
        <v>South Africa</v>
      </c>
      <c r="F63" s="9">
        <f>IF(A63="","",COUNTIFS('Paste - Relationships'!$A:$A,A63,'Paste - Relationships'!$AE:$AE,""))</f>
        <v>2</v>
      </c>
      <c r="G63" s="9" t="str">
        <f t="shared" si="0"/>
        <v>Has Capacity</v>
      </c>
      <c r="H63" s="9" t="str">
        <f>IF(A63="","",IF(COUNTIF('Programme Mentors'!$A:$A,A63)&gt;0,"Enrolled","—"))</f>
        <v>—</v>
      </c>
    </row>
    <row r="64" spans="1:8" ht="14.25" customHeight="1" x14ac:dyDescent="0.3">
      <c r="A64" s="43">
        <f>'Paste - Mentors'!A64</f>
        <v>3063119</v>
      </c>
      <c r="B64" s="3" t="str">
        <f>IFERROR(VLOOKUP(A64,'Paste - Mentors'!$A:$B,2,0),"")</f>
        <v>Thuli Nkosi</v>
      </c>
      <c r="C64" s="3" t="str">
        <f>IFERROR(VLOOKUP(A64,'Paste - Mentors'!$A:$D,4,0),"")</f>
        <v>Career Mentor</v>
      </c>
      <c r="D64" s="43" t="str">
        <f>IFERROR(VLOOKUP(A64,'Paste - Mentors'!$A:$F,6,0),"")</f>
        <v>FNB</v>
      </c>
      <c r="E64" s="43" t="str">
        <f>IFERROR(VLOOKUP(A64,'Paste - Mentors'!$A:$E,5,0),"")</f>
        <v>South Africa</v>
      </c>
      <c r="F64" s="43">
        <f>IF(A64="","",COUNTIFS('Paste - Relationships'!$A:$A,A64,'Paste - Relationships'!$AE:$AE,""))</f>
        <v>0</v>
      </c>
      <c r="G64" s="43" t="str">
        <f t="shared" si="0"/>
        <v>Available</v>
      </c>
      <c r="H64" s="43" t="str">
        <f>IF(A64="","",IF(COUNTIF('Programme Mentors'!$A:$A,A64)&gt;0,"Enrolled","—"))</f>
        <v>—</v>
      </c>
    </row>
    <row r="65" spans="1:8" ht="14.25" customHeight="1" x14ac:dyDescent="0.3">
      <c r="A65" s="9">
        <f>'Paste - Mentors'!A65</f>
        <v>3082644</v>
      </c>
      <c r="B65" s="4" t="str">
        <f>IFERROR(VLOOKUP(A65,'Paste - Mentors'!$A:$B,2,0),"")</f>
        <v>Pontsho Njoro</v>
      </c>
      <c r="C65" s="4" t="str">
        <f>IFERROR(VLOOKUP(A65,'Paste - Mentors'!$A:$D,4,0),"")</f>
        <v>Career Mentor</v>
      </c>
      <c r="D65" s="9" t="str">
        <f>IFERROR(VLOOKUP(A65,'Paste - Mentors'!$A:$F,6,0),"")</f>
        <v>FNB</v>
      </c>
      <c r="E65" s="9" t="str">
        <f>IFERROR(VLOOKUP(A65,'Paste - Mentors'!$A:$E,5,0),"")</f>
        <v>South Africa</v>
      </c>
      <c r="F65" s="9">
        <f>IF(A65="","",COUNTIFS('Paste - Relationships'!$A:$A,A65,'Paste - Relationships'!$AE:$AE,""))</f>
        <v>0</v>
      </c>
      <c r="G65" s="9" t="str">
        <f t="shared" si="0"/>
        <v>Available</v>
      </c>
      <c r="H65" s="9" t="str">
        <f>IF(A65="","",IF(COUNTIF('Programme Mentors'!$A:$A,A65)&gt;0,"Enrolled","—"))</f>
        <v>—</v>
      </c>
    </row>
    <row r="66" spans="1:8" ht="14.25" customHeight="1" x14ac:dyDescent="0.3">
      <c r="A66" s="43">
        <f>'Paste - Mentors'!A66</f>
        <v>3101320</v>
      </c>
      <c r="B66" s="3" t="str">
        <f>IFERROR(VLOOKUP(A66,'Paste - Mentors'!$A:$B,2,0),"")</f>
        <v>Puleng Montseng</v>
      </c>
      <c r="C66" s="3" t="str">
        <f>IFERROR(VLOOKUP(A66,'Paste - Mentors'!$A:$D,4,0),"")</f>
        <v>Career Mentor</v>
      </c>
      <c r="D66" s="43" t="str">
        <f>IFERROR(VLOOKUP(A66,'Paste - Mentors'!$A:$F,6,0),"")</f>
        <v>FNB</v>
      </c>
      <c r="E66" s="43" t="str">
        <f>IFERROR(VLOOKUP(A66,'Paste - Mentors'!$A:$E,5,0),"")</f>
        <v>South Africa</v>
      </c>
      <c r="F66" s="43">
        <f>IF(A66="","",COUNTIFS('Paste - Relationships'!$A:$A,A66,'Paste - Relationships'!$AE:$AE,""))</f>
        <v>0</v>
      </c>
      <c r="G66" s="43" t="str">
        <f t="shared" si="0"/>
        <v>Available</v>
      </c>
      <c r="H66" s="43" t="str">
        <f>IF(A66="","",IF(COUNTIF('Programme Mentors'!$A:$A,A66)&gt;0,"Enrolled","—"))</f>
        <v>—</v>
      </c>
    </row>
    <row r="67" spans="1:8" ht="14.25" customHeight="1" x14ac:dyDescent="0.3">
      <c r="A67" s="9">
        <f>'Paste - Mentors'!A67</f>
        <v>3083713</v>
      </c>
      <c r="B67" s="4" t="str">
        <f>IFERROR(VLOOKUP(A67,'Paste - Mentors'!$A:$B,2,0),"")</f>
        <v>Themba Twala</v>
      </c>
      <c r="C67" s="4" t="str">
        <f>IFERROR(VLOOKUP(A67,'Paste - Mentors'!$A:$D,4,0),"")</f>
        <v>Career Mentor</v>
      </c>
      <c r="D67" s="9" t="str">
        <f>IFERROR(VLOOKUP(A67,'Paste - Mentors'!$A:$F,6,0),"")</f>
        <v>FNB</v>
      </c>
      <c r="E67" s="9" t="str">
        <f>IFERROR(VLOOKUP(A67,'Paste - Mentors'!$A:$E,5,0),"")</f>
        <v>South Africa</v>
      </c>
      <c r="F67" s="9">
        <f>IF(A67="","",COUNTIFS('Paste - Relationships'!$A:$A,A67,'Paste - Relationships'!$AE:$AE,""))</f>
        <v>0</v>
      </c>
      <c r="G67" s="9" t="str">
        <f t="shared" si="0"/>
        <v>Available</v>
      </c>
      <c r="H67" s="9" t="str">
        <f>IF(A67="","",IF(COUNTIF('Programme Mentors'!$A:$A,A67)&gt;0,"Enrolled","—"))</f>
        <v>—</v>
      </c>
    </row>
    <row r="68" spans="1:8" ht="14.25" customHeight="1" x14ac:dyDescent="0.3">
      <c r="A68" s="43">
        <f>'Paste - Mentors'!A68</f>
        <v>3084590</v>
      </c>
      <c r="B68" s="3" t="str">
        <f>IFERROR(VLOOKUP(A68,'Paste - Mentors'!$A:$B,2,0),"")</f>
        <v>Wesley Pretorius</v>
      </c>
      <c r="C68" s="3">
        <f>IFERROR(VLOOKUP(A68,'Paste - Mentors'!$A:$D,4,0),"")</f>
        <v>0</v>
      </c>
      <c r="D68" s="43" t="str">
        <f>IFERROR(VLOOKUP(A68,'Paste - Mentors'!$A:$F,6,0),"")</f>
        <v>FNB</v>
      </c>
      <c r="E68" s="43" t="str">
        <f>IFERROR(VLOOKUP(A68,'Paste - Mentors'!$A:$E,5,0),"")</f>
        <v>South Africa</v>
      </c>
      <c r="F68" s="43">
        <f>IF(A68="","",COUNTIFS('Paste - Relationships'!$A:$A,A68,'Paste - Relationships'!$AE:$AE,""))</f>
        <v>0</v>
      </c>
      <c r="G68" s="43" t="str">
        <f t="shared" ref="G68:G131" si="1">IF(A68="","",IF(F68&gt;=3,"At Capacity",IF(F68=0,"Available","Has Capacity")))</f>
        <v>Available</v>
      </c>
      <c r="H68" s="43" t="str">
        <f>IF(A68="","",IF(COUNTIF('Programme Mentors'!$A:$A,A68)&gt;0,"Enrolled","—"))</f>
        <v>—</v>
      </c>
    </row>
    <row r="69" spans="1:8" ht="14.25" customHeight="1" x14ac:dyDescent="0.3">
      <c r="A69" s="9">
        <f>'Paste - Mentors'!A69</f>
        <v>2879573</v>
      </c>
      <c r="B69" s="4" t="str">
        <f>IFERROR(VLOOKUP(A69,'Paste - Mentors'!$A:$B,2,0),"")</f>
        <v>Vutlhari Sithole</v>
      </c>
      <c r="C69" s="4" t="str">
        <f>IFERROR(VLOOKUP(A69,'Paste - Mentors'!$A:$D,4,0),"")</f>
        <v>Career Mentor</v>
      </c>
      <c r="D69" s="9" t="str">
        <f>IFERROR(VLOOKUP(A69,'Paste - Mentors'!$A:$F,6,0),"")</f>
        <v>FNB</v>
      </c>
      <c r="E69" s="9" t="str">
        <f>IFERROR(VLOOKUP(A69,'Paste - Mentors'!$A:$E,5,0),"")</f>
        <v>South Africa</v>
      </c>
      <c r="F69" s="9">
        <f>IF(A69="","",COUNTIFS('Paste - Relationships'!$A:$A,A69,'Paste - Relationships'!$AE:$AE,""))</f>
        <v>0</v>
      </c>
      <c r="G69" s="9" t="str">
        <f t="shared" si="1"/>
        <v>Available</v>
      </c>
      <c r="H69" s="9" t="str">
        <f>IF(A69="","",IF(COUNTIF('Programme Mentors'!$A:$A,A69)&gt;0,"Enrolled","—"))</f>
        <v>—</v>
      </c>
    </row>
    <row r="70" spans="1:8" ht="14.25" customHeight="1" x14ac:dyDescent="0.3">
      <c r="A70" s="43">
        <f>'Paste - Mentors'!A70</f>
        <v>2978210</v>
      </c>
      <c r="B70" s="3" t="str">
        <f>IFERROR(VLOOKUP(A70,'Paste - Mentors'!$A:$B,2,0),"")</f>
        <v>Narisha Govender</v>
      </c>
      <c r="C70" s="3" t="str">
        <f>IFERROR(VLOOKUP(A70,'Paste - Mentors'!$A:$D,4,0),"")</f>
        <v>Career Mentor
Leadership Mentor
Technical Mentor
Transition Mentor</v>
      </c>
      <c r="D70" s="43" t="str">
        <f>IFERROR(VLOOKUP(A70,'Paste - Mentors'!$A:$F,6,0),"")</f>
        <v>RMB</v>
      </c>
      <c r="E70" s="43" t="str">
        <f>IFERROR(VLOOKUP(A70,'Paste - Mentors'!$A:$E,5,0),"")</f>
        <v>South Africa</v>
      </c>
      <c r="F70" s="43">
        <f>IF(A70="","",COUNTIFS('Paste - Relationships'!$A:$A,A70,'Paste - Relationships'!$AE:$AE,""))</f>
        <v>0</v>
      </c>
      <c r="G70" s="43" t="str">
        <f t="shared" si="1"/>
        <v>Available</v>
      </c>
      <c r="H70" s="43" t="str">
        <f>IF(A70="","",IF(COUNTIF('Programme Mentors'!$A:$A,A70)&gt;0,"Enrolled","—"))</f>
        <v>—</v>
      </c>
    </row>
    <row r="71" spans="1:8" ht="79.5" customHeight="1" x14ac:dyDescent="0.3">
      <c r="A71" s="9">
        <f>'Paste - Mentors'!A71</f>
        <v>3021173</v>
      </c>
      <c r="B71" s="4" t="str">
        <f>IFERROR(VLOOKUP(A71,'Paste - Mentors'!$A:$B,2,0),"")</f>
        <v>Natasha Naidoo</v>
      </c>
      <c r="C71" s="4" t="str">
        <f>IFERROR(VLOOKUP(A71,'Paste - Mentors'!$A:$D,4,0),"")</f>
        <v>Career Mentor</v>
      </c>
      <c r="D71" s="9" t="str">
        <f>IFERROR(VLOOKUP(A71,'Paste - Mentors'!$A:$F,6,0),"")</f>
        <v>FNB</v>
      </c>
      <c r="E71" s="9" t="str">
        <f>IFERROR(VLOOKUP(A71,'Paste - Mentors'!$A:$E,5,0),"")</f>
        <v>South Africa</v>
      </c>
      <c r="F71" s="9">
        <f>IF(A71="","",COUNTIFS('Paste - Relationships'!$A:$A,A71,'Paste - Relationships'!$AE:$AE,""))</f>
        <v>0</v>
      </c>
      <c r="G71" s="9" t="str">
        <f t="shared" si="1"/>
        <v>Available</v>
      </c>
      <c r="H71" s="9" t="str">
        <f>IF(A71="","",IF(COUNTIF('Programme Mentors'!$A:$A,A71)&gt;0,"Enrolled","—"))</f>
        <v>—</v>
      </c>
    </row>
    <row r="72" spans="1:8" ht="14.25" customHeight="1" x14ac:dyDescent="0.3">
      <c r="A72" s="43">
        <f>'Paste - Mentors'!A72</f>
        <v>3021238</v>
      </c>
      <c r="B72" s="3" t="str">
        <f>IFERROR(VLOOKUP(A72,'Paste - Mentors'!$A:$B,2,0),"")</f>
        <v>Ashwin Gobind</v>
      </c>
      <c r="C72" s="3" t="str">
        <f>IFERROR(VLOOKUP(A72,'Paste - Mentors'!$A:$D,4,0),"")</f>
        <v>Career Mentor</v>
      </c>
      <c r="D72" s="43" t="str">
        <f>IFERROR(VLOOKUP(A72,'Paste - Mentors'!$A:$F,6,0),"")</f>
        <v>FNB</v>
      </c>
      <c r="E72" s="43" t="str">
        <f>IFERROR(VLOOKUP(A72,'Paste - Mentors'!$A:$E,5,0),"")</f>
        <v>South Africa</v>
      </c>
      <c r="F72" s="43">
        <f>IF(A72="","",COUNTIFS('Paste - Relationships'!$A:$A,A72,'Paste - Relationships'!$AE:$AE,""))</f>
        <v>0</v>
      </c>
      <c r="G72" s="43" t="str">
        <f t="shared" si="1"/>
        <v>Available</v>
      </c>
      <c r="H72" s="43" t="str">
        <f>IF(A72="","",IF(COUNTIF('Programme Mentors'!$A:$A,A72)&gt;0,"Enrolled","—"))</f>
        <v>—</v>
      </c>
    </row>
    <row r="73" spans="1:8" ht="14.25" customHeight="1" x14ac:dyDescent="0.3">
      <c r="A73" s="9">
        <f>'Paste - Mentors'!A73</f>
        <v>3021467</v>
      </c>
      <c r="B73" s="4" t="str">
        <f>IFERROR(VLOOKUP(A73,'Paste - Mentors'!$A:$B,2,0),"")</f>
        <v>Caiphus Nyuswa</v>
      </c>
      <c r="C73" s="4" t="str">
        <f>IFERROR(VLOOKUP(A73,'Paste - Mentors'!$A:$D,4,0),"")</f>
        <v>Career Mentor</v>
      </c>
      <c r="D73" s="9" t="str">
        <f>IFERROR(VLOOKUP(A73,'Paste - Mentors'!$A:$F,6,0),"")</f>
        <v>FNB</v>
      </c>
      <c r="E73" s="9" t="str">
        <f>IFERROR(VLOOKUP(A73,'Paste - Mentors'!$A:$E,5,0),"")</f>
        <v>South Africa</v>
      </c>
      <c r="F73" s="9">
        <f>IF(A73="","",COUNTIFS('Paste - Relationships'!$A:$A,A73,'Paste - Relationships'!$AE:$AE,""))</f>
        <v>0</v>
      </c>
      <c r="G73" s="9" t="str">
        <f t="shared" si="1"/>
        <v>Available</v>
      </c>
      <c r="H73" s="9" t="str">
        <f>IF(A73="","",IF(COUNTIF('Programme Mentors'!$A:$A,A73)&gt;0,"Enrolled","—"))</f>
        <v>—</v>
      </c>
    </row>
    <row r="74" spans="1:8" ht="14.25" customHeight="1" x14ac:dyDescent="0.3">
      <c r="A74" s="43">
        <f>'Paste - Mentors'!A74</f>
        <v>2694972</v>
      </c>
      <c r="B74" s="3" t="str">
        <f>IFERROR(VLOOKUP(A74,'Paste - Mentors'!$A:$B,2,0),"")</f>
        <v>Jason Nader</v>
      </c>
      <c r="C74" s="3" t="str">
        <f>IFERROR(VLOOKUP(A74,'Paste - Mentors'!$A:$D,4,0),"")</f>
        <v>Career Mentor
Leadership Mentor</v>
      </c>
      <c r="D74" s="43" t="str">
        <f>IFERROR(VLOOKUP(A74,'Paste - Mentors'!$A:$F,6,0),"")</f>
        <v>FNB</v>
      </c>
      <c r="E74" s="43" t="str">
        <f>IFERROR(VLOOKUP(A74,'Paste - Mentors'!$A:$E,5,0),"")</f>
        <v>South Africa</v>
      </c>
      <c r="F74" s="43">
        <f>IF(A74="","",COUNTIFS('Paste - Relationships'!$A:$A,A74,'Paste - Relationships'!$AE:$AE,""))</f>
        <v>1</v>
      </c>
      <c r="G74" s="43" t="str">
        <f t="shared" si="1"/>
        <v>Has Capacity</v>
      </c>
      <c r="H74" s="43" t="str">
        <f>IF(A74="","",IF(COUNTIF('Programme Mentors'!$A:$A,A74)&gt;0,"Enrolled","—"))</f>
        <v>—</v>
      </c>
    </row>
    <row r="75" spans="1:8" ht="33.75" customHeight="1" x14ac:dyDescent="0.3">
      <c r="A75" s="9">
        <f>'Paste - Mentors'!A75</f>
        <v>2862212</v>
      </c>
      <c r="B75" s="4" t="str">
        <f>IFERROR(VLOOKUP(A75,'Paste - Mentors'!$A:$B,2,0),"")</f>
        <v>Reginald Mothubakgang</v>
      </c>
      <c r="C75" s="4" t="str">
        <f>IFERROR(VLOOKUP(A75,'Paste - Mentors'!$A:$D,4,0),"")</f>
        <v>Career Mentor
Leadership Mentor
Transition Mentor</v>
      </c>
      <c r="D75" s="9" t="str">
        <f>IFERROR(VLOOKUP(A75,'Paste - Mentors'!$A:$F,6,0),"")</f>
        <v>FNB</v>
      </c>
      <c r="E75" s="9" t="str">
        <f>IFERROR(VLOOKUP(A75,'Paste - Mentors'!$A:$E,5,0),"")</f>
        <v>South Africa</v>
      </c>
      <c r="F75" s="9">
        <f>IF(A75="","",COUNTIFS('Paste - Relationships'!$A:$A,A75,'Paste - Relationships'!$AE:$AE,""))</f>
        <v>0</v>
      </c>
      <c r="G75" s="9" t="str">
        <f t="shared" si="1"/>
        <v>Available</v>
      </c>
      <c r="H75" s="9" t="str">
        <f>IF(A75="","",IF(COUNTIF('Programme Mentors'!$A:$A,A75)&gt;0,"Enrolled","—"))</f>
        <v>—</v>
      </c>
    </row>
    <row r="76" spans="1:8" ht="57" customHeight="1" x14ac:dyDescent="0.3">
      <c r="A76" s="43">
        <f>'Paste - Mentors'!A76</f>
        <v>2862638</v>
      </c>
      <c r="B76" s="3" t="str">
        <f>IFERROR(VLOOKUP(A76,'Paste - Mentors'!$A:$B,2,0),"")</f>
        <v>Liza Jacobs</v>
      </c>
      <c r="C76" s="3" t="str">
        <f>IFERROR(VLOOKUP(A76,'Paste - Mentors'!$A:$D,4,0),"")</f>
        <v>Career Mentor</v>
      </c>
      <c r="D76" s="43" t="str">
        <f>IFERROR(VLOOKUP(A76,'Paste - Mentors'!$A:$F,6,0),"")</f>
        <v>WesBank</v>
      </c>
      <c r="E76" s="43" t="str">
        <f>IFERROR(VLOOKUP(A76,'Paste - Mentors'!$A:$E,5,0),"")</f>
        <v>South Africa</v>
      </c>
      <c r="F76" s="43">
        <f>IF(A76="","",COUNTIFS('Paste - Relationships'!$A:$A,A76,'Paste - Relationships'!$AE:$AE,""))</f>
        <v>0</v>
      </c>
      <c r="G76" s="43" t="str">
        <f t="shared" si="1"/>
        <v>Available</v>
      </c>
      <c r="H76" s="43" t="str">
        <f>IF(A76="","",IF(COUNTIF('Programme Mentors'!$A:$A,A76)&gt;0,"Enrolled","—"))</f>
        <v>—</v>
      </c>
    </row>
    <row r="77" spans="1:8" ht="14.25" customHeight="1" x14ac:dyDescent="0.3">
      <c r="A77" s="9">
        <f>'Paste - Mentors'!A77</f>
        <v>2882590</v>
      </c>
      <c r="B77" s="4" t="str">
        <f>IFERROR(VLOOKUP(A77,'Paste - Mentors'!$A:$B,2,0),"")</f>
        <v>Olerato Chimole</v>
      </c>
      <c r="C77" s="4" t="str">
        <f>IFERROR(VLOOKUP(A77,'Paste - Mentors'!$A:$D,4,0),"")</f>
        <v>Career Mentor</v>
      </c>
      <c r="D77" s="9" t="str">
        <f>IFERROR(VLOOKUP(A77,'Paste - Mentors'!$A:$F,6,0),"")</f>
        <v>FNB</v>
      </c>
      <c r="E77" s="9" t="str">
        <f>IFERROR(VLOOKUP(A77,'Paste - Mentors'!$A:$E,5,0),"")</f>
        <v>South Africa</v>
      </c>
      <c r="F77" s="9">
        <f>IF(A77="","",COUNTIFS('Paste - Relationships'!$A:$A,A77,'Paste - Relationships'!$AE:$AE,""))</f>
        <v>0</v>
      </c>
      <c r="G77" s="9" t="str">
        <f t="shared" si="1"/>
        <v>Available</v>
      </c>
      <c r="H77" s="9" t="str">
        <f>IF(A77="","",IF(COUNTIF('Programme Mentors'!$A:$A,A77)&gt;0,"Enrolled","—"))</f>
        <v>—</v>
      </c>
    </row>
    <row r="78" spans="1:8" ht="14.25" customHeight="1" x14ac:dyDescent="0.3">
      <c r="A78" s="43">
        <f>'Paste - Mentors'!A78</f>
        <v>2938618</v>
      </c>
      <c r="B78" s="3" t="str">
        <f>IFERROR(VLOOKUP(A78,'Paste - Mentors'!$A:$B,2,0),"")</f>
        <v>Mercia Fox-Fisher</v>
      </c>
      <c r="C78" s="3" t="str">
        <f>IFERROR(VLOOKUP(A78,'Paste - Mentors'!$A:$D,4,0),"")</f>
        <v>Career Mentor</v>
      </c>
      <c r="D78" s="43" t="str">
        <f>IFERROR(VLOOKUP(A78,'Paste - Mentors'!$A:$F,6,0),"")</f>
        <v>FNB</v>
      </c>
      <c r="E78" s="43" t="str">
        <f>IFERROR(VLOOKUP(A78,'Paste - Mentors'!$A:$E,5,0),"")</f>
        <v>South Africa</v>
      </c>
      <c r="F78" s="43">
        <f>IF(A78="","",COUNTIFS('Paste - Relationships'!$A:$A,A78,'Paste - Relationships'!$AE:$AE,""))</f>
        <v>0</v>
      </c>
      <c r="G78" s="43" t="str">
        <f t="shared" si="1"/>
        <v>Available</v>
      </c>
      <c r="H78" s="43" t="str">
        <f>IF(A78="","",IF(COUNTIF('Programme Mentors'!$A:$A,A78)&gt;0,"Enrolled","—"))</f>
        <v>—</v>
      </c>
    </row>
    <row r="79" spans="1:8" ht="14.25" customHeight="1" x14ac:dyDescent="0.3">
      <c r="A79" s="9">
        <f>'Paste - Mentors'!A79</f>
        <v>2667509</v>
      </c>
      <c r="B79" s="4" t="str">
        <f>IFERROR(VLOOKUP(A79,'Paste - Mentors'!$A:$B,2,0),"")</f>
        <v>Dwan Steyn</v>
      </c>
      <c r="C79" s="4" t="str">
        <f>IFERROR(VLOOKUP(A79,'Paste - Mentors'!$A:$D,4,0),"")</f>
        <v>Career Mentor</v>
      </c>
      <c r="D79" s="9" t="str">
        <f>IFERROR(VLOOKUP(A79,'Paste - Mentors'!$A:$F,6,0),"")</f>
        <v>FNB</v>
      </c>
      <c r="E79" s="9" t="str">
        <f>IFERROR(VLOOKUP(A79,'Paste - Mentors'!$A:$E,5,0),"")</f>
        <v>South Africa</v>
      </c>
      <c r="F79" s="9">
        <f>IF(A79="","",COUNTIFS('Paste - Relationships'!$A:$A,A79,'Paste - Relationships'!$AE:$AE,""))</f>
        <v>1</v>
      </c>
      <c r="G79" s="9" t="str">
        <f t="shared" si="1"/>
        <v>Has Capacity</v>
      </c>
      <c r="H79" s="9" t="str">
        <f>IF(A79="","",IF(COUNTIF('Programme Mentors'!$A:$A,A79)&gt;0,"Enrolled","—"))</f>
        <v>—</v>
      </c>
    </row>
    <row r="80" spans="1:8" ht="14.25" customHeight="1" x14ac:dyDescent="0.3">
      <c r="A80" s="43">
        <f>'Paste - Mentors'!A80</f>
        <v>2703173</v>
      </c>
      <c r="B80" s="3" t="str">
        <f>IFERROR(VLOOKUP(A80,'Paste - Mentors'!$A:$B,2,0),"")</f>
        <v>Dumisani Ntanzi</v>
      </c>
      <c r="C80" s="3" t="str">
        <f>IFERROR(VLOOKUP(A80,'Paste - Mentors'!$A:$D,4,0),"")</f>
        <v>Career Mentor</v>
      </c>
      <c r="D80" s="43" t="str">
        <f>IFERROR(VLOOKUP(A80,'Paste - Mentors'!$A:$F,6,0),"")</f>
        <v>FNB</v>
      </c>
      <c r="E80" s="43" t="str">
        <f>IFERROR(VLOOKUP(A80,'Paste - Mentors'!$A:$E,5,0),"")</f>
        <v>South Africa</v>
      </c>
      <c r="F80" s="43">
        <f>IF(A80="","",COUNTIFS('Paste - Relationships'!$A:$A,A80,'Paste - Relationships'!$AE:$AE,""))</f>
        <v>0</v>
      </c>
      <c r="G80" s="43" t="str">
        <f t="shared" si="1"/>
        <v>Available</v>
      </c>
      <c r="H80" s="43" t="str">
        <f>IF(A80="","",IF(COUNTIF('Programme Mentors'!$A:$A,A80)&gt;0,"Enrolled","—"))</f>
        <v>—</v>
      </c>
    </row>
    <row r="81" spans="1:8" ht="14.25" customHeight="1" x14ac:dyDescent="0.3">
      <c r="A81" s="9">
        <f>'Paste - Mentors'!A81</f>
        <v>2836998</v>
      </c>
      <c r="B81" s="4" t="str">
        <f>IFERROR(VLOOKUP(A81,'Paste - Mentors'!$A:$B,2,0),"")</f>
        <v>Karin Hough</v>
      </c>
      <c r="C81" s="4" t="str">
        <f>IFERROR(VLOOKUP(A81,'Paste - Mentors'!$A:$D,4,0),"")</f>
        <v>Career Mentor</v>
      </c>
      <c r="D81" s="9" t="str">
        <f>IFERROR(VLOOKUP(A81,'Paste - Mentors'!$A:$F,6,0),"")</f>
        <v>FNB</v>
      </c>
      <c r="E81" s="9" t="str">
        <f>IFERROR(VLOOKUP(A81,'Paste - Mentors'!$A:$E,5,0),"")</f>
        <v>South Africa</v>
      </c>
      <c r="F81" s="9">
        <f>IF(A81="","",COUNTIFS('Paste - Relationships'!$A:$A,A81,'Paste - Relationships'!$AE:$AE,""))</f>
        <v>0</v>
      </c>
      <c r="G81" s="9" t="str">
        <f t="shared" si="1"/>
        <v>Available</v>
      </c>
      <c r="H81" s="9" t="str">
        <f>IF(A81="","",IF(COUNTIF('Programme Mentors'!$A:$A,A81)&gt;0,"Enrolled","—"))</f>
        <v>—</v>
      </c>
    </row>
    <row r="82" spans="1:8" ht="14.25" customHeight="1" x14ac:dyDescent="0.3">
      <c r="A82" s="43">
        <f>'Paste - Mentors'!A82</f>
        <v>2793423</v>
      </c>
      <c r="B82" s="3" t="str">
        <f>IFERROR(VLOOKUP(A82,'Paste - Mentors'!$A:$B,2,0),"")</f>
        <v>Aina Ipinge</v>
      </c>
      <c r="C82" s="3" t="str">
        <f>IFERROR(VLOOKUP(A82,'Paste - Mentors'!$A:$D,4,0),"")</f>
        <v>Career Mentor</v>
      </c>
      <c r="D82" s="43" t="str">
        <f>IFERROR(VLOOKUP(A82,'Paste - Mentors'!$A:$F,6,0),"")</f>
        <v>FNB</v>
      </c>
      <c r="E82" s="43" t="str">
        <f>IFERROR(VLOOKUP(A82,'Paste - Mentors'!$A:$E,5,0),"")</f>
        <v>Namibia</v>
      </c>
      <c r="F82" s="43">
        <f>IF(A82="","",COUNTIFS('Paste - Relationships'!$A:$A,A82,'Paste - Relationships'!$AE:$AE,""))</f>
        <v>0</v>
      </c>
      <c r="G82" s="43" t="str">
        <f t="shared" si="1"/>
        <v>Available</v>
      </c>
      <c r="H82" s="43" t="str">
        <f>IF(A82="","",IF(COUNTIF('Programme Mentors'!$A:$A,A82)&gt;0,"Enrolled","—"))</f>
        <v>—</v>
      </c>
    </row>
    <row r="83" spans="1:8" ht="14.25" customHeight="1" x14ac:dyDescent="0.3">
      <c r="A83" s="9">
        <f>'Paste - Mentors'!A83</f>
        <v>2765101</v>
      </c>
      <c r="B83" s="4" t="str">
        <f>IFERROR(VLOOKUP(A83,'Paste - Mentors'!$A:$B,2,0),"")</f>
        <v>Kamo Ramagaga</v>
      </c>
      <c r="C83" s="4" t="str">
        <f>IFERROR(VLOOKUP(A83,'Paste - Mentors'!$A:$D,4,0),"")</f>
        <v>Career Mentor
Leadership Mentor
Workplace  Buddy</v>
      </c>
      <c r="D83" s="9" t="str">
        <f>IFERROR(VLOOKUP(A83,'Paste - Mentors'!$A:$F,6,0),"")</f>
        <v>FNB</v>
      </c>
      <c r="E83" s="9" t="str">
        <f>IFERROR(VLOOKUP(A83,'Paste - Mentors'!$A:$E,5,0),"")</f>
        <v>South Africa</v>
      </c>
      <c r="F83" s="9">
        <f>IF(A83="","",COUNTIFS('Paste - Relationships'!$A:$A,A83,'Paste - Relationships'!$AE:$AE,""))</f>
        <v>0</v>
      </c>
      <c r="G83" s="9" t="str">
        <f t="shared" si="1"/>
        <v>Available</v>
      </c>
      <c r="H83" s="9" t="str">
        <f>IF(A83="","",IF(COUNTIF('Programme Mentors'!$A:$A,A83)&gt;0,"Enrolled","—"))</f>
        <v>—</v>
      </c>
    </row>
    <row r="84" spans="1:8" ht="57" customHeight="1" x14ac:dyDescent="0.3">
      <c r="A84" s="43">
        <f>'Paste - Mentors'!A84</f>
        <v>2698498</v>
      </c>
      <c r="B84" s="3" t="str">
        <f>IFERROR(VLOOKUP(A84,'Paste - Mentors'!$A:$B,2,0),"")</f>
        <v>Lindokuhle Mkhwanazi</v>
      </c>
      <c r="C84" s="3" t="str">
        <f>IFERROR(VLOOKUP(A84,'Paste - Mentors'!$A:$D,4,0),"")</f>
        <v>Career Mentor</v>
      </c>
      <c r="D84" s="43" t="str">
        <f>IFERROR(VLOOKUP(A84,'Paste - Mentors'!$A:$F,6,0),"")</f>
        <v>FNB</v>
      </c>
      <c r="E84" s="43" t="str">
        <f>IFERROR(VLOOKUP(A84,'Paste - Mentors'!$A:$E,5,0),"")</f>
        <v>South Africa</v>
      </c>
      <c r="F84" s="43">
        <f>IF(A84="","",COUNTIFS('Paste - Relationships'!$A:$A,A84,'Paste - Relationships'!$AE:$AE,""))</f>
        <v>0</v>
      </c>
      <c r="G84" s="43" t="str">
        <f t="shared" si="1"/>
        <v>Available</v>
      </c>
      <c r="H84" s="43" t="str">
        <f>IF(A84="","",IF(COUNTIF('Programme Mentors'!$A:$A,A84)&gt;0,"Enrolled","—"))</f>
        <v>—</v>
      </c>
    </row>
    <row r="85" spans="1:8" ht="14.25" customHeight="1" x14ac:dyDescent="0.3">
      <c r="A85" s="9">
        <f>'Paste - Mentors'!A85</f>
        <v>2363895</v>
      </c>
      <c r="B85" s="4" t="str">
        <f>IFERROR(VLOOKUP(A85,'Paste - Mentors'!$A:$B,2,0),"")</f>
        <v>Mapule Mahlangu</v>
      </c>
      <c r="C85" s="4" t="str">
        <f>IFERROR(VLOOKUP(A85,'Paste - Mentors'!$A:$D,4,0),"")</f>
        <v>Career Mentor</v>
      </c>
      <c r="D85" s="9" t="str">
        <f>IFERROR(VLOOKUP(A85,'Paste - Mentors'!$A:$F,6,0),"")</f>
        <v>FNB</v>
      </c>
      <c r="E85" s="9" t="str">
        <f>IFERROR(VLOOKUP(A85,'Paste - Mentors'!$A:$E,5,0),"")</f>
        <v>South Africa</v>
      </c>
      <c r="F85" s="9">
        <f>IF(A85="","",COUNTIFS('Paste - Relationships'!$A:$A,A85,'Paste - Relationships'!$AE:$AE,""))</f>
        <v>1</v>
      </c>
      <c r="G85" s="9" t="str">
        <f t="shared" si="1"/>
        <v>Has Capacity</v>
      </c>
      <c r="H85" s="9" t="str">
        <f>IF(A85="","",IF(COUNTIF('Programme Mentors'!$A:$A,A85)&gt;0,"Enrolled","—"))</f>
        <v>—</v>
      </c>
    </row>
    <row r="86" spans="1:8" ht="14.25" customHeight="1" x14ac:dyDescent="0.3">
      <c r="A86" s="43">
        <f>'Paste - Mentors'!A86</f>
        <v>2152649</v>
      </c>
      <c r="B86" s="3" t="str">
        <f>IFERROR(VLOOKUP(A86,'Paste - Mentors'!$A:$B,2,0),"")</f>
        <v>Shane French</v>
      </c>
      <c r="C86" s="3" t="str">
        <f>IFERROR(VLOOKUP(A86,'Paste - Mentors'!$A:$D,4,0),"")</f>
        <v>Career Mentor</v>
      </c>
      <c r="D86" s="43" t="str">
        <f>IFERROR(VLOOKUP(A86,'Paste - Mentors'!$A:$F,6,0),"")</f>
        <v>FNB</v>
      </c>
      <c r="E86" s="43" t="str">
        <f>IFERROR(VLOOKUP(A86,'Paste - Mentors'!$A:$E,5,0),"")</f>
        <v>South Africa</v>
      </c>
      <c r="F86" s="43">
        <f>IF(A86="","",COUNTIFS('Paste - Relationships'!$A:$A,A86,'Paste - Relationships'!$AE:$AE,""))</f>
        <v>0</v>
      </c>
      <c r="G86" s="43" t="str">
        <f t="shared" si="1"/>
        <v>Available</v>
      </c>
      <c r="H86" s="43" t="str">
        <f>IF(A86="","",IF(COUNTIF('Programme Mentors'!$A:$A,A86)&gt;0,"Enrolled","—"))</f>
        <v>—</v>
      </c>
    </row>
    <row r="87" spans="1:8" ht="14.25" customHeight="1" x14ac:dyDescent="0.3">
      <c r="A87" s="9">
        <f>'Paste - Mentors'!A87</f>
        <v>2408678</v>
      </c>
      <c r="B87" s="4" t="str">
        <f>IFERROR(VLOOKUP(A87,'Paste - Mentors'!$A:$B,2,0),"")</f>
        <v>Yvonne Murray</v>
      </c>
      <c r="C87" s="4" t="str">
        <f>IFERROR(VLOOKUP(A87,'Paste - Mentors'!$A:$D,4,0),"")</f>
        <v>Career Mentor</v>
      </c>
      <c r="D87" s="9" t="str">
        <f>IFERROR(VLOOKUP(A87,'Paste - Mentors'!$A:$F,6,0),"")</f>
        <v>FNB</v>
      </c>
      <c r="E87" s="9" t="str">
        <f>IFERROR(VLOOKUP(A87,'Paste - Mentors'!$A:$E,5,0),"")</f>
        <v>South Africa</v>
      </c>
      <c r="F87" s="9">
        <f>IF(A87="","",COUNTIFS('Paste - Relationships'!$A:$A,A87,'Paste - Relationships'!$AE:$AE,""))</f>
        <v>0</v>
      </c>
      <c r="G87" s="9" t="str">
        <f t="shared" si="1"/>
        <v>Available</v>
      </c>
      <c r="H87" s="9" t="str">
        <f>IF(A87="","",IF(COUNTIF('Programme Mentors'!$A:$A,A87)&gt;0,"Enrolled","—"))</f>
        <v>—</v>
      </c>
    </row>
    <row r="88" spans="1:8" ht="14.25" customHeight="1" x14ac:dyDescent="0.3">
      <c r="A88" s="43">
        <f>'Paste - Mentors'!A88</f>
        <v>2364484</v>
      </c>
      <c r="B88" s="3" t="str">
        <f>IFERROR(VLOOKUP(A88,'Paste - Mentors'!$A:$B,2,0),"")</f>
        <v>Rehana Shaik</v>
      </c>
      <c r="C88" s="3" t="str">
        <f>IFERROR(VLOOKUP(A88,'Paste - Mentors'!$A:$D,4,0),"")</f>
        <v>Career Mentor</v>
      </c>
      <c r="D88" s="43" t="str">
        <f>IFERROR(VLOOKUP(A88,'Paste - Mentors'!$A:$F,6,0),"")</f>
        <v>FNB</v>
      </c>
      <c r="E88" s="43" t="str">
        <f>IFERROR(VLOOKUP(A88,'Paste - Mentors'!$A:$E,5,0),"")</f>
        <v>South Africa</v>
      </c>
      <c r="F88" s="43">
        <f>IF(A88="","",COUNTIFS('Paste - Relationships'!$A:$A,A88,'Paste - Relationships'!$AE:$AE,""))</f>
        <v>0</v>
      </c>
      <c r="G88" s="43" t="str">
        <f t="shared" si="1"/>
        <v>Available</v>
      </c>
      <c r="H88" s="43" t="str">
        <f>IF(A88="","",IF(COUNTIF('Programme Mentors'!$A:$A,A88)&gt;0,"Enrolled","—"))</f>
        <v>—</v>
      </c>
    </row>
    <row r="89" spans="1:8" ht="14.25" customHeight="1" x14ac:dyDescent="0.3">
      <c r="A89" s="9">
        <f>'Paste - Mentors'!A89</f>
        <v>2369443</v>
      </c>
      <c r="B89" s="4" t="str">
        <f>IFERROR(VLOOKUP(A89,'Paste - Mentors'!$A:$B,2,0),"")</f>
        <v>Magdel Swarts</v>
      </c>
      <c r="C89" s="4" t="str">
        <f>IFERROR(VLOOKUP(A89,'Paste - Mentors'!$A:$D,4,0),"")</f>
        <v>Career Mentor</v>
      </c>
      <c r="D89" s="9" t="str">
        <f>IFERROR(VLOOKUP(A89,'Paste - Mentors'!$A:$F,6,0),"")</f>
        <v>FNB</v>
      </c>
      <c r="E89" s="9" t="str">
        <f>IFERROR(VLOOKUP(A89,'Paste - Mentors'!$A:$E,5,0),"")</f>
        <v>South Africa</v>
      </c>
      <c r="F89" s="9">
        <f>IF(A89="","",COUNTIFS('Paste - Relationships'!$A:$A,A89,'Paste - Relationships'!$AE:$AE,""))</f>
        <v>0</v>
      </c>
      <c r="G89" s="9" t="str">
        <f t="shared" si="1"/>
        <v>Available</v>
      </c>
      <c r="H89" s="9" t="str">
        <f>IF(A89="","",IF(COUNTIF('Programme Mentors'!$A:$A,A89)&gt;0,"Enrolled","—"))</f>
        <v>—</v>
      </c>
    </row>
    <row r="90" spans="1:8" ht="14.25" customHeight="1" x14ac:dyDescent="0.3">
      <c r="A90" s="43">
        <f>'Paste - Mentors'!A90</f>
        <v>2599929</v>
      </c>
      <c r="B90" s="3" t="str">
        <f>IFERROR(VLOOKUP(A90,'Paste - Mentors'!$A:$B,2,0),"")</f>
        <v>Shane Chetty</v>
      </c>
      <c r="C90" s="3" t="str">
        <f>IFERROR(VLOOKUP(A90,'Paste - Mentors'!$A:$D,4,0),"")</f>
        <v>Career Mentor</v>
      </c>
      <c r="D90" s="43" t="str">
        <f>IFERROR(VLOOKUP(A90,'Paste - Mentors'!$A:$F,6,0),"")</f>
        <v>FNB</v>
      </c>
      <c r="E90" s="43" t="str">
        <f>IFERROR(VLOOKUP(A90,'Paste - Mentors'!$A:$E,5,0),"")</f>
        <v>South Africa</v>
      </c>
      <c r="F90" s="43">
        <f>IF(A90="","",COUNTIFS('Paste - Relationships'!$A:$A,A90,'Paste - Relationships'!$AE:$AE,""))</f>
        <v>0</v>
      </c>
      <c r="G90" s="43" t="str">
        <f t="shared" si="1"/>
        <v>Available</v>
      </c>
      <c r="H90" s="43" t="str">
        <f>IF(A90="","",IF(COUNTIF('Programme Mentors'!$A:$A,A90)&gt;0,"Enrolled","—"))</f>
        <v>—</v>
      </c>
    </row>
    <row r="91" spans="1:8" ht="14.25" customHeight="1" x14ac:dyDescent="0.3">
      <c r="A91" s="9">
        <f>'Paste - Mentors'!A91</f>
        <v>2047136</v>
      </c>
      <c r="B91" s="4" t="str">
        <f>IFERROR(VLOOKUP(A91,'Paste - Mentors'!$A:$B,2,0),"")</f>
        <v>Marlene Henniker-Gotley</v>
      </c>
      <c r="C91" s="4" t="str">
        <f>IFERROR(VLOOKUP(A91,'Paste - Mentors'!$A:$D,4,0),"")</f>
        <v>Career Mentor</v>
      </c>
      <c r="D91" s="9" t="str">
        <f>IFERROR(VLOOKUP(A91,'Paste - Mentors'!$A:$F,6,0),"")</f>
        <v>FNB</v>
      </c>
      <c r="E91" s="9" t="str">
        <f>IFERROR(VLOOKUP(A91,'Paste - Mentors'!$A:$E,5,0),"")</f>
        <v>South Africa</v>
      </c>
      <c r="F91" s="9">
        <f>IF(A91="","",COUNTIFS('Paste - Relationships'!$A:$A,A91,'Paste - Relationships'!$AE:$AE,""))</f>
        <v>0</v>
      </c>
      <c r="G91" s="9" t="str">
        <f t="shared" si="1"/>
        <v>Available</v>
      </c>
      <c r="H91" s="9" t="str">
        <f>IF(A91="","",IF(COUNTIF('Programme Mentors'!$A:$A,A91)&gt;0,"Enrolled","—"))</f>
        <v>—</v>
      </c>
    </row>
    <row r="92" spans="1:8" ht="14.25" customHeight="1" x14ac:dyDescent="0.3">
      <c r="A92" s="43">
        <f>'Paste - Mentors'!A92</f>
        <v>176656</v>
      </c>
      <c r="B92" s="3" t="str">
        <f>IFERROR(VLOOKUP(A92,'Paste - Mentors'!$A:$B,2,0),"")</f>
        <v>John Pieters</v>
      </c>
      <c r="C92" s="3" t="str">
        <f>IFERROR(VLOOKUP(A92,'Paste - Mentors'!$A:$D,4,0),"")</f>
        <v>Career Mentor</v>
      </c>
      <c r="D92" s="43" t="str">
        <f>IFERROR(VLOOKUP(A92,'Paste - Mentors'!$A:$F,6,0),"")</f>
        <v>FNB</v>
      </c>
      <c r="E92" s="43" t="str">
        <f>IFERROR(VLOOKUP(A92,'Paste - Mentors'!$A:$E,5,0),"")</f>
        <v>South Africa</v>
      </c>
      <c r="F92" s="43">
        <f>IF(A92="","",COUNTIFS('Paste - Relationships'!$A:$A,A92,'Paste - Relationships'!$AE:$AE,""))</f>
        <v>0</v>
      </c>
      <c r="G92" s="43" t="str">
        <f t="shared" si="1"/>
        <v>Available</v>
      </c>
      <c r="H92" s="43" t="str">
        <f>IF(A92="","",IF(COUNTIF('Programme Mentors'!$A:$A,A92)&gt;0,"Enrolled","—"))</f>
        <v>—</v>
      </c>
    </row>
    <row r="93" spans="1:8" ht="14.25" customHeight="1" x14ac:dyDescent="0.3">
      <c r="A93" s="9">
        <f>'Paste - Mentors'!A93</f>
        <v>2053527</v>
      </c>
      <c r="B93" s="4" t="str">
        <f>IFERROR(VLOOKUP(A93,'Paste - Mentors'!$A:$B,2,0),"")</f>
        <v>Adnaan Rayned</v>
      </c>
      <c r="C93" s="4" t="str">
        <f>IFERROR(VLOOKUP(A93,'Paste - Mentors'!$A:$D,4,0),"")</f>
        <v>Career Mentor</v>
      </c>
      <c r="D93" s="9" t="str">
        <f>IFERROR(VLOOKUP(A93,'Paste - Mentors'!$A:$F,6,0),"")</f>
        <v>FNB</v>
      </c>
      <c r="E93" s="9" t="str">
        <f>IFERROR(VLOOKUP(A93,'Paste - Mentors'!$A:$E,5,0),"")</f>
        <v>South Africa</v>
      </c>
      <c r="F93" s="9">
        <f>IF(A93="","",COUNTIFS('Paste - Relationships'!$A:$A,A93,'Paste - Relationships'!$AE:$AE,""))</f>
        <v>2</v>
      </c>
      <c r="G93" s="9" t="str">
        <f t="shared" si="1"/>
        <v>Has Capacity</v>
      </c>
      <c r="H93" s="9" t="str">
        <f>IF(A93="","",IF(COUNTIF('Programme Mentors'!$A:$A,A93)&gt;0,"Enrolled","—"))</f>
        <v>—</v>
      </c>
    </row>
    <row r="94" spans="1:8" ht="14.25" customHeight="1" x14ac:dyDescent="0.3">
      <c r="A94" s="43">
        <f>'Paste - Mentors'!A94</f>
        <v>181455</v>
      </c>
      <c r="B94" s="3" t="str">
        <f>IFERROR(VLOOKUP(A94,'Paste - Mentors'!$A:$B,2,0),"")</f>
        <v>Fajria Hartley</v>
      </c>
      <c r="C94" s="3" t="str">
        <f>IFERROR(VLOOKUP(A94,'Paste - Mentors'!$A:$D,4,0),"")</f>
        <v>Career Mentor</v>
      </c>
      <c r="D94" s="43" t="str">
        <f>IFERROR(VLOOKUP(A94,'Paste - Mentors'!$A:$F,6,0),"")</f>
        <v>WesBank</v>
      </c>
      <c r="E94" s="43" t="str">
        <f>IFERROR(VLOOKUP(A94,'Paste - Mentors'!$A:$E,5,0),"")</f>
        <v>South Africa</v>
      </c>
      <c r="F94" s="43">
        <f>IF(A94="","",COUNTIFS('Paste - Relationships'!$A:$A,A94,'Paste - Relationships'!$AE:$AE,""))</f>
        <v>0</v>
      </c>
      <c r="G94" s="43" t="str">
        <f t="shared" si="1"/>
        <v>Available</v>
      </c>
      <c r="H94" s="43" t="str">
        <f>IF(A94="","",IF(COUNTIF('Programme Mentors'!$A:$A,A94)&gt;0,"Enrolled","—"))</f>
        <v>—</v>
      </c>
    </row>
    <row r="95" spans="1:8" ht="14.25" customHeight="1" x14ac:dyDescent="0.3">
      <c r="A95" s="9">
        <f>'Paste - Mentors'!A95</f>
        <v>2057379</v>
      </c>
      <c r="B95" s="4" t="str">
        <f>IFERROR(VLOOKUP(A95,'Paste - Mentors'!$A:$B,2,0),"")</f>
        <v>Michelle Naidoo</v>
      </c>
      <c r="C95" s="4" t="str">
        <f>IFERROR(VLOOKUP(A95,'Paste - Mentors'!$A:$D,4,0),"")</f>
        <v>Career Mentor</v>
      </c>
      <c r="D95" s="9" t="str">
        <f>IFERROR(VLOOKUP(A95,'Paste - Mentors'!$A:$F,6,0),"")</f>
        <v>FNB</v>
      </c>
      <c r="E95" s="9" t="str">
        <f>IFERROR(VLOOKUP(A95,'Paste - Mentors'!$A:$E,5,0),"")</f>
        <v>South Africa</v>
      </c>
      <c r="F95" s="9">
        <f>IF(A95="","",COUNTIFS('Paste - Relationships'!$A:$A,A95,'Paste - Relationships'!$AE:$AE,""))</f>
        <v>0</v>
      </c>
      <c r="G95" s="9" t="str">
        <f t="shared" si="1"/>
        <v>Available</v>
      </c>
      <c r="H95" s="9" t="str">
        <f>IF(A95="","",IF(COUNTIF('Programme Mentors'!$A:$A,A95)&gt;0,"Enrolled","—"))</f>
        <v>—</v>
      </c>
    </row>
    <row r="96" spans="1:8" ht="14.25" customHeight="1" x14ac:dyDescent="0.3">
      <c r="A96" s="43">
        <f>'Paste - Mentors'!A96</f>
        <v>2060507</v>
      </c>
      <c r="B96" s="3" t="str">
        <f>IFERROR(VLOOKUP(A96,'Paste - Mentors'!$A:$B,2,0),"")</f>
        <v>Rohini Govender</v>
      </c>
      <c r="C96" s="3" t="str">
        <f>IFERROR(VLOOKUP(A96,'Paste - Mentors'!$A:$D,4,0),"")</f>
        <v>Career Mentor</v>
      </c>
      <c r="D96" s="43" t="str">
        <f>IFERROR(VLOOKUP(A96,'Paste - Mentors'!$A:$F,6,0),"")</f>
        <v>FNB</v>
      </c>
      <c r="E96" s="43" t="str">
        <f>IFERROR(VLOOKUP(A96,'Paste - Mentors'!$A:$E,5,0),"")</f>
        <v>South Africa</v>
      </c>
      <c r="F96" s="43">
        <f>IF(A96="","",COUNTIFS('Paste - Relationships'!$A:$A,A96,'Paste - Relationships'!$AE:$AE,""))</f>
        <v>0</v>
      </c>
      <c r="G96" s="43" t="str">
        <f t="shared" si="1"/>
        <v>Available</v>
      </c>
      <c r="H96" s="43" t="str">
        <f>IF(A96="","",IF(COUNTIF('Programme Mentors'!$A:$A,A96)&gt;0,"Enrolled","—"))</f>
        <v>—</v>
      </c>
    </row>
    <row r="97" spans="1:8" ht="14.25" customHeight="1" x14ac:dyDescent="0.3">
      <c r="A97" s="9">
        <f>'Paste - Mentors'!A97</f>
        <v>3118045</v>
      </c>
      <c r="B97" s="4" t="str">
        <f>IFERROR(VLOOKUP(A97,'Paste - Mentors'!$A:$B,2,0),"")</f>
        <v>Brendon Smith</v>
      </c>
      <c r="C97" s="4" t="str">
        <f>IFERROR(VLOOKUP(A97,'Paste - Mentors'!$A:$D,4,0),"")</f>
        <v>Career Mentor</v>
      </c>
      <c r="D97" s="9" t="str">
        <f>IFERROR(VLOOKUP(A97,'Paste - Mentors'!$A:$F,6,0),"")</f>
        <v>FNB</v>
      </c>
      <c r="E97" s="9" t="str">
        <f>IFERROR(VLOOKUP(A97,'Paste - Mentors'!$A:$E,5,0),"")</f>
        <v>South Africa</v>
      </c>
      <c r="F97" s="9">
        <f>IF(A97="","",COUNTIFS('Paste - Relationships'!$A:$A,A97,'Paste - Relationships'!$AE:$AE,""))</f>
        <v>0</v>
      </c>
      <c r="G97" s="9" t="str">
        <f t="shared" si="1"/>
        <v>Available</v>
      </c>
      <c r="H97" s="9" t="str">
        <f>IF(A97="","",IF(COUNTIF('Programme Mentors'!$A:$A,A97)&gt;0,"Enrolled","—"))</f>
        <v>—</v>
      </c>
    </row>
    <row r="98" spans="1:8" ht="14.25" customHeight="1" x14ac:dyDescent="0.3">
      <c r="A98" s="43">
        <f>'Paste - Mentors'!A98</f>
        <v>3301834</v>
      </c>
      <c r="B98" s="3" t="str">
        <f>IFERROR(VLOOKUP(A98,'Paste - Mentors'!$A:$B,2,0),"")</f>
        <v>Patrick Motshweni</v>
      </c>
      <c r="C98" s="3" t="str">
        <f>IFERROR(VLOOKUP(A98,'Paste - Mentors'!$A:$D,4,0),"")</f>
        <v>Career Mentor
Leadership Mentor</v>
      </c>
      <c r="D98" s="43" t="str">
        <f>IFERROR(VLOOKUP(A98,'Paste - Mentors'!$A:$F,6,0),"")</f>
        <v>FNB</v>
      </c>
      <c r="E98" s="43" t="str">
        <f>IFERROR(VLOOKUP(A98,'Paste - Mentors'!$A:$E,5,0),"")</f>
        <v>South Africa</v>
      </c>
      <c r="F98" s="43">
        <f>IF(A98="","",COUNTIFS('Paste - Relationships'!$A:$A,A98,'Paste - Relationships'!$AE:$AE,""))</f>
        <v>0</v>
      </c>
      <c r="G98" s="43" t="str">
        <f t="shared" si="1"/>
        <v>Available</v>
      </c>
      <c r="H98" s="43" t="str">
        <f>IF(A98="","",IF(COUNTIF('Programme Mentors'!$A:$A,A98)&gt;0,"Enrolled","—"))</f>
        <v>—</v>
      </c>
    </row>
    <row r="99" spans="1:8" ht="33.75" customHeight="1" x14ac:dyDescent="0.3">
      <c r="A99" s="9">
        <f>'Paste - Mentors'!A99</f>
        <v>3300943</v>
      </c>
      <c r="B99" s="4" t="str">
        <f>IFERROR(VLOOKUP(A99,'Paste - Mentors'!$A:$B,2,0),"")</f>
        <v>Nivesh Jivan</v>
      </c>
      <c r="C99" s="4" t="str">
        <f>IFERROR(VLOOKUP(A99,'Paste - Mentors'!$A:$D,4,0),"")</f>
        <v>Career Mentor</v>
      </c>
      <c r="D99" s="9" t="str">
        <f>IFERROR(VLOOKUP(A99,'Paste - Mentors'!$A:$F,6,0),"")</f>
        <v>FNB</v>
      </c>
      <c r="E99" s="9" t="str">
        <f>IFERROR(VLOOKUP(A99,'Paste - Mentors'!$A:$E,5,0),"")</f>
        <v>South Africa</v>
      </c>
      <c r="F99" s="9">
        <f>IF(A99="","",COUNTIFS('Paste - Relationships'!$A:$A,A99,'Paste - Relationships'!$AE:$AE,""))</f>
        <v>0</v>
      </c>
      <c r="G99" s="9" t="str">
        <f t="shared" si="1"/>
        <v>Available</v>
      </c>
      <c r="H99" s="9" t="str">
        <f>IF(A99="","",IF(COUNTIF('Programme Mentors'!$A:$A,A99)&gt;0,"Enrolled","—"))</f>
        <v>—</v>
      </c>
    </row>
    <row r="100" spans="1:8" ht="14.25" customHeight="1" x14ac:dyDescent="0.3">
      <c r="A100" s="43">
        <f>'Paste - Mentors'!A100</f>
        <v>3259803</v>
      </c>
      <c r="B100" s="3" t="str">
        <f>IFERROR(VLOOKUP(A100,'Paste - Mentors'!$A:$B,2,0),"")</f>
        <v>Jan Botha</v>
      </c>
      <c r="C100" s="3" t="str">
        <f>IFERROR(VLOOKUP(A100,'Paste - Mentors'!$A:$D,4,0),"")</f>
        <v>Z2-Programme Mentor (HC Managed)</v>
      </c>
      <c r="D100" s="43" t="str">
        <f>IFERROR(VLOOKUP(A100,'Paste - Mentors'!$A:$F,6,0),"")</f>
        <v>RMB</v>
      </c>
      <c r="E100" s="43" t="str">
        <f>IFERROR(VLOOKUP(A100,'Paste - Mentors'!$A:$E,5,0),"")</f>
        <v>South Africa</v>
      </c>
      <c r="F100" s="43">
        <f>IF(A100="","",COUNTIFS('Paste - Relationships'!$A:$A,A100,'Paste - Relationships'!$AE:$AE,""))</f>
        <v>0</v>
      </c>
      <c r="G100" s="43" t="str">
        <f t="shared" si="1"/>
        <v>Available</v>
      </c>
      <c r="H100" s="43" t="str">
        <f>IF(A100="","",IF(COUNTIF('Programme Mentors'!$A:$A,A100)&gt;0,"Enrolled","—"))</f>
        <v>—</v>
      </c>
    </row>
    <row r="101" spans="1:8" ht="14.25" customHeight="1" x14ac:dyDescent="0.3">
      <c r="A101" s="9">
        <f>'Paste - Mentors'!A101</f>
        <v>3266362</v>
      </c>
      <c r="B101" s="4" t="str">
        <f>IFERROR(VLOOKUP(A101,'Paste - Mentors'!$A:$B,2,0),"")</f>
        <v>Vuyelwa Sibutha</v>
      </c>
      <c r="C101" s="4" t="str">
        <f>IFERROR(VLOOKUP(A101,'Paste - Mentors'!$A:$D,4,0),"")</f>
        <v>Career Mentor</v>
      </c>
      <c r="D101" s="9" t="str">
        <f>IFERROR(VLOOKUP(A101,'Paste - Mentors'!$A:$F,6,0),"")</f>
        <v>FNB</v>
      </c>
      <c r="E101" s="9" t="str">
        <f>IFERROR(VLOOKUP(A101,'Paste - Mentors'!$A:$E,5,0),"")</f>
        <v>South Africa</v>
      </c>
      <c r="F101" s="9">
        <f>IF(A101="","",COUNTIFS('Paste - Relationships'!$A:$A,A101,'Paste - Relationships'!$AE:$AE,""))</f>
        <v>0</v>
      </c>
      <c r="G101" s="9" t="str">
        <f t="shared" si="1"/>
        <v>Available</v>
      </c>
      <c r="H101" s="9" t="str">
        <f>IF(A101="","",IF(COUNTIF('Programme Mentors'!$A:$A,A101)&gt;0,"Enrolled","—"))</f>
        <v>—</v>
      </c>
    </row>
    <row r="102" spans="1:8" ht="14.25" customHeight="1" x14ac:dyDescent="0.3">
      <c r="A102" s="43">
        <f>'Paste - Mentors'!A102</f>
        <v>3264831</v>
      </c>
      <c r="B102" s="3" t="str">
        <f>IFERROR(VLOOKUP(A102,'Paste - Mentors'!$A:$B,2,0),"")</f>
        <v>Neo Sikosana</v>
      </c>
      <c r="C102" s="3" t="str">
        <f>IFERROR(VLOOKUP(A102,'Paste - Mentors'!$A:$D,4,0),"")</f>
        <v>Career Mentor</v>
      </c>
      <c r="D102" s="43" t="str">
        <f>IFERROR(VLOOKUP(A102,'Paste - Mentors'!$A:$F,6,0),"")</f>
        <v>FNB</v>
      </c>
      <c r="E102" s="43" t="str">
        <f>IFERROR(VLOOKUP(A102,'Paste - Mentors'!$A:$E,5,0),"")</f>
        <v>South Africa</v>
      </c>
      <c r="F102" s="43">
        <f>IF(A102="","",COUNTIFS('Paste - Relationships'!$A:$A,A102,'Paste - Relationships'!$AE:$AE,""))</f>
        <v>0</v>
      </c>
      <c r="G102" s="43" t="str">
        <f t="shared" si="1"/>
        <v>Available</v>
      </c>
      <c r="H102" s="43" t="str">
        <f>IF(A102="","",IF(COUNTIF('Programme Mentors'!$A:$A,A102)&gt;0,"Enrolled","—"))</f>
        <v>—</v>
      </c>
    </row>
    <row r="103" spans="1:8" ht="14.25" customHeight="1" x14ac:dyDescent="0.3">
      <c r="A103" s="9">
        <f>'Paste - Mentors'!A103</f>
        <v>3279359</v>
      </c>
      <c r="B103" s="4" t="str">
        <f>IFERROR(VLOOKUP(A103,'Paste - Mentors'!$A:$B,2,0),"")</f>
        <v>Job Mpati</v>
      </c>
      <c r="C103" s="4" t="str">
        <f>IFERROR(VLOOKUP(A103,'Paste - Mentors'!$A:$D,4,0),"")</f>
        <v>Career Mentor</v>
      </c>
      <c r="D103" s="9" t="str">
        <f>IFERROR(VLOOKUP(A103,'Paste - Mentors'!$A:$F,6,0),"")</f>
        <v>FNB</v>
      </c>
      <c r="E103" s="9" t="str">
        <f>IFERROR(VLOOKUP(A103,'Paste - Mentors'!$A:$E,5,0),"")</f>
        <v>South Africa</v>
      </c>
      <c r="F103" s="9">
        <f>IF(A103="","",COUNTIFS('Paste - Relationships'!$A:$A,A103,'Paste - Relationships'!$AE:$AE,""))</f>
        <v>0</v>
      </c>
      <c r="G103" s="9" t="str">
        <f t="shared" si="1"/>
        <v>Available</v>
      </c>
      <c r="H103" s="9" t="str">
        <f>IF(A103="","",IF(COUNTIF('Programme Mentors'!$A:$A,A103)&gt;0,"Enrolled","—"))</f>
        <v>—</v>
      </c>
    </row>
    <row r="104" spans="1:8" ht="14.25" customHeight="1" x14ac:dyDescent="0.3">
      <c r="A104" s="43">
        <f>'Paste - Mentors'!A104</f>
        <v>3281469</v>
      </c>
      <c r="B104" s="3" t="str">
        <f>IFERROR(VLOOKUP(A104,'Paste - Mentors'!$A:$B,2,0),"")</f>
        <v>Tarin Petersen</v>
      </c>
      <c r="C104" s="3" t="str">
        <f>IFERROR(VLOOKUP(A104,'Paste - Mentors'!$A:$D,4,0),"")</f>
        <v>Career Mentor</v>
      </c>
      <c r="D104" s="43" t="str">
        <f>IFERROR(VLOOKUP(A104,'Paste - Mentors'!$A:$F,6,0),"")</f>
        <v>FNB</v>
      </c>
      <c r="E104" s="43" t="str">
        <f>IFERROR(VLOOKUP(A104,'Paste - Mentors'!$A:$E,5,0),"")</f>
        <v>South Africa</v>
      </c>
      <c r="F104" s="43">
        <f>IF(A104="","",COUNTIFS('Paste - Relationships'!$A:$A,A104,'Paste - Relationships'!$AE:$AE,""))</f>
        <v>0</v>
      </c>
      <c r="G104" s="43" t="str">
        <f t="shared" si="1"/>
        <v>Available</v>
      </c>
      <c r="H104" s="43" t="str">
        <f>IF(A104="","",IF(COUNTIF('Programme Mentors'!$A:$A,A104)&gt;0,"Enrolled","—"))</f>
        <v>—</v>
      </c>
    </row>
    <row r="105" spans="1:8" ht="14.25" customHeight="1" x14ac:dyDescent="0.3">
      <c r="A105" s="9">
        <f>'Paste - Mentors'!A105</f>
        <v>3265064</v>
      </c>
      <c r="B105" s="4" t="str">
        <f>IFERROR(VLOOKUP(A105,'Paste - Mentors'!$A:$B,2,0),"")</f>
        <v>Mandla Lekhuwana</v>
      </c>
      <c r="C105" s="4" t="str">
        <f>IFERROR(VLOOKUP(A105,'Paste - Mentors'!$A:$D,4,0),"")</f>
        <v>Transition Mentor
Workplace  Buddy</v>
      </c>
      <c r="D105" s="9" t="str">
        <f>IFERROR(VLOOKUP(A105,'Paste - Mentors'!$A:$F,6,0),"")</f>
        <v>FNB</v>
      </c>
      <c r="E105" s="9" t="str">
        <f>IFERROR(VLOOKUP(A105,'Paste - Mentors'!$A:$E,5,0),"")</f>
        <v>South Africa</v>
      </c>
      <c r="F105" s="9">
        <f>IF(A105="","",COUNTIFS('Paste - Relationships'!$A:$A,A105,'Paste - Relationships'!$AE:$AE,""))</f>
        <v>0</v>
      </c>
      <c r="G105" s="9" t="str">
        <f t="shared" si="1"/>
        <v>Available</v>
      </c>
      <c r="H105" s="9" t="str">
        <f>IF(A105="","",IF(COUNTIF('Programme Mentors'!$A:$A,A105)&gt;0,"Enrolled","—"))</f>
        <v>—</v>
      </c>
    </row>
    <row r="106" spans="1:8" ht="33.75" customHeight="1" x14ac:dyDescent="0.3">
      <c r="A106" s="43">
        <f>'Paste - Mentors'!A106</f>
        <v>3133303</v>
      </c>
      <c r="B106" s="3" t="str">
        <f>IFERROR(VLOOKUP(A106,'Paste - Mentors'!$A:$B,2,0),"")</f>
        <v>Ray Geldenhuys</v>
      </c>
      <c r="C106" s="3" t="str">
        <f>IFERROR(VLOOKUP(A106,'Paste - Mentors'!$A:$D,4,0),"")</f>
        <v>Career Mentor</v>
      </c>
      <c r="D106" s="43" t="str">
        <f>IFERROR(VLOOKUP(A106,'Paste - Mentors'!$A:$F,6,0),"")</f>
        <v>FNB</v>
      </c>
      <c r="E106" s="43" t="str">
        <f>IFERROR(VLOOKUP(A106,'Paste - Mentors'!$A:$E,5,0),"")</f>
        <v>South Africa</v>
      </c>
      <c r="F106" s="43">
        <f>IF(A106="","",COUNTIFS('Paste - Relationships'!$A:$A,A106,'Paste - Relationships'!$AE:$AE,""))</f>
        <v>0</v>
      </c>
      <c r="G106" s="43" t="str">
        <f t="shared" si="1"/>
        <v>Available</v>
      </c>
      <c r="H106" s="43" t="str">
        <f>IF(A106="","",IF(COUNTIF('Programme Mentors'!$A:$A,A106)&gt;0,"Enrolled","—"))</f>
        <v>—</v>
      </c>
    </row>
    <row r="107" spans="1:8" ht="14.25" customHeight="1" x14ac:dyDescent="0.3">
      <c r="A107" s="9">
        <f>'Paste - Mentors'!A107</f>
        <v>3148785</v>
      </c>
      <c r="B107" s="4" t="str">
        <f>IFERROR(VLOOKUP(A107,'Paste - Mentors'!$A:$B,2,0),"")</f>
        <v>Khula Olifant</v>
      </c>
      <c r="C107" s="4" t="str">
        <f>IFERROR(VLOOKUP(A107,'Paste - Mentors'!$A:$D,4,0),"")</f>
        <v>Career Mentor</v>
      </c>
      <c r="D107" s="9" t="str">
        <f>IFERROR(VLOOKUP(A107,'Paste - Mentors'!$A:$F,6,0),"")</f>
        <v>FNB</v>
      </c>
      <c r="E107" s="9" t="str">
        <f>IFERROR(VLOOKUP(A107,'Paste - Mentors'!$A:$E,5,0),"")</f>
        <v>South Africa</v>
      </c>
      <c r="F107" s="9">
        <f>IF(A107="","",COUNTIFS('Paste - Relationships'!$A:$A,A107,'Paste - Relationships'!$AE:$AE,""))</f>
        <v>0</v>
      </c>
      <c r="G107" s="9" t="str">
        <f t="shared" si="1"/>
        <v>Available</v>
      </c>
      <c r="H107" s="9" t="str">
        <f>IF(A107="","",IF(COUNTIF('Programme Mentors'!$A:$A,A107)&gt;0,"Enrolled","—"))</f>
        <v>—</v>
      </c>
    </row>
    <row r="108" spans="1:8" ht="14.25" customHeight="1" x14ac:dyDescent="0.3">
      <c r="A108" s="43">
        <f>'Paste - Mentors'!A108</f>
        <v>3194582</v>
      </c>
      <c r="B108" s="3" t="str">
        <f>IFERROR(VLOOKUP(A108,'Paste - Mentors'!$A:$B,2,0),"")</f>
        <v>Solomon Mzinyane</v>
      </c>
      <c r="C108" s="3" t="str">
        <f>IFERROR(VLOOKUP(A108,'Paste - Mentors'!$A:$D,4,0),"")</f>
        <v>Career Mentor</v>
      </c>
      <c r="D108" s="43" t="str">
        <f>IFERROR(VLOOKUP(A108,'Paste - Mentors'!$A:$F,6,0),"")</f>
        <v>FNB</v>
      </c>
      <c r="E108" s="43" t="str">
        <f>IFERROR(VLOOKUP(A108,'Paste - Mentors'!$A:$E,5,0),"")</f>
        <v>South Africa</v>
      </c>
      <c r="F108" s="43">
        <f>IF(A108="","",COUNTIFS('Paste - Relationships'!$A:$A,A108,'Paste - Relationships'!$AE:$AE,""))</f>
        <v>0</v>
      </c>
      <c r="G108" s="43" t="str">
        <f t="shared" si="1"/>
        <v>Available</v>
      </c>
      <c r="H108" s="43" t="str">
        <f>IF(A108="","",IF(COUNTIF('Programme Mentors'!$A:$A,A108)&gt;0,"Enrolled","—"))</f>
        <v>—</v>
      </c>
    </row>
    <row r="109" spans="1:8" ht="14.25" customHeight="1" x14ac:dyDescent="0.3">
      <c r="A109" s="9">
        <f>'Paste - Mentors'!A109</f>
        <v>3220737</v>
      </c>
      <c r="B109" s="4" t="str">
        <f>IFERROR(VLOOKUP(A109,'Paste - Mentors'!$A:$B,2,0),"")</f>
        <v>Lizzy Mathaba</v>
      </c>
      <c r="C109" s="4" t="str">
        <f>IFERROR(VLOOKUP(A109,'Paste - Mentors'!$A:$D,4,0),"")</f>
        <v>Career Mentor</v>
      </c>
      <c r="D109" s="9" t="str">
        <f>IFERROR(VLOOKUP(A109,'Paste - Mentors'!$A:$F,6,0),"")</f>
        <v>FNB</v>
      </c>
      <c r="E109" s="9" t="str">
        <f>IFERROR(VLOOKUP(A109,'Paste - Mentors'!$A:$E,5,0),"")</f>
        <v>South Africa</v>
      </c>
      <c r="F109" s="9">
        <f>IF(A109="","",COUNTIFS('Paste - Relationships'!$A:$A,A109,'Paste - Relationships'!$AE:$AE,""))</f>
        <v>0</v>
      </c>
      <c r="G109" s="9" t="str">
        <f t="shared" si="1"/>
        <v>Available</v>
      </c>
      <c r="H109" s="9" t="str">
        <f>IF(A109="","",IF(COUNTIF('Programme Mentors'!$A:$A,A109)&gt;0,"Enrolled","—"))</f>
        <v>—</v>
      </c>
    </row>
    <row r="110" spans="1:8" ht="14.25" customHeight="1" x14ac:dyDescent="0.3">
      <c r="A110" s="43">
        <f>'Paste - Mentors'!A110</f>
        <v>3086178</v>
      </c>
      <c r="B110" s="3" t="str">
        <f>IFERROR(VLOOKUP(A110,'Paste - Mentors'!$A:$B,2,0),"")</f>
        <v>Goitsemodimo Melesi</v>
      </c>
      <c r="C110" s="3" t="str">
        <f>IFERROR(VLOOKUP(A110,'Paste - Mentors'!$A:$D,4,0),"")</f>
        <v>Career Mentor</v>
      </c>
      <c r="D110" s="43" t="str">
        <f>IFERROR(VLOOKUP(A110,'Paste - Mentors'!$A:$F,6,0),"")</f>
        <v>FNB</v>
      </c>
      <c r="E110" s="43" t="str">
        <f>IFERROR(VLOOKUP(A110,'Paste - Mentors'!$A:$E,5,0),"")</f>
        <v>South Africa</v>
      </c>
      <c r="F110" s="43">
        <f>IF(A110="","",COUNTIFS('Paste - Relationships'!$A:$A,A110,'Paste - Relationships'!$AE:$AE,""))</f>
        <v>1</v>
      </c>
      <c r="G110" s="43" t="str">
        <f t="shared" si="1"/>
        <v>Has Capacity</v>
      </c>
      <c r="H110" s="43" t="str">
        <f>IF(A110="","",IF(COUNTIF('Programme Mentors'!$A:$A,A110)&gt;0,"Enrolled","—"))</f>
        <v>—</v>
      </c>
    </row>
    <row r="111" spans="1:8" ht="14.25" customHeight="1" x14ac:dyDescent="0.3">
      <c r="A111" s="9">
        <f>'Paste - Mentors'!A111</f>
        <v>3149048</v>
      </c>
      <c r="B111" s="4" t="str">
        <f>IFERROR(VLOOKUP(A111,'Paste - Mentors'!$A:$B,2,0),"")</f>
        <v>Phuti Ramolobeng</v>
      </c>
      <c r="C111" s="4" t="str">
        <f>IFERROR(VLOOKUP(A111,'Paste - Mentors'!$A:$D,4,0),"")</f>
        <v>Career Mentor</v>
      </c>
      <c r="D111" s="9" t="str">
        <f>IFERROR(VLOOKUP(A111,'Paste - Mentors'!$A:$F,6,0),"")</f>
        <v>FNB</v>
      </c>
      <c r="E111" s="9" t="str">
        <f>IFERROR(VLOOKUP(A111,'Paste - Mentors'!$A:$E,5,0),"")</f>
        <v>South Africa</v>
      </c>
      <c r="F111" s="9">
        <f>IF(A111="","",COUNTIFS('Paste - Relationships'!$A:$A,A111,'Paste - Relationships'!$AE:$AE,""))</f>
        <v>0</v>
      </c>
      <c r="G111" s="9" t="str">
        <f t="shared" si="1"/>
        <v>Available</v>
      </c>
      <c r="H111" s="9" t="str">
        <f>IF(A111="","",IF(COUNTIF('Programme Mentors'!$A:$A,A111)&gt;0,"Enrolled","—"))</f>
        <v>—</v>
      </c>
    </row>
    <row r="112" spans="1:8" ht="14.25" customHeight="1" x14ac:dyDescent="0.3">
      <c r="A112" s="43">
        <f>'Paste - Mentors'!A112</f>
        <v>3054829</v>
      </c>
      <c r="B112" s="3" t="str">
        <f>IFERROR(VLOOKUP(A112,'Paste - Mentors'!$A:$B,2,0),"")</f>
        <v>Crystal Brown</v>
      </c>
      <c r="C112" s="3" t="str">
        <f>IFERROR(VLOOKUP(A112,'Paste - Mentors'!$A:$D,4,0),"")</f>
        <v>Career Mentor</v>
      </c>
      <c r="D112" s="43" t="str">
        <f>IFERROR(VLOOKUP(A112,'Paste - Mentors'!$A:$F,6,0),"")</f>
        <v>FNB</v>
      </c>
      <c r="E112" s="43" t="str">
        <f>IFERROR(VLOOKUP(A112,'Paste - Mentors'!$A:$E,5,0),"")</f>
        <v>South Africa</v>
      </c>
      <c r="F112" s="43">
        <f>IF(A112="","",COUNTIFS('Paste - Relationships'!$A:$A,A112,'Paste - Relationships'!$AE:$AE,""))</f>
        <v>0</v>
      </c>
      <c r="G112" s="43" t="str">
        <f t="shared" si="1"/>
        <v>Available</v>
      </c>
      <c r="H112" s="43" t="str">
        <f>IF(A112="","",IF(COUNTIF('Programme Mentors'!$A:$A,A112)&gt;0,"Enrolled","—"))</f>
        <v>—</v>
      </c>
    </row>
    <row r="113" spans="1:8" ht="14.25" customHeight="1" x14ac:dyDescent="0.3">
      <c r="A113" s="9">
        <f>'Paste - Mentors'!A113</f>
        <v>3023109</v>
      </c>
      <c r="B113" s="4" t="str">
        <f>IFERROR(VLOOKUP(A113,'Paste - Mentors'!$A:$B,2,0),"")</f>
        <v>Emily Mbele</v>
      </c>
      <c r="C113" s="4" t="str">
        <f>IFERROR(VLOOKUP(A113,'Paste - Mentors'!$A:$D,4,0),"")</f>
        <v>Career Mentor
Technical Mentor
Transition Mentor</v>
      </c>
      <c r="D113" s="9" t="str">
        <f>IFERROR(VLOOKUP(A113,'Paste - Mentors'!$A:$F,6,0),"")</f>
        <v>RMB</v>
      </c>
      <c r="E113" s="9" t="str">
        <f>IFERROR(VLOOKUP(A113,'Paste - Mentors'!$A:$E,5,0),"")</f>
        <v>South Africa</v>
      </c>
      <c r="F113" s="9">
        <f>IF(A113="","",COUNTIFS('Paste - Relationships'!$A:$A,A113,'Paste - Relationships'!$AE:$AE,""))</f>
        <v>0</v>
      </c>
      <c r="G113" s="9" t="str">
        <f t="shared" si="1"/>
        <v>Available</v>
      </c>
      <c r="H113" s="9" t="str">
        <f>IF(A113="","",IF(COUNTIF('Programme Mentors'!$A:$A,A113)&gt;0,"Enrolled","—"))</f>
        <v>—</v>
      </c>
    </row>
    <row r="114" spans="1:8" ht="57" customHeight="1" x14ac:dyDescent="0.3">
      <c r="A114" s="43">
        <f>'Paste - Mentors'!A114</f>
        <v>3089509</v>
      </c>
      <c r="B114" s="3" t="str">
        <f>IFERROR(VLOOKUP(A114,'Paste - Mentors'!$A:$B,2,0),"")</f>
        <v>Eni Tsamago</v>
      </c>
      <c r="C114" s="3" t="str">
        <f>IFERROR(VLOOKUP(A114,'Paste - Mentors'!$A:$D,4,0),"")</f>
        <v>Career Mentor</v>
      </c>
      <c r="D114" s="43" t="str">
        <f>IFERROR(VLOOKUP(A114,'Paste - Mentors'!$A:$F,6,0),"")</f>
        <v>FNB</v>
      </c>
      <c r="E114" s="43" t="str">
        <f>IFERROR(VLOOKUP(A114,'Paste - Mentors'!$A:$E,5,0),"")</f>
        <v>South Africa</v>
      </c>
      <c r="F114" s="43">
        <f>IF(A114="","",COUNTIFS('Paste - Relationships'!$A:$A,A114,'Paste - Relationships'!$AE:$AE,""))</f>
        <v>0</v>
      </c>
      <c r="G114" s="43" t="str">
        <f t="shared" si="1"/>
        <v>Available</v>
      </c>
      <c r="H114" s="43" t="str">
        <f>IF(A114="","",IF(COUNTIF('Programme Mentors'!$A:$A,A114)&gt;0,"Enrolled","—"))</f>
        <v>—</v>
      </c>
    </row>
    <row r="115" spans="1:8" ht="14.25" customHeight="1" x14ac:dyDescent="0.3">
      <c r="A115" s="9">
        <f>'Paste - Mentors'!A115</f>
        <v>3004473</v>
      </c>
      <c r="B115" s="4" t="str">
        <f>IFERROR(VLOOKUP(A115,'Paste - Mentors'!$A:$B,2,0),"")</f>
        <v>Raymond Tyler</v>
      </c>
      <c r="C115" s="4">
        <f>IFERROR(VLOOKUP(A115,'Paste - Mentors'!$A:$D,4,0),"")</f>
        <v>0</v>
      </c>
      <c r="D115" s="9" t="str">
        <f>IFERROR(VLOOKUP(A115,'Paste - Mentors'!$A:$F,6,0),"")</f>
        <v>FNB</v>
      </c>
      <c r="E115" s="9" t="str">
        <f>IFERROR(VLOOKUP(A115,'Paste - Mentors'!$A:$E,5,0),"")</f>
        <v>South Africa</v>
      </c>
      <c r="F115" s="9">
        <f>IF(A115="","",COUNTIFS('Paste - Relationships'!$A:$A,A115,'Paste - Relationships'!$AE:$AE,""))</f>
        <v>1</v>
      </c>
      <c r="G115" s="9" t="str">
        <f t="shared" si="1"/>
        <v>Has Capacity</v>
      </c>
      <c r="H115" s="9" t="str">
        <f>IF(A115="","",IF(COUNTIF('Programme Mentors'!$A:$A,A115)&gt;0,"Enrolled","—"))</f>
        <v>—</v>
      </c>
    </row>
    <row r="116" spans="1:8" ht="14.25" customHeight="1" x14ac:dyDescent="0.3">
      <c r="A116" s="43">
        <f>'Paste - Mentors'!A116</f>
        <v>2991004</v>
      </c>
      <c r="B116" s="3" t="str">
        <f>IFERROR(VLOOKUP(A116,'Paste - Mentors'!$A:$B,2,0),"")</f>
        <v>Tinyiko Ndlovu</v>
      </c>
      <c r="C116" s="3" t="str">
        <f>IFERROR(VLOOKUP(A116,'Paste - Mentors'!$A:$D,4,0),"")</f>
        <v>Career Mentor
Leadership Mentor
Technical Mentor
Transition Mentor
Workplace  Buddy</v>
      </c>
      <c r="D116" s="43" t="str">
        <f>IFERROR(VLOOKUP(A116,'Paste - Mentors'!$A:$F,6,0),"")</f>
        <v>FNB</v>
      </c>
      <c r="E116" s="43" t="str">
        <f>IFERROR(VLOOKUP(A116,'Paste - Mentors'!$A:$E,5,0),"")</f>
        <v>South Africa</v>
      </c>
      <c r="F116" s="43">
        <f>IF(A116="","",COUNTIFS('Paste - Relationships'!$A:$A,A116,'Paste - Relationships'!$AE:$AE,""))</f>
        <v>0</v>
      </c>
      <c r="G116" s="43" t="str">
        <f t="shared" si="1"/>
        <v>Available</v>
      </c>
      <c r="H116" s="43" t="str">
        <f>IF(A116="","",IF(COUNTIF('Programme Mentors'!$A:$A,A116)&gt;0,"Enrolled","—"))</f>
        <v>—</v>
      </c>
    </row>
    <row r="117" spans="1:8" ht="102" customHeight="1" x14ac:dyDescent="0.3">
      <c r="A117" s="9">
        <f>'Paste - Mentors'!A117</f>
        <v>3105857</v>
      </c>
      <c r="B117" s="4" t="str">
        <f>IFERROR(VLOOKUP(A117,'Paste - Mentors'!$A:$B,2,0),"")</f>
        <v>Nomvula Luphoko</v>
      </c>
      <c r="C117" s="4" t="str">
        <f>IFERROR(VLOOKUP(A117,'Paste - Mentors'!$A:$D,4,0),"")</f>
        <v>Career Mentor</v>
      </c>
      <c r="D117" s="9" t="str">
        <f>IFERROR(VLOOKUP(A117,'Paste - Mentors'!$A:$F,6,0),"")</f>
        <v>FNB</v>
      </c>
      <c r="E117" s="9" t="str">
        <f>IFERROR(VLOOKUP(A117,'Paste - Mentors'!$A:$E,5,0),"")</f>
        <v>South Africa</v>
      </c>
      <c r="F117" s="9">
        <f>IF(A117="","",COUNTIFS('Paste - Relationships'!$A:$A,A117,'Paste - Relationships'!$AE:$AE,""))</f>
        <v>0</v>
      </c>
      <c r="G117" s="9" t="str">
        <f t="shared" si="1"/>
        <v>Available</v>
      </c>
      <c r="H117" s="9" t="str">
        <f>IF(A117="","",IF(COUNTIF('Programme Mentors'!$A:$A,A117)&gt;0,"Enrolled","—"))</f>
        <v>—</v>
      </c>
    </row>
    <row r="118" spans="1:8" ht="14.25" customHeight="1" x14ac:dyDescent="0.3">
      <c r="A118" s="43">
        <f>'Paste - Mentors'!A118</f>
        <v>3068463</v>
      </c>
      <c r="B118" s="3" t="str">
        <f>IFERROR(VLOOKUP(A118,'Paste - Mentors'!$A:$B,2,0),"")</f>
        <v>Verona Singh</v>
      </c>
      <c r="C118" s="3" t="str">
        <f>IFERROR(VLOOKUP(A118,'Paste - Mentors'!$A:$D,4,0),"")</f>
        <v>Career Mentor</v>
      </c>
      <c r="D118" s="43" t="str">
        <f>IFERROR(VLOOKUP(A118,'Paste - Mentors'!$A:$F,6,0),"")</f>
        <v>FNB</v>
      </c>
      <c r="E118" s="43" t="str">
        <f>IFERROR(VLOOKUP(A118,'Paste - Mentors'!$A:$E,5,0),"")</f>
        <v>South Africa</v>
      </c>
      <c r="F118" s="43">
        <f>IF(A118="","",COUNTIFS('Paste - Relationships'!$A:$A,A118,'Paste - Relationships'!$AE:$AE,""))</f>
        <v>0</v>
      </c>
      <c r="G118" s="43" t="str">
        <f t="shared" si="1"/>
        <v>Available</v>
      </c>
      <c r="H118" s="43" t="str">
        <f>IF(A118="","",IF(COUNTIF('Programme Mentors'!$A:$A,A118)&gt;0,"Enrolled","—"))</f>
        <v>—</v>
      </c>
    </row>
    <row r="119" spans="1:8" ht="14.25" customHeight="1" x14ac:dyDescent="0.3">
      <c r="A119" s="9">
        <f>'Paste - Mentors'!A119</f>
        <v>2765152</v>
      </c>
      <c r="B119" s="4" t="str">
        <f>IFERROR(VLOOKUP(A119,'Paste - Mentors'!$A:$B,2,0),"")</f>
        <v>Reshmee Pillay</v>
      </c>
      <c r="C119" s="4" t="str">
        <f>IFERROR(VLOOKUP(A119,'Paste - Mentors'!$A:$D,4,0),"")</f>
        <v>Career Mentor</v>
      </c>
      <c r="D119" s="9" t="str">
        <f>IFERROR(VLOOKUP(A119,'Paste - Mentors'!$A:$F,6,0),"")</f>
        <v>FNB</v>
      </c>
      <c r="E119" s="9" t="str">
        <f>IFERROR(VLOOKUP(A119,'Paste - Mentors'!$A:$E,5,0),"")</f>
        <v>South Africa</v>
      </c>
      <c r="F119" s="9">
        <f>IF(A119="","",COUNTIFS('Paste - Relationships'!$A:$A,A119,'Paste - Relationships'!$AE:$AE,""))</f>
        <v>1</v>
      </c>
      <c r="G119" s="9" t="str">
        <f t="shared" si="1"/>
        <v>Has Capacity</v>
      </c>
      <c r="H119" s="9" t="str">
        <f>IF(A119="","",IF(COUNTIF('Programme Mentors'!$A:$A,A119)&gt;0,"Enrolled","—"))</f>
        <v>—</v>
      </c>
    </row>
    <row r="120" spans="1:8" ht="14.25" customHeight="1" x14ac:dyDescent="0.3">
      <c r="A120" s="43">
        <f>'Paste - Mentors'!A120</f>
        <v>2887673</v>
      </c>
      <c r="B120" s="3" t="str">
        <f>IFERROR(VLOOKUP(A120,'Paste - Mentors'!$A:$B,2,0),"")</f>
        <v>Neal Sokay</v>
      </c>
      <c r="C120" s="3" t="str">
        <f>IFERROR(VLOOKUP(A120,'Paste - Mentors'!$A:$D,4,0),"")</f>
        <v>Career Mentor</v>
      </c>
      <c r="D120" s="43" t="str">
        <f>IFERROR(VLOOKUP(A120,'Paste - Mentors'!$A:$F,6,0),"")</f>
        <v>FNB</v>
      </c>
      <c r="E120" s="43" t="str">
        <f>IFERROR(VLOOKUP(A120,'Paste - Mentors'!$A:$E,5,0),"")</f>
        <v>South Africa</v>
      </c>
      <c r="F120" s="43">
        <f>IF(A120="","",COUNTIFS('Paste - Relationships'!$A:$A,A120,'Paste - Relationships'!$AE:$AE,""))</f>
        <v>0</v>
      </c>
      <c r="G120" s="43" t="str">
        <f t="shared" si="1"/>
        <v>Available</v>
      </c>
      <c r="H120" s="43" t="str">
        <f>IF(A120="","",IF(COUNTIF('Programme Mentors'!$A:$A,A120)&gt;0,"Enrolled","—"))</f>
        <v>—</v>
      </c>
    </row>
    <row r="121" spans="1:8" ht="14.25" customHeight="1" x14ac:dyDescent="0.3">
      <c r="A121" s="9">
        <f>'Paste - Mentors'!A121</f>
        <v>2962233</v>
      </c>
      <c r="B121" s="4" t="str">
        <f>IFERROR(VLOOKUP(A121,'Paste - Mentors'!$A:$B,2,0),"")</f>
        <v>Grant Pentelow</v>
      </c>
      <c r="C121" s="4" t="str">
        <f>IFERROR(VLOOKUP(A121,'Paste - Mentors'!$A:$D,4,0),"")</f>
        <v>Career Mentor
Technical Mentor</v>
      </c>
      <c r="D121" s="9" t="str">
        <f>IFERROR(VLOOKUP(A121,'Paste - Mentors'!$A:$F,6,0),"")</f>
        <v>FNB</v>
      </c>
      <c r="E121" s="9" t="str">
        <f>IFERROR(VLOOKUP(A121,'Paste - Mentors'!$A:$E,5,0),"")</f>
        <v>South Africa</v>
      </c>
      <c r="F121" s="9">
        <f>IF(A121="","",COUNTIFS('Paste - Relationships'!$A:$A,A121,'Paste - Relationships'!$AE:$AE,""))</f>
        <v>0</v>
      </c>
      <c r="G121" s="9" t="str">
        <f t="shared" si="1"/>
        <v>Available</v>
      </c>
      <c r="H121" s="9" t="str">
        <f>IF(A121="","",IF(COUNTIF('Programme Mentors'!$A:$A,A121)&gt;0,"Enrolled","—"))</f>
        <v>—</v>
      </c>
    </row>
    <row r="122" spans="1:8" ht="33.75" customHeight="1" x14ac:dyDescent="0.3">
      <c r="A122" s="43">
        <f>'Paste - Mentors'!A122</f>
        <v>2964457</v>
      </c>
      <c r="B122" s="3" t="str">
        <f>IFERROR(VLOOKUP(A122,'Paste - Mentors'!$A:$B,2,0),"")</f>
        <v>Dash Naidoo</v>
      </c>
      <c r="C122" s="3" t="str">
        <f>IFERROR(VLOOKUP(A122,'Paste - Mentors'!$A:$D,4,0),"")</f>
        <v>Career Mentor</v>
      </c>
      <c r="D122" s="43" t="str">
        <f>IFERROR(VLOOKUP(A122,'Paste - Mentors'!$A:$F,6,0),"")</f>
        <v>FNB</v>
      </c>
      <c r="E122" s="43" t="str">
        <f>IFERROR(VLOOKUP(A122,'Paste - Mentors'!$A:$E,5,0),"")</f>
        <v>South Africa</v>
      </c>
      <c r="F122" s="43">
        <f>IF(A122="","",COUNTIFS('Paste - Relationships'!$A:$A,A122,'Paste - Relationships'!$AE:$AE,""))</f>
        <v>0</v>
      </c>
      <c r="G122" s="43" t="str">
        <f t="shared" si="1"/>
        <v>Available</v>
      </c>
      <c r="H122" s="43" t="str">
        <f>IF(A122="","",IF(COUNTIF('Programme Mentors'!$A:$A,A122)&gt;0,"Enrolled","—"))</f>
        <v>—</v>
      </c>
    </row>
    <row r="123" spans="1:8" ht="14.25" customHeight="1" x14ac:dyDescent="0.3">
      <c r="A123" s="9">
        <f>'Paste - Mentors'!A123</f>
        <v>2745232</v>
      </c>
      <c r="B123" s="4" t="str">
        <f>IFERROR(VLOOKUP(A123,'Paste - Mentors'!$A:$B,2,0),"")</f>
        <v>John Cronje</v>
      </c>
      <c r="C123" s="4" t="str">
        <f>IFERROR(VLOOKUP(A123,'Paste - Mentors'!$A:$D,4,0),"")</f>
        <v>Leadership Mentor
Technical Mentor</v>
      </c>
      <c r="D123" s="9" t="str">
        <f>IFERROR(VLOOKUP(A123,'Paste - Mentors'!$A:$F,6,0),"")</f>
        <v>FNB</v>
      </c>
      <c r="E123" s="9" t="str">
        <f>IFERROR(VLOOKUP(A123,'Paste - Mentors'!$A:$E,5,0),"")</f>
        <v>South Africa</v>
      </c>
      <c r="F123" s="9">
        <f>IF(A123="","",COUNTIFS('Paste - Relationships'!$A:$A,A123,'Paste - Relationships'!$AE:$AE,""))</f>
        <v>0</v>
      </c>
      <c r="G123" s="9" t="str">
        <f t="shared" si="1"/>
        <v>Available</v>
      </c>
      <c r="H123" s="9" t="str">
        <f>IF(A123="","",IF(COUNTIF('Programme Mentors'!$A:$A,A123)&gt;0,"Enrolled","—"))</f>
        <v>—</v>
      </c>
    </row>
    <row r="124" spans="1:8" ht="33.75" customHeight="1" x14ac:dyDescent="0.3">
      <c r="A124" s="43">
        <f>'Paste - Mentors'!A124</f>
        <v>2867001</v>
      </c>
      <c r="B124" s="3" t="str">
        <f>IFERROR(VLOOKUP(A124,'Paste - Mentors'!$A:$B,2,0),"")</f>
        <v>Nhlanhla Ngcobo</v>
      </c>
      <c r="C124" s="3" t="str">
        <f>IFERROR(VLOOKUP(A124,'Paste - Mentors'!$A:$D,4,0),"")</f>
        <v>Career Mentor</v>
      </c>
      <c r="D124" s="43" t="str">
        <f>IFERROR(VLOOKUP(A124,'Paste - Mentors'!$A:$F,6,0),"")</f>
        <v>FNB</v>
      </c>
      <c r="E124" s="43" t="str">
        <f>IFERROR(VLOOKUP(A124,'Paste - Mentors'!$A:$E,5,0),"")</f>
        <v>South Africa</v>
      </c>
      <c r="F124" s="43">
        <f>IF(A124="","",COUNTIFS('Paste - Relationships'!$A:$A,A124,'Paste - Relationships'!$AE:$AE,""))</f>
        <v>0</v>
      </c>
      <c r="G124" s="43" t="str">
        <f t="shared" si="1"/>
        <v>Available</v>
      </c>
      <c r="H124" s="43" t="str">
        <f>IF(A124="","",IF(COUNTIF('Programme Mentors'!$A:$A,A124)&gt;0,"Enrolled","—"))</f>
        <v>—</v>
      </c>
    </row>
    <row r="125" spans="1:8" ht="14.25" customHeight="1" x14ac:dyDescent="0.3">
      <c r="A125" s="9">
        <f>'Paste - Mentors'!A125</f>
        <v>2868970</v>
      </c>
      <c r="B125" s="4" t="str">
        <f>IFERROR(VLOOKUP(A125,'Paste - Mentors'!$A:$B,2,0),"")</f>
        <v>Lefu Mofonedi</v>
      </c>
      <c r="C125" s="4" t="str">
        <f>IFERROR(VLOOKUP(A125,'Paste - Mentors'!$A:$D,4,0),"")</f>
        <v>Career Mentor</v>
      </c>
      <c r="D125" s="9" t="str">
        <f>IFERROR(VLOOKUP(A125,'Paste - Mentors'!$A:$F,6,0),"")</f>
        <v>FNB</v>
      </c>
      <c r="E125" s="9" t="str">
        <f>IFERROR(VLOOKUP(A125,'Paste - Mentors'!$A:$E,5,0),"")</f>
        <v>South Africa</v>
      </c>
      <c r="F125" s="9">
        <f>IF(A125="","",COUNTIFS('Paste - Relationships'!$A:$A,A125,'Paste - Relationships'!$AE:$AE,""))</f>
        <v>0</v>
      </c>
      <c r="G125" s="9" t="str">
        <f t="shared" si="1"/>
        <v>Available</v>
      </c>
      <c r="H125" s="9" t="str">
        <f>IF(A125="","",IF(COUNTIF('Programme Mentors'!$A:$A,A125)&gt;0,"Enrolled","—"))</f>
        <v>—</v>
      </c>
    </row>
    <row r="126" spans="1:8" ht="14.25" customHeight="1" x14ac:dyDescent="0.3">
      <c r="A126" s="43">
        <f>'Paste - Mentors'!A126</f>
        <v>2741903</v>
      </c>
      <c r="B126" s="3" t="str">
        <f>IFERROR(VLOOKUP(A126,'Paste - Mentors'!$A:$B,2,0),"")</f>
        <v>Llewellyn Phillips</v>
      </c>
      <c r="C126" s="3" t="str">
        <f>IFERROR(VLOOKUP(A126,'Paste - Mentors'!$A:$D,4,0),"")</f>
        <v>Career Mentor</v>
      </c>
      <c r="D126" s="43" t="str">
        <f>IFERROR(VLOOKUP(A126,'Paste - Mentors'!$A:$F,6,0),"")</f>
        <v>FNB</v>
      </c>
      <c r="E126" s="43" t="str">
        <f>IFERROR(VLOOKUP(A126,'Paste - Mentors'!$A:$E,5,0),"")</f>
        <v>South Africa</v>
      </c>
      <c r="F126" s="43">
        <f>IF(A126="","",COUNTIFS('Paste - Relationships'!$A:$A,A126,'Paste - Relationships'!$AE:$AE,""))</f>
        <v>0</v>
      </c>
      <c r="G126" s="43" t="str">
        <f t="shared" si="1"/>
        <v>Available</v>
      </c>
      <c r="H126" s="43" t="str">
        <f>IF(A126="","",IF(COUNTIF('Programme Mentors'!$A:$A,A126)&gt;0,"Enrolled","—"))</f>
        <v>—</v>
      </c>
    </row>
    <row r="127" spans="1:8" ht="14.25" customHeight="1" x14ac:dyDescent="0.3">
      <c r="A127" s="9">
        <f>'Paste - Mentors'!A127</f>
        <v>2770369</v>
      </c>
      <c r="B127" s="4" t="str">
        <f>IFERROR(VLOOKUP(A127,'Paste - Mentors'!$A:$B,2,0),"")</f>
        <v>Michael Honeywell</v>
      </c>
      <c r="C127" s="4" t="str">
        <f>IFERROR(VLOOKUP(A127,'Paste - Mentors'!$A:$D,4,0),"")</f>
        <v>Career Mentor</v>
      </c>
      <c r="D127" s="9" t="str">
        <f>IFERROR(VLOOKUP(A127,'Paste - Mentors'!$A:$F,6,0),"")</f>
        <v>FNB</v>
      </c>
      <c r="E127" s="9" t="str">
        <f>IFERROR(VLOOKUP(A127,'Paste - Mentors'!$A:$E,5,0),"")</f>
        <v>South Africa</v>
      </c>
      <c r="F127" s="9">
        <f>IF(A127="","",COUNTIFS('Paste - Relationships'!$A:$A,A127,'Paste - Relationships'!$AE:$AE,""))</f>
        <v>0</v>
      </c>
      <c r="G127" s="9" t="str">
        <f t="shared" si="1"/>
        <v>Available</v>
      </c>
      <c r="H127" s="9" t="str">
        <f>IF(A127="","",IF(COUNTIF('Programme Mentors'!$A:$A,A127)&gt;0,"Enrolled","—"))</f>
        <v>—</v>
      </c>
    </row>
    <row r="128" spans="1:8" ht="14.25" customHeight="1" x14ac:dyDescent="0.3">
      <c r="A128" s="43">
        <f>'Paste - Mentors'!A128</f>
        <v>2315335</v>
      </c>
      <c r="B128" s="3" t="str">
        <f>IFERROR(VLOOKUP(A128,'Paste - Mentors'!$A:$B,2,0),"")</f>
        <v>Liesel Hollis</v>
      </c>
      <c r="C128" s="3" t="str">
        <f>IFERROR(VLOOKUP(A128,'Paste - Mentors'!$A:$D,4,0),"")</f>
        <v>Career Mentor</v>
      </c>
      <c r="D128" s="43" t="str">
        <f>IFERROR(VLOOKUP(A128,'Paste - Mentors'!$A:$F,6,0),"")</f>
        <v>FNB</v>
      </c>
      <c r="E128" s="43" t="str">
        <f>IFERROR(VLOOKUP(A128,'Paste - Mentors'!$A:$E,5,0),"")</f>
        <v>South Africa</v>
      </c>
      <c r="F128" s="43">
        <f>IF(A128="","",COUNTIFS('Paste - Relationships'!$A:$A,A128,'Paste - Relationships'!$AE:$AE,""))</f>
        <v>0</v>
      </c>
      <c r="G128" s="43" t="str">
        <f t="shared" si="1"/>
        <v>Available</v>
      </c>
      <c r="H128" s="43" t="str">
        <f>IF(A128="","",IF(COUNTIF('Programme Mentors'!$A:$A,A128)&gt;0,"Enrolled","—"))</f>
        <v>—</v>
      </c>
    </row>
    <row r="129" spans="1:8" ht="14.25" customHeight="1" x14ac:dyDescent="0.3">
      <c r="A129" s="9">
        <f>'Paste - Mentors'!A129</f>
        <v>2073889</v>
      </c>
      <c r="B129" s="4" t="str">
        <f>IFERROR(VLOOKUP(A129,'Paste - Mentors'!$A:$B,2,0),"")</f>
        <v>Catharina Harmse</v>
      </c>
      <c r="C129" s="4" t="str">
        <f>IFERROR(VLOOKUP(A129,'Paste - Mentors'!$A:$D,4,0),"")</f>
        <v>Career Mentor</v>
      </c>
      <c r="D129" s="9" t="str">
        <f>IFERROR(VLOOKUP(A129,'Paste - Mentors'!$A:$F,6,0),"")</f>
        <v>FNB</v>
      </c>
      <c r="E129" s="9" t="str">
        <f>IFERROR(VLOOKUP(A129,'Paste - Mentors'!$A:$E,5,0),"")</f>
        <v>South Africa</v>
      </c>
      <c r="F129" s="9">
        <f>IF(A129="","",COUNTIFS('Paste - Relationships'!$A:$A,A129,'Paste - Relationships'!$AE:$AE,""))</f>
        <v>0</v>
      </c>
      <c r="G129" s="9" t="str">
        <f t="shared" si="1"/>
        <v>Available</v>
      </c>
      <c r="H129" s="9" t="str">
        <f>IF(A129="","",IF(COUNTIF('Programme Mentors'!$A:$A,A129)&gt;0,"Enrolled","—"))</f>
        <v>—</v>
      </c>
    </row>
    <row r="130" spans="1:8" ht="14.25" customHeight="1" x14ac:dyDescent="0.3">
      <c r="A130" s="43">
        <f>'Paste - Mentors'!A130</f>
        <v>2165449</v>
      </c>
      <c r="B130" s="3" t="str">
        <f>IFERROR(VLOOKUP(A130,'Paste - Mentors'!$A:$B,2,0),"")</f>
        <v>Christine Kennedy</v>
      </c>
      <c r="C130" s="3" t="str">
        <f>IFERROR(VLOOKUP(A130,'Paste - Mentors'!$A:$D,4,0),"")</f>
        <v>Technical Mentor
Workplace  Buddy</v>
      </c>
      <c r="D130" s="43" t="str">
        <f>IFERROR(VLOOKUP(A130,'Paste - Mentors'!$A:$F,6,0),"")</f>
        <v>FNB</v>
      </c>
      <c r="E130" s="43" t="str">
        <f>IFERROR(VLOOKUP(A130,'Paste - Mentors'!$A:$E,5,0),"")</f>
        <v>South Africa</v>
      </c>
      <c r="F130" s="43">
        <f>IF(A130="","",COUNTIFS('Paste - Relationships'!$A:$A,A130,'Paste - Relationships'!$AE:$AE,""))</f>
        <v>0</v>
      </c>
      <c r="G130" s="43" t="str">
        <f t="shared" si="1"/>
        <v>Available</v>
      </c>
      <c r="H130" s="43" t="str">
        <f>IF(A130="","",IF(COUNTIF('Programme Mentors'!$A:$A,A130)&gt;0,"Enrolled","—"))</f>
        <v>—</v>
      </c>
    </row>
    <row r="131" spans="1:8" ht="33.75" customHeight="1" x14ac:dyDescent="0.3">
      <c r="A131" s="9">
        <f>'Paste - Mentors'!A131</f>
        <v>2380129</v>
      </c>
      <c r="B131" s="4" t="str">
        <f>IFERROR(VLOOKUP(A131,'Paste - Mentors'!$A:$B,2,0),"")</f>
        <v>Natasha Parbhoo</v>
      </c>
      <c r="C131" s="4" t="str">
        <f>IFERROR(VLOOKUP(A131,'Paste - Mentors'!$A:$D,4,0),"")</f>
        <v>Career Mentor</v>
      </c>
      <c r="D131" s="9" t="str">
        <f>IFERROR(VLOOKUP(A131,'Paste - Mentors'!$A:$F,6,0),"")</f>
        <v>FNB</v>
      </c>
      <c r="E131" s="9" t="str">
        <f>IFERROR(VLOOKUP(A131,'Paste - Mentors'!$A:$E,5,0),"")</f>
        <v>South Africa</v>
      </c>
      <c r="F131" s="9">
        <f>IF(A131="","",COUNTIFS('Paste - Relationships'!$A:$A,A131,'Paste - Relationships'!$AE:$AE,""))</f>
        <v>0</v>
      </c>
      <c r="G131" s="9" t="str">
        <f t="shared" si="1"/>
        <v>Available</v>
      </c>
      <c r="H131" s="9" t="str">
        <f>IF(A131="","",IF(COUNTIF('Programme Mentors'!$A:$A,A131)&gt;0,"Enrolled","—"))</f>
        <v>—</v>
      </c>
    </row>
    <row r="132" spans="1:8" ht="14.25" customHeight="1" x14ac:dyDescent="0.3">
      <c r="A132" s="43">
        <f>'Paste - Mentors'!A132</f>
        <v>2415089</v>
      </c>
      <c r="B132" s="3" t="str">
        <f>IFERROR(VLOOKUP(A132,'Paste - Mentors'!$A:$B,2,0),"")</f>
        <v>Delaine Masher</v>
      </c>
      <c r="C132" s="3" t="str">
        <f>IFERROR(VLOOKUP(A132,'Paste - Mentors'!$A:$D,4,0),"")</f>
        <v>Career Mentor</v>
      </c>
      <c r="D132" s="43" t="str">
        <f>IFERROR(VLOOKUP(A132,'Paste - Mentors'!$A:$F,6,0),"")</f>
        <v>FNB</v>
      </c>
      <c r="E132" s="43" t="str">
        <f>IFERROR(VLOOKUP(A132,'Paste - Mentors'!$A:$E,5,0),"")</f>
        <v>South Africa</v>
      </c>
      <c r="F132" s="43">
        <f>IF(A132="","",COUNTIFS('Paste - Relationships'!$A:$A,A132,'Paste - Relationships'!$AE:$AE,""))</f>
        <v>0</v>
      </c>
      <c r="G132" s="43" t="str">
        <f t="shared" ref="G132:G195" si="2">IF(A132="","",IF(F132&gt;=3,"At Capacity",IF(F132=0,"Available","Has Capacity")))</f>
        <v>Available</v>
      </c>
      <c r="H132" s="43" t="str">
        <f>IF(A132="","",IF(COUNTIF('Programme Mentors'!$A:$A,A132)&gt;0,"Enrolled","—"))</f>
        <v>—</v>
      </c>
    </row>
    <row r="133" spans="1:8" ht="14.25" customHeight="1" x14ac:dyDescent="0.3">
      <c r="A133" s="9">
        <f>'Paste - Mentors'!A133</f>
        <v>2608707</v>
      </c>
      <c r="B133" s="4" t="str">
        <f>IFERROR(VLOOKUP(A133,'Paste - Mentors'!$A:$B,2,0),"")</f>
        <v>Melody Hermanus</v>
      </c>
      <c r="C133" s="4" t="str">
        <f>IFERROR(VLOOKUP(A133,'Paste - Mentors'!$A:$D,4,0),"")</f>
        <v>Career Mentor</v>
      </c>
      <c r="D133" s="9" t="str">
        <f>IFERROR(VLOOKUP(A133,'Paste - Mentors'!$A:$F,6,0),"")</f>
        <v>FNB</v>
      </c>
      <c r="E133" s="9" t="str">
        <f>IFERROR(VLOOKUP(A133,'Paste - Mentors'!$A:$E,5,0),"")</f>
        <v>South Africa</v>
      </c>
      <c r="F133" s="9">
        <f>IF(A133="","",COUNTIFS('Paste - Relationships'!$A:$A,A133,'Paste - Relationships'!$AE:$AE,""))</f>
        <v>0</v>
      </c>
      <c r="G133" s="9" t="str">
        <f t="shared" si="2"/>
        <v>Available</v>
      </c>
      <c r="H133" s="9" t="str">
        <f>IF(A133="","",IF(COUNTIF('Programme Mentors'!$A:$A,A133)&gt;0,"Enrolled","—"))</f>
        <v>—</v>
      </c>
    </row>
    <row r="134" spans="1:8" ht="14.25" customHeight="1" x14ac:dyDescent="0.3">
      <c r="A134" s="43">
        <f>'Paste - Mentors'!A134</f>
        <v>2609932</v>
      </c>
      <c r="B134" s="3" t="str">
        <f>IFERROR(VLOOKUP(A134,'Paste - Mentors'!$A:$B,2,0),"")</f>
        <v>Vincent Govender</v>
      </c>
      <c r="C134" s="3" t="str">
        <f>IFERROR(VLOOKUP(A134,'Paste - Mentors'!$A:$D,4,0),"")</f>
        <v>Career Mentor
Leadership Mentor
Technical Mentor</v>
      </c>
      <c r="D134" s="43" t="str">
        <f>IFERROR(VLOOKUP(A134,'Paste - Mentors'!$A:$F,6,0),"")</f>
        <v>FNB</v>
      </c>
      <c r="E134" s="43" t="str">
        <f>IFERROR(VLOOKUP(A134,'Paste - Mentors'!$A:$E,5,0),"")</f>
        <v>South Africa</v>
      </c>
      <c r="F134" s="43">
        <f>IF(A134="","",COUNTIFS('Paste - Relationships'!$A:$A,A134,'Paste - Relationships'!$AE:$AE,""))</f>
        <v>0</v>
      </c>
      <c r="G134" s="43" t="str">
        <f t="shared" si="2"/>
        <v>Available</v>
      </c>
      <c r="H134" s="43" t="str">
        <f>IF(A134="","",IF(COUNTIF('Programme Mentors'!$A:$A,A134)&gt;0,"Enrolled","—"))</f>
        <v>—</v>
      </c>
    </row>
    <row r="135" spans="1:8" ht="57" customHeight="1" x14ac:dyDescent="0.3">
      <c r="A135" s="9">
        <f>'Paste - Mentors'!A135</f>
        <v>2416824</v>
      </c>
      <c r="B135" s="4" t="str">
        <f>IFERROR(VLOOKUP(A135,'Paste - Mentors'!$A:$B,2,0),"")</f>
        <v>Charles Thulani Nkosi</v>
      </c>
      <c r="C135" s="4" t="str">
        <f>IFERROR(VLOOKUP(A135,'Paste - Mentors'!$A:$D,4,0),"")</f>
        <v>Career Mentor</v>
      </c>
      <c r="D135" s="9" t="str">
        <f>IFERROR(VLOOKUP(A135,'Paste - Mentors'!$A:$F,6,0),"")</f>
        <v>FNB</v>
      </c>
      <c r="E135" s="9" t="str">
        <f>IFERROR(VLOOKUP(A135,'Paste - Mentors'!$A:$E,5,0),"")</f>
        <v>South Africa</v>
      </c>
      <c r="F135" s="9">
        <f>IF(A135="","",COUNTIFS('Paste - Relationships'!$A:$A,A135,'Paste - Relationships'!$AE:$AE,""))</f>
        <v>0</v>
      </c>
      <c r="G135" s="9" t="str">
        <f t="shared" si="2"/>
        <v>Available</v>
      </c>
      <c r="H135" s="9" t="str">
        <f>IF(A135="","",IF(COUNTIF('Programme Mentors'!$A:$A,A135)&gt;0,"Enrolled","—"))</f>
        <v>—</v>
      </c>
    </row>
    <row r="136" spans="1:8" ht="14.25" customHeight="1" x14ac:dyDescent="0.3">
      <c r="A136" s="43">
        <f>'Paste - Mentors'!A136</f>
        <v>186767</v>
      </c>
      <c r="B136" s="3" t="str">
        <f>IFERROR(VLOOKUP(A136,'Paste - Mentors'!$A:$B,2,0),"")</f>
        <v>Nicholas Litton</v>
      </c>
      <c r="C136" s="3" t="str">
        <f>IFERROR(VLOOKUP(A136,'Paste - Mentors'!$A:$D,4,0),"")</f>
        <v>Career Mentor</v>
      </c>
      <c r="D136" s="43" t="str">
        <f>IFERROR(VLOOKUP(A136,'Paste - Mentors'!$A:$F,6,0),"")</f>
        <v>FNB</v>
      </c>
      <c r="E136" s="43" t="str">
        <f>IFERROR(VLOOKUP(A136,'Paste - Mentors'!$A:$E,5,0),"")</f>
        <v>South Africa</v>
      </c>
      <c r="F136" s="43">
        <f>IF(A136="","",COUNTIFS('Paste - Relationships'!$A:$A,A136,'Paste - Relationships'!$AE:$AE,""))</f>
        <v>2</v>
      </c>
      <c r="G136" s="43" t="str">
        <f t="shared" si="2"/>
        <v>Has Capacity</v>
      </c>
      <c r="H136" s="43" t="str">
        <f>IF(A136="","",IF(COUNTIF('Programme Mentors'!$A:$A,A136)&gt;0,"Enrolled","—"))</f>
        <v>—</v>
      </c>
    </row>
    <row r="137" spans="1:8" ht="14.25" customHeight="1" x14ac:dyDescent="0.3">
      <c r="A137" s="9">
        <f>'Paste - Mentors'!A137</f>
        <v>2076225</v>
      </c>
      <c r="B137" s="4" t="str">
        <f>IFERROR(VLOOKUP(A137,'Paste - Mentors'!$A:$B,2,0),"")</f>
        <v>Malesela Matlaila</v>
      </c>
      <c r="C137" s="4" t="str">
        <f>IFERROR(VLOOKUP(A137,'Paste - Mentors'!$A:$D,4,0),"")</f>
        <v>Career Mentor</v>
      </c>
      <c r="D137" s="9" t="str">
        <f>IFERROR(VLOOKUP(A137,'Paste - Mentors'!$A:$F,6,0),"")</f>
        <v>FNB</v>
      </c>
      <c r="E137" s="9" t="str">
        <f>IFERROR(VLOOKUP(A137,'Paste - Mentors'!$A:$E,5,0),"")</f>
        <v>South Africa</v>
      </c>
      <c r="F137" s="9">
        <f>IF(A137="","",COUNTIFS('Paste - Relationships'!$A:$A,A137,'Paste - Relationships'!$AE:$AE,""))</f>
        <v>0</v>
      </c>
      <c r="G137" s="9" t="str">
        <f t="shared" si="2"/>
        <v>Available</v>
      </c>
      <c r="H137" s="9" t="str">
        <f>IF(A137="","",IF(COUNTIF('Programme Mentors'!$A:$A,A137)&gt;0,"Enrolled","—"))</f>
        <v>—</v>
      </c>
    </row>
    <row r="138" spans="1:8" ht="14.25" customHeight="1" x14ac:dyDescent="0.3">
      <c r="A138" s="43">
        <f>'Paste - Mentors'!A138</f>
        <v>2168324</v>
      </c>
      <c r="B138" s="3" t="str">
        <f>IFERROR(VLOOKUP(A138,'Paste - Mentors'!$A:$B,2,0),"")</f>
        <v>Melanie Naidu</v>
      </c>
      <c r="C138" s="3" t="str">
        <f>IFERROR(VLOOKUP(A138,'Paste - Mentors'!$A:$D,4,0),"")</f>
        <v>Technical Mentor</v>
      </c>
      <c r="D138" s="43" t="str">
        <f>IFERROR(VLOOKUP(A138,'Paste - Mentors'!$A:$F,6,0),"")</f>
        <v>FNB</v>
      </c>
      <c r="E138" s="43" t="str">
        <f>IFERROR(VLOOKUP(A138,'Paste - Mentors'!$A:$E,5,0),"")</f>
        <v>South Africa</v>
      </c>
      <c r="F138" s="43">
        <f>IF(A138="","",COUNTIFS('Paste - Relationships'!$A:$A,A138,'Paste - Relationships'!$AE:$AE,""))</f>
        <v>0</v>
      </c>
      <c r="G138" s="43" t="str">
        <f t="shared" si="2"/>
        <v>Available</v>
      </c>
      <c r="H138" s="43" t="str">
        <f>IF(A138="","",IF(COUNTIF('Programme Mentors'!$A:$A,A138)&gt;0,"Enrolled","—"))</f>
        <v>—</v>
      </c>
    </row>
    <row r="139" spans="1:8" ht="14.25" customHeight="1" x14ac:dyDescent="0.3">
      <c r="A139" s="9">
        <f>'Paste - Mentors'!A139</f>
        <v>2569051</v>
      </c>
      <c r="B139" s="4" t="str">
        <f>IFERROR(VLOOKUP(A139,'Paste - Mentors'!$A:$B,2,0),"")</f>
        <v>Mohammed Adam</v>
      </c>
      <c r="C139" s="4" t="str">
        <f>IFERROR(VLOOKUP(A139,'Paste - Mentors'!$A:$D,4,0),"")</f>
        <v>Career Mentor</v>
      </c>
      <c r="D139" s="9" t="str">
        <f>IFERROR(VLOOKUP(A139,'Paste - Mentors'!$A:$F,6,0),"")</f>
        <v>FNB</v>
      </c>
      <c r="E139" s="9" t="str">
        <f>IFERROR(VLOOKUP(A139,'Paste - Mentors'!$A:$E,5,0),"")</f>
        <v>South Africa</v>
      </c>
      <c r="F139" s="9">
        <f>IF(A139="","",COUNTIFS('Paste - Relationships'!$A:$A,A139,'Paste - Relationships'!$AE:$AE,""))</f>
        <v>0</v>
      </c>
      <c r="G139" s="9" t="str">
        <f t="shared" si="2"/>
        <v>Available</v>
      </c>
      <c r="H139" s="9" t="str">
        <f>IF(A139="","",IF(COUNTIF('Programme Mentors'!$A:$A,A139)&gt;0,"Enrolled","—"))</f>
        <v>—</v>
      </c>
    </row>
    <row r="140" spans="1:8" ht="14.25" customHeight="1" x14ac:dyDescent="0.3">
      <c r="A140" s="43">
        <f>'Paste - Mentors'!A140</f>
        <v>79332</v>
      </c>
      <c r="B140" s="3" t="str">
        <f>IFERROR(VLOOKUP(A140,'Paste - Mentors'!$A:$B,2,0),"")</f>
        <v>Sue-Lynn Sheldon</v>
      </c>
      <c r="C140" s="3" t="str">
        <f>IFERROR(VLOOKUP(A140,'Paste - Mentors'!$A:$D,4,0),"")</f>
        <v>Career Mentor
Leadership Mentor</v>
      </c>
      <c r="D140" s="43" t="str">
        <f>IFERROR(VLOOKUP(A140,'Paste - Mentors'!$A:$F,6,0),"")</f>
        <v>WesBank</v>
      </c>
      <c r="E140" s="43" t="str">
        <f>IFERROR(VLOOKUP(A140,'Paste - Mentors'!$A:$E,5,0),"")</f>
        <v>South Africa</v>
      </c>
      <c r="F140" s="43">
        <f>IF(A140="","",COUNTIFS('Paste - Relationships'!$A:$A,A140,'Paste - Relationships'!$AE:$AE,""))</f>
        <v>0</v>
      </c>
      <c r="G140" s="43" t="str">
        <f t="shared" si="2"/>
        <v>Available</v>
      </c>
      <c r="H140" s="43" t="str">
        <f>IF(A140="","",IF(COUNTIF('Programme Mentors'!$A:$A,A140)&gt;0,"Enrolled","—"))</f>
        <v>—</v>
      </c>
    </row>
    <row r="141" spans="1:8" ht="33.75" customHeight="1" x14ac:dyDescent="0.3">
      <c r="A141" s="9">
        <f>'Paste - Mentors'!A141</f>
        <v>147834</v>
      </c>
      <c r="B141" s="4" t="str">
        <f>IFERROR(VLOOKUP(A141,'Paste - Mentors'!$A:$B,2,0),"")</f>
        <v>Yoricke Esterhuyse</v>
      </c>
      <c r="C141" s="4" t="str">
        <f>IFERROR(VLOOKUP(A141,'Paste - Mentors'!$A:$D,4,0),"")</f>
        <v>Career Mentor</v>
      </c>
      <c r="D141" s="9" t="str">
        <f>IFERROR(VLOOKUP(A141,'Paste - Mentors'!$A:$F,6,0),"")</f>
        <v>FNB</v>
      </c>
      <c r="E141" s="9" t="str">
        <f>IFERROR(VLOOKUP(A141,'Paste - Mentors'!$A:$E,5,0),"")</f>
        <v>South Africa</v>
      </c>
      <c r="F141" s="9">
        <f>IF(A141="","",COUNTIFS('Paste - Relationships'!$A:$A,A141,'Paste - Relationships'!$AE:$AE,""))</f>
        <v>0</v>
      </c>
      <c r="G141" s="9" t="str">
        <f t="shared" si="2"/>
        <v>Available</v>
      </c>
      <c r="H141" s="9" t="str">
        <f>IF(A141="","",IF(COUNTIF('Programme Mentors'!$A:$A,A141)&gt;0,"Enrolled","—"))</f>
        <v>—</v>
      </c>
    </row>
    <row r="142" spans="1:8" ht="14.25" customHeight="1" x14ac:dyDescent="0.3">
      <c r="A142" s="43">
        <f>'Paste - Mentors'!A142</f>
        <v>2571242</v>
      </c>
      <c r="B142" s="3" t="str">
        <f>IFERROR(VLOOKUP(A142,'Paste - Mentors'!$A:$B,2,0),"")</f>
        <v>Allen Pillay</v>
      </c>
      <c r="C142" s="3" t="str">
        <f>IFERROR(VLOOKUP(A142,'Paste - Mentors'!$A:$D,4,0),"")</f>
        <v>Career Mentor</v>
      </c>
      <c r="D142" s="43" t="str">
        <f>IFERROR(VLOOKUP(A142,'Paste - Mentors'!$A:$F,6,0),"")</f>
        <v>FNB</v>
      </c>
      <c r="E142" s="43" t="str">
        <f>IFERROR(VLOOKUP(A142,'Paste - Mentors'!$A:$E,5,0),"")</f>
        <v>South Africa</v>
      </c>
      <c r="F142" s="43">
        <f>IF(A142="","",COUNTIFS('Paste - Relationships'!$A:$A,A142,'Paste - Relationships'!$AE:$AE,""))</f>
        <v>0</v>
      </c>
      <c r="G142" s="43" t="str">
        <f t="shared" si="2"/>
        <v>Available</v>
      </c>
      <c r="H142" s="43" t="str">
        <f>IF(A142="","",IF(COUNTIF('Programme Mentors'!$A:$A,A142)&gt;0,"Enrolled","—"))</f>
        <v>—</v>
      </c>
    </row>
    <row r="143" spans="1:8" ht="14.25" customHeight="1" x14ac:dyDescent="0.3">
      <c r="A143" s="9">
        <f>'Paste - Mentors'!A143</f>
        <v>2327902</v>
      </c>
      <c r="B143" s="4" t="str">
        <f>IFERROR(VLOOKUP(A143,'Paste - Mentors'!$A:$B,2,0),"")</f>
        <v>Kashilla Singh</v>
      </c>
      <c r="C143" s="4" t="str">
        <f>IFERROR(VLOOKUP(A143,'Paste - Mentors'!$A:$D,4,0),"")</f>
        <v>Career Mentor</v>
      </c>
      <c r="D143" s="9" t="str">
        <f>IFERROR(VLOOKUP(A143,'Paste - Mentors'!$A:$F,6,0),"")</f>
        <v>FirstRand Corporate Centre</v>
      </c>
      <c r="E143" s="9" t="str">
        <f>IFERROR(VLOOKUP(A143,'Paste - Mentors'!$A:$E,5,0),"")</f>
        <v>South Africa</v>
      </c>
      <c r="F143" s="9">
        <f>IF(A143="","",COUNTIFS('Paste - Relationships'!$A:$A,A143,'Paste - Relationships'!$AE:$AE,""))</f>
        <v>0</v>
      </c>
      <c r="G143" s="9" t="str">
        <f t="shared" si="2"/>
        <v>Available</v>
      </c>
      <c r="H143" s="9" t="str">
        <f>IF(A143="","",IF(COUNTIF('Programme Mentors'!$A:$A,A143)&gt;0,"Enrolled","—"))</f>
        <v>—</v>
      </c>
    </row>
    <row r="144" spans="1:8" ht="33.75" customHeight="1" x14ac:dyDescent="0.3">
      <c r="A144" s="43">
        <f>'Paste - Mentors'!A144</f>
        <v>2420422</v>
      </c>
      <c r="B144" s="3" t="str">
        <f>IFERROR(VLOOKUP(A144,'Paste - Mentors'!$A:$B,2,0),"")</f>
        <v>Carol Smit</v>
      </c>
      <c r="C144" s="3" t="str">
        <f>IFERROR(VLOOKUP(A144,'Paste - Mentors'!$A:$D,4,0),"")</f>
        <v>Career Mentor</v>
      </c>
      <c r="D144" s="43" t="str">
        <f>IFERROR(VLOOKUP(A144,'Paste - Mentors'!$A:$F,6,0),"")</f>
        <v>FNB</v>
      </c>
      <c r="E144" s="43" t="str">
        <f>IFERROR(VLOOKUP(A144,'Paste - Mentors'!$A:$E,5,0),"")</f>
        <v>South Africa</v>
      </c>
      <c r="F144" s="43">
        <f>IF(A144="","",COUNTIFS('Paste - Relationships'!$A:$A,A144,'Paste - Relationships'!$AE:$AE,""))</f>
        <v>0</v>
      </c>
      <c r="G144" s="43" t="str">
        <f t="shared" si="2"/>
        <v>Available</v>
      </c>
      <c r="H144" s="43" t="str">
        <f>IF(A144="","",IF(COUNTIF('Programme Mentors'!$A:$A,A144)&gt;0,"Enrolled","—"))</f>
        <v>—</v>
      </c>
    </row>
    <row r="145" spans="1:8" ht="14.25" customHeight="1" x14ac:dyDescent="0.3">
      <c r="A145" s="9">
        <f>'Paste - Mentors'!A145</f>
        <v>152536</v>
      </c>
      <c r="B145" s="4" t="str">
        <f>IFERROR(VLOOKUP(A145,'Paste - Mentors'!$A:$B,2,0),"")</f>
        <v>Marli Basson</v>
      </c>
      <c r="C145" s="4" t="str">
        <f>IFERROR(VLOOKUP(A145,'Paste - Mentors'!$A:$D,4,0),"")</f>
        <v>Career Mentor</v>
      </c>
      <c r="D145" s="9" t="str">
        <f>IFERROR(VLOOKUP(A145,'Paste - Mentors'!$A:$F,6,0),"")</f>
        <v>WesBank</v>
      </c>
      <c r="E145" s="9" t="str">
        <f>IFERROR(VLOOKUP(A145,'Paste - Mentors'!$A:$E,5,0),"")</f>
        <v>South Africa</v>
      </c>
      <c r="F145" s="9">
        <f>IF(A145="","",COUNTIFS('Paste - Relationships'!$A:$A,A145,'Paste - Relationships'!$AE:$AE,""))</f>
        <v>0</v>
      </c>
      <c r="G145" s="9" t="str">
        <f t="shared" si="2"/>
        <v>Available</v>
      </c>
      <c r="H145" s="9" t="str">
        <f>IF(A145="","",IF(COUNTIF('Programme Mentors'!$A:$A,A145)&gt;0,"Enrolled","—"))</f>
        <v>—</v>
      </c>
    </row>
    <row r="146" spans="1:8" ht="14.25" customHeight="1" x14ac:dyDescent="0.3">
      <c r="A146" s="43">
        <f>'Paste - Mentors'!A146</f>
        <v>193097</v>
      </c>
      <c r="B146" s="3" t="str">
        <f>IFERROR(VLOOKUP(A146,'Paste - Mentors'!$A:$B,2,0),"")</f>
        <v>Grant Jansen</v>
      </c>
      <c r="C146" s="3" t="str">
        <f>IFERROR(VLOOKUP(A146,'Paste - Mentors'!$A:$D,4,0),"")</f>
        <v>Career Mentor</v>
      </c>
      <c r="D146" s="43" t="str">
        <f>IFERROR(VLOOKUP(A146,'Paste - Mentors'!$A:$F,6,0),"")</f>
        <v>WesBank</v>
      </c>
      <c r="E146" s="43" t="str">
        <f>IFERROR(VLOOKUP(A146,'Paste - Mentors'!$A:$E,5,0),"")</f>
        <v>South Africa</v>
      </c>
      <c r="F146" s="43">
        <f>IF(A146="","",COUNTIFS('Paste - Relationships'!$A:$A,A146,'Paste - Relationships'!$AE:$AE,""))</f>
        <v>0</v>
      </c>
      <c r="G146" s="43" t="str">
        <f t="shared" si="2"/>
        <v>Available</v>
      </c>
      <c r="H146" s="43" t="str">
        <f>IF(A146="","",IF(COUNTIF('Programme Mentors'!$A:$A,A146)&gt;0,"Enrolled","—"))</f>
        <v>—</v>
      </c>
    </row>
    <row r="147" spans="1:8" ht="14.25" customHeight="1" x14ac:dyDescent="0.3">
      <c r="A147" s="9">
        <f>'Paste - Mentors'!A147</f>
        <v>2186012</v>
      </c>
      <c r="B147" s="4" t="str">
        <f>IFERROR(VLOOKUP(A147,'Paste - Mentors'!$A:$B,2,0),"")</f>
        <v>Vaneshree Moodley</v>
      </c>
      <c r="C147" s="4" t="str">
        <f>IFERROR(VLOOKUP(A147,'Paste - Mentors'!$A:$D,4,0),"")</f>
        <v>Career Mentor</v>
      </c>
      <c r="D147" s="9" t="str">
        <f>IFERROR(VLOOKUP(A147,'Paste - Mentors'!$A:$F,6,0),"")</f>
        <v>FNB</v>
      </c>
      <c r="E147" s="9" t="str">
        <f>IFERROR(VLOOKUP(A147,'Paste - Mentors'!$A:$E,5,0),"")</f>
        <v>South Africa</v>
      </c>
      <c r="F147" s="9">
        <f>IF(A147="","",COUNTIFS('Paste - Relationships'!$A:$A,A147,'Paste - Relationships'!$AE:$AE,""))</f>
        <v>0</v>
      </c>
      <c r="G147" s="9" t="str">
        <f t="shared" si="2"/>
        <v>Available</v>
      </c>
      <c r="H147" s="9" t="str">
        <f>IF(A147="","",IF(COUNTIF('Programme Mentors'!$A:$A,A147)&gt;0,"Enrolled","—"))</f>
        <v>—</v>
      </c>
    </row>
    <row r="148" spans="1:8" ht="14.25" customHeight="1" x14ac:dyDescent="0.3">
      <c r="A148" s="43">
        <f>'Paste - Mentors'!A148</f>
        <v>2098423</v>
      </c>
      <c r="B148" s="3" t="str">
        <f>IFERROR(VLOOKUP(A148,'Paste - Mentors'!$A:$B,2,0),"")</f>
        <v>Fazia Parker</v>
      </c>
      <c r="C148" s="3" t="str">
        <f>IFERROR(VLOOKUP(A148,'Paste - Mentors'!$A:$D,4,0),"")</f>
        <v>Career Mentor
Leadership Mentor
Transition Mentor
Workplace  Buddy</v>
      </c>
      <c r="D148" s="43" t="str">
        <f>IFERROR(VLOOKUP(A148,'Paste - Mentors'!$A:$F,6,0),"")</f>
        <v>RMB</v>
      </c>
      <c r="E148" s="43" t="str">
        <f>IFERROR(VLOOKUP(A148,'Paste - Mentors'!$A:$E,5,0),"")</f>
        <v>South Africa</v>
      </c>
      <c r="F148" s="43">
        <f>IF(A148="","",COUNTIFS('Paste - Relationships'!$A:$A,A148,'Paste - Relationships'!$AE:$AE,""))</f>
        <v>1</v>
      </c>
      <c r="G148" s="43" t="str">
        <f t="shared" si="2"/>
        <v>Has Capacity</v>
      </c>
      <c r="H148" s="43" t="str">
        <f>IF(A148="","",IF(COUNTIF('Programme Mentors'!$A:$A,A148)&gt;0,"Enrolled","—"))</f>
        <v>—</v>
      </c>
    </row>
    <row r="149" spans="1:8" ht="79.5" customHeight="1" x14ac:dyDescent="0.3">
      <c r="A149" s="9">
        <f>'Paste - Mentors'!A149</f>
        <v>2277042</v>
      </c>
      <c r="B149" s="4" t="str">
        <f>IFERROR(VLOOKUP(A149,'Paste - Mentors'!$A:$B,2,0),"")</f>
        <v>Gavin Tarr</v>
      </c>
      <c r="C149" s="4" t="str">
        <f>IFERROR(VLOOKUP(A149,'Paste - Mentors'!$A:$D,4,0),"")</f>
        <v>Career Mentor</v>
      </c>
      <c r="D149" s="9" t="str">
        <f>IFERROR(VLOOKUP(A149,'Paste - Mentors'!$A:$F,6,0),"")</f>
        <v>FNB</v>
      </c>
      <c r="E149" s="9" t="str">
        <f>IFERROR(VLOOKUP(A149,'Paste - Mentors'!$A:$E,5,0),"")</f>
        <v>South Africa</v>
      </c>
      <c r="F149" s="9">
        <f>IF(A149="","",COUNTIFS('Paste - Relationships'!$A:$A,A149,'Paste - Relationships'!$AE:$AE,""))</f>
        <v>1</v>
      </c>
      <c r="G149" s="9" t="str">
        <f t="shared" si="2"/>
        <v>Has Capacity</v>
      </c>
      <c r="H149" s="9" t="str">
        <f>IF(A149="","",IF(COUNTIF('Programme Mentors'!$A:$A,A149)&gt;0,"Enrolled","—"))</f>
        <v>—</v>
      </c>
    </row>
    <row r="150" spans="1:8" ht="14.25" customHeight="1" x14ac:dyDescent="0.3">
      <c r="A150" s="43">
        <f>'Paste - Mentors'!A150</f>
        <v>2386712</v>
      </c>
      <c r="B150" s="3" t="str">
        <f>IFERROR(VLOOKUP(A150,'Paste - Mentors'!$A:$B,2,0),"")</f>
        <v>Zaeem Motara</v>
      </c>
      <c r="C150" s="3" t="str">
        <f>IFERROR(VLOOKUP(A150,'Paste - Mentors'!$A:$D,4,0),"")</f>
        <v>Career Mentor</v>
      </c>
      <c r="D150" s="43" t="str">
        <f>IFERROR(VLOOKUP(A150,'Paste - Mentors'!$A:$F,6,0),"")</f>
        <v>FNB</v>
      </c>
      <c r="E150" s="43" t="str">
        <f>IFERROR(VLOOKUP(A150,'Paste - Mentors'!$A:$E,5,0),"")</f>
        <v>South Africa</v>
      </c>
      <c r="F150" s="43">
        <f>IF(A150="","",COUNTIFS('Paste - Relationships'!$A:$A,A150,'Paste - Relationships'!$AE:$AE,""))</f>
        <v>0</v>
      </c>
      <c r="G150" s="43" t="str">
        <f t="shared" si="2"/>
        <v>Available</v>
      </c>
      <c r="H150" s="43" t="str">
        <f>IF(A150="","",IF(COUNTIF('Programme Mentors'!$A:$A,A150)&gt;0,"Enrolled","—"))</f>
        <v>—</v>
      </c>
    </row>
    <row r="151" spans="1:8" ht="14.25" customHeight="1" x14ac:dyDescent="0.3">
      <c r="A151" s="9">
        <f>'Paste - Mentors'!A151</f>
        <v>2576627</v>
      </c>
      <c r="B151" s="4" t="str">
        <f>IFERROR(VLOOKUP(A151,'Paste - Mentors'!$A:$B,2,0),"")</f>
        <v>Nelien Dippenaar</v>
      </c>
      <c r="C151" s="4" t="str">
        <f>IFERROR(VLOOKUP(A151,'Paste - Mentors'!$A:$D,4,0),"")</f>
        <v>Career Mentor</v>
      </c>
      <c r="D151" s="9" t="str">
        <f>IFERROR(VLOOKUP(A151,'Paste - Mentors'!$A:$F,6,0),"")</f>
        <v>FNB</v>
      </c>
      <c r="E151" s="9" t="str">
        <f>IFERROR(VLOOKUP(A151,'Paste - Mentors'!$A:$E,5,0),"")</f>
        <v>South Africa</v>
      </c>
      <c r="F151" s="9">
        <f>IF(A151="","",COUNTIFS('Paste - Relationships'!$A:$A,A151,'Paste - Relationships'!$AE:$AE,""))</f>
        <v>0</v>
      </c>
      <c r="G151" s="9" t="str">
        <f t="shared" si="2"/>
        <v>Available</v>
      </c>
      <c r="H151" s="9" t="str">
        <f>IF(A151="","",IF(COUNTIF('Programme Mentors'!$A:$A,A151)&gt;0,"Enrolled","—"))</f>
        <v>—</v>
      </c>
    </row>
    <row r="152" spans="1:8" ht="14.25" customHeight="1" x14ac:dyDescent="0.3">
      <c r="A152" s="43">
        <f>'Paste - Mentors'!A152</f>
        <v>2746573</v>
      </c>
      <c r="B152" s="3" t="str">
        <f>IFERROR(VLOOKUP(A152,'Paste - Mentors'!$A:$B,2,0),"")</f>
        <v>Himal Parbhoo</v>
      </c>
      <c r="C152" s="3" t="str">
        <f>IFERROR(VLOOKUP(A152,'Paste - Mentors'!$A:$D,4,0),"")</f>
        <v>Career Mentor
Technical Mentor
Z2-Programme Mentor (HC Managed)</v>
      </c>
      <c r="D152" s="43" t="str">
        <f>IFERROR(VLOOKUP(A152,'Paste - Mentors'!$A:$F,6,0),"")</f>
        <v>FNB</v>
      </c>
      <c r="E152" s="43" t="str">
        <f>IFERROR(VLOOKUP(A152,'Paste - Mentors'!$A:$E,5,0),"")</f>
        <v>South Africa</v>
      </c>
      <c r="F152" s="43">
        <f>IF(A152="","",COUNTIFS('Paste - Relationships'!$A:$A,A152,'Paste - Relationships'!$AE:$AE,""))</f>
        <v>2</v>
      </c>
      <c r="G152" s="43" t="str">
        <f t="shared" si="2"/>
        <v>Has Capacity</v>
      </c>
      <c r="H152" s="43" t="str">
        <f>IF(A152="","",IF(COUNTIF('Programme Mentors'!$A:$A,A152)&gt;0,"Enrolled","—"))</f>
        <v>—</v>
      </c>
    </row>
    <row r="153" spans="1:8" ht="57" customHeight="1" x14ac:dyDescent="0.3">
      <c r="A153" s="9">
        <f>'Paste - Mentors'!A153</f>
        <v>2423243</v>
      </c>
      <c r="B153" s="4" t="str">
        <f>IFERROR(VLOOKUP(A153,'Paste - Mentors'!$A:$B,2,0),"")</f>
        <v>Bongi Tshabangu</v>
      </c>
      <c r="C153" s="4" t="str">
        <f>IFERROR(VLOOKUP(A153,'Paste - Mentors'!$A:$D,4,0),"")</f>
        <v>Career Mentor</v>
      </c>
      <c r="D153" s="9" t="str">
        <f>IFERROR(VLOOKUP(A153,'Paste - Mentors'!$A:$F,6,0),"")</f>
        <v>FNB</v>
      </c>
      <c r="E153" s="9" t="str">
        <f>IFERROR(VLOOKUP(A153,'Paste - Mentors'!$A:$E,5,0),"")</f>
        <v>South Africa</v>
      </c>
      <c r="F153" s="9">
        <f>IF(A153="","",COUNTIFS('Paste - Relationships'!$A:$A,A153,'Paste - Relationships'!$AE:$AE,""))</f>
        <v>0</v>
      </c>
      <c r="G153" s="9" t="str">
        <f t="shared" si="2"/>
        <v>Available</v>
      </c>
      <c r="H153" s="9" t="str">
        <f>IF(A153="","",IF(COUNTIF('Programme Mentors'!$A:$A,A153)&gt;0,"Enrolled","—"))</f>
        <v>—</v>
      </c>
    </row>
    <row r="154" spans="1:8" ht="14.25" customHeight="1" x14ac:dyDescent="0.3">
      <c r="A154" s="43">
        <f>'Paste - Mentors'!A154</f>
        <v>2583917</v>
      </c>
      <c r="B154" s="3" t="str">
        <f>IFERROR(VLOOKUP(A154,'Paste - Mentors'!$A:$B,2,0),"")</f>
        <v>Mellisa Van Staden</v>
      </c>
      <c r="C154" s="3" t="str">
        <f>IFERROR(VLOOKUP(A154,'Paste - Mentors'!$A:$D,4,0),"")</f>
        <v>Career Mentor</v>
      </c>
      <c r="D154" s="43" t="str">
        <f>IFERROR(VLOOKUP(A154,'Paste - Mentors'!$A:$F,6,0),"")</f>
        <v>FNB</v>
      </c>
      <c r="E154" s="43" t="str">
        <f>IFERROR(VLOOKUP(A154,'Paste - Mentors'!$A:$E,5,0),"")</f>
        <v>South Africa</v>
      </c>
      <c r="F154" s="43">
        <f>IF(A154="","",COUNTIFS('Paste - Relationships'!$A:$A,A154,'Paste - Relationships'!$AE:$AE,""))</f>
        <v>0</v>
      </c>
      <c r="G154" s="43" t="str">
        <f t="shared" si="2"/>
        <v>Available</v>
      </c>
      <c r="H154" s="43" t="str">
        <f>IF(A154="","",IF(COUNTIF('Programme Mentors'!$A:$A,A154)&gt;0,"Enrolled","—"))</f>
        <v>—</v>
      </c>
    </row>
    <row r="155" spans="1:8" ht="14.25" customHeight="1" x14ac:dyDescent="0.3">
      <c r="A155" s="9">
        <f>'Paste - Mentors'!A155</f>
        <v>2966794</v>
      </c>
      <c r="B155" s="4" t="str">
        <f>IFERROR(VLOOKUP(A155,'Paste - Mentors'!$A:$B,2,0),"")</f>
        <v>Avashni Singh</v>
      </c>
      <c r="C155" s="4" t="str">
        <f>IFERROR(VLOOKUP(A155,'Paste - Mentors'!$A:$D,4,0),"")</f>
        <v>Career Mentor
Transition Mentor</v>
      </c>
      <c r="D155" s="9" t="str">
        <f>IFERROR(VLOOKUP(A155,'Paste - Mentors'!$A:$F,6,0),"")</f>
        <v>FNB</v>
      </c>
      <c r="E155" s="9" t="str">
        <f>IFERROR(VLOOKUP(A155,'Paste - Mentors'!$A:$E,5,0),"")</f>
        <v>South Africa</v>
      </c>
      <c r="F155" s="9">
        <f>IF(A155="","",COUNTIFS('Paste - Relationships'!$A:$A,A155,'Paste - Relationships'!$AE:$AE,""))</f>
        <v>0</v>
      </c>
      <c r="G155" s="9" t="str">
        <f t="shared" si="2"/>
        <v>Available</v>
      </c>
      <c r="H155" s="9" t="str">
        <f>IF(A155="","",IF(COUNTIF('Programme Mentors'!$A:$A,A155)&gt;0,"Enrolled","—"))</f>
        <v>—</v>
      </c>
    </row>
    <row r="156" spans="1:8" ht="33.75" customHeight="1" x14ac:dyDescent="0.3">
      <c r="A156" s="43">
        <f>'Paste - Mentors'!A156</f>
        <v>2855682</v>
      </c>
      <c r="B156" s="3" t="str">
        <f>IFERROR(VLOOKUP(A156,'Paste - Mentors'!$A:$B,2,0),"")</f>
        <v>Debbie De Beer</v>
      </c>
      <c r="C156" s="3" t="str">
        <f>IFERROR(VLOOKUP(A156,'Paste - Mentors'!$A:$D,4,0),"")</f>
        <v>Career Mentor</v>
      </c>
      <c r="D156" s="43" t="str">
        <f>IFERROR(VLOOKUP(A156,'Paste - Mentors'!$A:$F,6,0),"")</f>
        <v>FNB</v>
      </c>
      <c r="E156" s="43" t="str">
        <f>IFERROR(VLOOKUP(A156,'Paste - Mentors'!$A:$E,5,0),"")</f>
        <v>South Africa</v>
      </c>
      <c r="F156" s="43">
        <f>IF(A156="","",COUNTIFS('Paste - Relationships'!$A:$A,A156,'Paste - Relationships'!$AE:$AE,""))</f>
        <v>1</v>
      </c>
      <c r="G156" s="43" t="str">
        <f t="shared" si="2"/>
        <v>Has Capacity</v>
      </c>
      <c r="H156" s="43" t="str">
        <f>IF(A156="","",IF(COUNTIF('Programme Mentors'!$A:$A,A156)&gt;0,"Enrolled","—"))</f>
        <v>—</v>
      </c>
    </row>
    <row r="157" spans="1:8" ht="14.25" customHeight="1" x14ac:dyDescent="0.3">
      <c r="A157" s="9">
        <f>'Paste - Mentors'!A157</f>
        <v>2869829</v>
      </c>
      <c r="B157" s="4" t="str">
        <f>IFERROR(VLOOKUP(A157,'Paste - Mentors'!$A:$B,2,0),"")</f>
        <v>Nicole Pillay Druion</v>
      </c>
      <c r="C157" s="4" t="str">
        <f>IFERROR(VLOOKUP(A157,'Paste - Mentors'!$A:$D,4,0),"")</f>
        <v>Career Mentor</v>
      </c>
      <c r="D157" s="9" t="str">
        <f>IFERROR(VLOOKUP(A157,'Paste - Mentors'!$A:$F,6,0),"")</f>
        <v>FNB</v>
      </c>
      <c r="E157" s="9" t="str">
        <f>IFERROR(VLOOKUP(A157,'Paste - Mentors'!$A:$E,5,0),"")</f>
        <v>South Africa</v>
      </c>
      <c r="F157" s="9">
        <f>IF(A157="","",COUNTIFS('Paste - Relationships'!$A:$A,A157,'Paste - Relationships'!$AE:$AE,""))</f>
        <v>0</v>
      </c>
      <c r="G157" s="9" t="str">
        <f t="shared" si="2"/>
        <v>Available</v>
      </c>
      <c r="H157" s="9" t="str">
        <f>IF(A157="","",IF(COUNTIF('Programme Mentors'!$A:$A,A157)&gt;0,"Enrolled","—"))</f>
        <v>—</v>
      </c>
    </row>
    <row r="158" spans="1:8" ht="14.25" customHeight="1" x14ac:dyDescent="0.3">
      <c r="A158" s="43">
        <f>'Paste - Mentors'!A158</f>
        <v>2285681</v>
      </c>
      <c r="B158" s="3" t="str">
        <f>IFERROR(VLOOKUP(A158,'Paste - Mentors'!$A:$B,2,0),"")</f>
        <v>Eddie Roodt</v>
      </c>
      <c r="C158" s="3" t="str">
        <f>IFERROR(VLOOKUP(A158,'Paste - Mentors'!$A:$D,4,0),"")</f>
        <v>Career Mentor</v>
      </c>
      <c r="D158" s="43" t="str">
        <f>IFERROR(VLOOKUP(A158,'Paste - Mentors'!$A:$F,6,0),"")</f>
        <v>FNB</v>
      </c>
      <c r="E158" s="43" t="str">
        <f>IFERROR(VLOOKUP(A158,'Paste - Mentors'!$A:$E,5,0),"")</f>
        <v>South Africa</v>
      </c>
      <c r="F158" s="43">
        <f>IF(A158="","",COUNTIFS('Paste - Relationships'!$A:$A,A158,'Paste - Relationships'!$AE:$AE,""))</f>
        <v>1</v>
      </c>
      <c r="G158" s="43" t="str">
        <f t="shared" si="2"/>
        <v>Has Capacity</v>
      </c>
      <c r="H158" s="43" t="str">
        <f>IF(A158="","",IF(COUNTIF('Programme Mentors'!$A:$A,A158)&gt;0,"Enrolled","—"))</f>
        <v>—</v>
      </c>
    </row>
    <row r="159" spans="1:8" ht="14.25" customHeight="1" x14ac:dyDescent="0.3">
      <c r="A159" s="9">
        <f>'Paste - Mentors'!A159</f>
        <v>2778041</v>
      </c>
      <c r="B159" s="4" t="str">
        <f>IFERROR(VLOOKUP(A159,'Paste - Mentors'!$A:$B,2,0),"")</f>
        <v>Mervyn Moodley</v>
      </c>
      <c r="C159" s="4" t="str">
        <f>IFERROR(VLOOKUP(A159,'Paste - Mentors'!$A:$D,4,0),"")</f>
        <v>Career Mentor
Leadership Mentor
Workplace  Buddy</v>
      </c>
      <c r="D159" s="9" t="str">
        <f>IFERROR(VLOOKUP(A159,'Paste - Mentors'!$A:$F,6,0),"")</f>
        <v>FNB</v>
      </c>
      <c r="E159" s="9" t="str">
        <f>IFERROR(VLOOKUP(A159,'Paste - Mentors'!$A:$E,5,0),"")</f>
        <v>South Africa</v>
      </c>
      <c r="F159" s="9">
        <f>IF(A159="","",COUNTIFS('Paste - Relationships'!$A:$A,A159,'Paste - Relationships'!$AE:$AE,""))</f>
        <v>1</v>
      </c>
      <c r="G159" s="9" t="str">
        <f t="shared" si="2"/>
        <v>Has Capacity</v>
      </c>
      <c r="H159" s="9" t="str">
        <f>IF(A159="","",IF(COUNTIF('Programme Mentors'!$A:$A,A159)&gt;0,"Enrolled","—"))</f>
        <v>—</v>
      </c>
    </row>
    <row r="160" spans="1:8" ht="57" customHeight="1" x14ac:dyDescent="0.3">
      <c r="A160" s="43">
        <f>'Paste - Mentors'!A160</f>
        <v>121266</v>
      </c>
      <c r="B160" s="3" t="str">
        <f>IFERROR(VLOOKUP(A160,'Paste - Mentors'!$A:$B,2,0),"")</f>
        <v>Johan Steyn</v>
      </c>
      <c r="C160" s="3" t="str">
        <f>IFERROR(VLOOKUP(A160,'Paste - Mentors'!$A:$D,4,0),"")</f>
        <v>Career Mentor</v>
      </c>
      <c r="D160" s="43" t="str">
        <f>IFERROR(VLOOKUP(A160,'Paste - Mentors'!$A:$F,6,0),"")</f>
        <v>WesBank</v>
      </c>
      <c r="E160" s="43" t="str">
        <f>IFERROR(VLOOKUP(A160,'Paste - Mentors'!$A:$E,5,0),"")</f>
        <v>South Africa</v>
      </c>
      <c r="F160" s="43">
        <f>IF(A160="","",COUNTIFS('Paste - Relationships'!$A:$A,A160,'Paste - Relationships'!$AE:$AE,""))</f>
        <v>0</v>
      </c>
      <c r="G160" s="43" t="str">
        <f t="shared" si="2"/>
        <v>Available</v>
      </c>
      <c r="H160" s="43" t="str">
        <f>IF(A160="","",IF(COUNTIF('Programme Mentors'!$A:$A,A160)&gt;0,"Enrolled","—"))</f>
        <v>—</v>
      </c>
    </row>
    <row r="161" spans="1:8" ht="14.25" customHeight="1" x14ac:dyDescent="0.3">
      <c r="A161" s="9">
        <f>'Paste - Mentors'!A161</f>
        <v>2993112</v>
      </c>
      <c r="B161" s="4" t="str">
        <f>IFERROR(VLOOKUP(A161,'Paste - Mentors'!$A:$B,2,0),"")</f>
        <v>Vekesh Dukhi</v>
      </c>
      <c r="C161" s="4" t="str">
        <f>IFERROR(VLOOKUP(A161,'Paste - Mentors'!$A:$D,4,0),"")</f>
        <v>Career Mentor</v>
      </c>
      <c r="D161" s="9" t="str">
        <f>IFERROR(VLOOKUP(A161,'Paste - Mentors'!$A:$F,6,0),"")</f>
        <v>FNB</v>
      </c>
      <c r="E161" s="9" t="str">
        <f>IFERROR(VLOOKUP(A161,'Paste - Mentors'!$A:$E,5,0),"")</f>
        <v>South Africa</v>
      </c>
      <c r="F161" s="9">
        <f>IF(A161="","",COUNTIFS('Paste - Relationships'!$A:$A,A161,'Paste - Relationships'!$AE:$AE,""))</f>
        <v>0</v>
      </c>
      <c r="G161" s="9" t="str">
        <f t="shared" si="2"/>
        <v>Available</v>
      </c>
      <c r="H161" s="9" t="str">
        <f>IF(A161="","",IF(COUNTIF('Programme Mentors'!$A:$A,A161)&gt;0,"Enrolled","—"))</f>
        <v>—</v>
      </c>
    </row>
    <row r="162" spans="1:8" ht="14.25" customHeight="1" x14ac:dyDescent="0.3">
      <c r="A162" s="43">
        <f>'Paste - Mentors'!A162</f>
        <v>3055671</v>
      </c>
      <c r="B162" s="3" t="str">
        <f>IFERROR(VLOOKUP(A162,'Paste - Mentors'!$A:$B,2,0),"")</f>
        <v>Mabuke Malebana</v>
      </c>
      <c r="C162" s="3" t="str">
        <f>IFERROR(VLOOKUP(A162,'Paste - Mentors'!$A:$D,4,0),"")</f>
        <v>Career Mentor</v>
      </c>
      <c r="D162" s="43" t="str">
        <f>IFERROR(VLOOKUP(A162,'Paste - Mentors'!$A:$F,6,0),"")</f>
        <v>FNB</v>
      </c>
      <c r="E162" s="43" t="str">
        <f>IFERROR(VLOOKUP(A162,'Paste - Mentors'!$A:$E,5,0),"")</f>
        <v>South Africa</v>
      </c>
      <c r="F162" s="43">
        <f>IF(A162="","",COUNTIFS('Paste - Relationships'!$A:$A,A162,'Paste - Relationships'!$AE:$AE,""))</f>
        <v>0</v>
      </c>
      <c r="G162" s="43" t="str">
        <f t="shared" si="2"/>
        <v>Available</v>
      </c>
      <c r="H162" s="43" t="str">
        <f>IF(A162="","",IF(COUNTIF('Programme Mentors'!$A:$A,A162)&gt;0,"Enrolled","—"))</f>
        <v>—</v>
      </c>
    </row>
    <row r="163" spans="1:8" ht="14.25" customHeight="1" x14ac:dyDescent="0.3">
      <c r="A163" s="9">
        <f>'Paste - Mentors'!A163</f>
        <v>3150984</v>
      </c>
      <c r="B163" s="4" t="str">
        <f>IFERROR(VLOOKUP(A163,'Paste - Mentors'!$A:$B,2,0),"")</f>
        <v>Anthea Moodalay</v>
      </c>
      <c r="C163" s="4" t="str">
        <f>IFERROR(VLOOKUP(A163,'Paste - Mentors'!$A:$D,4,0),"")</f>
        <v>Career Mentor</v>
      </c>
      <c r="D163" s="9" t="str">
        <f>IFERROR(VLOOKUP(A163,'Paste - Mentors'!$A:$F,6,0),"")</f>
        <v>FNB</v>
      </c>
      <c r="E163" s="9" t="str">
        <f>IFERROR(VLOOKUP(A163,'Paste - Mentors'!$A:$E,5,0),"")</f>
        <v>South Africa</v>
      </c>
      <c r="F163" s="9">
        <f>IF(A163="","",COUNTIFS('Paste - Relationships'!$A:$A,A163,'Paste - Relationships'!$AE:$AE,""))</f>
        <v>0</v>
      </c>
      <c r="G163" s="9" t="str">
        <f t="shared" si="2"/>
        <v>Available</v>
      </c>
      <c r="H163" s="9" t="str">
        <f>IF(A163="","",IF(COUNTIF('Programme Mentors'!$A:$A,A163)&gt;0,"Enrolled","—"))</f>
        <v>—</v>
      </c>
    </row>
    <row r="164" spans="1:8" ht="14.25" customHeight="1" x14ac:dyDescent="0.3">
      <c r="A164" s="43">
        <f>'Paste - Mentors'!A164</f>
        <v>3167712</v>
      </c>
      <c r="B164" s="3" t="str">
        <f>IFERROR(VLOOKUP(A164,'Paste - Mentors'!$A:$B,2,0),"")</f>
        <v>Sunil Sing</v>
      </c>
      <c r="C164" s="3" t="str">
        <f>IFERROR(VLOOKUP(A164,'Paste - Mentors'!$A:$D,4,0),"")</f>
        <v>Career Mentor</v>
      </c>
      <c r="D164" s="43" t="str">
        <f>IFERROR(VLOOKUP(A164,'Paste - Mentors'!$A:$F,6,0),"")</f>
        <v>FNB</v>
      </c>
      <c r="E164" s="43" t="str">
        <f>IFERROR(VLOOKUP(A164,'Paste - Mentors'!$A:$E,5,0),"")</f>
        <v>South Africa</v>
      </c>
      <c r="F164" s="43">
        <f>IF(A164="","",COUNTIFS('Paste - Relationships'!$A:$A,A164,'Paste - Relationships'!$AE:$AE,""))</f>
        <v>0</v>
      </c>
      <c r="G164" s="43" t="str">
        <f t="shared" si="2"/>
        <v>Available</v>
      </c>
      <c r="H164" s="43" t="str">
        <f>IF(A164="","",IF(COUNTIF('Programme Mentors'!$A:$A,A164)&gt;0,"Enrolled","—"))</f>
        <v>—</v>
      </c>
    </row>
    <row r="165" spans="1:8" ht="14.25" customHeight="1" x14ac:dyDescent="0.3">
      <c r="A165" s="9">
        <f>'Paste - Mentors'!A165</f>
        <v>3167747</v>
      </c>
      <c r="B165" s="4" t="str">
        <f>IFERROR(VLOOKUP(A165,'Paste - Mentors'!$A:$B,2,0),"")</f>
        <v>Yeonitta Heath</v>
      </c>
      <c r="C165" s="4" t="str">
        <f>IFERROR(VLOOKUP(A165,'Paste - Mentors'!$A:$D,4,0),"")</f>
        <v>Career Mentor</v>
      </c>
      <c r="D165" s="9" t="str">
        <f>IFERROR(VLOOKUP(A165,'Paste - Mentors'!$A:$F,6,0),"")</f>
        <v>FNB</v>
      </c>
      <c r="E165" s="9" t="str">
        <f>IFERROR(VLOOKUP(A165,'Paste - Mentors'!$A:$E,5,0),"")</f>
        <v>South Africa</v>
      </c>
      <c r="F165" s="9">
        <f>IF(A165="","",COUNTIFS('Paste - Relationships'!$A:$A,A165,'Paste - Relationships'!$AE:$AE,""))</f>
        <v>0</v>
      </c>
      <c r="G165" s="9" t="str">
        <f t="shared" si="2"/>
        <v>Available</v>
      </c>
      <c r="H165" s="9" t="str">
        <f>IF(A165="","",IF(COUNTIF('Programme Mentors'!$A:$A,A165)&gt;0,"Enrolled","—"))</f>
        <v>—</v>
      </c>
    </row>
    <row r="166" spans="1:8" ht="14.25" customHeight="1" x14ac:dyDescent="0.3">
      <c r="A166" s="43">
        <f>'Paste - Mentors'!A166</f>
        <v>3167828</v>
      </c>
      <c r="B166" s="3" t="str">
        <f>IFERROR(VLOOKUP(A166,'Paste - Mentors'!$A:$B,2,0),"")</f>
        <v>Gcina Mnyandu</v>
      </c>
      <c r="C166" s="3" t="str">
        <f>IFERROR(VLOOKUP(A166,'Paste - Mentors'!$A:$D,4,0),"")</f>
        <v>Career Mentor</v>
      </c>
      <c r="D166" s="43" t="str">
        <f>IFERROR(VLOOKUP(A166,'Paste - Mentors'!$A:$F,6,0),"")</f>
        <v>FNB</v>
      </c>
      <c r="E166" s="43" t="str">
        <f>IFERROR(VLOOKUP(A166,'Paste - Mentors'!$A:$E,5,0),"")</f>
        <v>South Africa</v>
      </c>
      <c r="F166" s="43">
        <f>IF(A166="","",COUNTIFS('Paste - Relationships'!$A:$A,A166,'Paste - Relationships'!$AE:$AE,""))</f>
        <v>0</v>
      </c>
      <c r="G166" s="43" t="str">
        <f t="shared" si="2"/>
        <v>Available</v>
      </c>
      <c r="H166" s="43" t="str">
        <f>IF(A166="","",IF(COUNTIF('Programme Mentors'!$A:$A,A166)&gt;0,"Enrolled","—"))</f>
        <v>—</v>
      </c>
    </row>
    <row r="167" spans="1:8" ht="14.25" customHeight="1" x14ac:dyDescent="0.3">
      <c r="A167" s="9">
        <f>'Paste - Mentors'!A167</f>
        <v>2433109</v>
      </c>
      <c r="B167" s="4" t="str">
        <f>IFERROR(VLOOKUP(A167,'Paste - Mentors'!$A:$B,2,0),"")</f>
        <v>Yvette Jacobsz</v>
      </c>
      <c r="C167" s="4" t="str">
        <f>IFERROR(VLOOKUP(A167,'Paste - Mentors'!$A:$D,4,0),"")</f>
        <v>Career Mentor</v>
      </c>
      <c r="D167" s="9" t="str">
        <f>IFERROR(VLOOKUP(A167,'Paste - Mentors'!$A:$F,6,0),"")</f>
        <v>FNB</v>
      </c>
      <c r="E167" s="9" t="str">
        <f>IFERROR(VLOOKUP(A167,'Paste - Mentors'!$A:$E,5,0),"")</f>
        <v>South Africa</v>
      </c>
      <c r="F167" s="9">
        <f>IF(A167="","",COUNTIFS('Paste - Relationships'!$A:$A,A167,'Paste - Relationships'!$AE:$AE,""))</f>
        <v>0</v>
      </c>
      <c r="G167" s="9" t="str">
        <f t="shared" si="2"/>
        <v>Available</v>
      </c>
      <c r="H167" s="9" t="str">
        <f>IF(A167="","",IF(COUNTIF('Programme Mentors'!$A:$A,A167)&gt;0,"Enrolled","—"))</f>
        <v>—</v>
      </c>
    </row>
    <row r="168" spans="1:8" ht="14.25" customHeight="1" x14ac:dyDescent="0.3">
      <c r="A168" s="43">
        <f>'Paste - Mentors'!A168</f>
        <v>3195155</v>
      </c>
      <c r="B168" s="3" t="str">
        <f>IFERROR(VLOOKUP(A168,'Paste - Mentors'!$A:$B,2,0),"")</f>
        <v>Nicole De Kock</v>
      </c>
      <c r="C168" s="3" t="str">
        <f>IFERROR(VLOOKUP(A168,'Paste - Mentors'!$A:$D,4,0),"")</f>
        <v>Career Mentor</v>
      </c>
      <c r="D168" s="43" t="str">
        <f>IFERROR(VLOOKUP(A168,'Paste - Mentors'!$A:$F,6,0),"")</f>
        <v>FNB</v>
      </c>
      <c r="E168" s="43" t="str">
        <f>IFERROR(VLOOKUP(A168,'Paste - Mentors'!$A:$E,5,0),"")</f>
        <v>South Africa</v>
      </c>
      <c r="F168" s="43">
        <f>IF(A168="","",COUNTIFS('Paste - Relationships'!$A:$A,A168,'Paste - Relationships'!$AE:$AE,""))</f>
        <v>0</v>
      </c>
      <c r="G168" s="43" t="str">
        <f t="shared" si="2"/>
        <v>Available</v>
      </c>
      <c r="H168" s="43" t="str">
        <f>IF(A168="","",IF(COUNTIF('Programme Mentors'!$A:$A,A168)&gt;0,"Enrolled","—"))</f>
        <v>—</v>
      </c>
    </row>
    <row r="169" spans="1:8" ht="14.25" customHeight="1" x14ac:dyDescent="0.3">
      <c r="A169" s="9">
        <f>'Paste - Mentors'!A169</f>
        <v>2823284</v>
      </c>
      <c r="B169" s="4" t="str">
        <f>IFERROR(VLOOKUP(A169,'Paste - Mentors'!$A:$B,2,0),"")</f>
        <v>Nicolene De Beer</v>
      </c>
      <c r="C169" s="4" t="str">
        <f>IFERROR(VLOOKUP(A169,'Paste - Mentors'!$A:$D,4,0),"")</f>
        <v>Career Mentor</v>
      </c>
      <c r="D169" s="9" t="str">
        <f>IFERROR(VLOOKUP(A169,'Paste - Mentors'!$A:$F,6,0),"")</f>
        <v>FNB</v>
      </c>
      <c r="E169" s="9" t="str">
        <f>IFERROR(VLOOKUP(A169,'Paste - Mentors'!$A:$E,5,0),"")</f>
        <v>South Africa</v>
      </c>
      <c r="F169" s="9">
        <f>IF(A169="","",COUNTIFS('Paste - Relationships'!$A:$A,A169,'Paste - Relationships'!$AE:$AE,""))</f>
        <v>0</v>
      </c>
      <c r="G169" s="9" t="str">
        <f t="shared" si="2"/>
        <v>Available</v>
      </c>
      <c r="H169" s="9" t="str">
        <f>IF(A169="","",IF(COUNTIF('Programme Mentors'!$A:$A,A169)&gt;0,"Enrolled","—"))</f>
        <v>—</v>
      </c>
    </row>
    <row r="170" spans="1:8" ht="14.25" customHeight="1" x14ac:dyDescent="0.3">
      <c r="A170" s="43">
        <f>'Paste - Mentors'!A170</f>
        <v>2913259</v>
      </c>
      <c r="B170" s="3" t="str">
        <f>IFERROR(VLOOKUP(A170,'Paste - Mentors'!$A:$B,2,0),"")</f>
        <v>Paul Hazelton</v>
      </c>
      <c r="C170" s="3" t="str">
        <f>IFERROR(VLOOKUP(A170,'Paste - Mentors'!$A:$D,4,0),"")</f>
        <v>Career Mentor</v>
      </c>
      <c r="D170" s="43" t="str">
        <f>IFERROR(VLOOKUP(A170,'Paste - Mentors'!$A:$F,6,0),"")</f>
        <v>FNB</v>
      </c>
      <c r="E170" s="43" t="str">
        <f>IFERROR(VLOOKUP(A170,'Paste - Mentors'!$A:$E,5,0),"")</f>
        <v>South Africa</v>
      </c>
      <c r="F170" s="43">
        <f>IF(A170="","",COUNTIFS('Paste - Relationships'!$A:$A,A170,'Paste - Relationships'!$AE:$AE,""))</f>
        <v>0</v>
      </c>
      <c r="G170" s="43" t="str">
        <f t="shared" si="2"/>
        <v>Available</v>
      </c>
      <c r="H170" s="43" t="str">
        <f>IF(A170="","",IF(COUNTIF('Programme Mentors'!$A:$A,A170)&gt;0,"Enrolled","—"))</f>
        <v>—</v>
      </c>
    </row>
    <row r="171" spans="1:8" ht="14.25" customHeight="1" x14ac:dyDescent="0.3">
      <c r="A171" s="9">
        <f>'Paste - Mentors'!A171</f>
        <v>2913844</v>
      </c>
      <c r="B171" s="4" t="str">
        <f>IFERROR(VLOOKUP(A171,'Paste - Mentors'!$A:$B,2,0),"")</f>
        <v>Kehiloe Makhele</v>
      </c>
      <c r="C171" s="4" t="str">
        <f>IFERROR(VLOOKUP(A171,'Paste - Mentors'!$A:$D,4,0),"")</f>
        <v>Career Mentor</v>
      </c>
      <c r="D171" s="9" t="str">
        <f>IFERROR(VLOOKUP(A171,'Paste - Mentors'!$A:$F,6,0),"")</f>
        <v>FNB</v>
      </c>
      <c r="E171" s="9" t="str">
        <f>IFERROR(VLOOKUP(A171,'Paste - Mentors'!$A:$E,5,0),"")</f>
        <v>South Africa</v>
      </c>
      <c r="F171" s="9">
        <f>IF(A171="","",COUNTIFS('Paste - Relationships'!$A:$A,A171,'Paste - Relationships'!$AE:$AE,""))</f>
        <v>0</v>
      </c>
      <c r="G171" s="9" t="str">
        <f t="shared" si="2"/>
        <v>Available</v>
      </c>
      <c r="H171" s="9" t="str">
        <f>IF(A171="","",IF(COUNTIF('Programme Mentors'!$A:$A,A171)&gt;0,"Enrolled","—"))</f>
        <v>—</v>
      </c>
    </row>
    <row r="172" spans="1:8" ht="14.25" customHeight="1" x14ac:dyDescent="0.3">
      <c r="A172" s="43">
        <f>'Paste - Mentors'!A172</f>
        <v>3168158</v>
      </c>
      <c r="B172" s="3" t="str">
        <f>IFERROR(VLOOKUP(A172,'Paste - Mentors'!$A:$B,2,0),"")</f>
        <v>Ebrahim Omar</v>
      </c>
      <c r="C172" s="3" t="str">
        <f>IFERROR(VLOOKUP(A172,'Paste - Mentors'!$A:$D,4,0),"")</f>
        <v>Career Mentor
Leadership Mentor</v>
      </c>
      <c r="D172" s="43" t="str">
        <f>IFERROR(VLOOKUP(A172,'Paste - Mentors'!$A:$F,6,0),"")</f>
        <v>FNB</v>
      </c>
      <c r="E172" s="43" t="str">
        <f>IFERROR(VLOOKUP(A172,'Paste - Mentors'!$A:$E,5,0),"")</f>
        <v>South Africa</v>
      </c>
      <c r="F172" s="43">
        <f>IF(A172="","",COUNTIFS('Paste - Relationships'!$A:$A,A172,'Paste - Relationships'!$AE:$AE,""))</f>
        <v>0</v>
      </c>
      <c r="G172" s="43" t="str">
        <f t="shared" si="2"/>
        <v>Available</v>
      </c>
      <c r="H172" s="43" t="str">
        <f>IF(A172="","",IF(COUNTIF('Programme Mentors'!$A:$A,A172)&gt;0,"Enrolled","—"))</f>
        <v>—</v>
      </c>
    </row>
    <row r="173" spans="1:8" ht="33.75" customHeight="1" x14ac:dyDescent="0.3">
      <c r="A173" s="9">
        <f>'Paste - Mentors'!A173</f>
        <v>3093042</v>
      </c>
      <c r="B173" s="4" t="str">
        <f>IFERROR(VLOOKUP(A173,'Paste - Mentors'!$A:$B,2,0),"")</f>
        <v>Mmaditsienyane Komako</v>
      </c>
      <c r="C173" s="4" t="str">
        <f>IFERROR(VLOOKUP(A173,'Paste - Mentors'!$A:$D,4,0),"")</f>
        <v>Career Mentor</v>
      </c>
      <c r="D173" s="9" t="str">
        <f>IFERROR(VLOOKUP(A173,'Paste - Mentors'!$A:$F,6,0),"")</f>
        <v>FNB</v>
      </c>
      <c r="E173" s="9" t="str">
        <f>IFERROR(VLOOKUP(A173,'Paste - Mentors'!$A:$E,5,0),"")</f>
        <v>South Africa</v>
      </c>
      <c r="F173" s="9">
        <f>IF(A173="","",COUNTIFS('Paste - Relationships'!$A:$A,A173,'Paste - Relationships'!$AE:$AE,""))</f>
        <v>0</v>
      </c>
      <c r="G173" s="9" t="str">
        <f t="shared" si="2"/>
        <v>Available</v>
      </c>
      <c r="H173" s="9" t="str">
        <f>IF(A173="","",IF(COUNTIF('Programme Mentors'!$A:$A,A173)&gt;0,"Enrolled","—"))</f>
        <v>—</v>
      </c>
    </row>
    <row r="174" spans="1:8" ht="14.25" customHeight="1" x14ac:dyDescent="0.3">
      <c r="A174" s="43">
        <f>'Paste - Mentors'!A174</f>
        <v>3093247</v>
      </c>
      <c r="B174" s="3" t="str">
        <f>IFERROR(VLOOKUP(A174,'Paste - Mentors'!$A:$B,2,0),"")</f>
        <v>Chantelle Meyer</v>
      </c>
      <c r="C174" s="3" t="str">
        <f>IFERROR(VLOOKUP(A174,'Paste - Mentors'!$A:$D,4,0),"")</f>
        <v>Career Mentor</v>
      </c>
      <c r="D174" s="43" t="str">
        <f>IFERROR(VLOOKUP(A174,'Paste - Mentors'!$A:$F,6,0),"")</f>
        <v>FNB</v>
      </c>
      <c r="E174" s="43" t="str">
        <f>IFERROR(VLOOKUP(A174,'Paste - Mentors'!$A:$E,5,0),"")</f>
        <v>South Africa</v>
      </c>
      <c r="F174" s="43">
        <f>IF(A174="","",COUNTIFS('Paste - Relationships'!$A:$A,A174,'Paste - Relationships'!$AE:$AE,""))</f>
        <v>0</v>
      </c>
      <c r="G174" s="43" t="str">
        <f t="shared" si="2"/>
        <v>Available</v>
      </c>
      <c r="H174" s="43" t="str">
        <f>IF(A174="","",IF(COUNTIF('Programme Mentors'!$A:$A,A174)&gt;0,"Enrolled","—"))</f>
        <v>—</v>
      </c>
    </row>
    <row r="175" spans="1:8" ht="14.25" customHeight="1" x14ac:dyDescent="0.3">
      <c r="A175" s="9">
        <f>'Paste - Mentors'!A175</f>
        <v>3111482</v>
      </c>
      <c r="B175" s="4" t="str">
        <f>IFERROR(VLOOKUP(A175,'Paste - Mentors'!$A:$B,2,0),"")</f>
        <v>Portia Titus</v>
      </c>
      <c r="C175" s="4" t="str">
        <f>IFERROR(VLOOKUP(A175,'Paste - Mentors'!$A:$D,4,0),"")</f>
        <v>Career Mentor</v>
      </c>
      <c r="D175" s="9" t="str">
        <f>IFERROR(VLOOKUP(A175,'Paste - Mentors'!$A:$F,6,0),"")</f>
        <v>FNB</v>
      </c>
      <c r="E175" s="9" t="str">
        <f>IFERROR(VLOOKUP(A175,'Paste - Mentors'!$A:$E,5,0),"")</f>
        <v>South Africa</v>
      </c>
      <c r="F175" s="9">
        <f>IF(A175="","",COUNTIFS('Paste - Relationships'!$A:$A,A175,'Paste - Relationships'!$AE:$AE,""))</f>
        <v>0</v>
      </c>
      <c r="G175" s="9" t="str">
        <f t="shared" si="2"/>
        <v>Available</v>
      </c>
      <c r="H175" s="9" t="str">
        <f>IF(A175="","",IF(COUNTIF('Programme Mentors'!$A:$A,A175)&gt;0,"Enrolled","—"))</f>
        <v>—</v>
      </c>
    </row>
    <row r="176" spans="1:8" ht="14.25" customHeight="1" x14ac:dyDescent="0.3">
      <c r="A176" s="43">
        <f>'Paste - Mentors'!A176</f>
        <v>3221776</v>
      </c>
      <c r="B176" s="3" t="str">
        <f>IFERROR(VLOOKUP(A176,'Paste - Mentors'!$A:$B,2,0),"")</f>
        <v>Bomikazi Sekoala</v>
      </c>
      <c r="C176" s="3" t="str">
        <f>IFERROR(VLOOKUP(A176,'Paste - Mentors'!$A:$D,4,0),"")</f>
        <v>Career Mentor</v>
      </c>
      <c r="D176" s="43" t="str">
        <f>IFERROR(VLOOKUP(A176,'Paste - Mentors'!$A:$F,6,0),"")</f>
        <v>FNB</v>
      </c>
      <c r="E176" s="43" t="str">
        <f>IFERROR(VLOOKUP(A176,'Paste - Mentors'!$A:$E,5,0),"")</f>
        <v>South Africa</v>
      </c>
      <c r="F176" s="43">
        <f>IF(A176="","",COUNTIFS('Paste - Relationships'!$A:$A,A176,'Paste - Relationships'!$AE:$AE,""))</f>
        <v>0</v>
      </c>
      <c r="G176" s="43" t="str">
        <f t="shared" si="2"/>
        <v>Available</v>
      </c>
      <c r="H176" s="43" t="str">
        <f>IF(A176="","",IF(COUNTIF('Programme Mentors'!$A:$A,A176)&gt;0,"Enrolled","—"))</f>
        <v>—</v>
      </c>
    </row>
    <row r="177" spans="1:8" ht="14.25" customHeight="1" x14ac:dyDescent="0.3">
      <c r="A177" s="9">
        <f>'Paste - Mentors'!A177</f>
        <v>3112756</v>
      </c>
      <c r="B177" s="4" t="str">
        <f>IFERROR(VLOOKUP(A177,'Paste - Mentors'!$A:$B,2,0),"")</f>
        <v>Richard Pinto</v>
      </c>
      <c r="C177" s="4" t="str">
        <f>IFERROR(VLOOKUP(A177,'Paste - Mentors'!$A:$D,4,0),"")</f>
        <v>Leadership Mentor
Technical Mentor</v>
      </c>
      <c r="D177" s="9" t="str">
        <f>IFERROR(VLOOKUP(A177,'Paste - Mentors'!$A:$F,6,0),"")</f>
        <v>FNB</v>
      </c>
      <c r="E177" s="9" t="str">
        <f>IFERROR(VLOOKUP(A177,'Paste - Mentors'!$A:$E,5,0),"")</f>
        <v>South Africa</v>
      </c>
      <c r="F177" s="9">
        <f>IF(A177="","",COUNTIFS('Paste - Relationships'!$A:$A,A177,'Paste - Relationships'!$AE:$AE,""))</f>
        <v>0</v>
      </c>
      <c r="G177" s="9" t="str">
        <f t="shared" si="2"/>
        <v>Available</v>
      </c>
      <c r="H177" s="9" t="str">
        <f>IF(A177="","",IF(COUNTIF('Programme Mentors'!$A:$A,A177)&gt;0,"Enrolled","—"))</f>
        <v>—</v>
      </c>
    </row>
    <row r="178" spans="1:8" ht="33.75" customHeight="1" x14ac:dyDescent="0.3">
      <c r="A178" s="43">
        <f>'Paste - Mentors'!A178</f>
        <v>3143244</v>
      </c>
      <c r="B178" s="3" t="str">
        <f>IFERROR(VLOOKUP(A178,'Paste - Mentors'!$A:$B,2,0),"")</f>
        <v>Gabby Moodley</v>
      </c>
      <c r="C178" s="3" t="str">
        <f>IFERROR(VLOOKUP(A178,'Paste - Mentors'!$A:$D,4,0),"")</f>
        <v>Career Mentor
Leadership Mentor
Transition Mentor</v>
      </c>
      <c r="D178" s="43" t="str">
        <f>IFERROR(VLOOKUP(A178,'Paste - Mentors'!$A:$F,6,0),"")</f>
        <v>FNB</v>
      </c>
      <c r="E178" s="43" t="str">
        <f>IFERROR(VLOOKUP(A178,'Paste - Mentors'!$A:$E,5,0),"")</f>
        <v>South Africa</v>
      </c>
      <c r="F178" s="43">
        <f>IF(A178="","",COUNTIFS('Paste - Relationships'!$A:$A,A178,'Paste - Relationships'!$AE:$AE,""))</f>
        <v>0</v>
      </c>
      <c r="G178" s="43" t="str">
        <f t="shared" si="2"/>
        <v>Available</v>
      </c>
      <c r="H178" s="43" t="str">
        <f>IF(A178="","",IF(COUNTIF('Programme Mentors'!$A:$A,A178)&gt;0,"Enrolled","—"))</f>
        <v>—</v>
      </c>
    </row>
    <row r="179" spans="1:8" ht="57" customHeight="1" x14ac:dyDescent="0.3">
      <c r="A179" s="9">
        <f>'Paste - Mentors'!A179</f>
        <v>2968576</v>
      </c>
      <c r="B179" s="4" t="str">
        <f>IFERROR(VLOOKUP(A179,'Paste - Mentors'!$A:$B,2,0),"")</f>
        <v>Dima Thaba</v>
      </c>
      <c r="C179" s="4" t="str">
        <f>IFERROR(VLOOKUP(A179,'Paste - Mentors'!$A:$D,4,0),"")</f>
        <v>Career Mentor</v>
      </c>
      <c r="D179" s="9" t="str">
        <f>IFERROR(VLOOKUP(A179,'Paste - Mentors'!$A:$F,6,0),"")</f>
        <v>FNB</v>
      </c>
      <c r="E179" s="9" t="str">
        <f>IFERROR(VLOOKUP(A179,'Paste - Mentors'!$A:$E,5,0),"")</f>
        <v>South Africa</v>
      </c>
      <c r="F179" s="9">
        <f>IF(A179="","",COUNTIFS('Paste - Relationships'!$A:$A,A179,'Paste - Relationships'!$AE:$AE,""))</f>
        <v>0</v>
      </c>
      <c r="G179" s="9" t="str">
        <f t="shared" si="2"/>
        <v>Available</v>
      </c>
      <c r="H179" s="9" t="str">
        <f>IF(A179="","",IF(COUNTIF('Programme Mentors'!$A:$A,A179)&gt;0,"Enrolled","—"))</f>
        <v>—</v>
      </c>
    </row>
    <row r="180" spans="1:8" ht="14.25" customHeight="1" x14ac:dyDescent="0.3">
      <c r="A180" s="43">
        <f>'Paste - Mentors'!A180</f>
        <v>3058115</v>
      </c>
      <c r="B180" s="3" t="str">
        <f>IFERROR(VLOOKUP(A180,'Paste - Mentors'!$A:$B,2,0),"")</f>
        <v>Vuyokazi Rozani</v>
      </c>
      <c r="C180" s="3" t="str">
        <f>IFERROR(VLOOKUP(A180,'Paste - Mentors'!$A:$D,4,0),"")</f>
        <v>Career Mentor</v>
      </c>
      <c r="D180" s="43" t="str">
        <f>IFERROR(VLOOKUP(A180,'Paste - Mentors'!$A:$F,6,0),"")</f>
        <v>FNB</v>
      </c>
      <c r="E180" s="43" t="str">
        <f>IFERROR(VLOOKUP(A180,'Paste - Mentors'!$A:$E,5,0),"")</f>
        <v>South Africa</v>
      </c>
      <c r="F180" s="43">
        <f>IF(A180="","",COUNTIFS('Paste - Relationships'!$A:$A,A180,'Paste - Relationships'!$AE:$AE,""))</f>
        <v>0</v>
      </c>
      <c r="G180" s="43" t="str">
        <f t="shared" si="2"/>
        <v>Available</v>
      </c>
      <c r="H180" s="43" t="str">
        <f>IF(A180="","",IF(COUNTIF('Programme Mentors'!$A:$A,A180)&gt;0,"Enrolled","—"))</f>
        <v>—</v>
      </c>
    </row>
    <row r="181" spans="1:8" ht="14.25" customHeight="1" x14ac:dyDescent="0.3">
      <c r="A181" s="9">
        <f>'Paste - Mentors'!A181</f>
        <v>3079902</v>
      </c>
      <c r="B181" s="4" t="str">
        <f>IFERROR(VLOOKUP(A181,'Paste - Mentors'!$A:$B,2,0),"")</f>
        <v>Mathapelo Malema</v>
      </c>
      <c r="C181" s="4" t="str">
        <f>IFERROR(VLOOKUP(A181,'Paste - Mentors'!$A:$D,4,0),"")</f>
        <v>Career Mentor</v>
      </c>
      <c r="D181" s="9" t="str">
        <f>IFERROR(VLOOKUP(A181,'Paste - Mentors'!$A:$F,6,0),"")</f>
        <v>FNB</v>
      </c>
      <c r="E181" s="9" t="str">
        <f>IFERROR(VLOOKUP(A181,'Paste - Mentors'!$A:$E,5,0),"")</f>
        <v>South Africa</v>
      </c>
      <c r="F181" s="9">
        <f>IF(A181="","",COUNTIFS('Paste - Relationships'!$A:$A,A181,'Paste - Relationships'!$AE:$AE,""))</f>
        <v>0</v>
      </c>
      <c r="G181" s="9" t="str">
        <f t="shared" si="2"/>
        <v>Available</v>
      </c>
      <c r="H181" s="9" t="str">
        <f>IF(A181="","",IF(COUNTIF('Programme Mentors'!$A:$A,A181)&gt;0,"Enrolled","—"))</f>
        <v>—</v>
      </c>
    </row>
    <row r="182" spans="1:8" ht="14.25" customHeight="1" x14ac:dyDescent="0.3">
      <c r="A182" s="43">
        <f>'Paste - Mentors'!A182</f>
        <v>3015025</v>
      </c>
      <c r="B182" s="3" t="str">
        <f>IFERROR(VLOOKUP(A182,'Paste - Mentors'!$A:$B,2,0),"")</f>
        <v>Suvina Pillay</v>
      </c>
      <c r="C182" s="3" t="str">
        <f>IFERROR(VLOOKUP(A182,'Paste - Mentors'!$A:$D,4,0),"")</f>
        <v>Career Mentor</v>
      </c>
      <c r="D182" s="43" t="str">
        <f>IFERROR(VLOOKUP(A182,'Paste - Mentors'!$A:$F,6,0),"")</f>
        <v>FNB</v>
      </c>
      <c r="E182" s="43" t="str">
        <f>IFERROR(VLOOKUP(A182,'Paste - Mentors'!$A:$E,5,0),"")</f>
        <v>South Africa</v>
      </c>
      <c r="F182" s="43">
        <f>IF(A182="","",COUNTIFS('Paste - Relationships'!$A:$A,A182,'Paste - Relationships'!$AE:$AE,""))</f>
        <v>0</v>
      </c>
      <c r="G182" s="43" t="str">
        <f t="shared" si="2"/>
        <v>Available</v>
      </c>
      <c r="H182" s="43" t="str">
        <f>IF(A182="","",IF(COUNTIF('Programme Mentors'!$A:$A,A182)&gt;0,"Enrolled","—"))</f>
        <v>—</v>
      </c>
    </row>
    <row r="183" spans="1:8" ht="14.25" customHeight="1" x14ac:dyDescent="0.3">
      <c r="A183" s="9">
        <f>'Paste - Mentors'!A183</f>
        <v>2874792</v>
      </c>
      <c r="B183" s="4" t="str">
        <f>IFERROR(VLOOKUP(A183,'Paste - Mentors'!$A:$B,2,0),"")</f>
        <v>Sipho Khumalo</v>
      </c>
      <c r="C183" s="4" t="str">
        <f>IFERROR(VLOOKUP(A183,'Paste - Mentors'!$A:$D,4,0),"")</f>
        <v>Career Mentor</v>
      </c>
      <c r="D183" s="9" t="str">
        <f>IFERROR(VLOOKUP(A183,'Paste - Mentors'!$A:$F,6,0),"")</f>
        <v>FNB</v>
      </c>
      <c r="E183" s="9" t="str">
        <f>IFERROR(VLOOKUP(A183,'Paste - Mentors'!$A:$E,5,0),"")</f>
        <v>South Africa</v>
      </c>
      <c r="F183" s="9">
        <f>IF(A183="","",COUNTIFS('Paste - Relationships'!$A:$A,A183,'Paste - Relationships'!$AE:$AE,""))</f>
        <v>0</v>
      </c>
      <c r="G183" s="9" t="str">
        <f t="shared" si="2"/>
        <v>Available</v>
      </c>
      <c r="H183" s="9" t="str">
        <f>IF(A183="","",IF(COUNTIF('Programme Mentors'!$A:$A,A183)&gt;0,"Enrolled","—"))</f>
        <v>—</v>
      </c>
    </row>
    <row r="184" spans="1:8" ht="14.25" customHeight="1" x14ac:dyDescent="0.3">
      <c r="A184" s="43">
        <f>'Paste - Mentors'!A184</f>
        <v>2954869</v>
      </c>
      <c r="B184" s="3" t="str">
        <f>IFERROR(VLOOKUP(A184,'Paste - Mentors'!$A:$B,2,0),"")</f>
        <v>Boipelo Ndingwan</v>
      </c>
      <c r="C184" s="3" t="str">
        <f>IFERROR(VLOOKUP(A184,'Paste - Mentors'!$A:$D,4,0),"")</f>
        <v>Career Mentor</v>
      </c>
      <c r="D184" s="43" t="str">
        <f>IFERROR(VLOOKUP(A184,'Paste - Mentors'!$A:$F,6,0),"")</f>
        <v>FNB</v>
      </c>
      <c r="E184" s="43" t="str">
        <f>IFERROR(VLOOKUP(A184,'Paste - Mentors'!$A:$E,5,0),"")</f>
        <v>South Africa</v>
      </c>
      <c r="F184" s="43">
        <f>IF(A184="","",COUNTIFS('Paste - Relationships'!$A:$A,A184,'Paste - Relationships'!$AE:$AE,""))</f>
        <v>0</v>
      </c>
      <c r="G184" s="43" t="str">
        <f t="shared" si="2"/>
        <v>Available</v>
      </c>
      <c r="H184" s="43" t="str">
        <f>IF(A184="","",IF(COUNTIF('Programme Mentors'!$A:$A,A184)&gt;0,"Enrolled","—"))</f>
        <v>—</v>
      </c>
    </row>
    <row r="185" spans="1:8" ht="14.25" customHeight="1" x14ac:dyDescent="0.3">
      <c r="A185" s="9">
        <f>'Paste - Mentors'!A185</f>
        <v>3001008</v>
      </c>
      <c r="B185" s="4" t="str">
        <f>IFERROR(VLOOKUP(A185,'Paste - Mentors'!$A:$B,2,0),"")</f>
        <v>Yasien Allie</v>
      </c>
      <c r="C185" s="4">
        <f>IFERROR(VLOOKUP(A185,'Paste - Mentors'!$A:$D,4,0),"")</f>
        <v>0</v>
      </c>
      <c r="D185" s="9" t="str">
        <f>IFERROR(VLOOKUP(A185,'Paste - Mentors'!$A:$F,6,0),"")</f>
        <v>FNB</v>
      </c>
      <c r="E185" s="9" t="str">
        <f>IFERROR(VLOOKUP(A185,'Paste - Mentors'!$A:$E,5,0),"")</f>
        <v>South Africa</v>
      </c>
      <c r="F185" s="9">
        <f>IF(A185="","",COUNTIFS('Paste - Relationships'!$A:$A,A185,'Paste - Relationships'!$AE:$AE,""))</f>
        <v>0</v>
      </c>
      <c r="G185" s="9" t="str">
        <f t="shared" si="2"/>
        <v>Available</v>
      </c>
      <c r="H185" s="9" t="str">
        <f>IF(A185="","",IF(COUNTIF('Programme Mentors'!$A:$A,A185)&gt;0,"Enrolled","—"))</f>
        <v>—</v>
      </c>
    </row>
    <row r="186" spans="1:8" ht="14.25" customHeight="1" x14ac:dyDescent="0.3">
      <c r="A186" s="43">
        <f>'Paste - Mentors'!A186</f>
        <v>2752298</v>
      </c>
      <c r="B186" s="3" t="str">
        <f>IFERROR(VLOOKUP(A186,'Paste - Mentors'!$A:$B,2,0),"")</f>
        <v>Lindsay Sullivan</v>
      </c>
      <c r="C186" s="3" t="str">
        <f>IFERROR(VLOOKUP(A186,'Paste - Mentors'!$A:$D,4,0),"")</f>
        <v>Career Mentor</v>
      </c>
      <c r="D186" s="43" t="str">
        <f>IFERROR(VLOOKUP(A186,'Paste - Mentors'!$A:$F,6,0),"")</f>
        <v>FNB</v>
      </c>
      <c r="E186" s="43" t="str">
        <f>IFERROR(VLOOKUP(A186,'Paste - Mentors'!$A:$E,5,0),"")</f>
        <v>South Africa</v>
      </c>
      <c r="F186" s="43">
        <f>IF(A186="","",COUNTIFS('Paste - Relationships'!$A:$A,A186,'Paste - Relationships'!$AE:$AE,""))</f>
        <v>0</v>
      </c>
      <c r="G186" s="43" t="str">
        <f t="shared" si="2"/>
        <v>Available</v>
      </c>
      <c r="H186" s="43" t="str">
        <f>IF(A186="","",IF(COUNTIF('Programme Mentors'!$A:$A,A186)&gt;0,"Enrolled","—"))</f>
        <v>—</v>
      </c>
    </row>
    <row r="187" spans="1:8" ht="14.25" customHeight="1" x14ac:dyDescent="0.3">
      <c r="A187" s="9">
        <f>'Paste - Mentors'!A187</f>
        <v>2785811</v>
      </c>
      <c r="B187" s="4" t="str">
        <f>IFERROR(VLOOKUP(A187,'Paste - Mentors'!$A:$B,2,0),"")</f>
        <v>Kunny Radile</v>
      </c>
      <c r="C187" s="4" t="str">
        <f>IFERROR(VLOOKUP(A187,'Paste - Mentors'!$A:$D,4,0),"")</f>
        <v>Career Mentor</v>
      </c>
      <c r="D187" s="9" t="str">
        <f>IFERROR(VLOOKUP(A187,'Paste - Mentors'!$A:$F,6,0),"")</f>
        <v>FNB</v>
      </c>
      <c r="E187" s="9" t="str">
        <f>IFERROR(VLOOKUP(A187,'Paste - Mentors'!$A:$E,5,0),"")</f>
        <v>South Africa</v>
      </c>
      <c r="F187" s="9">
        <f>IF(A187="","",COUNTIFS('Paste - Relationships'!$A:$A,A187,'Paste - Relationships'!$AE:$AE,""))</f>
        <v>0</v>
      </c>
      <c r="G187" s="9" t="str">
        <f t="shared" si="2"/>
        <v>Available</v>
      </c>
      <c r="H187" s="9" t="str">
        <f>IF(A187="","",IF(COUNTIF('Programme Mentors'!$A:$A,A187)&gt;0,"Enrolled","—"))</f>
        <v>—</v>
      </c>
    </row>
    <row r="188" spans="1:8" ht="14.25" customHeight="1" x14ac:dyDescent="0.3">
      <c r="A188" s="43">
        <f>'Paste - Mentors'!A188</f>
        <v>2786451</v>
      </c>
      <c r="B188" s="3" t="str">
        <f>IFERROR(VLOOKUP(A188,'Paste - Mentors'!$A:$B,2,0),"")</f>
        <v>Lee-Anne Holmes</v>
      </c>
      <c r="C188" s="3" t="str">
        <f>IFERROR(VLOOKUP(A188,'Paste - Mentors'!$A:$D,4,0),"")</f>
        <v>Career Mentor</v>
      </c>
      <c r="D188" s="43" t="str">
        <f>IFERROR(VLOOKUP(A188,'Paste - Mentors'!$A:$F,6,0),"")</f>
        <v>FNB</v>
      </c>
      <c r="E188" s="43" t="str">
        <f>IFERROR(VLOOKUP(A188,'Paste - Mentors'!$A:$E,5,0),"")</f>
        <v>South Africa</v>
      </c>
      <c r="F188" s="43">
        <f>IF(A188="","",COUNTIFS('Paste - Relationships'!$A:$A,A188,'Paste - Relationships'!$AE:$AE,""))</f>
        <v>0</v>
      </c>
      <c r="G188" s="43" t="str">
        <f t="shared" si="2"/>
        <v>Available</v>
      </c>
      <c r="H188" s="43" t="str">
        <f>IF(A188="","",IF(COUNTIF('Programme Mentors'!$A:$A,A188)&gt;0,"Enrolled","—"))</f>
        <v>—</v>
      </c>
    </row>
    <row r="189" spans="1:8" ht="14.25" customHeight="1" x14ac:dyDescent="0.3">
      <c r="A189" s="9">
        <f>'Paste - Mentors'!A189</f>
        <v>2787717</v>
      </c>
      <c r="B189" s="4" t="str">
        <f>IFERROR(VLOOKUP(A189,'Paste - Mentors'!$A:$B,2,0),"")</f>
        <v>Susan Brown</v>
      </c>
      <c r="C189" s="4" t="str">
        <f>IFERROR(VLOOKUP(A189,'Paste - Mentors'!$A:$D,4,0),"")</f>
        <v>Career Mentor</v>
      </c>
      <c r="D189" s="9" t="str">
        <f>IFERROR(VLOOKUP(A189,'Paste - Mentors'!$A:$F,6,0),"")</f>
        <v>FNB</v>
      </c>
      <c r="E189" s="9" t="str">
        <f>IFERROR(VLOOKUP(A189,'Paste - Mentors'!$A:$E,5,0),"")</f>
        <v>South Africa</v>
      </c>
      <c r="F189" s="9">
        <f>IF(A189="","",COUNTIFS('Paste - Relationships'!$A:$A,A189,'Paste - Relationships'!$AE:$AE,""))</f>
        <v>0</v>
      </c>
      <c r="G189" s="9" t="str">
        <f t="shared" si="2"/>
        <v>Available</v>
      </c>
      <c r="H189" s="9" t="str">
        <f>IF(A189="","",IF(COUNTIF('Programme Mentors'!$A:$A,A189)&gt;0,"Enrolled","—"))</f>
        <v>—</v>
      </c>
    </row>
    <row r="190" spans="1:8" ht="14.25" customHeight="1" x14ac:dyDescent="0.3">
      <c r="A190" s="43">
        <f>'Paste - Mentors'!A190</f>
        <v>2860538</v>
      </c>
      <c r="B190" s="3" t="str">
        <f>IFERROR(VLOOKUP(A190,'Paste - Mentors'!$A:$B,2,0),"")</f>
        <v>Lou-Ann Oosthuizen</v>
      </c>
      <c r="C190" s="3" t="str">
        <f>IFERROR(VLOOKUP(A190,'Paste - Mentors'!$A:$D,4,0),"")</f>
        <v>Career Mentor</v>
      </c>
      <c r="D190" s="43" t="str">
        <f>IFERROR(VLOOKUP(A190,'Paste - Mentors'!$A:$F,6,0),"")</f>
        <v>FNB</v>
      </c>
      <c r="E190" s="43" t="str">
        <f>IFERROR(VLOOKUP(A190,'Paste - Mentors'!$A:$E,5,0),"")</f>
        <v>South Africa</v>
      </c>
      <c r="F190" s="43">
        <f>IF(A190="","",COUNTIFS('Paste - Relationships'!$A:$A,A190,'Paste - Relationships'!$AE:$AE,""))</f>
        <v>0</v>
      </c>
      <c r="G190" s="43" t="str">
        <f t="shared" si="2"/>
        <v>Available</v>
      </c>
      <c r="H190" s="43" t="str">
        <f>IF(A190="","",IF(COUNTIF('Programme Mentors'!$A:$A,A190)&gt;0,"Enrolled","—"))</f>
        <v>—</v>
      </c>
    </row>
    <row r="191" spans="1:8" ht="14.25" customHeight="1" x14ac:dyDescent="0.3">
      <c r="A191" s="9">
        <f>'Paste - Mentors'!A191</f>
        <v>2590573</v>
      </c>
      <c r="B191" s="4" t="str">
        <f>IFERROR(VLOOKUP(A191,'Paste - Mentors'!$A:$B,2,0),"")</f>
        <v>Rodney Forbes</v>
      </c>
      <c r="C191" s="4" t="str">
        <f>IFERROR(VLOOKUP(A191,'Paste - Mentors'!$A:$D,4,0),"")</f>
        <v>Career Mentor</v>
      </c>
      <c r="D191" s="9" t="str">
        <f>IFERROR(VLOOKUP(A191,'Paste - Mentors'!$A:$F,6,0),"")</f>
        <v>FNB</v>
      </c>
      <c r="E191" s="9" t="str">
        <f>IFERROR(VLOOKUP(A191,'Paste - Mentors'!$A:$E,5,0),"")</f>
        <v>Namibia</v>
      </c>
      <c r="F191" s="9">
        <f>IF(A191="","",COUNTIFS('Paste - Relationships'!$A:$A,A191,'Paste - Relationships'!$AE:$AE,""))</f>
        <v>0</v>
      </c>
      <c r="G191" s="9" t="str">
        <f t="shared" si="2"/>
        <v>Available</v>
      </c>
      <c r="H191" s="9" t="str">
        <f>IF(A191="","",IF(COUNTIF('Programme Mentors'!$A:$A,A191)&gt;0,"Enrolled","—"))</f>
        <v>—</v>
      </c>
    </row>
    <row r="192" spans="1:8" ht="14.25" customHeight="1" x14ac:dyDescent="0.3">
      <c r="A192" s="43">
        <f>'Paste - Mentors'!A192</f>
        <v>2623293</v>
      </c>
      <c r="B192" s="3" t="str">
        <f>IFERROR(VLOOKUP(A192,'Paste - Mentors'!$A:$B,2,0),"")</f>
        <v>Ilse Smuts</v>
      </c>
      <c r="C192" s="3" t="str">
        <f>IFERROR(VLOOKUP(A192,'Paste - Mentors'!$A:$D,4,0),"")</f>
        <v>Career Mentor</v>
      </c>
      <c r="D192" s="43" t="str">
        <f>IFERROR(VLOOKUP(A192,'Paste - Mentors'!$A:$F,6,0),"")</f>
        <v>FNB</v>
      </c>
      <c r="E192" s="43" t="str">
        <f>IFERROR(VLOOKUP(A192,'Paste - Mentors'!$A:$E,5,0),"")</f>
        <v>South Africa</v>
      </c>
      <c r="F192" s="43">
        <f>IF(A192="","",COUNTIFS('Paste - Relationships'!$A:$A,A192,'Paste - Relationships'!$AE:$AE,""))</f>
        <v>0</v>
      </c>
      <c r="G192" s="43" t="str">
        <f t="shared" si="2"/>
        <v>Available</v>
      </c>
      <c r="H192" s="43" t="str">
        <f>IF(A192="","",IF(COUNTIF('Programme Mentors'!$A:$A,A192)&gt;0,"Enrolled","—"))</f>
        <v>—</v>
      </c>
    </row>
    <row r="193" spans="1:8" ht="14.25" customHeight="1" x14ac:dyDescent="0.3">
      <c r="A193" s="9">
        <f>'Paste - Mentors'!A193</f>
        <v>2879050</v>
      </c>
      <c r="B193" s="4" t="str">
        <f>IFERROR(VLOOKUP(A193,'Paste - Mentors'!$A:$B,2,0),"")</f>
        <v>Vimal Deonanan</v>
      </c>
      <c r="C193" s="4" t="str">
        <f>IFERROR(VLOOKUP(A193,'Paste - Mentors'!$A:$D,4,0),"")</f>
        <v>Career Mentor</v>
      </c>
      <c r="D193" s="9" t="str">
        <f>IFERROR(VLOOKUP(A193,'Paste - Mentors'!$A:$F,6,0),"")</f>
        <v>FNB</v>
      </c>
      <c r="E193" s="9" t="str">
        <f>IFERROR(VLOOKUP(A193,'Paste - Mentors'!$A:$E,5,0),"")</f>
        <v>South Africa</v>
      </c>
      <c r="F193" s="9">
        <f>IF(A193="","",COUNTIFS('Paste - Relationships'!$A:$A,A193,'Paste - Relationships'!$AE:$AE,""))</f>
        <v>0</v>
      </c>
      <c r="G193" s="9" t="str">
        <f t="shared" si="2"/>
        <v>Available</v>
      </c>
      <c r="H193" s="9" t="str">
        <f>IF(A193="","",IF(COUNTIF('Programme Mentors'!$A:$A,A193)&gt;0,"Enrolled","—"))</f>
        <v>—</v>
      </c>
    </row>
    <row r="194" spans="1:8" ht="14.25" customHeight="1" x14ac:dyDescent="0.3">
      <c r="A194" s="43">
        <f>'Paste - Mentors'!A194</f>
        <v>2725207</v>
      </c>
      <c r="B194" s="3" t="str">
        <f>IFERROR(VLOOKUP(A194,'Paste - Mentors'!$A:$B,2,0),"")</f>
        <v>Alicia Mcquire</v>
      </c>
      <c r="C194" s="3" t="str">
        <f>IFERROR(VLOOKUP(A194,'Paste - Mentors'!$A:$D,4,0),"")</f>
        <v>Career Mentor</v>
      </c>
      <c r="D194" s="43" t="str">
        <f>IFERROR(VLOOKUP(A194,'Paste - Mentors'!$A:$F,6,0),"")</f>
        <v>FNB</v>
      </c>
      <c r="E194" s="43" t="str">
        <f>IFERROR(VLOOKUP(A194,'Paste - Mentors'!$A:$E,5,0),"")</f>
        <v>South Africa</v>
      </c>
      <c r="F194" s="43">
        <f>IF(A194="","",COUNTIFS('Paste - Relationships'!$A:$A,A194,'Paste - Relationships'!$AE:$AE,""))</f>
        <v>0</v>
      </c>
      <c r="G194" s="43" t="str">
        <f t="shared" si="2"/>
        <v>Available</v>
      </c>
      <c r="H194" s="43" t="str">
        <f>IF(A194="","",IF(COUNTIF('Programme Mentors'!$A:$A,A194)&gt;0,"Enrolled","—"))</f>
        <v>—</v>
      </c>
    </row>
    <row r="195" spans="1:8" ht="14.25" customHeight="1" x14ac:dyDescent="0.3">
      <c r="A195" s="9">
        <f>'Paste - Mentors'!A195</f>
        <v>2627388</v>
      </c>
      <c r="B195" s="4" t="str">
        <f>IFERROR(VLOOKUP(A195,'Paste - Mentors'!$A:$B,2,0),"")</f>
        <v>Fred Du Plessis</v>
      </c>
      <c r="C195" s="4" t="str">
        <f>IFERROR(VLOOKUP(A195,'Paste - Mentors'!$A:$D,4,0),"")</f>
        <v>Career Mentor</v>
      </c>
      <c r="D195" s="9" t="str">
        <f>IFERROR(VLOOKUP(A195,'Paste - Mentors'!$A:$F,6,0),"")</f>
        <v>FNB</v>
      </c>
      <c r="E195" s="9" t="str">
        <f>IFERROR(VLOOKUP(A195,'Paste - Mentors'!$A:$E,5,0),"")</f>
        <v>South Africa</v>
      </c>
      <c r="F195" s="9">
        <f>IF(A195="","",COUNTIFS('Paste - Relationships'!$A:$A,A195,'Paste - Relationships'!$AE:$AE,""))</f>
        <v>0</v>
      </c>
      <c r="G195" s="9" t="str">
        <f t="shared" si="2"/>
        <v>Available</v>
      </c>
      <c r="H195" s="9" t="str">
        <f>IF(A195="","",IF(COUNTIF('Programme Mentors'!$A:$A,A195)&gt;0,"Enrolled","—"))</f>
        <v>—</v>
      </c>
    </row>
    <row r="196" spans="1:8" ht="14.25" customHeight="1" x14ac:dyDescent="0.3">
      <c r="A196" s="43">
        <f>'Paste - Mentors'!A196</f>
        <v>2631806</v>
      </c>
      <c r="B196" s="3" t="str">
        <f>IFERROR(VLOOKUP(A196,'Paste - Mentors'!$A:$B,2,0),"")</f>
        <v>Shiraz Mahomed</v>
      </c>
      <c r="C196" s="3" t="str">
        <f>IFERROR(VLOOKUP(A196,'Paste - Mentors'!$A:$D,4,0),"")</f>
        <v>Career Mentor</v>
      </c>
      <c r="D196" s="43" t="str">
        <f>IFERROR(VLOOKUP(A196,'Paste - Mentors'!$A:$F,6,0),"")</f>
        <v>FNB</v>
      </c>
      <c r="E196" s="43" t="str">
        <f>IFERROR(VLOOKUP(A196,'Paste - Mentors'!$A:$E,5,0),"")</f>
        <v>South Africa</v>
      </c>
      <c r="F196" s="43">
        <f>IF(A196="","",COUNTIFS('Paste - Relationships'!$A:$A,A196,'Paste - Relationships'!$AE:$AE,""))</f>
        <v>0</v>
      </c>
      <c r="G196" s="43" t="str">
        <f t="shared" ref="G196:G259" si="3">IF(A196="","",IF(F196&gt;=3,"At Capacity",IF(F196=0,"Available","Has Capacity")))</f>
        <v>Available</v>
      </c>
      <c r="H196" s="43" t="str">
        <f>IF(A196="","",IF(COUNTIF('Programme Mentors'!$A:$A,A196)&gt;0,"Enrolled","—"))</f>
        <v>—</v>
      </c>
    </row>
    <row r="197" spans="1:8" ht="14.25" customHeight="1" x14ac:dyDescent="0.3">
      <c r="A197" s="9">
        <f>'Paste - Mentors'!A197</f>
        <v>2633647</v>
      </c>
      <c r="B197" s="4" t="str">
        <f>IFERROR(VLOOKUP(A197,'Paste - Mentors'!$A:$B,2,0),"")</f>
        <v>Bontle Mofokeng</v>
      </c>
      <c r="C197" s="4" t="str">
        <f>IFERROR(VLOOKUP(A197,'Paste - Mentors'!$A:$D,4,0),"")</f>
        <v>Career Mentor</v>
      </c>
      <c r="D197" s="9" t="str">
        <f>IFERROR(VLOOKUP(A197,'Paste - Mentors'!$A:$F,6,0),"")</f>
        <v>FNB</v>
      </c>
      <c r="E197" s="9" t="str">
        <f>IFERROR(VLOOKUP(A197,'Paste - Mentors'!$A:$E,5,0),"")</f>
        <v>South Africa</v>
      </c>
      <c r="F197" s="9">
        <f>IF(A197="","",COUNTIFS('Paste - Relationships'!$A:$A,A197,'Paste - Relationships'!$AE:$AE,""))</f>
        <v>0</v>
      </c>
      <c r="G197" s="9" t="str">
        <f t="shared" si="3"/>
        <v>Available</v>
      </c>
      <c r="H197" s="9" t="str">
        <f>IF(A197="","",IF(COUNTIF('Programme Mentors'!$A:$A,A197)&gt;0,"Enrolled","—"))</f>
        <v>—</v>
      </c>
    </row>
    <row r="198" spans="1:8" ht="14.25" customHeight="1" x14ac:dyDescent="0.3">
      <c r="A198" s="43">
        <f>'Paste - Mentors'!A198</f>
        <v>2692805</v>
      </c>
      <c r="B198" s="3" t="str">
        <f>IFERROR(VLOOKUP(A198,'Paste - Mentors'!$A:$B,2,0),"")</f>
        <v>Dianne Raghunath</v>
      </c>
      <c r="C198" s="3" t="str">
        <f>IFERROR(VLOOKUP(A198,'Paste - Mentors'!$A:$D,4,0),"")</f>
        <v>Career Mentor</v>
      </c>
      <c r="D198" s="43" t="str">
        <f>IFERROR(VLOOKUP(A198,'Paste - Mentors'!$A:$F,6,0),"")</f>
        <v>FNB</v>
      </c>
      <c r="E198" s="43" t="str">
        <f>IFERROR(VLOOKUP(A198,'Paste - Mentors'!$A:$E,5,0),"")</f>
        <v>South Africa</v>
      </c>
      <c r="F198" s="43">
        <f>IF(A198="","",COUNTIFS('Paste - Relationships'!$A:$A,A198,'Paste - Relationships'!$AE:$AE,""))</f>
        <v>0</v>
      </c>
      <c r="G198" s="43" t="str">
        <f t="shared" si="3"/>
        <v>Available</v>
      </c>
      <c r="H198" s="43" t="str">
        <f>IF(A198="","",IF(COUNTIF('Programme Mentors'!$A:$A,A198)&gt;0,"Enrolled","—"))</f>
        <v>—</v>
      </c>
    </row>
    <row r="199" spans="1:8" ht="14.25" customHeight="1" x14ac:dyDescent="0.3">
      <c r="A199" s="9">
        <f>'Paste - Mentors'!A199</f>
        <v>2397498</v>
      </c>
      <c r="B199" s="4" t="str">
        <f>IFERROR(VLOOKUP(A199,'Paste - Mentors'!$A:$B,2,0),"")</f>
        <v>Michelle Boyd</v>
      </c>
      <c r="C199" s="4" t="str">
        <f>IFERROR(VLOOKUP(A199,'Paste - Mentors'!$A:$D,4,0),"")</f>
        <v>Career Mentor</v>
      </c>
      <c r="D199" s="9" t="str">
        <f>IFERROR(VLOOKUP(A199,'Paste - Mentors'!$A:$F,6,0),"")</f>
        <v>FNB</v>
      </c>
      <c r="E199" s="9" t="str">
        <f>IFERROR(VLOOKUP(A199,'Paste - Mentors'!$A:$E,5,0),"")</f>
        <v>South Africa</v>
      </c>
      <c r="F199" s="9">
        <f>IF(A199="","",COUNTIFS('Paste - Relationships'!$A:$A,A199,'Paste - Relationships'!$AE:$AE,""))</f>
        <v>0</v>
      </c>
      <c r="G199" s="9" t="str">
        <f t="shared" si="3"/>
        <v>Available</v>
      </c>
      <c r="H199" s="9" t="str">
        <f>IF(A199="","",IF(COUNTIF('Programme Mentors'!$A:$A,A199)&gt;0,"Enrolled","—"))</f>
        <v>—</v>
      </c>
    </row>
    <row r="200" spans="1:8" ht="14.25" customHeight="1" x14ac:dyDescent="0.3">
      <c r="A200" s="43">
        <f>'Paste - Mentors'!A200</f>
        <v>2354535</v>
      </c>
      <c r="B200" s="3" t="str">
        <f>IFERROR(VLOOKUP(A200,'Paste - Mentors'!$A:$B,2,0),"")</f>
        <v>Edmar Topkin</v>
      </c>
      <c r="C200" s="3" t="str">
        <f>IFERROR(VLOOKUP(A200,'Paste - Mentors'!$A:$D,4,0),"")</f>
        <v>Career Mentor</v>
      </c>
      <c r="D200" s="43" t="str">
        <f>IFERROR(VLOOKUP(A200,'Paste - Mentors'!$A:$F,6,0),"")</f>
        <v>FNB</v>
      </c>
      <c r="E200" s="43" t="str">
        <f>IFERROR(VLOOKUP(A200,'Paste - Mentors'!$A:$E,5,0),"")</f>
        <v>South Africa</v>
      </c>
      <c r="F200" s="43">
        <f>IF(A200="","",COUNTIFS('Paste - Relationships'!$A:$A,A200,'Paste - Relationships'!$AE:$AE,""))</f>
        <v>0</v>
      </c>
      <c r="G200" s="43" t="str">
        <f t="shared" si="3"/>
        <v>Available</v>
      </c>
      <c r="H200" s="43" t="str">
        <f>IF(A200="","",IF(COUNTIF('Programme Mentors'!$A:$A,A200)&gt;0,"Enrolled","—"))</f>
        <v>—</v>
      </c>
    </row>
    <row r="201" spans="1:8" ht="14.25" customHeight="1" x14ac:dyDescent="0.3">
      <c r="A201" s="9">
        <f>'Paste - Mentors'!A201</f>
        <v>2400782</v>
      </c>
      <c r="B201" s="4" t="str">
        <f>IFERROR(VLOOKUP(A201,'Paste - Mentors'!$A:$B,2,0),"")</f>
        <v>Jolene Fisher</v>
      </c>
      <c r="C201" s="4" t="str">
        <f>IFERROR(VLOOKUP(A201,'Paste - Mentors'!$A:$D,4,0),"")</f>
        <v>Career Mentor</v>
      </c>
      <c r="D201" s="9" t="str">
        <f>IFERROR(VLOOKUP(A201,'Paste - Mentors'!$A:$F,6,0),"")</f>
        <v>FNB</v>
      </c>
      <c r="E201" s="9" t="str">
        <f>IFERROR(VLOOKUP(A201,'Paste - Mentors'!$A:$E,5,0),"")</f>
        <v>South Africa</v>
      </c>
      <c r="F201" s="9">
        <f>IF(A201="","",COUNTIFS('Paste - Relationships'!$A:$A,A201,'Paste - Relationships'!$AE:$AE,""))</f>
        <v>0</v>
      </c>
      <c r="G201" s="9" t="str">
        <f t="shared" si="3"/>
        <v>Available</v>
      </c>
      <c r="H201" s="9" t="str">
        <f>IF(A201="","",IF(COUNTIF('Programme Mentors'!$A:$A,A201)&gt;0,"Enrolled","—"))</f>
        <v>—</v>
      </c>
    </row>
    <row r="202" spans="1:8" ht="14.25" customHeight="1" x14ac:dyDescent="0.3">
      <c r="A202" s="43">
        <f>'Paste - Mentors'!A202</f>
        <v>2404028</v>
      </c>
      <c r="B202" s="3" t="str">
        <f>IFERROR(VLOOKUP(A202,'Paste - Mentors'!$A:$B,2,0),"")</f>
        <v>Debbie Maloney</v>
      </c>
      <c r="C202" s="3" t="str">
        <f>IFERROR(VLOOKUP(A202,'Paste - Mentors'!$A:$D,4,0),"")</f>
        <v>Career Mentor</v>
      </c>
      <c r="D202" s="43" t="str">
        <f>IFERROR(VLOOKUP(A202,'Paste - Mentors'!$A:$F,6,0),"")</f>
        <v>FNB</v>
      </c>
      <c r="E202" s="43" t="str">
        <f>IFERROR(VLOOKUP(A202,'Paste - Mentors'!$A:$E,5,0),"")</f>
        <v>South Africa</v>
      </c>
      <c r="F202" s="43">
        <f>IF(A202="","",COUNTIFS('Paste - Relationships'!$A:$A,A202,'Paste - Relationships'!$AE:$AE,""))</f>
        <v>0</v>
      </c>
      <c r="G202" s="43" t="str">
        <f t="shared" si="3"/>
        <v>Available</v>
      </c>
      <c r="H202" s="43" t="str">
        <f>IF(A202="","",IF(COUNTIF('Programme Mentors'!$A:$A,A202)&gt;0,"Enrolled","—"))</f>
        <v>—</v>
      </c>
    </row>
    <row r="203" spans="1:8" ht="14.25" customHeight="1" x14ac:dyDescent="0.3">
      <c r="A203" s="9">
        <f>'Paste - Mentors'!A203</f>
        <v>1428084</v>
      </c>
      <c r="B203" s="4" t="str">
        <f>IFERROR(VLOOKUP(A203,'Paste - Mentors'!$A:$B,2,0),"")</f>
        <v>Niresh Moorley</v>
      </c>
      <c r="C203" s="4" t="str">
        <f>IFERROR(VLOOKUP(A203,'Paste - Mentors'!$A:$D,4,0),"")</f>
        <v>Career Mentor</v>
      </c>
      <c r="D203" s="9" t="str">
        <f>IFERROR(VLOOKUP(A203,'Paste - Mentors'!$A:$F,6,0),"")</f>
        <v>WesBank</v>
      </c>
      <c r="E203" s="9" t="str">
        <f>IFERROR(VLOOKUP(A203,'Paste - Mentors'!$A:$E,5,0),"")</f>
        <v>South Africa</v>
      </c>
      <c r="F203" s="9">
        <f>IF(A203="","",COUNTIFS('Paste - Relationships'!$A:$A,A203,'Paste - Relationships'!$AE:$AE,""))</f>
        <v>0</v>
      </c>
      <c r="G203" s="9" t="str">
        <f t="shared" si="3"/>
        <v>Available</v>
      </c>
      <c r="H203" s="9" t="str">
        <f>IF(A203="","",IF(COUNTIF('Programme Mentors'!$A:$A,A203)&gt;0,"Enrolled","—"))</f>
        <v>—</v>
      </c>
    </row>
    <row r="204" spans="1:8" ht="14.25" customHeight="1" x14ac:dyDescent="0.3">
      <c r="A204" s="43">
        <f>'Paste - Mentors'!A204</f>
        <v>2024721</v>
      </c>
      <c r="B204" s="3" t="str">
        <f>IFERROR(VLOOKUP(A204,'Paste - Mentors'!$A:$B,2,0),"")</f>
        <v>Gary Frank</v>
      </c>
      <c r="C204" s="3" t="str">
        <f>IFERROR(VLOOKUP(A204,'Paste - Mentors'!$A:$D,4,0),"")</f>
        <v>Career Mentor
Leadership Mentor</v>
      </c>
      <c r="D204" s="43" t="str">
        <f>IFERROR(VLOOKUP(A204,'Paste - Mentors'!$A:$F,6,0),"")</f>
        <v>FNB</v>
      </c>
      <c r="E204" s="43" t="str">
        <f>IFERROR(VLOOKUP(A204,'Paste - Mentors'!$A:$E,5,0),"")</f>
        <v>South Africa</v>
      </c>
      <c r="F204" s="43">
        <f>IF(A204="","",COUNTIFS('Paste - Relationships'!$A:$A,A204,'Paste - Relationships'!$AE:$AE,""))</f>
        <v>2</v>
      </c>
      <c r="G204" s="43" t="str">
        <f t="shared" si="3"/>
        <v>Has Capacity</v>
      </c>
      <c r="H204" s="43" t="str">
        <f>IF(A204="","",IF(COUNTIF('Programme Mentors'!$A:$A,A204)&gt;0,"Enrolled","—"))</f>
        <v>—</v>
      </c>
    </row>
    <row r="205" spans="1:8" ht="33.75" customHeight="1" x14ac:dyDescent="0.3">
      <c r="A205" s="9">
        <f>'Paste - Mentors'!A205</f>
        <v>2216191</v>
      </c>
      <c r="B205" s="4" t="str">
        <f>IFERROR(VLOOKUP(A205,'Paste - Mentors'!$A:$B,2,0),"")</f>
        <v>Liesel Claase</v>
      </c>
      <c r="C205" s="4" t="str">
        <f>IFERROR(VLOOKUP(A205,'Paste - Mentors'!$A:$D,4,0),"")</f>
        <v>Career Mentor
Workplace  Buddy</v>
      </c>
      <c r="D205" s="9" t="str">
        <f>IFERROR(VLOOKUP(A205,'Paste - Mentors'!$A:$F,6,0),"")</f>
        <v>FNB</v>
      </c>
      <c r="E205" s="9" t="str">
        <f>IFERROR(VLOOKUP(A205,'Paste - Mentors'!$A:$E,5,0),"")</f>
        <v>South Africa</v>
      </c>
      <c r="F205" s="9">
        <f>IF(A205="","",COUNTIFS('Paste - Relationships'!$A:$A,A205,'Paste - Relationships'!$AE:$AE,""))</f>
        <v>1</v>
      </c>
      <c r="G205" s="9" t="str">
        <f t="shared" si="3"/>
        <v>Has Capacity</v>
      </c>
      <c r="H205" s="9" t="str">
        <f>IF(A205="","",IF(COUNTIF('Programme Mentors'!$A:$A,A205)&gt;0,"Enrolled","—"))</f>
        <v>—</v>
      </c>
    </row>
    <row r="206" spans="1:8" ht="33.75" customHeight="1" x14ac:dyDescent="0.3">
      <c r="A206" s="43">
        <f>'Paste - Mentors'!A206</f>
        <v>2305208</v>
      </c>
      <c r="B206" s="3" t="str">
        <f>IFERROR(VLOOKUP(A206,'Paste - Mentors'!$A:$B,2,0),"")</f>
        <v>Vanessa Mileham</v>
      </c>
      <c r="C206" s="3" t="str">
        <f>IFERROR(VLOOKUP(A206,'Paste - Mentors'!$A:$D,4,0),"")</f>
        <v>Career Mentor</v>
      </c>
      <c r="D206" s="43" t="str">
        <f>IFERROR(VLOOKUP(A206,'Paste - Mentors'!$A:$F,6,0),"")</f>
        <v>FNB</v>
      </c>
      <c r="E206" s="43" t="str">
        <f>IFERROR(VLOOKUP(A206,'Paste - Mentors'!$A:$E,5,0),"")</f>
        <v>South Africa</v>
      </c>
      <c r="F206" s="43">
        <f>IF(A206="","",COUNTIFS('Paste - Relationships'!$A:$A,A206,'Paste - Relationships'!$AE:$AE,""))</f>
        <v>0</v>
      </c>
      <c r="G206" s="43" t="str">
        <f t="shared" si="3"/>
        <v>Available</v>
      </c>
      <c r="H206" s="43" t="str">
        <f>IF(A206="","",IF(COUNTIF('Programme Mentors'!$A:$A,A206)&gt;0,"Enrolled","—"))</f>
        <v>—</v>
      </c>
    </row>
    <row r="207" spans="1:8" ht="14.25" customHeight="1" x14ac:dyDescent="0.3">
      <c r="A207" s="9">
        <f>'Paste - Mentors'!A207</f>
        <v>930</v>
      </c>
      <c r="B207" s="4" t="str">
        <f>IFERROR(VLOOKUP(A207,'Paste - Mentors'!$A:$B,2,0),"")</f>
        <v>Carlien Scholtz-Snyman</v>
      </c>
      <c r="C207" s="4" t="str">
        <f>IFERROR(VLOOKUP(A207,'Paste - Mentors'!$A:$D,4,0),"")</f>
        <v>Career Mentor</v>
      </c>
      <c r="D207" s="9" t="str">
        <f>IFERROR(VLOOKUP(A207,'Paste - Mentors'!$A:$F,6,0),"")</f>
        <v>FNB</v>
      </c>
      <c r="E207" s="9" t="str">
        <f>IFERROR(VLOOKUP(A207,'Paste - Mentors'!$A:$E,5,0),"")</f>
        <v>South Africa</v>
      </c>
      <c r="F207" s="9">
        <f>IF(A207="","",COUNTIFS('Paste - Relationships'!$A:$A,A207,'Paste - Relationships'!$AE:$AE,""))</f>
        <v>0</v>
      </c>
      <c r="G207" s="9" t="str">
        <f t="shared" si="3"/>
        <v>Available</v>
      </c>
      <c r="H207" s="9" t="str">
        <f>IF(A207="","",IF(COUNTIF('Programme Mentors'!$A:$A,A207)&gt;0,"Enrolled","—"))</f>
        <v>—</v>
      </c>
    </row>
    <row r="208" spans="1:8" ht="14.25" customHeight="1" x14ac:dyDescent="0.3">
      <c r="A208" s="43">
        <f>'Paste - Mentors'!A208</f>
        <v>2028166</v>
      </c>
      <c r="B208" s="3" t="str">
        <f>IFERROR(VLOOKUP(A208,'Paste - Mentors'!$A:$B,2,0),"")</f>
        <v>Naeem Akoojee</v>
      </c>
      <c r="C208" s="3" t="str">
        <f>IFERROR(VLOOKUP(A208,'Paste - Mentors'!$A:$D,4,0),"")</f>
        <v>Career Mentor</v>
      </c>
      <c r="D208" s="43" t="str">
        <f>IFERROR(VLOOKUP(A208,'Paste - Mentors'!$A:$F,6,0),"")</f>
        <v>FNB</v>
      </c>
      <c r="E208" s="43" t="str">
        <f>IFERROR(VLOOKUP(A208,'Paste - Mentors'!$A:$E,5,0),"")</f>
        <v>South Africa</v>
      </c>
      <c r="F208" s="43">
        <f>IF(A208="","",COUNTIFS('Paste - Relationships'!$A:$A,A208,'Paste - Relationships'!$AE:$AE,""))</f>
        <v>0</v>
      </c>
      <c r="G208" s="43" t="str">
        <f t="shared" si="3"/>
        <v>Available</v>
      </c>
      <c r="H208" s="43" t="str">
        <f>IF(A208="","",IF(COUNTIF('Programme Mentors'!$A:$A,A208)&gt;0,"Enrolled","—"))</f>
        <v>—</v>
      </c>
    </row>
    <row r="209" spans="1:8" ht="14.25" customHeight="1" x14ac:dyDescent="0.3">
      <c r="A209" s="9">
        <f>'Paste - Mentors'!A209</f>
        <v>3318842</v>
      </c>
      <c r="B209" s="4" t="str">
        <f>IFERROR(VLOOKUP(A209,'Paste - Mentors'!$A:$B,2,0),"")</f>
        <v>Corne Janse Van Rensburg</v>
      </c>
      <c r="C209" s="4" t="str">
        <f>IFERROR(VLOOKUP(A209,'Paste - Mentors'!$A:$D,4,0),"")</f>
        <v>Career Mentor</v>
      </c>
      <c r="D209" s="9" t="str">
        <f>IFERROR(VLOOKUP(A209,'Paste - Mentors'!$A:$F,6,0),"")</f>
        <v>WesBank</v>
      </c>
      <c r="E209" s="9" t="str">
        <f>IFERROR(VLOOKUP(A209,'Paste - Mentors'!$A:$E,5,0),"")</f>
        <v>South Africa</v>
      </c>
      <c r="F209" s="9">
        <f>IF(A209="","",COUNTIFS('Paste - Relationships'!$A:$A,A209,'Paste - Relationships'!$AE:$AE,""))</f>
        <v>0</v>
      </c>
      <c r="G209" s="9" t="str">
        <f t="shared" si="3"/>
        <v>Available</v>
      </c>
      <c r="H209" s="9" t="str">
        <f>IF(A209="","",IF(COUNTIF('Programme Mentors'!$A:$A,A209)&gt;0,"Enrolled","—"))</f>
        <v>—</v>
      </c>
    </row>
    <row r="210" spans="1:8" ht="14.25" customHeight="1" x14ac:dyDescent="0.3">
      <c r="A210" s="43">
        <f>'Paste - Mentors'!A210</f>
        <v>3319563</v>
      </c>
      <c r="B210" s="3" t="str">
        <f>IFERROR(VLOOKUP(A210,'Paste - Mentors'!$A:$B,2,0),"")</f>
        <v>Pfarelo Maudu</v>
      </c>
      <c r="C210" s="3" t="str">
        <f>IFERROR(VLOOKUP(A210,'Paste - Mentors'!$A:$D,4,0),"")</f>
        <v>Career Mentor</v>
      </c>
      <c r="D210" s="43" t="str">
        <f>IFERROR(VLOOKUP(A210,'Paste - Mentors'!$A:$F,6,0),"")</f>
        <v>FNB</v>
      </c>
      <c r="E210" s="43" t="str">
        <f>IFERROR(VLOOKUP(A210,'Paste - Mentors'!$A:$E,5,0),"")</f>
        <v>South Africa</v>
      </c>
      <c r="F210" s="43">
        <f>IF(A210="","",COUNTIFS('Paste - Relationships'!$A:$A,A210,'Paste - Relationships'!$AE:$AE,""))</f>
        <v>0</v>
      </c>
      <c r="G210" s="43" t="str">
        <f t="shared" si="3"/>
        <v>Available</v>
      </c>
      <c r="H210" s="43" t="str">
        <f>IF(A210="","",IF(COUNTIF('Programme Mentors'!$A:$A,A210)&gt;0,"Enrolled","—"))</f>
        <v>—</v>
      </c>
    </row>
    <row r="211" spans="1:8" ht="14.25" customHeight="1" x14ac:dyDescent="0.3">
      <c r="A211" s="9">
        <f>'Paste - Mentors'!A211</f>
        <v>3321320</v>
      </c>
      <c r="B211" s="4" t="str">
        <f>IFERROR(VLOOKUP(A211,'Paste - Mentors'!$A:$B,2,0),"")</f>
        <v>Stephen Bull</v>
      </c>
      <c r="C211" s="4" t="str">
        <f>IFERROR(VLOOKUP(A211,'Paste - Mentors'!$A:$D,4,0),"")</f>
        <v>Career Mentor</v>
      </c>
      <c r="D211" s="9" t="str">
        <f>IFERROR(VLOOKUP(A211,'Paste - Mentors'!$A:$F,6,0),"")</f>
        <v>FirstRand Corporate Centre</v>
      </c>
      <c r="E211" s="9" t="str">
        <f>IFERROR(VLOOKUP(A211,'Paste - Mentors'!$A:$E,5,0),"")</f>
        <v>South Africa</v>
      </c>
      <c r="F211" s="9">
        <f>IF(A211="","",COUNTIFS('Paste - Relationships'!$A:$A,A211,'Paste - Relationships'!$AE:$AE,""))</f>
        <v>0</v>
      </c>
      <c r="G211" s="9" t="str">
        <f t="shared" si="3"/>
        <v>Available</v>
      </c>
      <c r="H211" s="9" t="str">
        <f>IF(A211="","",IF(COUNTIF('Programme Mentors'!$A:$A,A211)&gt;0,"Enrolled","—"))</f>
        <v>—</v>
      </c>
    </row>
    <row r="212" spans="1:8" ht="33.75" customHeight="1" x14ac:dyDescent="0.3">
      <c r="A212" s="43">
        <f>'Paste - Mentors'!A212</f>
        <v>3324737</v>
      </c>
      <c r="B212" s="3" t="str">
        <f>IFERROR(VLOOKUP(A212,'Paste - Mentors'!$A:$B,2,0),"")</f>
        <v>Neilan Naicker</v>
      </c>
      <c r="C212" s="3" t="str">
        <f>IFERROR(VLOOKUP(A212,'Paste - Mentors'!$A:$D,4,0),"")</f>
        <v>Career Mentor</v>
      </c>
      <c r="D212" s="43" t="str">
        <f>IFERROR(VLOOKUP(A212,'Paste - Mentors'!$A:$F,6,0),"")</f>
        <v>FNB</v>
      </c>
      <c r="E212" s="43" t="str">
        <f>IFERROR(VLOOKUP(A212,'Paste - Mentors'!$A:$E,5,0),"")</f>
        <v>South Africa</v>
      </c>
      <c r="F212" s="43">
        <f>IF(A212="","",COUNTIFS('Paste - Relationships'!$A:$A,A212,'Paste - Relationships'!$AE:$AE,""))</f>
        <v>0</v>
      </c>
      <c r="G212" s="43" t="str">
        <f t="shared" si="3"/>
        <v>Available</v>
      </c>
      <c r="H212" s="43" t="str">
        <f>IF(A212="","",IF(COUNTIF('Programme Mentors'!$A:$A,A212)&gt;0,"Enrolled","—"))</f>
        <v>—</v>
      </c>
    </row>
    <row r="213" spans="1:8" ht="14.25" customHeight="1" x14ac:dyDescent="0.3">
      <c r="A213" s="9">
        <f>'Paste - Mentors'!A213</f>
        <v>3325318</v>
      </c>
      <c r="B213" s="4" t="str">
        <f>IFERROR(VLOOKUP(A213,'Paste - Mentors'!$A:$B,2,0),"")</f>
        <v>Hulisani Netshitungulu</v>
      </c>
      <c r="C213" s="4" t="str">
        <f>IFERROR(VLOOKUP(A213,'Paste - Mentors'!$A:$D,4,0),"")</f>
        <v>Career Mentor</v>
      </c>
      <c r="D213" s="9" t="str">
        <f>IFERROR(VLOOKUP(A213,'Paste - Mentors'!$A:$F,6,0),"")</f>
        <v>FNB</v>
      </c>
      <c r="E213" s="9" t="str">
        <f>IFERROR(VLOOKUP(A213,'Paste - Mentors'!$A:$E,5,0),"")</f>
        <v>South Africa</v>
      </c>
      <c r="F213" s="9">
        <f>IF(A213="","",COUNTIFS('Paste - Relationships'!$A:$A,A213,'Paste - Relationships'!$AE:$AE,""))</f>
        <v>0</v>
      </c>
      <c r="G213" s="9" t="str">
        <f t="shared" si="3"/>
        <v>Available</v>
      </c>
      <c r="H213" s="9" t="str">
        <f>IF(A213="","",IF(COUNTIF('Programme Mentors'!$A:$A,A213)&gt;0,"Enrolled","—"))</f>
        <v>—</v>
      </c>
    </row>
    <row r="214" spans="1:8" ht="14.25" customHeight="1" x14ac:dyDescent="0.3">
      <c r="A214" s="43">
        <f>'Paste - Mentors'!A214</f>
        <v>3333019</v>
      </c>
      <c r="B214" s="3" t="str">
        <f>IFERROR(VLOOKUP(A214,'Paste - Mentors'!$A:$B,2,0),"")</f>
        <v>Terence Mahundla</v>
      </c>
      <c r="C214" s="3" t="str">
        <f>IFERROR(VLOOKUP(A214,'Paste - Mentors'!$A:$D,4,0),"")</f>
        <v>Career Mentor</v>
      </c>
      <c r="D214" s="43" t="str">
        <f>IFERROR(VLOOKUP(A214,'Paste - Mentors'!$A:$F,6,0),"")</f>
        <v>RMB</v>
      </c>
      <c r="E214" s="43" t="str">
        <f>IFERROR(VLOOKUP(A214,'Paste - Mentors'!$A:$E,5,0),"")</f>
        <v>South Africa</v>
      </c>
      <c r="F214" s="43">
        <f>IF(A214="","",COUNTIFS('Paste - Relationships'!$A:$A,A214,'Paste - Relationships'!$AE:$AE,""))</f>
        <v>0</v>
      </c>
      <c r="G214" s="43" t="str">
        <f t="shared" si="3"/>
        <v>Available</v>
      </c>
      <c r="H214" s="43" t="str">
        <f>IF(A214="","",IF(COUNTIF('Programme Mentors'!$A:$A,A214)&gt;0,"Enrolled","—"))</f>
        <v>—</v>
      </c>
    </row>
    <row r="215" spans="1:8" ht="14.25" customHeight="1" x14ac:dyDescent="0.3">
      <c r="A215" s="9">
        <f>'Paste - Mentors'!A215</f>
        <v>3333159</v>
      </c>
      <c r="B215" s="4" t="str">
        <f>IFERROR(VLOOKUP(A215,'Paste - Mentors'!$A:$B,2,0),"")</f>
        <v>Vusi Khoza</v>
      </c>
      <c r="C215" s="4" t="str">
        <f>IFERROR(VLOOKUP(A215,'Paste - Mentors'!$A:$D,4,0),"")</f>
        <v>Career Mentor</v>
      </c>
      <c r="D215" s="9" t="str">
        <f>IFERROR(VLOOKUP(A215,'Paste - Mentors'!$A:$F,6,0),"")</f>
        <v>FNB</v>
      </c>
      <c r="E215" s="9" t="str">
        <f>IFERROR(VLOOKUP(A215,'Paste - Mentors'!$A:$E,5,0),"")</f>
        <v>South Africa</v>
      </c>
      <c r="F215" s="9">
        <f>IF(A215="","",COUNTIFS('Paste - Relationships'!$A:$A,A215,'Paste - Relationships'!$AE:$AE,""))</f>
        <v>0</v>
      </c>
      <c r="G215" s="9" t="str">
        <f t="shared" si="3"/>
        <v>Available</v>
      </c>
      <c r="H215" s="9" t="str">
        <f>IF(A215="","",IF(COUNTIF('Programme Mentors'!$A:$A,A215)&gt;0,"Enrolled","—"))</f>
        <v>—</v>
      </c>
    </row>
    <row r="216" spans="1:8" ht="14.25" customHeight="1" x14ac:dyDescent="0.3">
      <c r="A216" s="43">
        <f>'Paste - Mentors'!A216</f>
        <v>3336182</v>
      </c>
      <c r="B216" s="3" t="str">
        <f>IFERROR(VLOOKUP(A216,'Paste - Mentors'!$A:$B,2,0),"")</f>
        <v>Veronica Ntshalintshali</v>
      </c>
      <c r="C216" s="3" t="str">
        <f>IFERROR(VLOOKUP(A216,'Paste - Mentors'!$A:$D,4,0),"")</f>
        <v>Career Mentor</v>
      </c>
      <c r="D216" s="43" t="str">
        <f>IFERROR(VLOOKUP(A216,'Paste - Mentors'!$A:$F,6,0),"")</f>
        <v>FNB</v>
      </c>
      <c r="E216" s="43" t="str">
        <f>IFERROR(VLOOKUP(A216,'Paste - Mentors'!$A:$E,5,0),"")</f>
        <v>Eswatini</v>
      </c>
      <c r="F216" s="43">
        <f>IF(A216="","",COUNTIFS('Paste - Relationships'!$A:$A,A216,'Paste - Relationships'!$AE:$AE,""))</f>
        <v>1</v>
      </c>
      <c r="G216" s="43" t="str">
        <f t="shared" si="3"/>
        <v>Has Capacity</v>
      </c>
      <c r="H216" s="43" t="str">
        <f>IF(A216="","",IF(COUNTIF('Programme Mentors'!$A:$A,A216)&gt;0,"Enrolled","—"))</f>
        <v>—</v>
      </c>
    </row>
    <row r="217" spans="1:8" ht="14.25" customHeight="1" x14ac:dyDescent="0.3">
      <c r="A217" s="9">
        <f>'Paste - Mentors'!A217</f>
        <v>3337936</v>
      </c>
      <c r="B217" s="4" t="str">
        <f>IFERROR(VLOOKUP(A217,'Paste - Mentors'!$A:$B,2,0),"")</f>
        <v>Cathrin Pretorius</v>
      </c>
      <c r="C217" s="4" t="str">
        <f>IFERROR(VLOOKUP(A217,'Paste - Mentors'!$A:$D,4,0),"")</f>
        <v>Career Mentor
Leadership Mentor
Technical Mentor
Workplace  Buddy</v>
      </c>
      <c r="D217" s="9" t="str">
        <f>IFERROR(VLOOKUP(A217,'Paste - Mentors'!$A:$F,6,0),"")</f>
        <v>RMB</v>
      </c>
      <c r="E217" s="9" t="str">
        <f>IFERROR(VLOOKUP(A217,'Paste - Mentors'!$A:$E,5,0),"")</f>
        <v>South Africa</v>
      </c>
      <c r="F217" s="9">
        <f>IF(A217="","",COUNTIFS('Paste - Relationships'!$A:$A,A217,'Paste - Relationships'!$AE:$AE,""))</f>
        <v>0</v>
      </c>
      <c r="G217" s="9" t="str">
        <f t="shared" si="3"/>
        <v>Available</v>
      </c>
      <c r="H217" s="9" t="str">
        <f>IF(A217="","",IF(COUNTIF('Programme Mentors'!$A:$A,A217)&gt;0,"Enrolled","—"))</f>
        <v>—</v>
      </c>
    </row>
    <row r="218" spans="1:8" ht="79.5" customHeight="1" x14ac:dyDescent="0.3">
      <c r="A218" s="43">
        <f>'Paste - Mentors'!A218</f>
        <v>3339785</v>
      </c>
      <c r="B218" s="3" t="str">
        <f>IFERROR(VLOOKUP(A218,'Paste - Mentors'!$A:$B,2,0),"")</f>
        <v>Kishenthren Padayachee</v>
      </c>
      <c r="C218" s="3" t="str">
        <f>IFERROR(VLOOKUP(A218,'Paste - Mentors'!$A:$D,4,0),"")</f>
        <v>Career Mentor</v>
      </c>
      <c r="D218" s="43" t="str">
        <f>IFERROR(VLOOKUP(A218,'Paste - Mentors'!$A:$F,6,0),"")</f>
        <v>Toyota Financial Services SA Ltd</v>
      </c>
      <c r="E218" s="43" t="str">
        <f>IFERROR(VLOOKUP(A218,'Paste - Mentors'!$A:$E,5,0),"")</f>
        <v>South Africa</v>
      </c>
      <c r="F218" s="43">
        <f>IF(A218="","",COUNTIFS('Paste - Relationships'!$A:$A,A218,'Paste - Relationships'!$AE:$AE,""))</f>
        <v>0</v>
      </c>
      <c r="G218" s="43" t="str">
        <f t="shared" si="3"/>
        <v>Available</v>
      </c>
      <c r="H218" s="43" t="str">
        <f>IF(A218="","",IF(COUNTIF('Programme Mentors'!$A:$A,A218)&gt;0,"Enrolled","—"))</f>
        <v>—</v>
      </c>
    </row>
    <row r="219" spans="1:8" ht="45" customHeight="1" x14ac:dyDescent="0.3">
      <c r="A219" s="9">
        <f>'Paste - Mentors'!A219</f>
        <v>3341577</v>
      </c>
      <c r="B219" s="4" t="str">
        <f>IFERROR(VLOOKUP(A219,'Paste - Mentors'!$A:$B,2,0),"")</f>
        <v>Shivesh Govind</v>
      </c>
      <c r="C219" s="4" t="str">
        <f>IFERROR(VLOOKUP(A219,'Paste - Mentors'!$A:$D,4,0),"")</f>
        <v>Career Mentor</v>
      </c>
      <c r="D219" s="9" t="str">
        <f>IFERROR(VLOOKUP(A219,'Paste - Mentors'!$A:$F,6,0),"")</f>
        <v>FNB</v>
      </c>
      <c r="E219" s="9" t="str">
        <f>IFERROR(VLOOKUP(A219,'Paste - Mentors'!$A:$E,5,0),"")</f>
        <v>South Africa</v>
      </c>
      <c r="F219" s="9">
        <f>IF(A219="","",COUNTIFS('Paste - Relationships'!$A:$A,A219,'Paste - Relationships'!$AE:$AE,""))</f>
        <v>0</v>
      </c>
      <c r="G219" s="9" t="str">
        <f t="shared" si="3"/>
        <v>Available</v>
      </c>
      <c r="H219" s="9" t="str">
        <f>IF(A219="","",IF(COUNTIF('Programme Mentors'!$A:$A,A219)&gt;0,"Enrolled","—"))</f>
        <v>—</v>
      </c>
    </row>
    <row r="220" spans="1:8" ht="14.25" customHeight="1" x14ac:dyDescent="0.3">
      <c r="A220" s="43">
        <f>'Paste - Mentors'!A220</f>
        <v>3342913</v>
      </c>
      <c r="B220" s="3" t="str">
        <f>IFERROR(VLOOKUP(A220,'Paste - Mentors'!$A:$B,2,0),"")</f>
        <v>Simon Makhura</v>
      </c>
      <c r="C220" s="3" t="str">
        <f>IFERROR(VLOOKUP(A220,'Paste - Mentors'!$A:$D,4,0),"")</f>
        <v>Career Mentor
Leadership Mentor
Transition Mentor</v>
      </c>
      <c r="D220" s="43" t="str">
        <f>IFERROR(VLOOKUP(A220,'Paste - Mentors'!$A:$F,6,0),"")</f>
        <v>FNB</v>
      </c>
      <c r="E220" s="43" t="str">
        <f>IFERROR(VLOOKUP(A220,'Paste - Mentors'!$A:$E,5,0),"")</f>
        <v>South Africa</v>
      </c>
      <c r="F220" s="43">
        <f>IF(A220="","",COUNTIFS('Paste - Relationships'!$A:$A,A220,'Paste - Relationships'!$AE:$AE,""))</f>
        <v>1</v>
      </c>
      <c r="G220" s="43" t="str">
        <f t="shared" si="3"/>
        <v>Has Capacity</v>
      </c>
      <c r="H220" s="43" t="str">
        <f>IF(A220="","",IF(COUNTIF('Programme Mentors'!$A:$A,A220)&gt;0,"Enrolled","—"))</f>
        <v>—</v>
      </c>
    </row>
    <row r="221" spans="1:8" ht="57" customHeight="1" x14ac:dyDescent="0.3">
      <c r="A221" s="9">
        <f>'Paste - Mentors'!A221</f>
        <v>3343413</v>
      </c>
      <c r="B221" s="4" t="str">
        <f>IFERROR(VLOOKUP(A221,'Paste - Mentors'!$A:$B,2,0),"")</f>
        <v>Shamil Singh</v>
      </c>
      <c r="C221" s="4" t="str">
        <f>IFERROR(VLOOKUP(A221,'Paste - Mentors'!$A:$D,4,0),"")</f>
        <v>Career Mentor</v>
      </c>
      <c r="D221" s="9" t="str">
        <f>IFERROR(VLOOKUP(A221,'Paste - Mentors'!$A:$F,6,0),"")</f>
        <v>FNB</v>
      </c>
      <c r="E221" s="9" t="str">
        <f>IFERROR(VLOOKUP(A221,'Paste - Mentors'!$A:$E,5,0),"")</f>
        <v>South Africa</v>
      </c>
      <c r="F221" s="9">
        <f>IF(A221="","",COUNTIFS('Paste - Relationships'!$A:$A,A221,'Paste - Relationships'!$AE:$AE,""))</f>
        <v>0</v>
      </c>
      <c r="G221" s="9" t="str">
        <f t="shared" si="3"/>
        <v>Available</v>
      </c>
      <c r="H221" s="9" t="str">
        <f>IF(A221="","",IF(COUNTIF('Programme Mentors'!$A:$A,A221)&gt;0,"Enrolled","—"))</f>
        <v>—</v>
      </c>
    </row>
    <row r="222" spans="1:8" ht="14.25" customHeight="1" x14ac:dyDescent="0.3">
      <c r="A222" s="43">
        <f>'Paste - Mentors'!A222</f>
        <v>3344363</v>
      </c>
      <c r="B222" s="3" t="str">
        <f>IFERROR(VLOOKUP(A222,'Paste - Mentors'!$A:$B,2,0),"")</f>
        <v>Gladys Nkosi</v>
      </c>
      <c r="C222" s="3" t="str">
        <f>IFERROR(VLOOKUP(A222,'Paste - Mentors'!$A:$D,4,0),"")</f>
        <v>Career Mentor</v>
      </c>
      <c r="D222" s="43" t="str">
        <f>IFERROR(VLOOKUP(A222,'Paste - Mentors'!$A:$F,6,0),"")</f>
        <v>FNB</v>
      </c>
      <c r="E222" s="43" t="str">
        <f>IFERROR(VLOOKUP(A222,'Paste - Mentors'!$A:$E,5,0),"")</f>
        <v>South Africa</v>
      </c>
      <c r="F222" s="43">
        <f>IF(A222="","",COUNTIFS('Paste - Relationships'!$A:$A,A222,'Paste - Relationships'!$AE:$AE,""))</f>
        <v>0</v>
      </c>
      <c r="G222" s="43" t="str">
        <f t="shared" si="3"/>
        <v>Available</v>
      </c>
      <c r="H222" s="43" t="str">
        <f>IF(A222="","",IF(COUNTIF('Programme Mentors'!$A:$A,A222)&gt;0,"Enrolled","—"))</f>
        <v>—</v>
      </c>
    </row>
    <row r="223" spans="1:8" ht="14.25" customHeight="1" x14ac:dyDescent="0.3">
      <c r="A223" s="9">
        <f>'Paste - Mentors'!A223</f>
        <v>3344509</v>
      </c>
      <c r="B223" s="4" t="str">
        <f>IFERROR(VLOOKUP(A223,'Paste - Mentors'!$A:$B,2,0),"")</f>
        <v>Portia Mashabathakga</v>
      </c>
      <c r="C223" s="4" t="str">
        <f>IFERROR(VLOOKUP(A223,'Paste - Mentors'!$A:$D,4,0),"")</f>
        <v>Career Mentor
Leadership Mentor</v>
      </c>
      <c r="D223" s="9" t="str">
        <f>IFERROR(VLOOKUP(A223,'Paste - Mentors'!$A:$F,6,0),"")</f>
        <v>FNB</v>
      </c>
      <c r="E223" s="9" t="str">
        <f>IFERROR(VLOOKUP(A223,'Paste - Mentors'!$A:$E,5,0),"")</f>
        <v>South Africa</v>
      </c>
      <c r="F223" s="9">
        <f>IF(A223="","",COUNTIFS('Paste - Relationships'!$A:$A,A223,'Paste - Relationships'!$AE:$AE,""))</f>
        <v>0</v>
      </c>
      <c r="G223" s="9" t="str">
        <f t="shared" si="3"/>
        <v>Available</v>
      </c>
      <c r="H223" s="9" t="str">
        <f>IF(A223="","",IF(COUNTIF('Programme Mentors'!$A:$A,A223)&gt;0,"Enrolled","—"))</f>
        <v>—</v>
      </c>
    </row>
    <row r="224" spans="1:8" ht="33.75" customHeight="1" x14ac:dyDescent="0.3">
      <c r="A224" s="43">
        <f>'Paste - Mentors'!A224</f>
        <v>3345467</v>
      </c>
      <c r="B224" s="3" t="str">
        <f>IFERROR(VLOOKUP(A224,'Paste - Mentors'!$A:$B,2,0),"")</f>
        <v>Ashnee Moodley</v>
      </c>
      <c r="C224" s="3" t="str">
        <f>IFERROR(VLOOKUP(A224,'Paste - Mentors'!$A:$D,4,0),"")</f>
        <v>Career Mentor</v>
      </c>
      <c r="D224" s="43" t="str">
        <f>IFERROR(VLOOKUP(A224,'Paste - Mentors'!$A:$F,6,0),"")</f>
        <v>FNB</v>
      </c>
      <c r="E224" s="43" t="str">
        <f>IFERROR(VLOOKUP(A224,'Paste - Mentors'!$A:$E,5,0),"")</f>
        <v>South Africa</v>
      </c>
      <c r="F224" s="43">
        <f>IF(A224="","",COUNTIFS('Paste - Relationships'!$A:$A,A224,'Paste - Relationships'!$AE:$AE,""))</f>
        <v>0</v>
      </c>
      <c r="G224" s="43" t="str">
        <f t="shared" si="3"/>
        <v>Available</v>
      </c>
      <c r="H224" s="43" t="str">
        <f>IF(A224="","",IF(COUNTIF('Programme Mentors'!$A:$A,A224)&gt;0,"Enrolled","—"))</f>
        <v>—</v>
      </c>
    </row>
    <row r="225" spans="1:8" ht="14.25" customHeight="1" x14ac:dyDescent="0.3">
      <c r="A225" s="9">
        <f>'Paste - Mentors'!A225</f>
        <v>3349098</v>
      </c>
      <c r="B225" s="4" t="str">
        <f>IFERROR(VLOOKUP(A225,'Paste - Mentors'!$A:$B,2,0),"")</f>
        <v>Lusanda Sombinge</v>
      </c>
      <c r="C225" s="4" t="str">
        <f>IFERROR(VLOOKUP(A225,'Paste - Mentors'!$A:$D,4,0),"")</f>
        <v>Career Mentor</v>
      </c>
      <c r="D225" s="9" t="str">
        <f>IFERROR(VLOOKUP(A225,'Paste - Mentors'!$A:$F,6,0),"")</f>
        <v>FNB</v>
      </c>
      <c r="E225" s="9" t="str">
        <f>IFERROR(VLOOKUP(A225,'Paste - Mentors'!$A:$E,5,0),"")</f>
        <v>South Africa</v>
      </c>
      <c r="F225" s="9">
        <f>IF(A225="","",COUNTIFS('Paste - Relationships'!$A:$A,A225,'Paste - Relationships'!$AE:$AE,""))</f>
        <v>0</v>
      </c>
      <c r="G225" s="9" t="str">
        <f t="shared" si="3"/>
        <v>Available</v>
      </c>
      <c r="H225" s="9" t="str">
        <f>IF(A225="","",IF(COUNTIF('Programme Mentors'!$A:$A,A225)&gt;0,"Enrolled","—"))</f>
        <v>—</v>
      </c>
    </row>
    <row r="226" spans="1:8" ht="14.25" customHeight="1" x14ac:dyDescent="0.3">
      <c r="A226" s="43">
        <f>'Paste - Mentors'!A226</f>
        <v>3351068</v>
      </c>
      <c r="B226" s="3" t="str">
        <f>IFERROR(VLOOKUP(A226,'Paste - Mentors'!$A:$B,2,0),"")</f>
        <v>Melanie Sacks</v>
      </c>
      <c r="C226" s="3" t="str">
        <f>IFERROR(VLOOKUP(A226,'Paste - Mentors'!$A:$D,4,0),"")</f>
        <v>Career Mentor</v>
      </c>
      <c r="D226" s="43" t="str">
        <f>IFERROR(VLOOKUP(A226,'Paste - Mentors'!$A:$F,6,0),"")</f>
        <v>FNB</v>
      </c>
      <c r="E226" s="43" t="str">
        <f>IFERROR(VLOOKUP(A226,'Paste - Mentors'!$A:$E,5,0),"")</f>
        <v>South Africa</v>
      </c>
      <c r="F226" s="43">
        <f>IF(A226="","",COUNTIFS('Paste - Relationships'!$A:$A,A226,'Paste - Relationships'!$AE:$AE,""))</f>
        <v>0</v>
      </c>
      <c r="G226" s="43" t="str">
        <f t="shared" si="3"/>
        <v>Available</v>
      </c>
      <c r="H226" s="43" t="str">
        <f>IF(A226="","",IF(COUNTIF('Programme Mentors'!$A:$A,A226)&gt;0,"Enrolled","—"))</f>
        <v>—</v>
      </c>
    </row>
    <row r="227" spans="1:8" ht="14.25" customHeight="1" x14ac:dyDescent="0.3">
      <c r="A227" s="9">
        <f>'Paste - Mentors'!A227</f>
        <v>3353850</v>
      </c>
      <c r="B227" s="4" t="str">
        <f>IFERROR(VLOOKUP(A227,'Paste - Mentors'!$A:$B,2,0),"")</f>
        <v>Poovan Pillay</v>
      </c>
      <c r="C227" s="4" t="str">
        <f>IFERROR(VLOOKUP(A227,'Paste - Mentors'!$A:$D,4,0),"")</f>
        <v>Career Mentor</v>
      </c>
      <c r="D227" s="9" t="str">
        <f>IFERROR(VLOOKUP(A227,'Paste - Mentors'!$A:$F,6,0),"")</f>
        <v>FNB</v>
      </c>
      <c r="E227" s="9" t="str">
        <f>IFERROR(VLOOKUP(A227,'Paste - Mentors'!$A:$E,5,0),"")</f>
        <v>South Africa</v>
      </c>
      <c r="F227" s="9">
        <f>IF(A227="","",COUNTIFS('Paste - Relationships'!$A:$A,A227,'Paste - Relationships'!$AE:$AE,""))</f>
        <v>0</v>
      </c>
      <c r="G227" s="9" t="str">
        <f t="shared" si="3"/>
        <v>Available</v>
      </c>
      <c r="H227" s="9" t="str">
        <f>IF(A227="","",IF(COUNTIF('Programme Mentors'!$A:$A,A227)&gt;0,"Enrolled","—"))</f>
        <v>—</v>
      </c>
    </row>
    <row r="228" spans="1:8" ht="14.25" customHeight="1" x14ac:dyDescent="0.3">
      <c r="A228" s="43">
        <f>'Paste - Mentors'!A228</f>
        <v>3354423</v>
      </c>
      <c r="B228" s="3" t="str">
        <f>IFERROR(VLOOKUP(A228,'Paste - Mentors'!$A:$B,2,0),"")</f>
        <v>Dorah Mohlopi</v>
      </c>
      <c r="C228" s="3" t="str">
        <f>IFERROR(VLOOKUP(A228,'Paste - Mentors'!$A:$D,4,0),"")</f>
        <v>Career Mentor</v>
      </c>
      <c r="D228" s="43" t="str">
        <f>IFERROR(VLOOKUP(A228,'Paste - Mentors'!$A:$F,6,0),"")</f>
        <v>FNB</v>
      </c>
      <c r="E228" s="43" t="str">
        <f>IFERROR(VLOOKUP(A228,'Paste - Mentors'!$A:$E,5,0),"")</f>
        <v>South Africa</v>
      </c>
      <c r="F228" s="43">
        <f>IF(A228="","",COUNTIFS('Paste - Relationships'!$A:$A,A228,'Paste - Relationships'!$AE:$AE,""))</f>
        <v>0</v>
      </c>
      <c r="G228" s="43" t="str">
        <f t="shared" si="3"/>
        <v>Available</v>
      </c>
      <c r="H228" s="43" t="str">
        <f>IF(A228="","",IF(COUNTIF('Programme Mentors'!$A:$A,A228)&gt;0,"Enrolled","—"))</f>
        <v>—</v>
      </c>
    </row>
    <row r="229" spans="1:8" ht="14.25" customHeight="1" x14ac:dyDescent="0.3">
      <c r="A229" s="9">
        <f>'Paste - Mentors'!A229</f>
        <v>3362264</v>
      </c>
      <c r="B229" s="4" t="str">
        <f>IFERROR(VLOOKUP(A229,'Paste - Mentors'!$A:$B,2,0),"")</f>
        <v>Wynand Erxleben</v>
      </c>
      <c r="C229" s="4" t="str">
        <f>IFERROR(VLOOKUP(A229,'Paste - Mentors'!$A:$D,4,0),"")</f>
        <v>Career Mentor</v>
      </c>
      <c r="D229" s="9" t="str">
        <f>IFERROR(VLOOKUP(A229,'Paste - Mentors'!$A:$F,6,0),"")</f>
        <v>FNB</v>
      </c>
      <c r="E229" s="9" t="str">
        <f>IFERROR(VLOOKUP(A229,'Paste - Mentors'!$A:$E,5,0),"")</f>
        <v>South Africa</v>
      </c>
      <c r="F229" s="9">
        <f>IF(A229="","",COUNTIFS('Paste - Relationships'!$A:$A,A229,'Paste - Relationships'!$AE:$AE,""))</f>
        <v>0</v>
      </c>
      <c r="G229" s="9" t="str">
        <f t="shared" si="3"/>
        <v>Available</v>
      </c>
      <c r="H229" s="9" t="str">
        <f>IF(A229="","",IF(COUNTIF('Programme Mentors'!$A:$A,A229)&gt;0,"Enrolled","—"))</f>
        <v>—</v>
      </c>
    </row>
    <row r="230" spans="1:8" ht="14.25" customHeight="1" x14ac:dyDescent="0.3">
      <c r="A230" s="43">
        <f>'Paste - Mentors'!A230</f>
        <v>3362604</v>
      </c>
      <c r="B230" s="3" t="str">
        <f>IFERROR(VLOOKUP(A230,'Paste - Mentors'!$A:$B,2,0),"")</f>
        <v>Xolani Madini</v>
      </c>
      <c r="C230" s="3" t="str">
        <f>IFERROR(VLOOKUP(A230,'Paste - Mentors'!$A:$D,4,0),"")</f>
        <v>Career Mentor</v>
      </c>
      <c r="D230" s="43" t="str">
        <f>IFERROR(VLOOKUP(A230,'Paste - Mentors'!$A:$F,6,0),"")</f>
        <v>FNB</v>
      </c>
      <c r="E230" s="43" t="str">
        <f>IFERROR(VLOOKUP(A230,'Paste - Mentors'!$A:$E,5,0),"")</f>
        <v>South Africa</v>
      </c>
      <c r="F230" s="43">
        <f>IF(A230="","",COUNTIFS('Paste - Relationships'!$A:$A,A230,'Paste - Relationships'!$AE:$AE,""))</f>
        <v>0</v>
      </c>
      <c r="G230" s="43" t="str">
        <f t="shared" si="3"/>
        <v>Available</v>
      </c>
      <c r="H230" s="43" t="str">
        <f>IF(A230="","",IF(COUNTIF('Programme Mentors'!$A:$A,A230)&gt;0,"Enrolled","—"))</f>
        <v>—</v>
      </c>
    </row>
    <row r="231" spans="1:8" ht="14.25" customHeight="1" x14ac:dyDescent="0.3">
      <c r="A231" s="9">
        <f>'Paste - Mentors'!A231</f>
        <v>3362841</v>
      </c>
      <c r="B231" s="4" t="str">
        <f>IFERROR(VLOOKUP(A231,'Paste - Mentors'!$A:$B,2,0),"")</f>
        <v>Karen Naidoo</v>
      </c>
      <c r="C231" s="4" t="str">
        <f>IFERROR(VLOOKUP(A231,'Paste - Mentors'!$A:$D,4,0),"")</f>
        <v>Career Mentor</v>
      </c>
      <c r="D231" s="9" t="str">
        <f>IFERROR(VLOOKUP(A231,'Paste - Mentors'!$A:$F,6,0),"")</f>
        <v>FNB</v>
      </c>
      <c r="E231" s="9" t="str">
        <f>IFERROR(VLOOKUP(A231,'Paste - Mentors'!$A:$E,5,0),"")</f>
        <v>South Africa</v>
      </c>
      <c r="F231" s="9">
        <f>IF(A231="","",COUNTIFS('Paste - Relationships'!$A:$A,A231,'Paste - Relationships'!$AE:$AE,""))</f>
        <v>0</v>
      </c>
      <c r="G231" s="9" t="str">
        <f t="shared" si="3"/>
        <v>Available</v>
      </c>
      <c r="H231" s="9" t="str">
        <f>IF(A231="","",IF(COUNTIF('Programme Mentors'!$A:$A,A231)&gt;0,"Enrolled","—"))</f>
        <v>—</v>
      </c>
    </row>
    <row r="232" spans="1:8" ht="14.25" customHeight="1" x14ac:dyDescent="0.3">
      <c r="A232" s="43">
        <f>'Paste - Mentors'!A232</f>
        <v>3364984</v>
      </c>
      <c r="B232" s="3" t="str">
        <f>IFERROR(VLOOKUP(A232,'Paste - Mentors'!$A:$B,2,0),"")</f>
        <v>Ronald Nemutanzhela</v>
      </c>
      <c r="C232" s="3" t="str">
        <f>IFERROR(VLOOKUP(A232,'Paste - Mentors'!$A:$D,4,0),"")</f>
        <v>Career Mentor</v>
      </c>
      <c r="D232" s="43" t="str">
        <f>IFERROR(VLOOKUP(A232,'Paste - Mentors'!$A:$F,6,0),"")</f>
        <v>FNB</v>
      </c>
      <c r="E232" s="43" t="str">
        <f>IFERROR(VLOOKUP(A232,'Paste - Mentors'!$A:$E,5,0),"")</f>
        <v>South Africa</v>
      </c>
      <c r="F232" s="43">
        <f>IF(A232="","",COUNTIFS('Paste - Relationships'!$A:$A,A232,'Paste - Relationships'!$AE:$AE,""))</f>
        <v>0</v>
      </c>
      <c r="G232" s="43" t="str">
        <f t="shared" si="3"/>
        <v>Available</v>
      </c>
      <c r="H232" s="43" t="str">
        <f>IF(A232="","",IF(COUNTIF('Programme Mentors'!$A:$A,A232)&gt;0,"Enrolled","—"))</f>
        <v>—</v>
      </c>
    </row>
    <row r="233" spans="1:8" ht="14.25" customHeight="1" x14ac:dyDescent="0.3">
      <c r="A233" s="9">
        <f>'Paste - Mentors'!A233</f>
        <v>3365689</v>
      </c>
      <c r="B233" s="4" t="str">
        <f>IFERROR(VLOOKUP(A233,'Paste - Mentors'!$A:$B,2,0),"")</f>
        <v>Gaynore Figeland</v>
      </c>
      <c r="C233" s="4" t="str">
        <f>IFERROR(VLOOKUP(A233,'Paste - Mentors'!$A:$D,4,0),"")</f>
        <v>Career Mentor</v>
      </c>
      <c r="D233" s="9" t="str">
        <f>IFERROR(VLOOKUP(A233,'Paste - Mentors'!$A:$F,6,0),"")</f>
        <v>FNB</v>
      </c>
      <c r="E233" s="9" t="str">
        <f>IFERROR(VLOOKUP(A233,'Paste - Mentors'!$A:$E,5,0),"")</f>
        <v>South Africa</v>
      </c>
      <c r="F233" s="9">
        <f>IF(A233="","",COUNTIFS('Paste - Relationships'!$A:$A,A233,'Paste - Relationships'!$AE:$AE,""))</f>
        <v>0</v>
      </c>
      <c r="G233" s="9" t="str">
        <f t="shared" si="3"/>
        <v>Available</v>
      </c>
      <c r="H233" s="9" t="str">
        <f>IF(A233="","",IF(COUNTIF('Programme Mentors'!$A:$A,A233)&gt;0,"Enrolled","—"))</f>
        <v>—</v>
      </c>
    </row>
    <row r="234" spans="1:8" ht="14.25" customHeight="1" x14ac:dyDescent="0.3">
      <c r="A234" s="43">
        <f>'Paste - Mentors'!A234</f>
        <v>3367037</v>
      </c>
      <c r="B234" s="3" t="str">
        <f>IFERROR(VLOOKUP(A234,'Paste - Mentors'!$A:$B,2,0),"")</f>
        <v>Sibusiso Ntuli</v>
      </c>
      <c r="C234" s="3" t="str">
        <f>IFERROR(VLOOKUP(A234,'Paste - Mentors'!$A:$D,4,0),"")</f>
        <v>Career Mentor</v>
      </c>
      <c r="D234" s="43" t="str">
        <f>IFERROR(VLOOKUP(A234,'Paste - Mentors'!$A:$F,6,0),"")</f>
        <v>FNB</v>
      </c>
      <c r="E234" s="43" t="str">
        <f>IFERROR(VLOOKUP(A234,'Paste - Mentors'!$A:$E,5,0),"")</f>
        <v>South Africa</v>
      </c>
      <c r="F234" s="43">
        <f>IF(A234="","",COUNTIFS('Paste - Relationships'!$A:$A,A234,'Paste - Relationships'!$AE:$AE,""))</f>
        <v>0</v>
      </c>
      <c r="G234" s="43" t="str">
        <f t="shared" si="3"/>
        <v>Available</v>
      </c>
      <c r="H234" s="43" t="str">
        <f>IF(A234="","",IF(COUNTIF('Programme Mentors'!$A:$A,A234)&gt;0,"Enrolled","—"))</f>
        <v>—</v>
      </c>
    </row>
    <row r="235" spans="1:8" ht="14.25" customHeight="1" x14ac:dyDescent="0.3">
      <c r="A235" s="9">
        <f>'Paste - Mentors'!A235</f>
        <v>3377326</v>
      </c>
      <c r="B235" s="4" t="str">
        <f>IFERROR(VLOOKUP(A235,'Paste - Mentors'!$A:$B,2,0),"")</f>
        <v>Yamillah Katjirua</v>
      </c>
      <c r="C235" s="4" t="str">
        <f>IFERROR(VLOOKUP(A235,'Paste - Mentors'!$A:$D,4,0),"")</f>
        <v>Career Mentor
Leadership Mentor
Technical Mentor
Transition Mentor
Workplace  Buddy</v>
      </c>
      <c r="D235" s="9" t="str">
        <f>IFERROR(VLOOKUP(A235,'Paste - Mentors'!$A:$F,6,0),"")</f>
        <v>FNB</v>
      </c>
      <c r="E235" s="9" t="str">
        <f>IFERROR(VLOOKUP(A235,'Paste - Mentors'!$A:$E,5,0),"")</f>
        <v>Namibia</v>
      </c>
      <c r="F235" s="9">
        <f>IF(A235="","",COUNTIFS('Paste - Relationships'!$A:$A,A235,'Paste - Relationships'!$AE:$AE,""))</f>
        <v>3</v>
      </c>
      <c r="G235" s="9" t="str">
        <f t="shared" si="3"/>
        <v>At Capacity</v>
      </c>
      <c r="H235" s="9" t="str">
        <f>IF(A235="","",IF(COUNTIF('Programme Mentors'!$A:$A,A235)&gt;0,"Enrolled","—"))</f>
        <v>—</v>
      </c>
    </row>
    <row r="236" spans="1:8" ht="102" customHeight="1" x14ac:dyDescent="0.3">
      <c r="A236" s="43">
        <f>'Paste - Mentors'!A236</f>
        <v>3381420</v>
      </c>
      <c r="B236" s="3" t="str">
        <f>IFERROR(VLOOKUP(A236,'Paste - Mentors'!$A:$B,2,0),"")</f>
        <v>Leigh-Ann Rossouw</v>
      </c>
      <c r="C236" s="3" t="str">
        <f>IFERROR(VLOOKUP(A236,'Paste - Mentors'!$A:$D,4,0),"")</f>
        <v>Career Mentor</v>
      </c>
      <c r="D236" s="43" t="str">
        <f>IFERROR(VLOOKUP(A236,'Paste - Mentors'!$A:$F,6,0),"")</f>
        <v>FNB</v>
      </c>
      <c r="E236" s="43" t="str">
        <f>IFERROR(VLOOKUP(A236,'Paste - Mentors'!$A:$E,5,0),"")</f>
        <v>Namibia</v>
      </c>
      <c r="F236" s="43">
        <f>IF(A236="","",COUNTIFS('Paste - Relationships'!$A:$A,A236,'Paste - Relationships'!$AE:$AE,""))</f>
        <v>0</v>
      </c>
      <c r="G236" s="43" t="str">
        <f t="shared" si="3"/>
        <v>Available</v>
      </c>
      <c r="H236" s="43" t="str">
        <f>IF(A236="","",IF(COUNTIF('Programme Mentors'!$A:$A,A236)&gt;0,"Enrolled","—"))</f>
        <v>—</v>
      </c>
    </row>
    <row r="237" spans="1:8" ht="14.25" customHeight="1" x14ac:dyDescent="0.3">
      <c r="A237" s="9">
        <f>'Paste - Mentors'!A237</f>
        <v>3384292</v>
      </c>
      <c r="B237" s="4" t="str">
        <f>IFERROR(VLOOKUP(A237,'Paste - Mentors'!$A:$B,2,0),"")</f>
        <v>Annastasia Williams</v>
      </c>
      <c r="C237" s="4" t="str">
        <f>IFERROR(VLOOKUP(A237,'Paste - Mentors'!$A:$D,4,0),"")</f>
        <v>Career Mentor</v>
      </c>
      <c r="D237" s="9" t="str">
        <f>IFERROR(VLOOKUP(A237,'Paste - Mentors'!$A:$F,6,0),"")</f>
        <v>FNB</v>
      </c>
      <c r="E237" s="9" t="str">
        <f>IFERROR(VLOOKUP(A237,'Paste - Mentors'!$A:$E,5,0),"")</f>
        <v>Namibia</v>
      </c>
      <c r="F237" s="9">
        <f>IF(A237="","",COUNTIFS('Paste - Relationships'!$A:$A,A237,'Paste - Relationships'!$AE:$AE,""))</f>
        <v>1</v>
      </c>
      <c r="G237" s="9" t="str">
        <f t="shared" si="3"/>
        <v>Has Capacity</v>
      </c>
      <c r="H237" s="9" t="str">
        <f>IF(A237="","",IF(COUNTIF('Programme Mentors'!$A:$A,A237)&gt;0,"Enrolled","—"))</f>
        <v>—</v>
      </c>
    </row>
    <row r="238" spans="1:8" ht="14.25" customHeight="1" x14ac:dyDescent="0.3">
      <c r="A238" s="43">
        <f>'Paste - Mentors'!A238</f>
        <v>3415546</v>
      </c>
      <c r="B238" s="3" t="str">
        <f>IFERROR(VLOOKUP(A238,'Paste - Mentors'!$A:$B,2,0),"")</f>
        <v>Nondumiso Motlhala</v>
      </c>
      <c r="C238" s="3" t="str">
        <f>IFERROR(VLOOKUP(A238,'Paste - Mentors'!$A:$D,4,0),"")</f>
        <v>Career Mentor</v>
      </c>
      <c r="D238" s="43" t="str">
        <f>IFERROR(VLOOKUP(A238,'Paste - Mentors'!$A:$F,6,0),"")</f>
        <v>FNB</v>
      </c>
      <c r="E238" s="43" t="str">
        <f>IFERROR(VLOOKUP(A238,'Paste - Mentors'!$A:$E,5,0),"")</f>
        <v>South Africa</v>
      </c>
      <c r="F238" s="43">
        <f>IF(A238="","",COUNTIFS('Paste - Relationships'!$A:$A,A238,'Paste - Relationships'!$AE:$AE,""))</f>
        <v>0</v>
      </c>
      <c r="G238" s="43" t="str">
        <f t="shared" si="3"/>
        <v>Available</v>
      </c>
      <c r="H238" s="43" t="str">
        <f>IF(A238="","",IF(COUNTIF('Programme Mentors'!$A:$A,A238)&gt;0,"Enrolled","—"))</f>
        <v>—</v>
      </c>
    </row>
    <row r="239" spans="1:8" ht="14.25" customHeight="1" x14ac:dyDescent="0.3">
      <c r="A239" s="9">
        <f>'Paste - Mentors'!A239</f>
        <v>3418014</v>
      </c>
      <c r="B239" s="4" t="str">
        <f>IFERROR(VLOOKUP(A239,'Paste - Mentors'!$A:$B,2,0),"")</f>
        <v>Chantel Pretorius</v>
      </c>
      <c r="C239" s="4" t="str">
        <f>IFERROR(VLOOKUP(A239,'Paste - Mentors'!$A:$D,4,0),"")</f>
        <v>Career Mentor</v>
      </c>
      <c r="D239" s="9" t="str">
        <f>IFERROR(VLOOKUP(A239,'Paste - Mentors'!$A:$F,6,0),"")</f>
        <v>FNB</v>
      </c>
      <c r="E239" s="9" t="str">
        <f>IFERROR(VLOOKUP(A239,'Paste - Mentors'!$A:$E,5,0),"")</f>
        <v>South Africa</v>
      </c>
      <c r="F239" s="9">
        <f>IF(A239="","",COUNTIFS('Paste - Relationships'!$A:$A,A239,'Paste - Relationships'!$AE:$AE,""))</f>
        <v>0</v>
      </c>
      <c r="G239" s="9" t="str">
        <f t="shared" si="3"/>
        <v>Available</v>
      </c>
      <c r="H239" s="9" t="str">
        <f>IF(A239="","",IF(COUNTIF('Programme Mentors'!$A:$A,A239)&gt;0,"Enrolled","—"))</f>
        <v>—</v>
      </c>
    </row>
    <row r="240" spans="1:8" ht="14.25" customHeight="1" x14ac:dyDescent="0.3">
      <c r="A240" s="43">
        <f>'Paste - Mentors'!A240</f>
        <v>3418626</v>
      </c>
      <c r="B240" s="3" t="str">
        <f>IFERROR(VLOOKUP(A240,'Paste - Mentors'!$A:$B,2,0),"")</f>
        <v>Pieter Smit</v>
      </c>
      <c r="C240" s="3" t="str">
        <f>IFERROR(VLOOKUP(A240,'Paste - Mentors'!$A:$D,4,0),"")</f>
        <v>Career Mentor</v>
      </c>
      <c r="D240" s="43" t="str">
        <f>IFERROR(VLOOKUP(A240,'Paste - Mentors'!$A:$F,6,0),"")</f>
        <v>FNB</v>
      </c>
      <c r="E240" s="43" t="str">
        <f>IFERROR(VLOOKUP(A240,'Paste - Mentors'!$A:$E,5,0),"")</f>
        <v>South Africa</v>
      </c>
      <c r="F240" s="43">
        <f>IF(A240="","",COUNTIFS('Paste - Relationships'!$A:$A,A240,'Paste - Relationships'!$AE:$AE,""))</f>
        <v>0</v>
      </c>
      <c r="G240" s="43" t="str">
        <f t="shared" si="3"/>
        <v>Available</v>
      </c>
      <c r="H240" s="43" t="str">
        <f>IF(A240="","",IF(COUNTIF('Programme Mentors'!$A:$A,A240)&gt;0,"Enrolled","—"))</f>
        <v>—</v>
      </c>
    </row>
    <row r="241" spans="1:8" ht="14.25" customHeight="1" x14ac:dyDescent="0.3">
      <c r="A241" s="9">
        <f>'Paste - Mentors'!A241</f>
        <v>3420825</v>
      </c>
      <c r="B241" s="4" t="str">
        <f>IFERROR(VLOOKUP(A241,'Paste - Mentors'!$A:$B,2,0),"")</f>
        <v>Mzwandile Mazive</v>
      </c>
      <c r="C241" s="4" t="str">
        <f>IFERROR(VLOOKUP(A241,'Paste - Mentors'!$A:$D,4,0),"")</f>
        <v>Career Mentor</v>
      </c>
      <c r="D241" s="9" t="str">
        <f>IFERROR(VLOOKUP(A241,'Paste - Mentors'!$A:$F,6,0),"")</f>
        <v>WesBank</v>
      </c>
      <c r="E241" s="9" t="str">
        <f>IFERROR(VLOOKUP(A241,'Paste - Mentors'!$A:$E,5,0),"")</f>
        <v>South Africa</v>
      </c>
      <c r="F241" s="9">
        <f>IF(A241="","",COUNTIFS('Paste - Relationships'!$A:$A,A241,'Paste - Relationships'!$AE:$AE,""))</f>
        <v>0</v>
      </c>
      <c r="G241" s="9" t="str">
        <f t="shared" si="3"/>
        <v>Available</v>
      </c>
      <c r="H241" s="9" t="str">
        <f>IF(A241="","",IF(COUNTIF('Programme Mentors'!$A:$A,A241)&gt;0,"Enrolled","—"))</f>
        <v>—</v>
      </c>
    </row>
    <row r="242" spans="1:8" ht="14.25" customHeight="1" x14ac:dyDescent="0.3">
      <c r="A242" s="43">
        <f>'Paste - Mentors'!A242</f>
        <v>3423301</v>
      </c>
      <c r="B242" s="3" t="str">
        <f>IFERROR(VLOOKUP(A242,'Paste - Mentors'!$A:$B,2,0),"")</f>
        <v>Thando Sibiya</v>
      </c>
      <c r="C242" s="3" t="str">
        <f>IFERROR(VLOOKUP(A242,'Paste - Mentors'!$A:$D,4,0),"")</f>
        <v>Career Mentor</v>
      </c>
      <c r="D242" s="43" t="str">
        <f>IFERROR(VLOOKUP(A242,'Paste - Mentors'!$A:$F,6,0),"")</f>
        <v>FNB</v>
      </c>
      <c r="E242" s="43" t="str">
        <f>IFERROR(VLOOKUP(A242,'Paste - Mentors'!$A:$E,5,0),"")</f>
        <v>South Africa</v>
      </c>
      <c r="F242" s="43">
        <f>IF(A242="","",COUNTIFS('Paste - Relationships'!$A:$A,A242,'Paste - Relationships'!$AE:$AE,""))</f>
        <v>0</v>
      </c>
      <c r="G242" s="43" t="str">
        <f t="shared" si="3"/>
        <v>Available</v>
      </c>
      <c r="H242" s="43" t="str">
        <f>IF(A242="","",IF(COUNTIF('Programme Mentors'!$A:$A,A242)&gt;0,"Enrolled","—"))</f>
        <v>—</v>
      </c>
    </row>
    <row r="243" spans="1:8" ht="14.25" customHeight="1" x14ac:dyDescent="0.3">
      <c r="A243" s="9">
        <f>'Paste - Mentors'!A243</f>
        <v>3425010</v>
      </c>
      <c r="B243" s="4" t="str">
        <f>IFERROR(VLOOKUP(A243,'Paste - Mentors'!$A:$B,2,0),"")</f>
        <v>Mathapelo Mohale</v>
      </c>
      <c r="C243" s="4" t="str">
        <f>IFERROR(VLOOKUP(A243,'Paste - Mentors'!$A:$D,4,0),"")</f>
        <v>Career Mentor</v>
      </c>
      <c r="D243" s="9" t="str">
        <f>IFERROR(VLOOKUP(A243,'Paste - Mentors'!$A:$F,6,0),"")</f>
        <v>FNB</v>
      </c>
      <c r="E243" s="9" t="str">
        <f>IFERROR(VLOOKUP(A243,'Paste - Mentors'!$A:$E,5,0),"")</f>
        <v>South Africa</v>
      </c>
      <c r="F243" s="9">
        <f>IF(A243="","",COUNTIFS('Paste - Relationships'!$A:$A,A243,'Paste - Relationships'!$AE:$AE,""))</f>
        <v>0</v>
      </c>
      <c r="G243" s="9" t="str">
        <f t="shared" si="3"/>
        <v>Available</v>
      </c>
      <c r="H243" s="9" t="str">
        <f>IF(A243="","",IF(COUNTIF('Programme Mentors'!$A:$A,A243)&gt;0,"Enrolled","—"))</f>
        <v>—</v>
      </c>
    </row>
    <row r="244" spans="1:8" ht="14.25" customHeight="1" x14ac:dyDescent="0.3">
      <c r="A244" s="43">
        <f>'Paste - Mentors'!A244</f>
        <v>3430677</v>
      </c>
      <c r="B244" s="3" t="str">
        <f>IFERROR(VLOOKUP(A244,'Paste - Mentors'!$A:$B,2,0),"")</f>
        <v>Marianne Van Wyk</v>
      </c>
      <c r="C244" s="3" t="str">
        <f>IFERROR(VLOOKUP(A244,'Paste - Mentors'!$A:$D,4,0),"")</f>
        <v>Leadership Mentor
Technical Mentor
Workplace  Buddy</v>
      </c>
      <c r="D244" s="43" t="str">
        <f>IFERROR(VLOOKUP(A244,'Paste - Mentors'!$A:$F,6,0),"")</f>
        <v>FNB</v>
      </c>
      <c r="E244" s="43" t="str">
        <f>IFERROR(VLOOKUP(A244,'Paste - Mentors'!$A:$E,5,0),"")</f>
        <v>South Africa</v>
      </c>
      <c r="F244" s="43">
        <f>IF(A244="","",COUNTIFS('Paste - Relationships'!$A:$A,A244,'Paste - Relationships'!$AE:$AE,""))</f>
        <v>0</v>
      </c>
      <c r="G244" s="43" t="str">
        <f t="shared" si="3"/>
        <v>Available</v>
      </c>
      <c r="H244" s="43" t="str">
        <f>IF(A244="","",IF(COUNTIF('Programme Mentors'!$A:$A,A244)&gt;0,"Enrolled","—"))</f>
        <v>—</v>
      </c>
    </row>
    <row r="245" spans="1:8" ht="57" customHeight="1" x14ac:dyDescent="0.3">
      <c r="A245" s="9">
        <f>'Paste - Mentors'!A245</f>
        <v>3430995</v>
      </c>
      <c r="B245" s="4" t="str">
        <f>IFERROR(VLOOKUP(A245,'Paste - Mentors'!$A:$B,2,0),"")</f>
        <v>Suraj Rathenpaul</v>
      </c>
      <c r="C245" s="4" t="str">
        <f>IFERROR(VLOOKUP(A245,'Paste - Mentors'!$A:$D,4,0),"")</f>
        <v>Career Mentor</v>
      </c>
      <c r="D245" s="9" t="str">
        <f>IFERROR(VLOOKUP(A245,'Paste - Mentors'!$A:$F,6,0),"")</f>
        <v>FNB</v>
      </c>
      <c r="E245" s="9" t="str">
        <f>IFERROR(VLOOKUP(A245,'Paste - Mentors'!$A:$E,5,0),"")</f>
        <v>South Africa</v>
      </c>
      <c r="F245" s="9">
        <f>IF(A245="","",COUNTIFS('Paste - Relationships'!$A:$A,A245,'Paste - Relationships'!$AE:$AE,""))</f>
        <v>0</v>
      </c>
      <c r="G245" s="9" t="str">
        <f t="shared" si="3"/>
        <v>Available</v>
      </c>
      <c r="H245" s="9" t="str">
        <f>IF(A245="","",IF(COUNTIF('Programme Mentors'!$A:$A,A245)&gt;0,"Enrolled","—"))</f>
        <v>—</v>
      </c>
    </row>
    <row r="246" spans="1:8" ht="14.25" customHeight="1" x14ac:dyDescent="0.3">
      <c r="A246" s="43">
        <f>'Paste - Mentors'!A246</f>
        <v>3433803</v>
      </c>
      <c r="B246" s="3" t="str">
        <f>IFERROR(VLOOKUP(A246,'Paste - Mentors'!$A:$B,2,0),"")</f>
        <v>Vimalen Naidoo</v>
      </c>
      <c r="C246" s="3" t="str">
        <f>IFERROR(VLOOKUP(A246,'Paste - Mentors'!$A:$D,4,0),"")</f>
        <v>Career Mentor</v>
      </c>
      <c r="D246" s="43" t="str">
        <f>IFERROR(VLOOKUP(A246,'Paste - Mentors'!$A:$F,6,0),"")</f>
        <v>FNB</v>
      </c>
      <c r="E246" s="43" t="str">
        <f>IFERROR(VLOOKUP(A246,'Paste - Mentors'!$A:$E,5,0),"")</f>
        <v>South Africa</v>
      </c>
      <c r="F246" s="43">
        <f>IF(A246="","",COUNTIFS('Paste - Relationships'!$A:$A,A246,'Paste - Relationships'!$AE:$AE,""))</f>
        <v>0</v>
      </c>
      <c r="G246" s="43" t="str">
        <f t="shared" si="3"/>
        <v>Available</v>
      </c>
      <c r="H246" s="43" t="str">
        <f>IF(A246="","",IF(COUNTIF('Programme Mentors'!$A:$A,A246)&gt;0,"Enrolled","—"))</f>
        <v>—</v>
      </c>
    </row>
    <row r="247" spans="1:8" ht="14.25" customHeight="1" x14ac:dyDescent="0.3">
      <c r="A247" s="9">
        <f>'Paste - Mentors'!A247</f>
        <v>3434591</v>
      </c>
      <c r="B247" s="4" t="str">
        <f>IFERROR(VLOOKUP(A247,'Paste - Mentors'!$A:$B,2,0),"")</f>
        <v>Riaz Shaik</v>
      </c>
      <c r="C247" s="4" t="str">
        <f>IFERROR(VLOOKUP(A247,'Paste - Mentors'!$A:$D,4,0),"")</f>
        <v>Career Mentor</v>
      </c>
      <c r="D247" s="9" t="str">
        <f>IFERROR(VLOOKUP(A247,'Paste - Mentors'!$A:$F,6,0),"")</f>
        <v>FNB</v>
      </c>
      <c r="E247" s="9" t="str">
        <f>IFERROR(VLOOKUP(A247,'Paste - Mentors'!$A:$E,5,0),"")</f>
        <v>South Africa</v>
      </c>
      <c r="F247" s="9">
        <f>IF(A247="","",COUNTIFS('Paste - Relationships'!$A:$A,A247,'Paste - Relationships'!$AE:$AE,""))</f>
        <v>0</v>
      </c>
      <c r="G247" s="9" t="str">
        <f t="shared" si="3"/>
        <v>Available</v>
      </c>
      <c r="H247" s="9" t="str">
        <f>IF(A247="","",IF(COUNTIF('Programme Mentors'!$A:$A,A247)&gt;0,"Enrolled","—"))</f>
        <v>—</v>
      </c>
    </row>
    <row r="248" spans="1:8" ht="14.25" customHeight="1" x14ac:dyDescent="0.3">
      <c r="A248" s="43">
        <f>'Paste - Mentors'!A248</f>
        <v>3440826</v>
      </c>
      <c r="B248" s="3" t="str">
        <f>IFERROR(VLOOKUP(A248,'Paste - Mentors'!$A:$B,2,0),"")</f>
        <v>Gee Salukazana</v>
      </c>
      <c r="C248" s="3" t="str">
        <f>IFERROR(VLOOKUP(A248,'Paste - Mentors'!$A:$D,4,0),"")</f>
        <v>Career Mentor</v>
      </c>
      <c r="D248" s="43" t="str">
        <f>IFERROR(VLOOKUP(A248,'Paste - Mentors'!$A:$F,6,0),"")</f>
        <v>WesBank</v>
      </c>
      <c r="E248" s="43" t="str">
        <f>IFERROR(VLOOKUP(A248,'Paste - Mentors'!$A:$E,5,0),"")</f>
        <v>South Africa</v>
      </c>
      <c r="F248" s="43">
        <f>IF(A248="","",COUNTIFS('Paste - Relationships'!$A:$A,A248,'Paste - Relationships'!$AE:$AE,""))</f>
        <v>0</v>
      </c>
      <c r="G248" s="43" t="str">
        <f t="shared" si="3"/>
        <v>Available</v>
      </c>
      <c r="H248" s="43" t="str">
        <f>IF(A248="","",IF(COUNTIF('Programme Mentors'!$A:$A,A248)&gt;0,"Enrolled","—"))</f>
        <v>—</v>
      </c>
    </row>
    <row r="249" spans="1:8" ht="14.25" customHeight="1" x14ac:dyDescent="0.3">
      <c r="A249" s="9">
        <f>'Paste - Mentors'!A249</f>
        <v>3443515</v>
      </c>
      <c r="B249" s="4" t="str">
        <f>IFERROR(VLOOKUP(A249,'Paste - Mentors'!$A:$B,2,0),"")</f>
        <v>Sonja Putter</v>
      </c>
      <c r="C249" s="4" t="str">
        <f>IFERROR(VLOOKUP(A249,'Paste - Mentors'!$A:$D,4,0),"")</f>
        <v>Career Mentor</v>
      </c>
      <c r="D249" s="9" t="str">
        <f>IFERROR(VLOOKUP(A249,'Paste - Mentors'!$A:$F,6,0),"")</f>
        <v>WesBank</v>
      </c>
      <c r="E249" s="9" t="str">
        <f>IFERROR(VLOOKUP(A249,'Paste - Mentors'!$A:$E,5,0),"")</f>
        <v>South Africa</v>
      </c>
      <c r="F249" s="9">
        <f>IF(A249="","",COUNTIFS('Paste - Relationships'!$A:$A,A249,'Paste - Relationships'!$AE:$AE,""))</f>
        <v>0</v>
      </c>
      <c r="G249" s="9" t="str">
        <f t="shared" si="3"/>
        <v>Available</v>
      </c>
      <c r="H249" s="9" t="str">
        <f>IF(A249="","",IF(COUNTIF('Programme Mentors'!$A:$A,A249)&gt;0,"Enrolled","—"))</f>
        <v>—</v>
      </c>
    </row>
    <row r="250" spans="1:8" ht="14.25" customHeight="1" x14ac:dyDescent="0.3">
      <c r="A250" s="43">
        <f>'Paste - Mentors'!A250</f>
        <v>3444910</v>
      </c>
      <c r="B250" s="3" t="str">
        <f>IFERROR(VLOOKUP(A250,'Paste - Mentors'!$A:$B,2,0),"")</f>
        <v>Itumeleng Metsing</v>
      </c>
      <c r="C250" s="3" t="str">
        <f>IFERROR(VLOOKUP(A250,'Paste - Mentors'!$A:$D,4,0),"")</f>
        <v>Career Mentor</v>
      </c>
      <c r="D250" s="43" t="str">
        <f>IFERROR(VLOOKUP(A250,'Paste - Mentors'!$A:$F,6,0),"")</f>
        <v>FNB</v>
      </c>
      <c r="E250" s="43" t="str">
        <f>IFERROR(VLOOKUP(A250,'Paste - Mentors'!$A:$E,5,0),"")</f>
        <v>South Africa</v>
      </c>
      <c r="F250" s="43">
        <f>IF(A250="","",COUNTIFS('Paste - Relationships'!$A:$A,A250,'Paste - Relationships'!$AE:$AE,""))</f>
        <v>0</v>
      </c>
      <c r="G250" s="43" t="str">
        <f t="shared" si="3"/>
        <v>Available</v>
      </c>
      <c r="H250" s="43" t="str">
        <f>IF(A250="","",IF(COUNTIF('Programme Mentors'!$A:$A,A250)&gt;0,"Enrolled","—"))</f>
        <v>—</v>
      </c>
    </row>
    <row r="251" spans="1:8" ht="14.25" customHeight="1" x14ac:dyDescent="0.3">
      <c r="A251" s="9">
        <f>'Paste - Mentors'!A251</f>
        <v>3452107</v>
      </c>
      <c r="B251" s="4" t="str">
        <f>IFERROR(VLOOKUP(A251,'Paste - Mentors'!$A:$B,2,0),"")</f>
        <v>Martin De Lange</v>
      </c>
      <c r="C251" s="4" t="str">
        <f>IFERROR(VLOOKUP(A251,'Paste - Mentors'!$A:$D,4,0),"")</f>
        <v>Career Mentor</v>
      </c>
      <c r="D251" s="9" t="str">
        <f>IFERROR(VLOOKUP(A251,'Paste - Mentors'!$A:$F,6,0),"")</f>
        <v>FNB</v>
      </c>
      <c r="E251" s="9" t="str">
        <f>IFERROR(VLOOKUP(A251,'Paste - Mentors'!$A:$E,5,0),"")</f>
        <v>South Africa</v>
      </c>
      <c r="F251" s="9">
        <f>IF(A251="","",COUNTIFS('Paste - Relationships'!$A:$A,A251,'Paste - Relationships'!$AE:$AE,""))</f>
        <v>0</v>
      </c>
      <c r="G251" s="9" t="str">
        <f t="shared" si="3"/>
        <v>Available</v>
      </c>
      <c r="H251" s="9" t="str">
        <f>IF(A251="","",IF(COUNTIF('Programme Mentors'!$A:$A,A251)&gt;0,"Enrolled","—"))</f>
        <v>—</v>
      </c>
    </row>
    <row r="252" spans="1:8" ht="14.25" customHeight="1" x14ac:dyDescent="0.3">
      <c r="A252" s="43">
        <f>'Paste - Mentors'!A252</f>
        <v>3452506</v>
      </c>
      <c r="B252" s="3" t="str">
        <f>IFERROR(VLOOKUP(A252,'Paste - Mentors'!$A:$B,2,0),"")</f>
        <v>Jacqui Calitz</v>
      </c>
      <c r="C252" s="3" t="str">
        <f>IFERROR(VLOOKUP(A252,'Paste - Mentors'!$A:$D,4,0),"")</f>
        <v>Career Mentor</v>
      </c>
      <c r="D252" s="43" t="str">
        <f>IFERROR(VLOOKUP(A252,'Paste - Mentors'!$A:$F,6,0),"")</f>
        <v>FNB</v>
      </c>
      <c r="E252" s="43" t="str">
        <f>IFERROR(VLOOKUP(A252,'Paste - Mentors'!$A:$E,5,0),"")</f>
        <v>South Africa</v>
      </c>
      <c r="F252" s="43">
        <f>IF(A252="","",COUNTIFS('Paste - Relationships'!$A:$A,A252,'Paste - Relationships'!$AE:$AE,""))</f>
        <v>0</v>
      </c>
      <c r="G252" s="43" t="str">
        <f t="shared" si="3"/>
        <v>Available</v>
      </c>
      <c r="H252" s="43" t="str">
        <f>IF(A252="","",IF(COUNTIF('Programme Mentors'!$A:$A,A252)&gt;0,"Enrolled","—"))</f>
        <v>—</v>
      </c>
    </row>
    <row r="253" spans="1:8" ht="14.25" customHeight="1" x14ac:dyDescent="0.3">
      <c r="A253" s="9">
        <f>'Paste - Mentors'!A253</f>
        <v>3454460</v>
      </c>
      <c r="B253" s="4" t="str">
        <f>IFERROR(VLOOKUP(A253,'Paste - Mentors'!$A:$B,2,0),"")</f>
        <v>Naomi Lekalakala</v>
      </c>
      <c r="C253" s="4" t="str">
        <f>IFERROR(VLOOKUP(A253,'Paste - Mentors'!$A:$D,4,0),"")</f>
        <v>Career Mentor</v>
      </c>
      <c r="D253" s="9" t="str">
        <f>IFERROR(VLOOKUP(A253,'Paste - Mentors'!$A:$F,6,0),"")</f>
        <v>FirstRand Corporate Centre</v>
      </c>
      <c r="E253" s="9" t="str">
        <f>IFERROR(VLOOKUP(A253,'Paste - Mentors'!$A:$E,5,0),"")</f>
        <v>South Africa</v>
      </c>
      <c r="F253" s="9">
        <f>IF(A253="","",COUNTIFS('Paste - Relationships'!$A:$A,A253,'Paste - Relationships'!$AE:$AE,""))</f>
        <v>0</v>
      </c>
      <c r="G253" s="9" t="str">
        <f t="shared" si="3"/>
        <v>Available</v>
      </c>
      <c r="H253" s="9" t="str">
        <f>IF(A253="","",IF(COUNTIF('Programme Mentors'!$A:$A,A253)&gt;0,"Enrolled","—"))</f>
        <v>—</v>
      </c>
    </row>
    <row r="254" spans="1:8" ht="33.75" customHeight="1" x14ac:dyDescent="0.3">
      <c r="A254" s="43">
        <f>'Paste - Mentors'!A254</f>
        <v>3455920</v>
      </c>
      <c r="B254" s="3" t="str">
        <f>IFERROR(VLOOKUP(A254,'Paste - Mentors'!$A:$B,2,0),"")</f>
        <v>Mmajobo Tsholo</v>
      </c>
      <c r="C254" s="3" t="str">
        <f>IFERROR(VLOOKUP(A254,'Paste - Mentors'!$A:$D,4,0),"")</f>
        <v>Z2-Programme Mentor (HC Managed)</v>
      </c>
      <c r="D254" s="43" t="str">
        <f>IFERROR(VLOOKUP(A254,'Paste - Mentors'!$A:$F,6,0),"")</f>
        <v>RMB</v>
      </c>
      <c r="E254" s="43" t="str">
        <f>IFERROR(VLOOKUP(A254,'Paste - Mentors'!$A:$E,5,0),"")</f>
        <v>South Africa</v>
      </c>
      <c r="F254" s="43">
        <f>IF(A254="","",COUNTIFS('Paste - Relationships'!$A:$A,A254,'Paste - Relationships'!$AE:$AE,""))</f>
        <v>0</v>
      </c>
      <c r="G254" s="43" t="str">
        <f t="shared" si="3"/>
        <v>Available</v>
      </c>
      <c r="H254" s="43" t="str">
        <f>IF(A254="","",IF(COUNTIF('Programme Mentors'!$A:$A,A254)&gt;0,"Enrolled","—"))</f>
        <v>—</v>
      </c>
    </row>
    <row r="255" spans="1:8" ht="14.25" customHeight="1" x14ac:dyDescent="0.3">
      <c r="A255" s="9">
        <f>'Paste - Mentors'!A255</f>
        <v>3458555</v>
      </c>
      <c r="B255" s="4" t="str">
        <f>IFERROR(VLOOKUP(A255,'Paste - Mentors'!$A:$B,2,0),"")</f>
        <v>Thabani Zungu</v>
      </c>
      <c r="C255" s="4" t="str">
        <f>IFERROR(VLOOKUP(A255,'Paste - Mentors'!$A:$D,4,0),"")</f>
        <v>Z2-Programme Mentor (HC Managed)</v>
      </c>
      <c r="D255" s="9" t="str">
        <f>IFERROR(VLOOKUP(A255,'Paste - Mentors'!$A:$F,6,0),"")</f>
        <v>RMB</v>
      </c>
      <c r="E255" s="9" t="str">
        <f>IFERROR(VLOOKUP(A255,'Paste - Mentors'!$A:$E,5,0),"")</f>
        <v>South Africa</v>
      </c>
      <c r="F255" s="9">
        <f>IF(A255="","",COUNTIFS('Paste - Relationships'!$A:$A,A255,'Paste - Relationships'!$AE:$AE,""))</f>
        <v>0</v>
      </c>
      <c r="G255" s="9" t="str">
        <f t="shared" si="3"/>
        <v>Available</v>
      </c>
      <c r="H255" s="9" t="str">
        <f>IF(A255="","",IF(COUNTIF('Programme Mentors'!$A:$A,A255)&gt;0,"Enrolled","—"))</f>
        <v>—</v>
      </c>
    </row>
    <row r="256" spans="1:8" ht="14.25" customHeight="1" x14ac:dyDescent="0.3">
      <c r="A256" s="43">
        <f>'Paste - Mentors'!A256</f>
        <v>3458652</v>
      </c>
      <c r="B256" s="3" t="str">
        <f>IFERROR(VLOOKUP(A256,'Paste - Mentors'!$A:$B,2,0),"")</f>
        <v>Thembi Ngobeni</v>
      </c>
      <c r="C256" s="3" t="str">
        <f>IFERROR(VLOOKUP(A256,'Paste - Mentors'!$A:$D,4,0),"")</f>
        <v>Career Mentor
Leadership Mentor
Technical Mentor</v>
      </c>
      <c r="D256" s="43" t="str">
        <f>IFERROR(VLOOKUP(A256,'Paste - Mentors'!$A:$F,6,0),"")</f>
        <v>RMB</v>
      </c>
      <c r="E256" s="43" t="str">
        <f>IFERROR(VLOOKUP(A256,'Paste - Mentors'!$A:$E,5,0),"")</f>
        <v>South Africa</v>
      </c>
      <c r="F256" s="43">
        <f>IF(A256="","",COUNTIFS('Paste - Relationships'!$A:$A,A256,'Paste - Relationships'!$AE:$AE,""))</f>
        <v>0</v>
      </c>
      <c r="G256" s="43" t="str">
        <f t="shared" si="3"/>
        <v>Available</v>
      </c>
      <c r="H256" s="43" t="str">
        <f>IF(A256="","",IF(COUNTIF('Programme Mentors'!$A:$A,A256)&gt;0,"Enrolled","—"))</f>
        <v>—</v>
      </c>
    </row>
    <row r="257" spans="1:8" ht="57" customHeight="1" x14ac:dyDescent="0.3">
      <c r="A257" s="9">
        <f>'Paste - Mentors'!A257</f>
        <v>3459519</v>
      </c>
      <c r="B257" s="4" t="str">
        <f>IFERROR(VLOOKUP(A257,'Paste - Mentors'!$A:$B,2,0),"")</f>
        <v>Deolin Govender</v>
      </c>
      <c r="C257" s="4" t="str">
        <f>IFERROR(VLOOKUP(A257,'Paste - Mentors'!$A:$D,4,0),"")</f>
        <v>Career Mentor</v>
      </c>
      <c r="D257" s="9" t="str">
        <f>IFERROR(VLOOKUP(A257,'Paste - Mentors'!$A:$F,6,0),"")</f>
        <v>FNB</v>
      </c>
      <c r="E257" s="9" t="str">
        <f>IFERROR(VLOOKUP(A257,'Paste - Mentors'!$A:$E,5,0),"")</f>
        <v>South Africa</v>
      </c>
      <c r="F257" s="9">
        <f>IF(A257="","",COUNTIFS('Paste - Relationships'!$A:$A,A257,'Paste - Relationships'!$AE:$AE,""))</f>
        <v>1</v>
      </c>
      <c r="G257" s="9" t="str">
        <f t="shared" si="3"/>
        <v>Has Capacity</v>
      </c>
      <c r="H257" s="9" t="str">
        <f>IF(A257="","",IF(COUNTIF('Programme Mentors'!$A:$A,A257)&gt;0,"Enrolled","—"))</f>
        <v>—</v>
      </c>
    </row>
    <row r="258" spans="1:8" ht="14.25" customHeight="1" x14ac:dyDescent="0.3">
      <c r="A258" s="43">
        <f>'Paste - Mentors'!A258</f>
        <v>3462013</v>
      </c>
      <c r="B258" s="3" t="str">
        <f>IFERROR(VLOOKUP(A258,'Paste - Mentors'!$A:$B,2,0),"")</f>
        <v>Livhu Phanyane</v>
      </c>
      <c r="C258" s="3" t="str">
        <f>IFERROR(VLOOKUP(A258,'Paste - Mentors'!$A:$D,4,0),"")</f>
        <v>Workplace  Buddy</v>
      </c>
      <c r="D258" s="43" t="str">
        <f>IFERROR(VLOOKUP(A258,'Paste - Mentors'!$A:$F,6,0),"")</f>
        <v>FNB</v>
      </c>
      <c r="E258" s="43" t="str">
        <f>IFERROR(VLOOKUP(A258,'Paste - Mentors'!$A:$E,5,0),"")</f>
        <v>South Africa</v>
      </c>
      <c r="F258" s="43">
        <f>IF(A258="","",COUNTIFS('Paste - Relationships'!$A:$A,A258,'Paste - Relationships'!$AE:$AE,""))</f>
        <v>2</v>
      </c>
      <c r="G258" s="43" t="str">
        <f t="shared" si="3"/>
        <v>Has Capacity</v>
      </c>
      <c r="H258" s="43" t="str">
        <f>IF(A258="","",IF(COUNTIF('Programme Mentors'!$A:$A,A258)&gt;0,"Enrolled","—"))</f>
        <v>—</v>
      </c>
    </row>
    <row r="259" spans="1:8" ht="14.25" customHeight="1" x14ac:dyDescent="0.3">
      <c r="A259" s="9">
        <f>'Paste - Mentors'!A259</f>
        <v>3465195</v>
      </c>
      <c r="B259" s="4" t="str">
        <f>IFERROR(VLOOKUP(A259,'Paste - Mentors'!$A:$B,2,0),"")</f>
        <v>Thabiso Nyawose</v>
      </c>
      <c r="C259" s="4" t="str">
        <f>IFERROR(VLOOKUP(A259,'Paste - Mentors'!$A:$D,4,0),"")</f>
        <v>Career Mentor</v>
      </c>
      <c r="D259" s="9" t="str">
        <f>IFERROR(VLOOKUP(A259,'Paste - Mentors'!$A:$F,6,0),"")</f>
        <v>FNB</v>
      </c>
      <c r="E259" s="9" t="str">
        <f>IFERROR(VLOOKUP(A259,'Paste - Mentors'!$A:$E,5,0),"")</f>
        <v>South Africa</v>
      </c>
      <c r="F259" s="9">
        <f>IF(A259="","",COUNTIFS('Paste - Relationships'!$A:$A,A259,'Paste - Relationships'!$AE:$AE,""))</f>
        <v>0</v>
      </c>
      <c r="G259" s="9" t="str">
        <f t="shared" si="3"/>
        <v>Available</v>
      </c>
      <c r="H259" s="9" t="str">
        <f>IF(A259="","",IF(COUNTIF('Programme Mentors'!$A:$A,A259)&gt;0,"Enrolled","—"))</f>
        <v>—</v>
      </c>
    </row>
    <row r="260" spans="1:8" ht="14.25" customHeight="1" x14ac:dyDescent="0.3">
      <c r="A260" s="43">
        <f>'Paste - Mentors'!A260</f>
        <v>3467201</v>
      </c>
      <c r="B260" s="3" t="str">
        <f>IFERROR(VLOOKUP(A260,'Paste - Mentors'!$A:$B,2,0),"")</f>
        <v>Jacqui Dower</v>
      </c>
      <c r="C260" s="3" t="str">
        <f>IFERROR(VLOOKUP(A260,'Paste - Mentors'!$A:$D,4,0),"")</f>
        <v>Career Mentor</v>
      </c>
      <c r="D260" s="43" t="str">
        <f>IFERROR(VLOOKUP(A260,'Paste - Mentors'!$A:$F,6,0),"")</f>
        <v>FNB</v>
      </c>
      <c r="E260" s="43" t="str">
        <f>IFERROR(VLOOKUP(A260,'Paste - Mentors'!$A:$E,5,0),"")</f>
        <v>South Africa</v>
      </c>
      <c r="F260" s="43">
        <f>IF(A260="","",COUNTIFS('Paste - Relationships'!$A:$A,A260,'Paste - Relationships'!$AE:$AE,""))</f>
        <v>0</v>
      </c>
      <c r="G260" s="43" t="str">
        <f t="shared" ref="G260:G323" si="4">IF(A260="","",IF(F260&gt;=3,"At Capacity",IF(F260=0,"Available","Has Capacity")))</f>
        <v>Available</v>
      </c>
      <c r="H260" s="43" t="str">
        <f>IF(A260="","",IF(COUNTIF('Programme Mentors'!$A:$A,A260)&gt;0,"Enrolled","—"))</f>
        <v>—</v>
      </c>
    </row>
    <row r="261" spans="1:8" ht="14.25" customHeight="1" x14ac:dyDescent="0.3">
      <c r="A261" s="9">
        <f>'Paste - Mentors'!A261</f>
        <v>3470946</v>
      </c>
      <c r="B261" s="4" t="str">
        <f>IFERROR(VLOOKUP(A261,'Paste - Mentors'!$A:$B,2,0),"")</f>
        <v>Hannes Kruger</v>
      </c>
      <c r="C261" s="4" t="str">
        <f>IFERROR(VLOOKUP(A261,'Paste - Mentors'!$A:$D,4,0),"")</f>
        <v>Career Mentor</v>
      </c>
      <c r="D261" s="9" t="str">
        <f>IFERROR(VLOOKUP(A261,'Paste - Mentors'!$A:$F,6,0),"")</f>
        <v>FNB</v>
      </c>
      <c r="E261" s="9" t="str">
        <f>IFERROR(VLOOKUP(A261,'Paste - Mentors'!$A:$E,5,0),"")</f>
        <v>South Africa</v>
      </c>
      <c r="F261" s="9">
        <f>IF(A261="","",COUNTIFS('Paste - Relationships'!$A:$A,A261,'Paste - Relationships'!$AE:$AE,""))</f>
        <v>0</v>
      </c>
      <c r="G261" s="9" t="str">
        <f t="shared" si="4"/>
        <v>Available</v>
      </c>
      <c r="H261" s="9" t="str">
        <f>IF(A261="","",IF(COUNTIF('Programme Mentors'!$A:$A,A261)&gt;0,"Enrolled","—"))</f>
        <v>—</v>
      </c>
    </row>
    <row r="262" spans="1:8" ht="14.25" customHeight="1" x14ac:dyDescent="0.3">
      <c r="A262" s="43">
        <f>'Paste - Mentors'!A262</f>
        <v>3471284</v>
      </c>
      <c r="B262" s="3" t="str">
        <f>IFERROR(VLOOKUP(A262,'Paste - Mentors'!$A:$B,2,0),"")</f>
        <v>Shaheem Khan</v>
      </c>
      <c r="C262" s="3" t="str">
        <f>IFERROR(VLOOKUP(A262,'Paste - Mentors'!$A:$D,4,0),"")</f>
        <v>Career Mentor</v>
      </c>
      <c r="D262" s="43" t="str">
        <f>IFERROR(VLOOKUP(A262,'Paste - Mentors'!$A:$F,6,0),"")</f>
        <v>FNB</v>
      </c>
      <c r="E262" s="43" t="str">
        <f>IFERROR(VLOOKUP(A262,'Paste - Mentors'!$A:$E,5,0),"")</f>
        <v>South Africa</v>
      </c>
      <c r="F262" s="43">
        <f>IF(A262="","",COUNTIFS('Paste - Relationships'!$A:$A,A262,'Paste - Relationships'!$AE:$AE,""))</f>
        <v>0</v>
      </c>
      <c r="G262" s="43" t="str">
        <f t="shared" si="4"/>
        <v>Available</v>
      </c>
      <c r="H262" s="43" t="str">
        <f>IF(A262="","",IF(COUNTIF('Programme Mentors'!$A:$A,A262)&gt;0,"Enrolled","—"))</f>
        <v>—</v>
      </c>
    </row>
    <row r="263" spans="1:8" ht="14.25" customHeight="1" x14ac:dyDescent="0.3">
      <c r="A263" s="9">
        <f>'Paste - Mentors'!A263</f>
        <v>3472892</v>
      </c>
      <c r="B263" s="4" t="str">
        <f>IFERROR(VLOOKUP(A263,'Paste - Mentors'!$A:$B,2,0),"")</f>
        <v>Nozipho Duma</v>
      </c>
      <c r="C263" s="4" t="str">
        <f>IFERROR(VLOOKUP(A263,'Paste - Mentors'!$A:$D,4,0),"")</f>
        <v>Career Mentor</v>
      </c>
      <c r="D263" s="9" t="str">
        <f>IFERROR(VLOOKUP(A263,'Paste - Mentors'!$A:$F,6,0),"")</f>
        <v>FNB</v>
      </c>
      <c r="E263" s="9" t="str">
        <f>IFERROR(VLOOKUP(A263,'Paste - Mentors'!$A:$E,5,0),"")</f>
        <v>South Africa</v>
      </c>
      <c r="F263" s="9">
        <f>IF(A263="","",COUNTIFS('Paste - Relationships'!$A:$A,A263,'Paste - Relationships'!$AE:$AE,""))</f>
        <v>0</v>
      </c>
      <c r="G263" s="9" t="str">
        <f t="shared" si="4"/>
        <v>Available</v>
      </c>
      <c r="H263" s="9" t="str">
        <f>IF(A263="","",IF(COUNTIF('Programme Mentors'!$A:$A,A263)&gt;0,"Enrolled","—"))</f>
        <v>—</v>
      </c>
    </row>
    <row r="264" spans="1:8" ht="14.25" customHeight="1" x14ac:dyDescent="0.3">
      <c r="A264" s="43">
        <f>'Paste - Mentors'!A264</f>
        <v>3477428</v>
      </c>
      <c r="B264" s="3" t="str">
        <f>IFERROR(VLOOKUP(A264,'Paste - Mentors'!$A:$B,2,0),"")</f>
        <v>Shalati Ngobeni</v>
      </c>
      <c r="C264" s="3" t="str">
        <f>IFERROR(VLOOKUP(A264,'Paste - Mentors'!$A:$D,4,0),"")</f>
        <v>Career Mentor</v>
      </c>
      <c r="D264" s="43" t="str">
        <f>IFERROR(VLOOKUP(A264,'Paste - Mentors'!$A:$F,6,0),"")</f>
        <v>FNB</v>
      </c>
      <c r="E264" s="43" t="str">
        <f>IFERROR(VLOOKUP(A264,'Paste - Mentors'!$A:$E,5,0),"")</f>
        <v>South Africa</v>
      </c>
      <c r="F264" s="43">
        <f>IF(A264="","",COUNTIFS('Paste - Relationships'!$A:$A,A264,'Paste - Relationships'!$AE:$AE,""))</f>
        <v>0</v>
      </c>
      <c r="G264" s="43" t="str">
        <f t="shared" si="4"/>
        <v>Available</v>
      </c>
      <c r="H264" s="43" t="str">
        <f>IF(A264="","",IF(COUNTIF('Programme Mentors'!$A:$A,A264)&gt;0,"Enrolled","—"))</f>
        <v>—</v>
      </c>
    </row>
    <row r="265" spans="1:8" ht="14.25" customHeight="1" x14ac:dyDescent="0.3">
      <c r="A265" s="9">
        <f>'Paste - Mentors'!A265</f>
        <v>3478637</v>
      </c>
      <c r="B265" s="4" t="str">
        <f>IFERROR(VLOOKUP(A265,'Paste - Mentors'!$A:$B,2,0),"")</f>
        <v>Thanyani Nemutanzhela</v>
      </c>
      <c r="C265" s="4" t="str">
        <f>IFERROR(VLOOKUP(A265,'Paste - Mentors'!$A:$D,4,0),"")</f>
        <v>Career Mentor</v>
      </c>
      <c r="D265" s="9" t="str">
        <f>IFERROR(VLOOKUP(A265,'Paste - Mentors'!$A:$F,6,0),"")</f>
        <v>FirstRand Corporate Centre</v>
      </c>
      <c r="E265" s="9" t="str">
        <f>IFERROR(VLOOKUP(A265,'Paste - Mentors'!$A:$E,5,0),"")</f>
        <v>South Africa</v>
      </c>
      <c r="F265" s="9">
        <f>IF(A265="","",COUNTIFS('Paste - Relationships'!$A:$A,A265,'Paste - Relationships'!$AE:$AE,""))</f>
        <v>0</v>
      </c>
      <c r="G265" s="9" t="str">
        <f t="shared" si="4"/>
        <v>Available</v>
      </c>
      <c r="H265" s="9" t="str">
        <f>IF(A265="","",IF(COUNTIF('Programme Mentors'!$A:$A,A265)&gt;0,"Enrolled","—"))</f>
        <v>—</v>
      </c>
    </row>
    <row r="266" spans="1:8" ht="33.75" customHeight="1" x14ac:dyDescent="0.3">
      <c r="A266" s="43">
        <f>'Paste - Mentors'!A266</f>
        <v>3480186</v>
      </c>
      <c r="B266" s="3" t="str">
        <f>IFERROR(VLOOKUP(A266,'Paste - Mentors'!$A:$B,2,0),"")</f>
        <v>Charlene Geswind</v>
      </c>
      <c r="C266" s="3" t="str">
        <f>IFERROR(VLOOKUP(A266,'Paste - Mentors'!$A:$D,4,0),"")</f>
        <v>Career Mentor</v>
      </c>
      <c r="D266" s="43" t="str">
        <f>IFERROR(VLOOKUP(A266,'Paste - Mentors'!$A:$F,6,0),"")</f>
        <v>FNB</v>
      </c>
      <c r="E266" s="43" t="str">
        <f>IFERROR(VLOOKUP(A266,'Paste - Mentors'!$A:$E,5,0),"")</f>
        <v>South Africa</v>
      </c>
      <c r="F266" s="43">
        <f>IF(A266="","",COUNTIFS('Paste - Relationships'!$A:$A,A266,'Paste - Relationships'!$AE:$AE,""))</f>
        <v>0</v>
      </c>
      <c r="G266" s="43" t="str">
        <f t="shared" si="4"/>
        <v>Available</v>
      </c>
      <c r="H266" s="43" t="str">
        <f>IF(A266="","",IF(COUNTIF('Programme Mentors'!$A:$A,A266)&gt;0,"Enrolled","—"))</f>
        <v>—</v>
      </c>
    </row>
    <row r="267" spans="1:8" ht="14.25" customHeight="1" x14ac:dyDescent="0.3">
      <c r="A267" s="9">
        <f>'Paste - Mentors'!A267</f>
        <v>3481735</v>
      </c>
      <c r="B267" s="4" t="str">
        <f>IFERROR(VLOOKUP(A267,'Paste - Mentors'!$A:$B,2,0),"")</f>
        <v>Macdonald Leeuw</v>
      </c>
      <c r="C267" s="4" t="str">
        <f>IFERROR(VLOOKUP(A267,'Paste - Mentors'!$A:$D,4,0),"")</f>
        <v>Career Mentor</v>
      </c>
      <c r="D267" s="9" t="str">
        <f>IFERROR(VLOOKUP(A267,'Paste - Mentors'!$A:$F,6,0),"")</f>
        <v>FNB</v>
      </c>
      <c r="E267" s="9" t="str">
        <f>IFERROR(VLOOKUP(A267,'Paste - Mentors'!$A:$E,5,0),"")</f>
        <v>South Africa</v>
      </c>
      <c r="F267" s="9">
        <f>IF(A267="","",COUNTIFS('Paste - Relationships'!$A:$A,A267,'Paste - Relationships'!$AE:$AE,""))</f>
        <v>0</v>
      </c>
      <c r="G267" s="9" t="str">
        <f t="shared" si="4"/>
        <v>Available</v>
      </c>
      <c r="H267" s="9" t="str">
        <f>IF(A267="","",IF(COUNTIF('Programme Mentors'!$A:$A,A267)&gt;0,"Enrolled","—"))</f>
        <v>—</v>
      </c>
    </row>
    <row r="268" spans="1:8" ht="14.25" customHeight="1" x14ac:dyDescent="0.3">
      <c r="A268" s="43">
        <f>'Paste - Mentors'!A268</f>
        <v>3481867</v>
      </c>
      <c r="B268" s="3" t="str">
        <f>IFERROR(VLOOKUP(A268,'Paste - Mentors'!$A:$B,2,0),"")</f>
        <v>Gift Magadla</v>
      </c>
      <c r="C268" s="3" t="str">
        <f>IFERROR(VLOOKUP(A268,'Paste - Mentors'!$A:$D,4,0),"")</f>
        <v>Career Mentor</v>
      </c>
      <c r="D268" s="43" t="str">
        <f>IFERROR(VLOOKUP(A268,'Paste - Mentors'!$A:$F,6,0),"")</f>
        <v>FNB</v>
      </c>
      <c r="E268" s="43" t="str">
        <f>IFERROR(VLOOKUP(A268,'Paste - Mentors'!$A:$E,5,0),"")</f>
        <v>South Africa</v>
      </c>
      <c r="F268" s="43">
        <f>IF(A268="","",COUNTIFS('Paste - Relationships'!$A:$A,A268,'Paste - Relationships'!$AE:$AE,""))</f>
        <v>0</v>
      </c>
      <c r="G268" s="43" t="str">
        <f t="shared" si="4"/>
        <v>Available</v>
      </c>
      <c r="H268" s="43" t="str">
        <f>IF(A268="","",IF(COUNTIF('Programme Mentors'!$A:$A,A268)&gt;0,"Enrolled","—"))</f>
        <v>—</v>
      </c>
    </row>
    <row r="269" spans="1:8" ht="14.25" customHeight="1" x14ac:dyDescent="0.3">
      <c r="A269" s="9">
        <f>'Paste - Mentors'!A269</f>
        <v>3486850</v>
      </c>
      <c r="B269" s="4" t="str">
        <f>IFERROR(VLOOKUP(A269,'Paste - Mentors'!$A:$B,2,0),"")</f>
        <v>Ilyas Patel</v>
      </c>
      <c r="C269" s="4" t="str">
        <f>IFERROR(VLOOKUP(A269,'Paste - Mentors'!$A:$D,4,0),"")</f>
        <v>Career Mentor</v>
      </c>
      <c r="D269" s="9" t="str">
        <f>IFERROR(VLOOKUP(A269,'Paste - Mentors'!$A:$F,6,0),"")</f>
        <v>FirstRand Corporate Centre</v>
      </c>
      <c r="E269" s="9" t="str">
        <f>IFERROR(VLOOKUP(A269,'Paste - Mentors'!$A:$E,5,0),"")</f>
        <v>South Africa</v>
      </c>
      <c r="F269" s="9">
        <f>IF(A269="","",COUNTIFS('Paste - Relationships'!$A:$A,A269,'Paste - Relationships'!$AE:$AE,""))</f>
        <v>0</v>
      </c>
      <c r="G269" s="9" t="str">
        <f t="shared" si="4"/>
        <v>Available</v>
      </c>
      <c r="H269" s="9" t="str">
        <f>IF(A269="","",IF(COUNTIF('Programme Mentors'!$A:$A,A269)&gt;0,"Enrolled","—"))</f>
        <v>—</v>
      </c>
    </row>
    <row r="270" spans="1:8" ht="33.75" customHeight="1" x14ac:dyDescent="0.3">
      <c r="A270" s="43">
        <f>'Paste - Mentors'!A270</f>
        <v>3486982</v>
      </c>
      <c r="B270" s="3" t="str">
        <f>IFERROR(VLOOKUP(A270,'Paste - Mentors'!$A:$B,2,0),"")</f>
        <v>Ruben Steenkamp</v>
      </c>
      <c r="C270" s="3" t="str">
        <f>IFERROR(VLOOKUP(A270,'Paste - Mentors'!$A:$D,4,0),"")</f>
        <v>Career Mentor</v>
      </c>
      <c r="D270" s="43" t="str">
        <f>IFERROR(VLOOKUP(A270,'Paste - Mentors'!$A:$F,6,0),"")</f>
        <v>FNB</v>
      </c>
      <c r="E270" s="43" t="str">
        <f>IFERROR(VLOOKUP(A270,'Paste - Mentors'!$A:$E,5,0),"")</f>
        <v>South Africa</v>
      </c>
      <c r="F270" s="43">
        <f>IF(A270="","",COUNTIFS('Paste - Relationships'!$A:$A,A270,'Paste - Relationships'!$AE:$AE,""))</f>
        <v>0</v>
      </c>
      <c r="G270" s="43" t="str">
        <f t="shared" si="4"/>
        <v>Available</v>
      </c>
      <c r="H270" s="43" t="str">
        <f>IF(A270="","",IF(COUNTIF('Programme Mentors'!$A:$A,A270)&gt;0,"Enrolled","—"))</f>
        <v>—</v>
      </c>
    </row>
    <row r="271" spans="1:8" ht="14.25" customHeight="1" x14ac:dyDescent="0.3">
      <c r="A271" s="9">
        <f>'Paste - Mentors'!A271</f>
        <v>3487768</v>
      </c>
      <c r="B271" s="4" t="str">
        <f>IFERROR(VLOOKUP(A271,'Paste - Mentors'!$A:$B,2,0),"")</f>
        <v>Stephen Barnard</v>
      </c>
      <c r="C271" s="4" t="str">
        <f>IFERROR(VLOOKUP(A271,'Paste - Mentors'!$A:$D,4,0),"")</f>
        <v>Career Mentor</v>
      </c>
      <c r="D271" s="9" t="str">
        <f>IFERROR(VLOOKUP(A271,'Paste - Mentors'!$A:$F,6,0),"")</f>
        <v>FNB</v>
      </c>
      <c r="E271" s="9" t="str">
        <f>IFERROR(VLOOKUP(A271,'Paste - Mentors'!$A:$E,5,0),"")</f>
        <v>South Africa</v>
      </c>
      <c r="F271" s="9">
        <f>IF(A271="","",COUNTIFS('Paste - Relationships'!$A:$A,A271,'Paste - Relationships'!$AE:$AE,""))</f>
        <v>0</v>
      </c>
      <c r="G271" s="9" t="str">
        <f t="shared" si="4"/>
        <v>Available</v>
      </c>
      <c r="H271" s="9" t="str">
        <f>IF(A271="","",IF(COUNTIF('Programme Mentors'!$A:$A,A271)&gt;0,"Enrolled","—"))</f>
        <v>—</v>
      </c>
    </row>
    <row r="272" spans="1:8" ht="14.25" customHeight="1" x14ac:dyDescent="0.3">
      <c r="A272" s="43">
        <f>'Paste - Mentors'!A272</f>
        <v>3496104</v>
      </c>
      <c r="B272" s="3" t="str">
        <f>IFERROR(VLOOKUP(A272,'Paste - Mentors'!$A:$B,2,0),"")</f>
        <v>Roselyn Ngoepe</v>
      </c>
      <c r="C272" s="3" t="str">
        <f>IFERROR(VLOOKUP(A272,'Paste - Mentors'!$A:$D,4,0),"")</f>
        <v>Career Mentor
Technical Mentor</v>
      </c>
      <c r="D272" s="43" t="str">
        <f>IFERROR(VLOOKUP(A272,'Paste - Mentors'!$A:$F,6,0),"")</f>
        <v>FNB</v>
      </c>
      <c r="E272" s="43" t="str">
        <f>IFERROR(VLOOKUP(A272,'Paste - Mentors'!$A:$E,5,0),"")</f>
        <v>South Africa</v>
      </c>
      <c r="F272" s="43">
        <f>IF(A272="","",COUNTIFS('Paste - Relationships'!$A:$A,A272,'Paste - Relationships'!$AE:$AE,""))</f>
        <v>0</v>
      </c>
      <c r="G272" s="43" t="str">
        <f t="shared" si="4"/>
        <v>Available</v>
      </c>
      <c r="H272" s="43" t="str">
        <f>IF(A272="","",IF(COUNTIF('Programme Mentors'!$A:$A,A272)&gt;0,"Enrolled","—"))</f>
        <v>—</v>
      </c>
    </row>
    <row r="273" spans="1:8" ht="33.75" customHeight="1" x14ac:dyDescent="0.3">
      <c r="A273" s="9">
        <f>'Paste - Mentors'!A273</f>
        <v>3504840</v>
      </c>
      <c r="B273" s="4" t="str">
        <f>IFERROR(VLOOKUP(A273,'Paste - Mentors'!$A:$B,2,0),"")</f>
        <v>Thuto Chabane</v>
      </c>
      <c r="C273" s="4" t="str">
        <f>IFERROR(VLOOKUP(A273,'Paste - Mentors'!$A:$D,4,0),"")</f>
        <v>Career Mentor</v>
      </c>
      <c r="D273" s="9" t="str">
        <f>IFERROR(VLOOKUP(A273,'Paste - Mentors'!$A:$F,6,0),"")</f>
        <v>FNB</v>
      </c>
      <c r="E273" s="9" t="str">
        <f>IFERROR(VLOOKUP(A273,'Paste - Mentors'!$A:$E,5,0),"")</f>
        <v>South Africa</v>
      </c>
      <c r="F273" s="9">
        <f>IF(A273="","",COUNTIFS('Paste - Relationships'!$A:$A,A273,'Paste - Relationships'!$AE:$AE,""))</f>
        <v>0</v>
      </c>
      <c r="G273" s="9" t="str">
        <f t="shared" si="4"/>
        <v>Available</v>
      </c>
      <c r="H273" s="9" t="str">
        <f>IF(A273="","",IF(COUNTIF('Programme Mentors'!$A:$A,A273)&gt;0,"Enrolled","—"))</f>
        <v>—</v>
      </c>
    </row>
    <row r="274" spans="1:8" ht="14.25" customHeight="1" x14ac:dyDescent="0.3">
      <c r="A274" s="43">
        <f>'Paste - Mentors'!A274</f>
        <v>3516377</v>
      </c>
      <c r="B274" s="3" t="str">
        <f>IFERROR(VLOOKUP(A274,'Paste - Mentors'!$A:$B,2,0),"")</f>
        <v>Maryke Venter</v>
      </c>
      <c r="C274" s="3" t="str">
        <f>IFERROR(VLOOKUP(A274,'Paste - Mentors'!$A:$D,4,0),"")</f>
        <v>Career Mentor
Leadership Mentor
Transition Mentor</v>
      </c>
      <c r="D274" s="43" t="str">
        <f>IFERROR(VLOOKUP(A274,'Paste - Mentors'!$A:$F,6,0),"")</f>
        <v>FNB</v>
      </c>
      <c r="E274" s="43" t="str">
        <f>IFERROR(VLOOKUP(A274,'Paste - Mentors'!$A:$E,5,0),"")</f>
        <v>South Africa</v>
      </c>
      <c r="F274" s="43">
        <f>IF(A274="","",COUNTIFS('Paste - Relationships'!$A:$A,A274,'Paste - Relationships'!$AE:$AE,""))</f>
        <v>2</v>
      </c>
      <c r="G274" s="43" t="str">
        <f t="shared" si="4"/>
        <v>Has Capacity</v>
      </c>
      <c r="H274" s="43" t="str">
        <f>IF(A274="","",IF(COUNTIF('Programme Mentors'!$A:$A,A274)&gt;0,"Enrolled","—"))</f>
        <v>—</v>
      </c>
    </row>
    <row r="275" spans="1:8" ht="57" customHeight="1" x14ac:dyDescent="0.3">
      <c r="A275" s="9">
        <f>'Paste - Mentors'!A275</f>
        <v>3519570</v>
      </c>
      <c r="B275" s="4" t="str">
        <f>IFERROR(VLOOKUP(A275,'Paste - Mentors'!$A:$B,2,0),"")</f>
        <v>Godfrey Kgoedi</v>
      </c>
      <c r="C275" s="4" t="str">
        <f>IFERROR(VLOOKUP(A275,'Paste - Mentors'!$A:$D,4,0),"")</f>
        <v>Career Mentor
Leadership Mentor
Technical Mentor
Transition Mentor
Z1-Mentoring Circle Mentor (HC Managed)
Z2-Programme Mentor (HC Managed)</v>
      </c>
      <c r="D275" s="9" t="str">
        <f>IFERROR(VLOOKUP(A275,'Paste - Mentors'!$A:$F,6,0),"")</f>
        <v>FNB</v>
      </c>
      <c r="E275" s="9" t="str">
        <f>IFERROR(VLOOKUP(A275,'Paste - Mentors'!$A:$E,5,0),"")</f>
        <v>South Africa</v>
      </c>
      <c r="F275" s="9">
        <f>IF(A275="","",COUNTIFS('Paste - Relationships'!$A:$A,A275,'Paste - Relationships'!$AE:$AE,""))</f>
        <v>3</v>
      </c>
      <c r="G275" s="9" t="str">
        <f t="shared" si="4"/>
        <v>At Capacity</v>
      </c>
      <c r="H275" s="9" t="str">
        <f>IF(A275="","",IF(COUNTIF('Programme Mentors'!$A:$A,A275)&gt;0,"Enrolled","—"))</f>
        <v>—</v>
      </c>
    </row>
    <row r="276" spans="1:8" ht="136.5" customHeight="1" x14ac:dyDescent="0.3">
      <c r="A276" s="43">
        <f>'Paste - Mentors'!A276</f>
        <v>3526399</v>
      </c>
      <c r="B276" s="3" t="str">
        <f>IFERROR(VLOOKUP(A276,'Paste - Mentors'!$A:$B,2,0),"")</f>
        <v>David Johnson</v>
      </c>
      <c r="C276" s="3" t="str">
        <f>IFERROR(VLOOKUP(A276,'Paste - Mentors'!$A:$D,4,0),"")</f>
        <v>Z2-Programme Mentor (HC Managed)</v>
      </c>
      <c r="D276" s="43" t="str">
        <f>IFERROR(VLOOKUP(A276,'Paste - Mentors'!$A:$F,6,0),"")</f>
        <v>RMB</v>
      </c>
      <c r="E276" s="43" t="str">
        <f>IFERROR(VLOOKUP(A276,'Paste - Mentors'!$A:$E,5,0),"")</f>
        <v>South Africa</v>
      </c>
      <c r="F276" s="43">
        <f>IF(A276="","",COUNTIFS('Paste - Relationships'!$A:$A,A276,'Paste - Relationships'!$AE:$AE,""))</f>
        <v>0</v>
      </c>
      <c r="G276" s="43" t="str">
        <f t="shared" si="4"/>
        <v>Available</v>
      </c>
      <c r="H276" s="43" t="str">
        <f>IF(A276="","",IF(COUNTIF('Programme Mentors'!$A:$A,A276)&gt;0,"Enrolled","—"))</f>
        <v>—</v>
      </c>
    </row>
    <row r="277" spans="1:8" ht="14.25" customHeight="1" x14ac:dyDescent="0.3">
      <c r="A277" s="9">
        <f>'Paste - Mentors'!A277</f>
        <v>3527018</v>
      </c>
      <c r="B277" s="4" t="str">
        <f>IFERROR(VLOOKUP(A277,'Paste - Mentors'!$A:$B,2,0),"")</f>
        <v>Thabang Moroa</v>
      </c>
      <c r="C277" s="4" t="str">
        <f>IFERROR(VLOOKUP(A277,'Paste - Mentors'!$A:$D,4,0),"")</f>
        <v>Z2-Programme Mentor (HC Managed)</v>
      </c>
      <c r="D277" s="9" t="str">
        <f>IFERROR(VLOOKUP(A277,'Paste - Mentors'!$A:$F,6,0),"")</f>
        <v>RMB</v>
      </c>
      <c r="E277" s="9" t="str">
        <f>IFERROR(VLOOKUP(A277,'Paste - Mentors'!$A:$E,5,0),"")</f>
        <v>South Africa</v>
      </c>
      <c r="F277" s="9">
        <f>IF(A277="","",COUNTIFS('Paste - Relationships'!$A:$A,A277,'Paste - Relationships'!$AE:$AE,""))</f>
        <v>0</v>
      </c>
      <c r="G277" s="9" t="str">
        <f t="shared" si="4"/>
        <v>Available</v>
      </c>
      <c r="H277" s="9" t="str">
        <f>IF(A277="","",IF(COUNTIF('Programme Mentors'!$A:$A,A277)&gt;0,"Enrolled","—"))</f>
        <v>—</v>
      </c>
    </row>
    <row r="278" spans="1:8" ht="14.25" customHeight="1" x14ac:dyDescent="0.3">
      <c r="A278" s="43">
        <f>'Paste - Mentors'!A278</f>
        <v>3527328</v>
      </c>
      <c r="B278" s="3" t="str">
        <f>IFERROR(VLOOKUP(A278,'Paste - Mentors'!$A:$B,2,0),"")</f>
        <v>Leon Sharfman</v>
      </c>
      <c r="C278" s="3" t="str">
        <f>IFERROR(VLOOKUP(A278,'Paste - Mentors'!$A:$D,4,0),"")</f>
        <v>Career Mentor</v>
      </c>
      <c r="D278" s="43" t="str">
        <f>IFERROR(VLOOKUP(A278,'Paste - Mentors'!$A:$F,6,0),"")</f>
        <v>RMB</v>
      </c>
      <c r="E278" s="43" t="str">
        <f>IFERROR(VLOOKUP(A278,'Paste - Mentors'!$A:$E,5,0),"")</f>
        <v>South Africa</v>
      </c>
      <c r="F278" s="43">
        <f>IF(A278="","",COUNTIFS('Paste - Relationships'!$A:$A,A278,'Paste - Relationships'!$AE:$AE,""))</f>
        <v>1</v>
      </c>
      <c r="G278" s="43" t="str">
        <f t="shared" si="4"/>
        <v>Has Capacity</v>
      </c>
      <c r="H278" s="43" t="str">
        <f>IF(A278="","",IF(COUNTIF('Programme Mentors'!$A:$A,A278)&gt;0,"Enrolled","—"))</f>
        <v>—</v>
      </c>
    </row>
    <row r="279" spans="1:8" ht="14.25" customHeight="1" x14ac:dyDescent="0.3">
      <c r="A279" s="9">
        <f>'Paste - Mentors'!A279</f>
        <v>3527808</v>
      </c>
      <c r="B279" s="4" t="str">
        <f>IFERROR(VLOOKUP(A279,'Paste - Mentors'!$A:$B,2,0),"")</f>
        <v>Denise Karangwa</v>
      </c>
      <c r="C279" s="4" t="str">
        <f>IFERROR(VLOOKUP(A279,'Paste - Mentors'!$A:$D,4,0),"")</f>
        <v>Career Mentor
Leadership Mentor
Technical Mentor
Transition Mentor
Workplace  Buddy</v>
      </c>
      <c r="D279" s="9" t="str">
        <f>IFERROR(VLOOKUP(A279,'Paste - Mentors'!$A:$F,6,0),"")</f>
        <v>RMB</v>
      </c>
      <c r="E279" s="9" t="str">
        <f>IFERROR(VLOOKUP(A279,'Paste - Mentors'!$A:$E,5,0),"")</f>
        <v>South Africa</v>
      </c>
      <c r="F279" s="9">
        <f>IF(A279="","",COUNTIFS('Paste - Relationships'!$A:$A,A279,'Paste - Relationships'!$AE:$AE,""))</f>
        <v>1</v>
      </c>
      <c r="G279" s="9" t="str">
        <f t="shared" si="4"/>
        <v>Has Capacity</v>
      </c>
      <c r="H279" s="9" t="str">
        <f>IF(A279="","",IF(COUNTIF('Programme Mentors'!$A:$A,A279)&gt;0,"Enrolled","—"))</f>
        <v>—</v>
      </c>
    </row>
    <row r="280" spans="1:8" ht="102" customHeight="1" x14ac:dyDescent="0.3">
      <c r="A280" s="43">
        <f>'Paste - Mentors'!A280</f>
        <v>3530221</v>
      </c>
      <c r="B280" s="3" t="str">
        <f>IFERROR(VLOOKUP(A280,'Paste - Mentors'!$A:$B,2,0),"")</f>
        <v>Zwivhuya Tshitovha</v>
      </c>
      <c r="C280" s="3" t="str">
        <f>IFERROR(VLOOKUP(A280,'Paste - Mentors'!$A:$D,4,0),"")</f>
        <v>Career Mentor
Leadership Mentor
Technical Mentor
Transition Mentor</v>
      </c>
      <c r="D280" s="43" t="str">
        <f>IFERROR(VLOOKUP(A280,'Paste - Mentors'!$A:$F,6,0),"")</f>
        <v>RMB</v>
      </c>
      <c r="E280" s="43" t="str">
        <f>IFERROR(VLOOKUP(A280,'Paste - Mentors'!$A:$E,5,0),"")</f>
        <v>South Africa</v>
      </c>
      <c r="F280" s="43">
        <f>IF(A280="","",COUNTIFS('Paste - Relationships'!$A:$A,A280,'Paste - Relationships'!$AE:$AE,""))</f>
        <v>1</v>
      </c>
      <c r="G280" s="43" t="str">
        <f t="shared" si="4"/>
        <v>Has Capacity</v>
      </c>
      <c r="H280" s="43" t="str">
        <f>IF(A280="","",IF(COUNTIF('Programme Mentors'!$A:$A,A280)&gt;0,"Enrolled","—"))</f>
        <v>—</v>
      </c>
    </row>
    <row r="281" spans="1:8" ht="79.5" customHeight="1" x14ac:dyDescent="0.3">
      <c r="A281" s="9">
        <f>'Paste - Mentors'!A281</f>
        <v>3538656</v>
      </c>
      <c r="B281" s="4" t="str">
        <f>IFERROR(VLOOKUP(A281,'Paste - Mentors'!$A:$B,2,0),"")</f>
        <v>Kotane Lekota</v>
      </c>
      <c r="C281" s="4" t="str">
        <f>IFERROR(VLOOKUP(A281,'Paste - Mentors'!$A:$D,4,0),"")</f>
        <v>Career Mentor</v>
      </c>
      <c r="D281" s="9" t="str">
        <f>IFERROR(VLOOKUP(A281,'Paste - Mentors'!$A:$F,6,0),"")</f>
        <v>FNB</v>
      </c>
      <c r="E281" s="9" t="str">
        <f>IFERROR(VLOOKUP(A281,'Paste - Mentors'!$A:$E,5,0),"")</f>
        <v>South Africa</v>
      </c>
      <c r="F281" s="9">
        <f>IF(A281="","",COUNTIFS('Paste - Relationships'!$A:$A,A281,'Paste - Relationships'!$AE:$AE,""))</f>
        <v>0</v>
      </c>
      <c r="G281" s="9" t="str">
        <f t="shared" si="4"/>
        <v>Available</v>
      </c>
      <c r="H281" s="9" t="str">
        <f>IF(A281="","",IF(COUNTIF('Programme Mentors'!$A:$A,A281)&gt;0,"Enrolled","—"))</f>
        <v>—</v>
      </c>
    </row>
    <row r="282" spans="1:8" ht="14.25" customHeight="1" x14ac:dyDescent="0.3">
      <c r="A282" s="43">
        <f>'Paste - Mentors'!A282</f>
        <v>3539342</v>
      </c>
      <c r="B282" s="3" t="str">
        <f>IFERROR(VLOOKUP(A282,'Paste - Mentors'!$A:$B,2,0),"")</f>
        <v>Dailan Kruger</v>
      </c>
      <c r="C282" s="3" t="str">
        <f>IFERROR(VLOOKUP(A282,'Paste - Mentors'!$A:$D,4,0),"")</f>
        <v>Career Mentor</v>
      </c>
      <c r="D282" s="43" t="str">
        <f>IFERROR(VLOOKUP(A282,'Paste - Mentors'!$A:$F,6,0),"")</f>
        <v>FNB</v>
      </c>
      <c r="E282" s="43" t="str">
        <f>IFERROR(VLOOKUP(A282,'Paste - Mentors'!$A:$E,5,0),"")</f>
        <v>South Africa</v>
      </c>
      <c r="F282" s="43">
        <f>IF(A282="","",COUNTIFS('Paste - Relationships'!$A:$A,A282,'Paste - Relationships'!$AE:$AE,""))</f>
        <v>0</v>
      </c>
      <c r="G282" s="43" t="str">
        <f t="shared" si="4"/>
        <v>Available</v>
      </c>
      <c r="H282" s="43" t="str">
        <f>IF(A282="","",IF(COUNTIF('Programme Mentors'!$A:$A,A282)&gt;0,"Enrolled","—"))</f>
        <v>—</v>
      </c>
    </row>
    <row r="283" spans="1:8" ht="14.25" customHeight="1" x14ac:dyDescent="0.3">
      <c r="A283" s="9">
        <f>'Paste - Mentors'!A283</f>
        <v>3552330</v>
      </c>
      <c r="B283" s="4" t="str">
        <f>IFERROR(VLOOKUP(A283,'Paste - Mentors'!$A:$B,2,0),"")</f>
        <v>Mary Mudzingwa</v>
      </c>
      <c r="C283" s="4" t="str">
        <f>IFERROR(VLOOKUP(A283,'Paste - Mentors'!$A:$D,4,0),"")</f>
        <v>Career Mentor</v>
      </c>
      <c r="D283" s="9" t="str">
        <f>IFERROR(VLOOKUP(A283,'Paste - Mentors'!$A:$F,6,0),"")</f>
        <v>FirstRand Corporate Centre</v>
      </c>
      <c r="E283" s="9" t="str">
        <f>IFERROR(VLOOKUP(A283,'Paste - Mentors'!$A:$E,5,0),"")</f>
        <v>South Africa</v>
      </c>
      <c r="F283" s="9">
        <f>IF(A283="","",COUNTIFS('Paste - Relationships'!$A:$A,A283,'Paste - Relationships'!$AE:$AE,""))</f>
        <v>0</v>
      </c>
      <c r="G283" s="9" t="str">
        <f t="shared" si="4"/>
        <v>Available</v>
      </c>
      <c r="H283" s="9" t="str">
        <f>IF(A283="","",IF(COUNTIF('Programme Mentors'!$A:$A,A283)&gt;0,"Enrolled","—"))</f>
        <v>—</v>
      </c>
    </row>
    <row r="284" spans="1:8" ht="33.75" customHeight="1" x14ac:dyDescent="0.3">
      <c r="A284" s="43">
        <f>'Paste - Mentors'!A284</f>
        <v>3553051</v>
      </c>
      <c r="B284" s="3" t="str">
        <f>IFERROR(VLOOKUP(A284,'Paste - Mentors'!$A:$B,2,0),"")</f>
        <v>Samasree Sagadavan</v>
      </c>
      <c r="C284" s="3" t="str">
        <f>IFERROR(VLOOKUP(A284,'Paste - Mentors'!$A:$D,4,0),"")</f>
        <v>Career Mentor</v>
      </c>
      <c r="D284" s="43" t="str">
        <f>IFERROR(VLOOKUP(A284,'Paste - Mentors'!$A:$F,6,0),"")</f>
        <v>FNB</v>
      </c>
      <c r="E284" s="43" t="str">
        <f>IFERROR(VLOOKUP(A284,'Paste - Mentors'!$A:$E,5,0),"")</f>
        <v>South Africa</v>
      </c>
      <c r="F284" s="43">
        <f>IF(A284="","",COUNTIFS('Paste - Relationships'!$A:$A,A284,'Paste - Relationships'!$AE:$AE,""))</f>
        <v>0</v>
      </c>
      <c r="G284" s="43" t="str">
        <f t="shared" si="4"/>
        <v>Available</v>
      </c>
      <c r="H284" s="43" t="str">
        <f>IF(A284="","",IF(COUNTIF('Programme Mentors'!$A:$A,A284)&gt;0,"Enrolled","—"))</f>
        <v>—</v>
      </c>
    </row>
    <row r="285" spans="1:8" ht="14.25" customHeight="1" x14ac:dyDescent="0.3">
      <c r="A285" s="9">
        <f>'Paste - Mentors'!A285</f>
        <v>3555933</v>
      </c>
      <c r="B285" s="4" t="str">
        <f>IFERROR(VLOOKUP(A285,'Paste - Mentors'!$A:$B,2,0),"")</f>
        <v>Tshidiso Noge</v>
      </c>
      <c r="C285" s="4">
        <f>IFERROR(VLOOKUP(A285,'Paste - Mentors'!$A:$D,4,0),"")</f>
        <v>0</v>
      </c>
      <c r="D285" s="9" t="str">
        <f>IFERROR(VLOOKUP(A285,'Paste - Mentors'!$A:$F,6,0),"")</f>
        <v>FNB</v>
      </c>
      <c r="E285" s="9" t="str">
        <f>IFERROR(VLOOKUP(A285,'Paste - Mentors'!$A:$E,5,0),"")</f>
        <v>South Africa</v>
      </c>
      <c r="F285" s="9">
        <f>IF(A285="","",COUNTIFS('Paste - Relationships'!$A:$A,A285,'Paste - Relationships'!$AE:$AE,""))</f>
        <v>0</v>
      </c>
      <c r="G285" s="9" t="str">
        <f t="shared" si="4"/>
        <v>Available</v>
      </c>
      <c r="H285" s="9" t="str">
        <f>IF(A285="","",IF(COUNTIF('Programme Mentors'!$A:$A,A285)&gt;0,"Enrolled","—"))</f>
        <v>—</v>
      </c>
    </row>
    <row r="286" spans="1:8" ht="14.25" customHeight="1" x14ac:dyDescent="0.3">
      <c r="A286" s="43">
        <f>'Paste - Mentors'!A286</f>
        <v>3560643</v>
      </c>
      <c r="B286" s="3" t="str">
        <f>IFERROR(VLOOKUP(A286,'Paste - Mentors'!$A:$B,2,0),"")</f>
        <v>Andries Shuping</v>
      </c>
      <c r="C286" s="3" t="str">
        <f>IFERROR(VLOOKUP(A286,'Paste - Mentors'!$A:$D,4,0),"")</f>
        <v>Career Mentor</v>
      </c>
      <c r="D286" s="43" t="str">
        <f>IFERROR(VLOOKUP(A286,'Paste - Mentors'!$A:$F,6,0),"")</f>
        <v>FNB</v>
      </c>
      <c r="E286" s="43" t="str">
        <f>IFERROR(VLOOKUP(A286,'Paste - Mentors'!$A:$E,5,0),"")</f>
        <v>South Africa</v>
      </c>
      <c r="F286" s="43">
        <f>IF(A286="","",COUNTIFS('Paste - Relationships'!$A:$A,A286,'Paste - Relationships'!$AE:$AE,""))</f>
        <v>0</v>
      </c>
      <c r="G286" s="43" t="str">
        <f t="shared" si="4"/>
        <v>Available</v>
      </c>
      <c r="H286" s="43" t="str">
        <f>IF(A286="","",IF(COUNTIF('Programme Mentors'!$A:$A,A286)&gt;0,"Enrolled","—"))</f>
        <v>—</v>
      </c>
    </row>
    <row r="287" spans="1:8" ht="14.25" customHeight="1" x14ac:dyDescent="0.3">
      <c r="A287" s="9">
        <f>'Paste - Mentors'!A287</f>
        <v>3571610</v>
      </c>
      <c r="B287" s="4" t="str">
        <f>IFERROR(VLOOKUP(A287,'Paste - Mentors'!$A:$B,2,0),"")</f>
        <v>Yoesrie Bloys</v>
      </c>
      <c r="C287" s="4" t="str">
        <f>IFERROR(VLOOKUP(A287,'Paste - Mentors'!$A:$D,4,0),"")</f>
        <v>Career Mentor</v>
      </c>
      <c r="D287" s="9" t="str">
        <f>IFERROR(VLOOKUP(A287,'Paste - Mentors'!$A:$F,6,0),"")</f>
        <v>FNB</v>
      </c>
      <c r="E287" s="9" t="str">
        <f>IFERROR(VLOOKUP(A287,'Paste - Mentors'!$A:$E,5,0),"")</f>
        <v>South Africa</v>
      </c>
      <c r="F287" s="9">
        <f>IF(A287="","",COUNTIFS('Paste - Relationships'!$A:$A,A287,'Paste - Relationships'!$AE:$AE,""))</f>
        <v>0</v>
      </c>
      <c r="G287" s="9" t="str">
        <f t="shared" si="4"/>
        <v>Available</v>
      </c>
      <c r="H287" s="9" t="str">
        <f>IF(A287="","",IF(COUNTIF('Programme Mentors'!$A:$A,A287)&gt;0,"Enrolled","—"))</f>
        <v>—</v>
      </c>
    </row>
    <row r="288" spans="1:8" ht="14.25" customHeight="1" x14ac:dyDescent="0.3">
      <c r="A288" s="43">
        <f>'Paste - Mentors'!A288</f>
        <v>3573958</v>
      </c>
      <c r="B288" s="3" t="str">
        <f>IFERROR(VLOOKUP(A288,'Paste - Mentors'!$A:$B,2,0),"")</f>
        <v>Carl Rembold</v>
      </c>
      <c r="C288" s="3" t="str">
        <f>IFERROR(VLOOKUP(A288,'Paste - Mentors'!$A:$D,4,0),"")</f>
        <v>Career Mentor
Leadership Mentor
Transition Mentor
Workplace  Buddy</v>
      </c>
      <c r="D288" s="43" t="str">
        <f>IFERROR(VLOOKUP(A288,'Paste - Mentors'!$A:$F,6,0),"")</f>
        <v>FNB</v>
      </c>
      <c r="E288" s="43" t="str">
        <f>IFERROR(VLOOKUP(A288,'Paste - Mentors'!$A:$E,5,0),"")</f>
        <v>South Africa</v>
      </c>
      <c r="F288" s="43">
        <f>IF(A288="","",COUNTIFS('Paste - Relationships'!$A:$A,A288,'Paste - Relationships'!$AE:$AE,""))</f>
        <v>0</v>
      </c>
      <c r="G288" s="43" t="str">
        <f t="shared" si="4"/>
        <v>Available</v>
      </c>
      <c r="H288" s="43" t="str">
        <f>IF(A288="","",IF(COUNTIF('Programme Mentors'!$A:$A,A288)&gt;0,"Enrolled","—"))</f>
        <v>—</v>
      </c>
    </row>
    <row r="289" spans="1:8" ht="79.5" customHeight="1" x14ac:dyDescent="0.3">
      <c r="A289" s="9">
        <f>'Paste - Mentors'!A289</f>
        <v>3574687</v>
      </c>
      <c r="B289" s="4" t="str">
        <f>IFERROR(VLOOKUP(A289,'Paste - Mentors'!$A:$B,2,0),"")</f>
        <v>Havinash Naidoo</v>
      </c>
      <c r="C289" s="4" t="str">
        <f>IFERROR(VLOOKUP(A289,'Paste - Mentors'!$A:$D,4,0),"")</f>
        <v>Career Mentor</v>
      </c>
      <c r="D289" s="9" t="str">
        <f>IFERROR(VLOOKUP(A289,'Paste - Mentors'!$A:$F,6,0),"")</f>
        <v>FNB</v>
      </c>
      <c r="E289" s="9" t="str">
        <f>IFERROR(VLOOKUP(A289,'Paste - Mentors'!$A:$E,5,0),"")</f>
        <v>South Africa</v>
      </c>
      <c r="F289" s="9">
        <f>IF(A289="","",COUNTIFS('Paste - Relationships'!$A:$A,A289,'Paste - Relationships'!$AE:$AE,""))</f>
        <v>0</v>
      </c>
      <c r="G289" s="9" t="str">
        <f t="shared" si="4"/>
        <v>Available</v>
      </c>
      <c r="H289" s="9" t="str">
        <f>IF(A289="","",IF(COUNTIF('Programme Mentors'!$A:$A,A289)&gt;0,"Enrolled","—"))</f>
        <v>—</v>
      </c>
    </row>
    <row r="290" spans="1:8" ht="14.25" customHeight="1" x14ac:dyDescent="0.3">
      <c r="A290" s="43">
        <f>'Paste - Mentors'!A290</f>
        <v>3575357</v>
      </c>
      <c r="B290" s="3" t="str">
        <f>IFERROR(VLOOKUP(A290,'Paste - Mentors'!$A:$B,2,0),"")</f>
        <v>David Khunou</v>
      </c>
      <c r="C290" s="3" t="str">
        <f>IFERROR(VLOOKUP(A290,'Paste - Mentors'!$A:$D,4,0),"")</f>
        <v>Career Mentor
Leadership Mentor
Technical Mentor</v>
      </c>
      <c r="D290" s="43" t="str">
        <f>IFERROR(VLOOKUP(A290,'Paste - Mentors'!$A:$F,6,0),"")</f>
        <v>FNB</v>
      </c>
      <c r="E290" s="43" t="str">
        <f>IFERROR(VLOOKUP(A290,'Paste - Mentors'!$A:$E,5,0),"")</f>
        <v>South Africa</v>
      </c>
      <c r="F290" s="43">
        <f>IF(A290="","",COUNTIFS('Paste - Relationships'!$A:$A,A290,'Paste - Relationships'!$AE:$AE,""))</f>
        <v>0</v>
      </c>
      <c r="G290" s="43" t="str">
        <f t="shared" si="4"/>
        <v>Available</v>
      </c>
      <c r="H290" s="43" t="str">
        <f>IF(A290="","",IF(COUNTIF('Programme Mentors'!$A:$A,A290)&gt;0,"Enrolled","—"))</f>
        <v>—</v>
      </c>
    </row>
    <row r="291" spans="1:8" ht="57" customHeight="1" x14ac:dyDescent="0.3">
      <c r="A291" s="9">
        <f>'Paste - Mentors'!A291</f>
        <v>3576930</v>
      </c>
      <c r="B291" s="4" t="str">
        <f>IFERROR(VLOOKUP(A291,'Paste - Mentors'!$A:$B,2,0),"")</f>
        <v>Maphelo Mpofu</v>
      </c>
      <c r="C291" s="4" t="str">
        <f>IFERROR(VLOOKUP(A291,'Paste - Mentors'!$A:$D,4,0),"")</f>
        <v>Career Mentor
Leadership Mentor</v>
      </c>
      <c r="D291" s="9" t="str">
        <f>IFERROR(VLOOKUP(A291,'Paste - Mentors'!$A:$F,6,0),"")</f>
        <v>FNB</v>
      </c>
      <c r="E291" s="9" t="str">
        <f>IFERROR(VLOOKUP(A291,'Paste - Mentors'!$A:$E,5,0),"")</f>
        <v>South Africa</v>
      </c>
      <c r="F291" s="9">
        <f>IF(A291="","",COUNTIFS('Paste - Relationships'!$A:$A,A291,'Paste - Relationships'!$AE:$AE,""))</f>
        <v>0</v>
      </c>
      <c r="G291" s="9" t="str">
        <f t="shared" si="4"/>
        <v>Available</v>
      </c>
      <c r="H291" s="9" t="str">
        <f>IF(A291="","",IF(COUNTIF('Programme Mentors'!$A:$A,A291)&gt;0,"Enrolled","—"))</f>
        <v>—</v>
      </c>
    </row>
    <row r="292" spans="1:8" ht="33.75" customHeight="1" x14ac:dyDescent="0.3">
      <c r="A292" s="43">
        <f>'Paste - Mentors'!A292</f>
        <v>3578283</v>
      </c>
      <c r="B292" s="3" t="str">
        <f>IFERROR(VLOOKUP(A292,'Paste - Mentors'!$A:$B,2,0),"")</f>
        <v>Kgaogelo Dube</v>
      </c>
      <c r="C292" s="3" t="str">
        <f>IFERROR(VLOOKUP(A292,'Paste - Mentors'!$A:$D,4,0),"")</f>
        <v>Career Mentor</v>
      </c>
      <c r="D292" s="43" t="str">
        <f>IFERROR(VLOOKUP(A292,'Paste - Mentors'!$A:$F,6,0),"")</f>
        <v>FNB</v>
      </c>
      <c r="E292" s="43" t="str">
        <f>IFERROR(VLOOKUP(A292,'Paste - Mentors'!$A:$E,5,0),"")</f>
        <v>South Africa</v>
      </c>
      <c r="F292" s="43">
        <f>IF(A292="","",COUNTIFS('Paste - Relationships'!$A:$A,A292,'Paste - Relationships'!$AE:$AE,""))</f>
        <v>0</v>
      </c>
      <c r="G292" s="43" t="str">
        <f t="shared" si="4"/>
        <v>Available</v>
      </c>
      <c r="H292" s="43" t="str">
        <f>IF(A292="","",IF(COUNTIF('Programme Mentors'!$A:$A,A292)&gt;0,"Enrolled","—"))</f>
        <v>—</v>
      </c>
    </row>
    <row r="293" spans="1:8" ht="14.25" customHeight="1" x14ac:dyDescent="0.3">
      <c r="A293" s="9">
        <f>'Paste - Mentors'!A293</f>
        <v>3582698</v>
      </c>
      <c r="B293" s="4" t="str">
        <f>IFERROR(VLOOKUP(A293,'Paste - Mentors'!$A:$B,2,0),"")</f>
        <v>Ziyaad Jogie</v>
      </c>
      <c r="C293" s="4" t="str">
        <f>IFERROR(VLOOKUP(A293,'Paste - Mentors'!$A:$D,4,0),"")</f>
        <v>Career Mentor
Leadership Mentor
Transition Mentor
Workplace  Buddy</v>
      </c>
      <c r="D293" s="9" t="str">
        <f>IFERROR(VLOOKUP(A293,'Paste - Mentors'!$A:$F,6,0),"")</f>
        <v>FNB</v>
      </c>
      <c r="E293" s="9" t="str">
        <f>IFERROR(VLOOKUP(A293,'Paste - Mentors'!$A:$E,5,0),"")</f>
        <v>South Africa</v>
      </c>
      <c r="F293" s="9">
        <f>IF(A293="","",COUNTIFS('Paste - Relationships'!$A:$A,A293,'Paste - Relationships'!$AE:$AE,""))</f>
        <v>0</v>
      </c>
      <c r="G293" s="9" t="str">
        <f t="shared" si="4"/>
        <v>Available</v>
      </c>
      <c r="H293" s="9" t="str">
        <f>IF(A293="","",IF(COUNTIF('Programme Mentors'!$A:$A,A293)&gt;0,"Enrolled","—"))</f>
        <v>—</v>
      </c>
    </row>
    <row r="294" spans="1:8" ht="79.5" customHeight="1" x14ac:dyDescent="0.3">
      <c r="A294" s="43">
        <f>'Paste - Mentors'!A294</f>
        <v>3584763</v>
      </c>
      <c r="B294" s="3" t="str">
        <f>IFERROR(VLOOKUP(A294,'Paste - Mentors'!$A:$B,2,0),"")</f>
        <v>Mfundo Mabaso</v>
      </c>
      <c r="C294" s="3" t="str">
        <f>IFERROR(VLOOKUP(A294,'Paste - Mentors'!$A:$D,4,0),"")</f>
        <v>Career Mentor</v>
      </c>
      <c r="D294" s="43" t="str">
        <f>IFERROR(VLOOKUP(A294,'Paste - Mentors'!$A:$F,6,0),"")</f>
        <v>FNB</v>
      </c>
      <c r="E294" s="43" t="str">
        <f>IFERROR(VLOOKUP(A294,'Paste - Mentors'!$A:$E,5,0),"")</f>
        <v>South Africa</v>
      </c>
      <c r="F294" s="43">
        <f>IF(A294="","",COUNTIFS('Paste - Relationships'!$A:$A,A294,'Paste - Relationships'!$AE:$AE,""))</f>
        <v>0</v>
      </c>
      <c r="G294" s="43" t="str">
        <f t="shared" si="4"/>
        <v>Available</v>
      </c>
      <c r="H294" s="43" t="str">
        <f>IF(A294="","",IF(COUNTIF('Programme Mentors'!$A:$A,A294)&gt;0,"Enrolled","—"))</f>
        <v>—</v>
      </c>
    </row>
    <row r="295" spans="1:8" ht="14.25" customHeight="1" x14ac:dyDescent="0.3">
      <c r="A295" s="9">
        <f>'Paste - Mentors'!A295</f>
        <v>3591522</v>
      </c>
      <c r="B295" s="4" t="str">
        <f>IFERROR(VLOOKUP(A295,'Paste - Mentors'!$A:$B,2,0),"")</f>
        <v>Gladys Mkhobeni</v>
      </c>
      <c r="C295" s="4" t="str">
        <f>IFERROR(VLOOKUP(A295,'Paste - Mentors'!$A:$D,4,0),"")</f>
        <v>Career Mentor</v>
      </c>
      <c r="D295" s="9" t="str">
        <f>IFERROR(VLOOKUP(A295,'Paste - Mentors'!$A:$F,6,0),"")</f>
        <v>FNB</v>
      </c>
      <c r="E295" s="9" t="str">
        <f>IFERROR(VLOOKUP(A295,'Paste - Mentors'!$A:$E,5,0),"")</f>
        <v>South Africa</v>
      </c>
      <c r="F295" s="9">
        <f>IF(A295="","",COUNTIFS('Paste - Relationships'!$A:$A,A295,'Paste - Relationships'!$AE:$AE,""))</f>
        <v>0</v>
      </c>
      <c r="G295" s="9" t="str">
        <f t="shared" si="4"/>
        <v>Available</v>
      </c>
      <c r="H295" s="9" t="str">
        <f>IF(A295="","",IF(COUNTIF('Programme Mentors'!$A:$A,A295)&gt;0,"Enrolled","—"))</f>
        <v>—</v>
      </c>
    </row>
    <row r="296" spans="1:8" ht="14.25" customHeight="1" x14ac:dyDescent="0.3">
      <c r="A296" s="43">
        <f>'Paste - Mentors'!A296</f>
        <v>3593053</v>
      </c>
      <c r="B296" s="3" t="str">
        <f>IFERROR(VLOOKUP(A296,'Paste - Mentors'!$A:$B,2,0),"")</f>
        <v>Thandi Maciko</v>
      </c>
      <c r="C296" s="3" t="str">
        <f>IFERROR(VLOOKUP(A296,'Paste - Mentors'!$A:$D,4,0),"")</f>
        <v>Career Mentor</v>
      </c>
      <c r="D296" s="43" t="str">
        <f>IFERROR(VLOOKUP(A296,'Paste - Mentors'!$A:$F,6,0),"")</f>
        <v>FNB</v>
      </c>
      <c r="E296" s="43" t="str">
        <f>IFERROR(VLOOKUP(A296,'Paste - Mentors'!$A:$E,5,0),"")</f>
        <v>South Africa</v>
      </c>
      <c r="F296" s="43">
        <f>IF(A296="","",COUNTIFS('Paste - Relationships'!$A:$A,A296,'Paste - Relationships'!$AE:$AE,""))</f>
        <v>0</v>
      </c>
      <c r="G296" s="43" t="str">
        <f t="shared" si="4"/>
        <v>Available</v>
      </c>
      <c r="H296" s="43" t="str">
        <f>IF(A296="","",IF(COUNTIF('Programme Mentors'!$A:$A,A296)&gt;0,"Enrolled","—"))</f>
        <v>—</v>
      </c>
    </row>
    <row r="297" spans="1:8" ht="14.25" customHeight="1" x14ac:dyDescent="0.3">
      <c r="A297" s="9">
        <f>'Paste - Mentors'!A297</f>
        <v>3594505</v>
      </c>
      <c r="B297" s="4" t="str">
        <f>IFERROR(VLOOKUP(A297,'Paste - Mentors'!$A:$B,2,0),"")</f>
        <v>Lufuno Mulelu</v>
      </c>
      <c r="C297" s="4" t="str">
        <f>IFERROR(VLOOKUP(A297,'Paste - Mentors'!$A:$D,4,0),"")</f>
        <v>Career Mentor</v>
      </c>
      <c r="D297" s="9" t="str">
        <f>IFERROR(VLOOKUP(A297,'Paste - Mentors'!$A:$F,6,0),"")</f>
        <v>FNB</v>
      </c>
      <c r="E297" s="9" t="str">
        <f>IFERROR(VLOOKUP(A297,'Paste - Mentors'!$A:$E,5,0),"")</f>
        <v>South Africa</v>
      </c>
      <c r="F297" s="9">
        <f>IF(A297="","",COUNTIFS('Paste - Relationships'!$A:$A,A297,'Paste - Relationships'!$AE:$AE,""))</f>
        <v>0</v>
      </c>
      <c r="G297" s="9" t="str">
        <f t="shared" si="4"/>
        <v>Available</v>
      </c>
      <c r="H297" s="9" t="str">
        <f>IF(A297="","",IF(COUNTIF('Programme Mentors'!$A:$A,A297)&gt;0,"Enrolled","—"))</f>
        <v>—</v>
      </c>
    </row>
    <row r="298" spans="1:8" ht="14.25" customHeight="1" x14ac:dyDescent="0.3">
      <c r="A298" s="43">
        <f>'Paste - Mentors'!A298</f>
        <v>3599523</v>
      </c>
      <c r="B298" s="3" t="str">
        <f>IFERROR(VLOOKUP(A298,'Paste - Mentors'!$A:$B,2,0),"")</f>
        <v>Confidence Tsolo</v>
      </c>
      <c r="C298" s="3" t="str">
        <f>IFERROR(VLOOKUP(A298,'Paste - Mentors'!$A:$D,4,0),"")</f>
        <v>Career Mentor</v>
      </c>
      <c r="D298" s="43" t="str">
        <f>IFERROR(VLOOKUP(A298,'Paste - Mentors'!$A:$F,6,0),"")</f>
        <v>WesBank</v>
      </c>
      <c r="E298" s="43" t="str">
        <f>IFERROR(VLOOKUP(A298,'Paste - Mentors'!$A:$E,5,0),"")</f>
        <v>South Africa</v>
      </c>
      <c r="F298" s="43">
        <f>IF(A298="","",COUNTIFS('Paste - Relationships'!$A:$A,A298,'Paste - Relationships'!$AE:$AE,""))</f>
        <v>0</v>
      </c>
      <c r="G298" s="43" t="str">
        <f t="shared" si="4"/>
        <v>Available</v>
      </c>
      <c r="H298" s="43" t="str">
        <f>IF(A298="","",IF(COUNTIF('Programme Mentors'!$A:$A,A298)&gt;0,"Enrolled","—"))</f>
        <v>—</v>
      </c>
    </row>
    <row r="299" spans="1:8" ht="14.25" customHeight="1" x14ac:dyDescent="0.3">
      <c r="A299" s="9">
        <f>'Paste - Mentors'!A299</f>
        <v>3601447</v>
      </c>
      <c r="B299" s="4" t="str">
        <f>IFERROR(VLOOKUP(A299,'Paste - Mentors'!$A:$B,2,0),"")</f>
        <v>Zaakirah Mohideen Paulse</v>
      </c>
      <c r="C299" s="4" t="str">
        <f>IFERROR(VLOOKUP(A299,'Paste - Mentors'!$A:$D,4,0),"")</f>
        <v>Career Mentor</v>
      </c>
      <c r="D299" s="9" t="str">
        <f>IFERROR(VLOOKUP(A299,'Paste - Mentors'!$A:$F,6,0),"")</f>
        <v>FNB</v>
      </c>
      <c r="E299" s="9" t="str">
        <f>IFERROR(VLOOKUP(A299,'Paste - Mentors'!$A:$E,5,0),"")</f>
        <v>South Africa</v>
      </c>
      <c r="F299" s="9">
        <f>IF(A299="","",COUNTIFS('Paste - Relationships'!$A:$A,A299,'Paste - Relationships'!$AE:$AE,""))</f>
        <v>0</v>
      </c>
      <c r="G299" s="9" t="str">
        <f t="shared" si="4"/>
        <v>Available</v>
      </c>
      <c r="H299" s="9" t="str">
        <f>IF(A299="","",IF(COUNTIF('Programme Mentors'!$A:$A,A299)&gt;0,"Enrolled","—"))</f>
        <v>—</v>
      </c>
    </row>
    <row r="300" spans="1:8" ht="14.25" customHeight="1" x14ac:dyDescent="0.3">
      <c r="A300" s="43">
        <f>'Paste - Mentors'!A300</f>
        <v>3602915</v>
      </c>
      <c r="B300" s="3" t="str">
        <f>IFERROR(VLOOKUP(A300,'Paste - Mentors'!$A:$B,2,0),"")</f>
        <v>Siya Motha</v>
      </c>
      <c r="C300" s="3" t="str">
        <f>IFERROR(VLOOKUP(A300,'Paste - Mentors'!$A:$D,4,0),"")</f>
        <v>Career Mentor</v>
      </c>
      <c r="D300" s="43" t="str">
        <f>IFERROR(VLOOKUP(A300,'Paste - Mentors'!$A:$F,6,0),"")</f>
        <v>FNB</v>
      </c>
      <c r="E300" s="43" t="str">
        <f>IFERROR(VLOOKUP(A300,'Paste - Mentors'!$A:$E,5,0),"")</f>
        <v>South Africa</v>
      </c>
      <c r="F300" s="43">
        <f>IF(A300="","",COUNTIFS('Paste - Relationships'!$A:$A,A300,'Paste - Relationships'!$AE:$AE,""))</f>
        <v>1</v>
      </c>
      <c r="G300" s="43" t="str">
        <f t="shared" si="4"/>
        <v>Has Capacity</v>
      </c>
      <c r="H300" s="43" t="str">
        <f>IF(A300="","",IF(COUNTIF('Programme Mentors'!$A:$A,A300)&gt;0,"Enrolled","—"))</f>
        <v>—</v>
      </c>
    </row>
    <row r="301" spans="1:8" ht="14.25" customHeight="1" x14ac:dyDescent="0.3">
      <c r="A301" s="9">
        <f>'Paste - Mentors'!A301</f>
        <v>3604675</v>
      </c>
      <c r="B301" s="4" t="str">
        <f>IFERROR(VLOOKUP(A301,'Paste - Mentors'!$A:$B,2,0),"")</f>
        <v>Cameron Peel</v>
      </c>
      <c r="C301" s="4" t="str">
        <f>IFERROR(VLOOKUP(A301,'Paste - Mentors'!$A:$D,4,0),"")</f>
        <v>Z2-Programme Mentor (HC Managed)</v>
      </c>
      <c r="D301" s="9" t="str">
        <f>IFERROR(VLOOKUP(A301,'Paste - Mentors'!$A:$F,6,0),"")</f>
        <v>RMB</v>
      </c>
      <c r="E301" s="9" t="str">
        <f>IFERROR(VLOOKUP(A301,'Paste - Mentors'!$A:$E,5,0),"")</f>
        <v>South Africa</v>
      </c>
      <c r="F301" s="9">
        <f>IF(A301="","",COUNTIFS('Paste - Relationships'!$A:$A,A301,'Paste - Relationships'!$AE:$AE,""))</f>
        <v>0</v>
      </c>
      <c r="G301" s="9" t="str">
        <f t="shared" si="4"/>
        <v>Available</v>
      </c>
      <c r="H301" s="9" t="str">
        <f>IF(A301="","",IF(COUNTIF('Programme Mentors'!$A:$A,A301)&gt;0,"Enrolled","—"))</f>
        <v>—</v>
      </c>
    </row>
    <row r="302" spans="1:8" ht="14.25" customHeight="1" x14ac:dyDescent="0.3">
      <c r="A302" s="43">
        <f>'Paste - Mentors'!A302</f>
        <v>3604721</v>
      </c>
      <c r="B302" s="3" t="str">
        <f>IFERROR(VLOOKUP(A302,'Paste - Mentors'!$A:$B,2,0),"")</f>
        <v>Natasha Nadasen</v>
      </c>
      <c r="C302" s="3" t="str">
        <f>IFERROR(VLOOKUP(A302,'Paste - Mentors'!$A:$D,4,0),"")</f>
        <v>Z2-Programme Mentor (HC Managed)</v>
      </c>
      <c r="D302" s="43" t="str">
        <f>IFERROR(VLOOKUP(A302,'Paste - Mentors'!$A:$F,6,0),"")</f>
        <v>RMB</v>
      </c>
      <c r="E302" s="43" t="str">
        <f>IFERROR(VLOOKUP(A302,'Paste - Mentors'!$A:$E,5,0),"")</f>
        <v>South Africa</v>
      </c>
      <c r="F302" s="43">
        <f>IF(A302="","",COUNTIFS('Paste - Relationships'!$A:$A,A302,'Paste - Relationships'!$AE:$AE,""))</f>
        <v>0</v>
      </c>
      <c r="G302" s="43" t="str">
        <f t="shared" si="4"/>
        <v>Available</v>
      </c>
      <c r="H302" s="43" t="str">
        <f>IF(A302="","",IF(COUNTIF('Programme Mentors'!$A:$A,A302)&gt;0,"Enrolled","—"))</f>
        <v>—</v>
      </c>
    </row>
    <row r="303" spans="1:8" ht="14.25" customHeight="1" x14ac:dyDescent="0.3">
      <c r="A303" s="9">
        <f>'Paste - Mentors'!A303</f>
        <v>3611434</v>
      </c>
      <c r="B303" s="4" t="str">
        <f>IFERROR(VLOOKUP(A303,'Paste - Mentors'!$A:$B,2,0),"")</f>
        <v>Lekgeto Segola</v>
      </c>
      <c r="C303" s="4" t="str">
        <f>IFERROR(VLOOKUP(A303,'Paste - Mentors'!$A:$D,4,0),"")</f>
        <v>Career Mentor</v>
      </c>
      <c r="D303" s="9" t="str">
        <f>IFERROR(VLOOKUP(A303,'Paste - Mentors'!$A:$F,6,0),"")</f>
        <v>FNB</v>
      </c>
      <c r="E303" s="9" t="str">
        <f>IFERROR(VLOOKUP(A303,'Paste - Mentors'!$A:$E,5,0),"")</f>
        <v>South Africa</v>
      </c>
      <c r="F303" s="9">
        <f>IF(A303="","",COUNTIFS('Paste - Relationships'!$A:$A,A303,'Paste - Relationships'!$AE:$AE,""))</f>
        <v>0</v>
      </c>
      <c r="G303" s="9" t="str">
        <f t="shared" si="4"/>
        <v>Available</v>
      </c>
      <c r="H303" s="9" t="str">
        <f>IF(A303="","",IF(COUNTIF('Programme Mentors'!$A:$A,A303)&gt;0,"Enrolled","—"))</f>
        <v>—</v>
      </c>
    </row>
    <row r="304" spans="1:8" ht="14.25" customHeight="1" x14ac:dyDescent="0.3">
      <c r="A304" s="43">
        <f>'Paste - Mentors'!A304</f>
        <v>3613364</v>
      </c>
      <c r="B304" s="3" t="str">
        <f>IFERROR(VLOOKUP(A304,'Paste - Mentors'!$A:$B,2,0),"")</f>
        <v>Thariq Benjamin</v>
      </c>
      <c r="C304" s="3" t="str">
        <f>IFERROR(VLOOKUP(A304,'Paste - Mentors'!$A:$D,4,0),"")</f>
        <v>Career Mentor</v>
      </c>
      <c r="D304" s="43" t="str">
        <f>IFERROR(VLOOKUP(A304,'Paste - Mentors'!$A:$F,6,0),"")</f>
        <v>FNB</v>
      </c>
      <c r="E304" s="43" t="str">
        <f>IFERROR(VLOOKUP(A304,'Paste - Mentors'!$A:$E,5,0),"")</f>
        <v>South Africa</v>
      </c>
      <c r="F304" s="43">
        <f>IF(A304="","",COUNTIFS('Paste - Relationships'!$A:$A,A304,'Paste - Relationships'!$AE:$AE,""))</f>
        <v>0</v>
      </c>
      <c r="G304" s="43" t="str">
        <f t="shared" si="4"/>
        <v>Available</v>
      </c>
      <c r="H304" s="43" t="str">
        <f>IF(A304="","",IF(COUNTIF('Programme Mentors'!$A:$A,A304)&gt;0,"Enrolled","—"))</f>
        <v>—</v>
      </c>
    </row>
    <row r="305" spans="1:8" ht="14.25" customHeight="1" x14ac:dyDescent="0.3">
      <c r="A305" s="9">
        <f>'Paste - Mentors'!A305</f>
        <v>3615227</v>
      </c>
      <c r="B305" s="4" t="str">
        <f>IFERROR(VLOOKUP(A305,'Paste - Mentors'!$A:$B,2,0),"")</f>
        <v>Kimesh Achary</v>
      </c>
      <c r="C305" s="4" t="str">
        <f>IFERROR(VLOOKUP(A305,'Paste - Mentors'!$A:$D,4,0),"")</f>
        <v>Career Mentor</v>
      </c>
      <c r="D305" s="9" t="str">
        <f>IFERROR(VLOOKUP(A305,'Paste - Mentors'!$A:$F,6,0),"")</f>
        <v>FNB</v>
      </c>
      <c r="E305" s="9" t="str">
        <f>IFERROR(VLOOKUP(A305,'Paste - Mentors'!$A:$E,5,0),"")</f>
        <v>South Africa</v>
      </c>
      <c r="F305" s="9">
        <f>IF(A305="","",COUNTIFS('Paste - Relationships'!$A:$A,A305,'Paste - Relationships'!$AE:$AE,""))</f>
        <v>0</v>
      </c>
      <c r="G305" s="9" t="str">
        <f t="shared" si="4"/>
        <v>Available</v>
      </c>
      <c r="H305" s="9" t="str">
        <f>IF(A305="","",IF(COUNTIF('Programme Mentors'!$A:$A,A305)&gt;0,"Enrolled","—"))</f>
        <v>—</v>
      </c>
    </row>
    <row r="306" spans="1:8" ht="14.25" customHeight="1" x14ac:dyDescent="0.3">
      <c r="A306" s="43">
        <f>'Paste - Mentors'!A306</f>
        <v>3619591</v>
      </c>
      <c r="B306" s="3" t="str">
        <f>IFERROR(VLOOKUP(A306,'Paste - Mentors'!$A:$B,2,0),"")</f>
        <v>Elmine Breedt</v>
      </c>
      <c r="C306" s="3" t="str">
        <f>IFERROR(VLOOKUP(A306,'Paste - Mentors'!$A:$D,4,0),"")</f>
        <v>Career Mentor</v>
      </c>
      <c r="D306" s="43" t="str">
        <f>IFERROR(VLOOKUP(A306,'Paste - Mentors'!$A:$F,6,0),"")</f>
        <v>FNB</v>
      </c>
      <c r="E306" s="43" t="str">
        <f>IFERROR(VLOOKUP(A306,'Paste - Mentors'!$A:$E,5,0),"")</f>
        <v>South Africa</v>
      </c>
      <c r="F306" s="43">
        <f>IF(A306="","",COUNTIFS('Paste - Relationships'!$A:$A,A306,'Paste - Relationships'!$AE:$AE,""))</f>
        <v>0</v>
      </c>
      <c r="G306" s="43" t="str">
        <f t="shared" si="4"/>
        <v>Available</v>
      </c>
      <c r="H306" s="43" t="str">
        <f>IF(A306="","",IF(COUNTIF('Programme Mentors'!$A:$A,A306)&gt;0,"Enrolled","—"))</f>
        <v>—</v>
      </c>
    </row>
    <row r="307" spans="1:8" ht="14.25" customHeight="1" x14ac:dyDescent="0.3">
      <c r="A307" s="9">
        <f>'Paste - Mentors'!A307</f>
        <v>3625702</v>
      </c>
      <c r="B307" s="4" t="str">
        <f>IFERROR(VLOOKUP(A307,'Paste - Mentors'!$A:$B,2,0),"")</f>
        <v>Shaun Pavaday</v>
      </c>
      <c r="C307" s="4" t="str">
        <f>IFERROR(VLOOKUP(A307,'Paste - Mentors'!$A:$D,4,0),"")</f>
        <v>Career Mentor</v>
      </c>
      <c r="D307" s="9" t="str">
        <f>IFERROR(VLOOKUP(A307,'Paste - Mentors'!$A:$F,6,0),"")</f>
        <v>FNB</v>
      </c>
      <c r="E307" s="9" t="str">
        <f>IFERROR(VLOOKUP(A307,'Paste - Mentors'!$A:$E,5,0),"")</f>
        <v>South Africa</v>
      </c>
      <c r="F307" s="9">
        <f>IF(A307="","",COUNTIFS('Paste - Relationships'!$A:$A,A307,'Paste - Relationships'!$AE:$AE,""))</f>
        <v>0</v>
      </c>
      <c r="G307" s="9" t="str">
        <f t="shared" si="4"/>
        <v>Available</v>
      </c>
      <c r="H307" s="9" t="str">
        <f>IF(A307="","",IF(COUNTIF('Programme Mentors'!$A:$A,A307)&gt;0,"Enrolled","—"))</f>
        <v>—</v>
      </c>
    </row>
    <row r="308" spans="1:8" ht="14.25" customHeight="1" x14ac:dyDescent="0.3">
      <c r="A308" s="43">
        <f>'Paste - Mentors'!A308</f>
        <v>3634078</v>
      </c>
      <c r="B308" s="3" t="str">
        <f>IFERROR(VLOOKUP(A308,'Paste - Mentors'!$A:$B,2,0),"")</f>
        <v>Cathy Ebrahim</v>
      </c>
      <c r="C308" s="3" t="str">
        <f>IFERROR(VLOOKUP(A308,'Paste - Mentors'!$A:$D,4,0),"")</f>
        <v>Career Mentor</v>
      </c>
      <c r="D308" s="43" t="str">
        <f>IFERROR(VLOOKUP(A308,'Paste - Mentors'!$A:$F,6,0),"")</f>
        <v>FNB</v>
      </c>
      <c r="E308" s="43" t="str">
        <f>IFERROR(VLOOKUP(A308,'Paste - Mentors'!$A:$E,5,0),"")</f>
        <v>South Africa</v>
      </c>
      <c r="F308" s="43">
        <f>IF(A308="","",COUNTIFS('Paste - Relationships'!$A:$A,A308,'Paste - Relationships'!$AE:$AE,""))</f>
        <v>0</v>
      </c>
      <c r="G308" s="43" t="str">
        <f t="shared" si="4"/>
        <v>Available</v>
      </c>
      <c r="H308" s="43" t="str">
        <f>IF(A308="","",IF(COUNTIF('Programme Mentors'!$A:$A,A308)&gt;0,"Enrolled","—"))</f>
        <v>—</v>
      </c>
    </row>
    <row r="309" spans="1:8" ht="14.25" customHeight="1" x14ac:dyDescent="0.3">
      <c r="A309" s="9">
        <f>'Paste - Mentors'!A309</f>
        <v>3641430</v>
      </c>
      <c r="B309" s="4" t="str">
        <f>IFERROR(VLOOKUP(A309,'Paste - Mentors'!$A:$B,2,0),"")</f>
        <v>Reema Pather</v>
      </c>
      <c r="C309" s="4" t="str">
        <f>IFERROR(VLOOKUP(A309,'Paste - Mentors'!$A:$D,4,0),"")</f>
        <v>Career Mentor</v>
      </c>
      <c r="D309" s="9" t="str">
        <f>IFERROR(VLOOKUP(A309,'Paste - Mentors'!$A:$F,6,0),"")</f>
        <v>FNB</v>
      </c>
      <c r="E309" s="9" t="str">
        <f>IFERROR(VLOOKUP(A309,'Paste - Mentors'!$A:$E,5,0),"")</f>
        <v>South Africa</v>
      </c>
      <c r="F309" s="9">
        <f>IF(A309="","",COUNTIFS('Paste - Relationships'!$A:$A,A309,'Paste - Relationships'!$AE:$AE,""))</f>
        <v>0</v>
      </c>
      <c r="G309" s="9" t="str">
        <f t="shared" si="4"/>
        <v>Available</v>
      </c>
      <c r="H309" s="9" t="str">
        <f>IF(A309="","",IF(COUNTIF('Programme Mentors'!$A:$A,A309)&gt;0,"Enrolled","—"))</f>
        <v>—</v>
      </c>
    </row>
    <row r="310" spans="1:8" ht="14.25" customHeight="1" x14ac:dyDescent="0.3">
      <c r="A310" s="43">
        <f>'Paste - Mentors'!A310</f>
        <v>3651770</v>
      </c>
      <c r="B310" s="3" t="str">
        <f>IFERROR(VLOOKUP(A310,'Paste - Mentors'!$A:$B,2,0),"")</f>
        <v>Bongani Baloyi</v>
      </c>
      <c r="C310" s="3" t="str">
        <f>IFERROR(VLOOKUP(A310,'Paste - Mentors'!$A:$D,4,0),"")</f>
        <v>Career Mentor</v>
      </c>
      <c r="D310" s="43" t="str">
        <f>IFERROR(VLOOKUP(A310,'Paste - Mentors'!$A:$F,6,0),"")</f>
        <v>FNB</v>
      </c>
      <c r="E310" s="43" t="str">
        <f>IFERROR(VLOOKUP(A310,'Paste - Mentors'!$A:$E,5,0),"")</f>
        <v>South Africa</v>
      </c>
      <c r="F310" s="43">
        <f>IF(A310="","",COUNTIFS('Paste - Relationships'!$A:$A,A310,'Paste - Relationships'!$AE:$AE,""))</f>
        <v>0</v>
      </c>
      <c r="G310" s="43" t="str">
        <f t="shared" si="4"/>
        <v>Available</v>
      </c>
      <c r="H310" s="43" t="str">
        <f>IF(A310="","",IF(COUNTIF('Programme Mentors'!$A:$A,A310)&gt;0,"Enrolled","—"))</f>
        <v>—</v>
      </c>
    </row>
    <row r="311" spans="1:8" ht="14.25" customHeight="1" x14ac:dyDescent="0.3">
      <c r="A311" s="9">
        <f>'Paste - Mentors'!A311</f>
        <v>3658473</v>
      </c>
      <c r="B311" s="4" t="str">
        <f>IFERROR(VLOOKUP(A311,'Paste - Mentors'!$A:$B,2,0),"")</f>
        <v>Elvis Mokonyama</v>
      </c>
      <c r="C311" s="4" t="str">
        <f>IFERROR(VLOOKUP(A311,'Paste - Mentors'!$A:$D,4,0),"")</f>
        <v>Career Mentor
Leadership Mentor
Workplace  Buddy</v>
      </c>
      <c r="D311" s="9" t="str">
        <f>IFERROR(VLOOKUP(A311,'Paste - Mentors'!$A:$F,6,0),"")</f>
        <v>FNB</v>
      </c>
      <c r="E311" s="9" t="str">
        <f>IFERROR(VLOOKUP(A311,'Paste - Mentors'!$A:$E,5,0),"")</f>
        <v>South Africa</v>
      </c>
      <c r="F311" s="9">
        <f>IF(A311="","",COUNTIFS('Paste - Relationships'!$A:$A,A311,'Paste - Relationships'!$AE:$AE,""))</f>
        <v>0</v>
      </c>
      <c r="G311" s="9" t="str">
        <f t="shared" si="4"/>
        <v>Available</v>
      </c>
      <c r="H311" s="9" t="str">
        <f>IF(A311="","",IF(COUNTIF('Programme Mentors'!$A:$A,A311)&gt;0,"Enrolled","—"))</f>
        <v>—</v>
      </c>
    </row>
    <row r="312" spans="1:8" ht="57" customHeight="1" x14ac:dyDescent="0.3">
      <c r="A312" s="43">
        <f>'Paste - Mentors'!A312</f>
        <v>3660079</v>
      </c>
      <c r="B312" s="3" t="str">
        <f>IFERROR(VLOOKUP(A312,'Paste - Mentors'!$A:$B,2,0),"")</f>
        <v>Modise Moeng</v>
      </c>
      <c r="C312" s="3" t="str">
        <f>IFERROR(VLOOKUP(A312,'Paste - Mentors'!$A:$D,4,0),"")</f>
        <v>Career Mentor</v>
      </c>
      <c r="D312" s="43" t="str">
        <f>IFERROR(VLOOKUP(A312,'Paste - Mentors'!$A:$F,6,0),"")</f>
        <v>FNB</v>
      </c>
      <c r="E312" s="43" t="str">
        <f>IFERROR(VLOOKUP(A312,'Paste - Mentors'!$A:$E,5,0),"")</f>
        <v>South Africa</v>
      </c>
      <c r="F312" s="43">
        <f>IF(A312="","",COUNTIFS('Paste - Relationships'!$A:$A,A312,'Paste - Relationships'!$AE:$AE,""))</f>
        <v>0</v>
      </c>
      <c r="G312" s="43" t="str">
        <f t="shared" si="4"/>
        <v>Available</v>
      </c>
      <c r="H312" s="43" t="str">
        <f>IF(A312="","",IF(COUNTIF('Programme Mentors'!$A:$A,A312)&gt;0,"Enrolled","—"))</f>
        <v>—</v>
      </c>
    </row>
    <row r="313" spans="1:8" ht="14.25" customHeight="1" x14ac:dyDescent="0.3">
      <c r="A313" s="9">
        <f>'Paste - Mentors'!A313</f>
        <v>3660966</v>
      </c>
      <c r="B313" s="4" t="str">
        <f>IFERROR(VLOOKUP(A313,'Paste - Mentors'!$A:$B,2,0),"")</f>
        <v>Mogorosi Ramatlhodi</v>
      </c>
      <c r="C313" s="4" t="str">
        <f>IFERROR(VLOOKUP(A313,'Paste - Mentors'!$A:$D,4,0),"")</f>
        <v>Career Mentor</v>
      </c>
      <c r="D313" s="9" t="str">
        <f>IFERROR(VLOOKUP(A313,'Paste - Mentors'!$A:$F,6,0),"")</f>
        <v>FNB</v>
      </c>
      <c r="E313" s="9" t="str">
        <f>IFERROR(VLOOKUP(A313,'Paste - Mentors'!$A:$E,5,0),"")</f>
        <v>South Africa</v>
      </c>
      <c r="F313" s="9">
        <f>IF(A313="","",COUNTIFS('Paste - Relationships'!$A:$A,A313,'Paste - Relationships'!$AE:$AE,""))</f>
        <v>0</v>
      </c>
      <c r="G313" s="9" t="str">
        <f t="shared" si="4"/>
        <v>Available</v>
      </c>
      <c r="H313" s="9" t="str">
        <f>IF(A313="","",IF(COUNTIF('Programme Mentors'!$A:$A,A313)&gt;0,"Enrolled","—"))</f>
        <v>—</v>
      </c>
    </row>
    <row r="314" spans="1:8" ht="14.25" customHeight="1" x14ac:dyDescent="0.3">
      <c r="A314" s="43">
        <f>'Paste - Mentors'!A314</f>
        <v>3669386</v>
      </c>
      <c r="B314" s="3" t="str">
        <f>IFERROR(VLOOKUP(A314,'Paste - Mentors'!$A:$B,2,0),"")</f>
        <v>Keshlin Naicker</v>
      </c>
      <c r="C314" s="3">
        <f>IFERROR(VLOOKUP(A314,'Paste - Mentors'!$A:$D,4,0),"")</f>
        <v>0</v>
      </c>
      <c r="D314" s="43" t="str">
        <f>IFERROR(VLOOKUP(A314,'Paste - Mentors'!$A:$F,6,0),"")</f>
        <v>FNB</v>
      </c>
      <c r="E314" s="43" t="str">
        <f>IFERROR(VLOOKUP(A314,'Paste - Mentors'!$A:$E,5,0),"")</f>
        <v>South Africa</v>
      </c>
      <c r="F314" s="43">
        <f>IF(A314="","",COUNTIFS('Paste - Relationships'!$A:$A,A314,'Paste - Relationships'!$AE:$AE,""))</f>
        <v>0</v>
      </c>
      <c r="G314" s="43" t="str">
        <f t="shared" si="4"/>
        <v>Available</v>
      </c>
      <c r="H314" s="43" t="str">
        <f>IF(A314="","",IF(COUNTIF('Programme Mentors'!$A:$A,A314)&gt;0,"Enrolled","—"))</f>
        <v>—</v>
      </c>
    </row>
    <row r="315" spans="1:8" ht="14.25" customHeight="1" x14ac:dyDescent="0.3">
      <c r="A315" s="9">
        <f>'Paste - Mentors'!A315</f>
        <v>3678482</v>
      </c>
      <c r="B315" s="4" t="str">
        <f>IFERROR(VLOOKUP(A315,'Paste - Mentors'!$A:$B,2,0),"")</f>
        <v>Jermaine Varnicker</v>
      </c>
      <c r="C315" s="4" t="str">
        <f>IFERROR(VLOOKUP(A315,'Paste - Mentors'!$A:$D,4,0),"")</f>
        <v>Career Mentor
Technical Mentor
Transition Mentor</v>
      </c>
      <c r="D315" s="9" t="str">
        <f>IFERROR(VLOOKUP(A315,'Paste - Mentors'!$A:$F,6,0),"")</f>
        <v>FNB</v>
      </c>
      <c r="E315" s="9" t="str">
        <f>IFERROR(VLOOKUP(A315,'Paste - Mentors'!$A:$E,5,0),"")</f>
        <v>South Africa</v>
      </c>
      <c r="F315" s="9">
        <f>IF(A315="","",COUNTIFS('Paste - Relationships'!$A:$A,A315,'Paste - Relationships'!$AE:$AE,""))</f>
        <v>0</v>
      </c>
      <c r="G315" s="9" t="str">
        <f t="shared" si="4"/>
        <v>Available</v>
      </c>
      <c r="H315" s="9" t="str">
        <f>IF(A315="","",IF(COUNTIF('Programme Mentors'!$A:$A,A315)&gt;0,"Enrolled","—"))</f>
        <v>—</v>
      </c>
    </row>
    <row r="316" spans="1:8" ht="57" customHeight="1" x14ac:dyDescent="0.3">
      <c r="A316" s="43">
        <f>'Paste - Mentors'!A316</f>
        <v>3694119</v>
      </c>
      <c r="B316" s="3" t="str">
        <f>IFERROR(VLOOKUP(A316,'Paste - Mentors'!$A:$B,2,0),"")</f>
        <v>Yure Haripersad</v>
      </c>
      <c r="C316" s="3" t="str">
        <f>IFERROR(VLOOKUP(A316,'Paste - Mentors'!$A:$D,4,0),"")</f>
        <v>Career Mentor</v>
      </c>
      <c r="D316" s="43" t="str">
        <f>IFERROR(VLOOKUP(A316,'Paste - Mentors'!$A:$F,6,0),"")</f>
        <v>FNB</v>
      </c>
      <c r="E316" s="43" t="str">
        <f>IFERROR(VLOOKUP(A316,'Paste - Mentors'!$A:$E,5,0),"")</f>
        <v>South Africa</v>
      </c>
      <c r="F316" s="43">
        <f>IF(A316="","",COUNTIFS('Paste - Relationships'!$A:$A,A316,'Paste - Relationships'!$AE:$AE,""))</f>
        <v>0</v>
      </c>
      <c r="G316" s="43" t="str">
        <f t="shared" si="4"/>
        <v>Available</v>
      </c>
      <c r="H316" s="43" t="str">
        <f>IF(A316="","",IF(COUNTIF('Programme Mentors'!$A:$A,A316)&gt;0,"Enrolled","—"))</f>
        <v>—</v>
      </c>
    </row>
    <row r="317" spans="1:8" ht="14.25" customHeight="1" x14ac:dyDescent="0.3">
      <c r="A317" s="9">
        <f>'Paste - Mentors'!A317</f>
        <v>3715930</v>
      </c>
      <c r="B317" s="4" t="str">
        <f>IFERROR(VLOOKUP(A317,'Paste - Mentors'!$A:$B,2,0),"")</f>
        <v>Sizwe Hlatshwayo</v>
      </c>
      <c r="C317" s="4" t="str">
        <f>IFERROR(VLOOKUP(A317,'Paste - Mentors'!$A:$D,4,0),"")</f>
        <v>Career Mentor</v>
      </c>
      <c r="D317" s="9" t="str">
        <f>IFERROR(VLOOKUP(A317,'Paste - Mentors'!$A:$F,6,0),"")</f>
        <v>FNB</v>
      </c>
      <c r="E317" s="9" t="str">
        <f>IFERROR(VLOOKUP(A317,'Paste - Mentors'!$A:$E,5,0),"")</f>
        <v>South Africa</v>
      </c>
      <c r="F317" s="9">
        <f>IF(A317="","",COUNTIFS('Paste - Relationships'!$A:$A,A317,'Paste - Relationships'!$AE:$AE,""))</f>
        <v>0</v>
      </c>
      <c r="G317" s="9" t="str">
        <f t="shared" si="4"/>
        <v>Available</v>
      </c>
      <c r="H317" s="9" t="str">
        <f>IF(A317="","",IF(COUNTIF('Programme Mentors'!$A:$A,A317)&gt;0,"Enrolled","—"))</f>
        <v>—</v>
      </c>
    </row>
    <row r="318" spans="1:8" ht="14.25" customHeight="1" x14ac:dyDescent="0.3">
      <c r="A318" s="43">
        <f>'Paste - Mentors'!A318</f>
        <v>3718530</v>
      </c>
      <c r="B318" s="3" t="str">
        <f>IFERROR(VLOOKUP(A318,'Paste - Mentors'!$A:$B,2,0),"")</f>
        <v>Dapheny Rakometsi</v>
      </c>
      <c r="C318" s="3" t="str">
        <f>IFERROR(VLOOKUP(A318,'Paste - Mentors'!$A:$D,4,0),"")</f>
        <v>Career Mentor</v>
      </c>
      <c r="D318" s="43" t="str">
        <f>IFERROR(VLOOKUP(A318,'Paste - Mentors'!$A:$F,6,0),"")</f>
        <v>FNB</v>
      </c>
      <c r="E318" s="43" t="str">
        <f>IFERROR(VLOOKUP(A318,'Paste - Mentors'!$A:$E,5,0),"")</f>
        <v>South Africa</v>
      </c>
      <c r="F318" s="43">
        <f>IF(A318="","",COUNTIFS('Paste - Relationships'!$A:$A,A318,'Paste - Relationships'!$AE:$AE,""))</f>
        <v>0</v>
      </c>
      <c r="G318" s="43" t="str">
        <f t="shared" si="4"/>
        <v>Available</v>
      </c>
      <c r="H318" s="43" t="str">
        <f>IF(A318="","",IF(COUNTIF('Programme Mentors'!$A:$A,A318)&gt;0,"Enrolled","—"))</f>
        <v>—</v>
      </c>
    </row>
    <row r="319" spans="1:8" ht="14.25" customHeight="1" x14ac:dyDescent="0.3">
      <c r="A319" s="9">
        <f>'Paste - Mentors'!A319</f>
        <v>3719839</v>
      </c>
      <c r="B319" s="4" t="str">
        <f>IFERROR(VLOOKUP(A319,'Paste - Mentors'!$A:$B,2,0),"")</f>
        <v>Awelani Mafune</v>
      </c>
      <c r="C319" s="4" t="str">
        <f>IFERROR(VLOOKUP(A319,'Paste - Mentors'!$A:$D,4,0),"")</f>
        <v>Career Mentor</v>
      </c>
      <c r="D319" s="9" t="str">
        <f>IFERROR(VLOOKUP(A319,'Paste - Mentors'!$A:$F,6,0),"")</f>
        <v>FNB</v>
      </c>
      <c r="E319" s="9" t="str">
        <f>IFERROR(VLOOKUP(A319,'Paste - Mentors'!$A:$E,5,0),"")</f>
        <v>South Africa</v>
      </c>
      <c r="F319" s="9">
        <f>IF(A319="","",COUNTIFS('Paste - Relationships'!$A:$A,A319,'Paste - Relationships'!$AE:$AE,""))</f>
        <v>0</v>
      </c>
      <c r="G319" s="9" t="str">
        <f t="shared" si="4"/>
        <v>Available</v>
      </c>
      <c r="H319" s="9" t="str">
        <f>IF(A319="","",IF(COUNTIF('Programme Mentors'!$A:$A,A319)&gt;0,"Enrolled","—"))</f>
        <v>—</v>
      </c>
    </row>
    <row r="320" spans="1:8" ht="14.25" customHeight="1" x14ac:dyDescent="0.3">
      <c r="A320" s="43">
        <f>'Paste - Mentors'!A320</f>
        <v>3720071</v>
      </c>
      <c r="B320" s="3" t="str">
        <f>IFERROR(VLOOKUP(A320,'Paste - Mentors'!$A:$B,2,0),"")</f>
        <v>Nonhlanhla Mabela</v>
      </c>
      <c r="C320" s="3" t="str">
        <f>IFERROR(VLOOKUP(A320,'Paste - Mentors'!$A:$D,4,0),"")</f>
        <v>Career Mentor</v>
      </c>
      <c r="D320" s="43" t="str">
        <f>IFERROR(VLOOKUP(A320,'Paste - Mentors'!$A:$F,6,0),"")</f>
        <v>FNB</v>
      </c>
      <c r="E320" s="43" t="str">
        <f>IFERROR(VLOOKUP(A320,'Paste - Mentors'!$A:$E,5,0),"")</f>
        <v>South Africa</v>
      </c>
      <c r="F320" s="43">
        <f>IF(A320="","",COUNTIFS('Paste - Relationships'!$A:$A,A320,'Paste - Relationships'!$AE:$AE,""))</f>
        <v>0</v>
      </c>
      <c r="G320" s="43" t="str">
        <f t="shared" si="4"/>
        <v>Available</v>
      </c>
      <c r="H320" s="43" t="str">
        <f>IF(A320="","",IF(COUNTIF('Programme Mentors'!$A:$A,A320)&gt;0,"Enrolled","—"))</f>
        <v>—</v>
      </c>
    </row>
    <row r="321" spans="1:8" ht="14.25" customHeight="1" x14ac:dyDescent="0.3">
      <c r="A321" s="9">
        <f>'Paste - Mentors'!A321</f>
        <v>3725203</v>
      </c>
      <c r="B321" s="4" t="str">
        <f>IFERROR(VLOOKUP(A321,'Paste - Mentors'!$A:$B,2,0),"")</f>
        <v>Smangele Majola</v>
      </c>
      <c r="C321" s="4" t="str">
        <f>IFERROR(VLOOKUP(A321,'Paste - Mentors'!$A:$D,4,0),"")</f>
        <v>Career Mentor</v>
      </c>
      <c r="D321" s="9" t="str">
        <f>IFERROR(VLOOKUP(A321,'Paste - Mentors'!$A:$F,6,0),"")</f>
        <v>FNB</v>
      </c>
      <c r="E321" s="9" t="str">
        <f>IFERROR(VLOOKUP(A321,'Paste - Mentors'!$A:$E,5,0),"")</f>
        <v>South Africa</v>
      </c>
      <c r="F321" s="9">
        <f>IF(A321="","",COUNTIFS('Paste - Relationships'!$A:$A,A321,'Paste - Relationships'!$AE:$AE,""))</f>
        <v>0</v>
      </c>
      <c r="G321" s="9" t="str">
        <f t="shared" si="4"/>
        <v>Available</v>
      </c>
      <c r="H321" s="9" t="str">
        <f>IF(A321="","",IF(COUNTIF('Programme Mentors'!$A:$A,A321)&gt;0,"Enrolled","—"))</f>
        <v>—</v>
      </c>
    </row>
    <row r="322" spans="1:8" ht="14.25" customHeight="1" x14ac:dyDescent="0.3">
      <c r="A322" s="43">
        <f>'Paste - Mentors'!A322</f>
        <v>3738175</v>
      </c>
      <c r="B322" s="3" t="str">
        <f>IFERROR(VLOOKUP(A322,'Paste - Mentors'!$A:$B,2,0),"")</f>
        <v>Feroze Saloojee</v>
      </c>
      <c r="C322" s="3" t="str">
        <f>IFERROR(VLOOKUP(A322,'Paste - Mentors'!$A:$D,4,0),"")</f>
        <v>Career Mentor</v>
      </c>
      <c r="D322" s="43" t="str">
        <f>IFERROR(VLOOKUP(A322,'Paste - Mentors'!$A:$F,6,0),"")</f>
        <v>FNB</v>
      </c>
      <c r="E322" s="43" t="str">
        <f>IFERROR(VLOOKUP(A322,'Paste - Mentors'!$A:$E,5,0),"")</f>
        <v>South Africa</v>
      </c>
      <c r="F322" s="43">
        <f>IF(A322="","",COUNTIFS('Paste - Relationships'!$A:$A,A322,'Paste - Relationships'!$AE:$AE,""))</f>
        <v>0</v>
      </c>
      <c r="G322" s="43" t="str">
        <f t="shared" si="4"/>
        <v>Available</v>
      </c>
      <c r="H322" s="43" t="str">
        <f>IF(A322="","",IF(COUNTIF('Programme Mentors'!$A:$A,A322)&gt;0,"Enrolled","—"))</f>
        <v>—</v>
      </c>
    </row>
    <row r="323" spans="1:8" ht="14.25" customHeight="1" x14ac:dyDescent="0.3">
      <c r="A323" s="9">
        <f>'Paste - Mentors'!A323</f>
        <v>3738701</v>
      </c>
      <c r="B323" s="4" t="str">
        <f>IFERROR(VLOOKUP(A323,'Paste - Mentors'!$A:$B,2,0),"")</f>
        <v>Julianah Chikamba</v>
      </c>
      <c r="C323" s="4" t="str">
        <f>IFERROR(VLOOKUP(A323,'Paste - Mentors'!$A:$D,4,0),"")</f>
        <v>Career Mentor</v>
      </c>
      <c r="D323" s="9" t="str">
        <f>IFERROR(VLOOKUP(A323,'Paste - Mentors'!$A:$F,6,0),"")</f>
        <v>FNB</v>
      </c>
      <c r="E323" s="9" t="str">
        <f>IFERROR(VLOOKUP(A323,'Paste - Mentors'!$A:$E,5,0),"")</f>
        <v>South Africa</v>
      </c>
      <c r="F323" s="9">
        <f>IF(A323="","",COUNTIFS('Paste - Relationships'!$A:$A,A323,'Paste - Relationships'!$AE:$AE,""))</f>
        <v>0</v>
      </c>
      <c r="G323" s="9" t="str">
        <f t="shared" si="4"/>
        <v>Available</v>
      </c>
      <c r="H323" s="9" t="str">
        <f>IF(A323="","",IF(COUNTIF('Programme Mentors'!$A:$A,A323)&gt;0,"Enrolled","—"))</f>
        <v>—</v>
      </c>
    </row>
    <row r="324" spans="1:8" ht="14.25" customHeight="1" x14ac:dyDescent="0.3">
      <c r="A324" s="43">
        <f>'Paste - Mentors'!A324</f>
        <v>3740404</v>
      </c>
      <c r="B324" s="3" t="str">
        <f>IFERROR(VLOOKUP(A324,'Paste - Mentors'!$A:$B,2,0),"")</f>
        <v>Zanele Phiri</v>
      </c>
      <c r="C324" s="3">
        <f>IFERROR(VLOOKUP(A324,'Paste - Mentors'!$A:$D,4,0),"")</f>
        <v>0</v>
      </c>
      <c r="D324" s="43" t="str">
        <f>IFERROR(VLOOKUP(A324,'Paste - Mentors'!$A:$F,6,0),"")</f>
        <v>FNB</v>
      </c>
      <c r="E324" s="43" t="str">
        <f>IFERROR(VLOOKUP(A324,'Paste - Mentors'!$A:$E,5,0),"")</f>
        <v>South Africa</v>
      </c>
      <c r="F324" s="43">
        <f>IF(A324="","",COUNTIFS('Paste - Relationships'!$A:$A,A324,'Paste - Relationships'!$AE:$AE,""))</f>
        <v>0</v>
      </c>
      <c r="G324" s="43" t="str">
        <f t="shared" ref="G324:G387" si="5">IF(A324="","",IF(F324&gt;=3,"At Capacity",IF(F324=0,"Available","Has Capacity")))</f>
        <v>Available</v>
      </c>
      <c r="H324" s="43" t="str">
        <f>IF(A324="","",IF(COUNTIF('Programme Mentors'!$A:$A,A324)&gt;0,"Enrolled","—"))</f>
        <v>—</v>
      </c>
    </row>
    <row r="325" spans="1:8" ht="14.25" customHeight="1" x14ac:dyDescent="0.3">
      <c r="A325" s="9">
        <f>'Paste - Mentors'!A325</f>
        <v>3745074</v>
      </c>
      <c r="B325" s="4" t="str">
        <f>IFERROR(VLOOKUP(A325,'Paste - Mentors'!$A:$B,2,0),"")</f>
        <v>Nosi Mthembu</v>
      </c>
      <c r="C325" s="4" t="str">
        <f>IFERROR(VLOOKUP(A325,'Paste - Mentors'!$A:$D,4,0),"")</f>
        <v>Career Mentor</v>
      </c>
      <c r="D325" s="9" t="str">
        <f>IFERROR(VLOOKUP(A325,'Paste - Mentors'!$A:$F,6,0),"")</f>
        <v>FNB</v>
      </c>
      <c r="E325" s="9" t="str">
        <f>IFERROR(VLOOKUP(A325,'Paste - Mentors'!$A:$E,5,0),"")</f>
        <v>South Africa</v>
      </c>
      <c r="F325" s="9">
        <f>IF(A325="","",COUNTIFS('Paste - Relationships'!$A:$A,A325,'Paste - Relationships'!$AE:$AE,""))</f>
        <v>0</v>
      </c>
      <c r="G325" s="9" t="str">
        <f t="shared" si="5"/>
        <v>Available</v>
      </c>
      <c r="H325" s="9" t="str">
        <f>IF(A325="","",IF(COUNTIF('Programme Mentors'!$A:$A,A325)&gt;0,"Enrolled","—"))</f>
        <v>—</v>
      </c>
    </row>
    <row r="326" spans="1:8" ht="14.25" customHeight="1" x14ac:dyDescent="0.3">
      <c r="A326" s="43">
        <f>'Paste - Mentors'!A326</f>
        <v>3757323</v>
      </c>
      <c r="B326" s="3" t="str">
        <f>IFERROR(VLOOKUP(A326,'Paste - Mentors'!$A:$B,2,0),"")</f>
        <v>Patricia Temba</v>
      </c>
      <c r="C326" s="3" t="str">
        <f>IFERROR(VLOOKUP(A326,'Paste - Mentors'!$A:$D,4,0),"")</f>
        <v>Career Mentor</v>
      </c>
      <c r="D326" s="43" t="str">
        <f>IFERROR(VLOOKUP(A326,'Paste - Mentors'!$A:$F,6,0),"")</f>
        <v>FNB</v>
      </c>
      <c r="E326" s="43" t="str">
        <f>IFERROR(VLOOKUP(A326,'Paste - Mentors'!$A:$E,5,0),"")</f>
        <v>South Africa</v>
      </c>
      <c r="F326" s="43">
        <f>IF(A326="","",COUNTIFS('Paste - Relationships'!$A:$A,A326,'Paste - Relationships'!$AE:$AE,""))</f>
        <v>0</v>
      </c>
      <c r="G326" s="43" t="str">
        <f t="shared" si="5"/>
        <v>Available</v>
      </c>
      <c r="H326" s="43" t="str">
        <f>IF(A326="","",IF(COUNTIF('Programme Mentors'!$A:$A,A326)&gt;0,"Enrolled","—"))</f>
        <v>—</v>
      </c>
    </row>
    <row r="327" spans="1:8" ht="14.25" customHeight="1" x14ac:dyDescent="0.3">
      <c r="A327" s="9">
        <f>'Paste - Mentors'!A327</f>
        <v>3760073</v>
      </c>
      <c r="B327" s="4" t="str">
        <f>IFERROR(VLOOKUP(A327,'Paste - Mentors'!$A:$B,2,0),"")</f>
        <v>Zaheer Moosa</v>
      </c>
      <c r="C327" s="4" t="str">
        <f>IFERROR(VLOOKUP(A327,'Paste - Mentors'!$A:$D,4,0),"")</f>
        <v>Career Mentor
Leadership Mentor</v>
      </c>
      <c r="D327" s="9" t="str">
        <f>IFERROR(VLOOKUP(A327,'Paste - Mentors'!$A:$F,6,0),"")</f>
        <v>FNB</v>
      </c>
      <c r="E327" s="9" t="str">
        <f>IFERROR(VLOOKUP(A327,'Paste - Mentors'!$A:$E,5,0),"")</f>
        <v>South Africa</v>
      </c>
      <c r="F327" s="9">
        <f>IF(A327="","",COUNTIFS('Paste - Relationships'!$A:$A,A327,'Paste - Relationships'!$AE:$AE,""))</f>
        <v>0</v>
      </c>
      <c r="G327" s="9" t="str">
        <f t="shared" si="5"/>
        <v>Available</v>
      </c>
      <c r="H327" s="9" t="str">
        <f>IF(A327="","",IF(COUNTIF('Programme Mentors'!$A:$A,A327)&gt;0,"Enrolled","—"))</f>
        <v>—</v>
      </c>
    </row>
    <row r="328" spans="1:8" ht="33.75" customHeight="1" x14ac:dyDescent="0.3">
      <c r="A328" s="43">
        <f>'Paste - Mentors'!A328</f>
        <v>3766756</v>
      </c>
      <c r="B328" s="3" t="str">
        <f>IFERROR(VLOOKUP(A328,'Paste - Mentors'!$A:$B,2,0),"")</f>
        <v>Lerato Mda</v>
      </c>
      <c r="C328" s="3" t="str">
        <f>IFERROR(VLOOKUP(A328,'Paste - Mentors'!$A:$D,4,0),"")</f>
        <v>Career Mentor</v>
      </c>
      <c r="D328" s="43" t="str">
        <f>IFERROR(VLOOKUP(A328,'Paste - Mentors'!$A:$F,6,0),"")</f>
        <v>WesBank</v>
      </c>
      <c r="E328" s="43" t="str">
        <f>IFERROR(VLOOKUP(A328,'Paste - Mentors'!$A:$E,5,0),"")</f>
        <v>South Africa</v>
      </c>
      <c r="F328" s="43">
        <f>IF(A328="","",COUNTIFS('Paste - Relationships'!$A:$A,A328,'Paste - Relationships'!$AE:$AE,""))</f>
        <v>0</v>
      </c>
      <c r="G328" s="43" t="str">
        <f t="shared" si="5"/>
        <v>Available</v>
      </c>
      <c r="H328" s="43" t="str">
        <f>IF(A328="","",IF(COUNTIF('Programme Mentors'!$A:$A,A328)&gt;0,"Enrolled","—"))</f>
        <v>—</v>
      </c>
    </row>
    <row r="329" spans="1:8" ht="14.25" customHeight="1" x14ac:dyDescent="0.3">
      <c r="A329" s="9">
        <f>'Paste - Mentors'!A329</f>
        <v>3767892</v>
      </c>
      <c r="B329" s="4" t="str">
        <f>IFERROR(VLOOKUP(A329,'Paste - Mentors'!$A:$B,2,0),"")</f>
        <v>Shirley Mkhatshwa</v>
      </c>
      <c r="C329" s="4" t="str">
        <f>IFERROR(VLOOKUP(A329,'Paste - Mentors'!$A:$D,4,0),"")</f>
        <v>Career Mentor</v>
      </c>
      <c r="D329" s="9" t="str">
        <f>IFERROR(VLOOKUP(A329,'Paste - Mentors'!$A:$F,6,0),"")</f>
        <v>FNB</v>
      </c>
      <c r="E329" s="9" t="str">
        <f>IFERROR(VLOOKUP(A329,'Paste - Mentors'!$A:$E,5,0),"")</f>
        <v>South Africa</v>
      </c>
      <c r="F329" s="9">
        <f>IF(A329="","",COUNTIFS('Paste - Relationships'!$A:$A,A329,'Paste - Relationships'!$AE:$AE,""))</f>
        <v>0</v>
      </c>
      <c r="G329" s="9" t="str">
        <f t="shared" si="5"/>
        <v>Available</v>
      </c>
      <c r="H329" s="9" t="str">
        <f>IF(A329="","",IF(COUNTIF('Programme Mentors'!$A:$A,A329)&gt;0,"Enrolled","—"))</f>
        <v>—</v>
      </c>
    </row>
    <row r="330" spans="1:8" ht="14.25" customHeight="1" x14ac:dyDescent="0.3">
      <c r="A330" s="43">
        <f>'Paste - Mentors'!A330</f>
        <v>3771113</v>
      </c>
      <c r="B330" s="3" t="str">
        <f>IFERROR(VLOOKUP(A330,'Paste - Mentors'!$A:$B,2,0),"")</f>
        <v>Kopano Malapela</v>
      </c>
      <c r="C330" s="3" t="str">
        <f>IFERROR(VLOOKUP(A330,'Paste - Mentors'!$A:$D,4,0),"")</f>
        <v>Career Mentor</v>
      </c>
      <c r="D330" s="43" t="str">
        <f>IFERROR(VLOOKUP(A330,'Paste - Mentors'!$A:$F,6,0),"")</f>
        <v>FNB</v>
      </c>
      <c r="E330" s="43" t="str">
        <f>IFERROR(VLOOKUP(A330,'Paste - Mentors'!$A:$E,5,0),"")</f>
        <v>South Africa</v>
      </c>
      <c r="F330" s="43">
        <f>IF(A330="","",COUNTIFS('Paste - Relationships'!$A:$A,A330,'Paste - Relationships'!$AE:$AE,""))</f>
        <v>0</v>
      </c>
      <c r="G330" s="43" t="str">
        <f t="shared" si="5"/>
        <v>Available</v>
      </c>
      <c r="H330" s="43" t="str">
        <f>IF(A330="","",IF(COUNTIF('Programme Mentors'!$A:$A,A330)&gt;0,"Enrolled","—"))</f>
        <v>—</v>
      </c>
    </row>
    <row r="331" spans="1:8" ht="14.25" customHeight="1" x14ac:dyDescent="0.3">
      <c r="A331" s="9">
        <f>'Paste - Mentors'!A331</f>
        <v>3773531</v>
      </c>
      <c r="B331" s="4" t="str">
        <f>IFERROR(VLOOKUP(A331,'Paste - Mentors'!$A:$B,2,0),"")</f>
        <v>Louise Labuschagne</v>
      </c>
      <c r="C331" s="4" t="str">
        <f>IFERROR(VLOOKUP(A331,'Paste - Mentors'!$A:$D,4,0),"")</f>
        <v>Career Mentor
Technical Mentor
Z2-Programme Mentor (HC Managed)</v>
      </c>
      <c r="D331" s="9" t="str">
        <f>IFERROR(VLOOKUP(A331,'Paste - Mentors'!$A:$F,6,0),"")</f>
        <v>FNB</v>
      </c>
      <c r="E331" s="9" t="str">
        <f>IFERROR(VLOOKUP(A331,'Paste - Mentors'!$A:$E,5,0),"")</f>
        <v>South Africa</v>
      </c>
      <c r="F331" s="9">
        <f>IF(A331="","",COUNTIFS('Paste - Relationships'!$A:$A,A331,'Paste - Relationships'!$AE:$AE,""))</f>
        <v>0</v>
      </c>
      <c r="G331" s="9" t="str">
        <f t="shared" si="5"/>
        <v>Available</v>
      </c>
      <c r="H331" s="9" t="str">
        <f>IF(A331="","",IF(COUNTIF('Programme Mentors'!$A:$A,A331)&gt;0,"Enrolled","—"))</f>
        <v>—</v>
      </c>
    </row>
    <row r="332" spans="1:8" ht="57" customHeight="1" x14ac:dyDescent="0.3">
      <c r="A332" s="43">
        <f>'Paste - Mentors'!A332</f>
        <v>3792145</v>
      </c>
      <c r="B332" s="3" t="str">
        <f>IFERROR(VLOOKUP(A332,'Paste - Mentors'!$A:$B,2,0),"")</f>
        <v>Mpumie Twala</v>
      </c>
      <c r="C332" s="3" t="str">
        <f>IFERROR(VLOOKUP(A332,'Paste - Mentors'!$A:$D,4,0),"")</f>
        <v>Career Mentor</v>
      </c>
      <c r="D332" s="43" t="str">
        <f>IFERROR(VLOOKUP(A332,'Paste - Mentors'!$A:$F,6,0),"")</f>
        <v>FNB</v>
      </c>
      <c r="E332" s="43" t="str">
        <f>IFERROR(VLOOKUP(A332,'Paste - Mentors'!$A:$E,5,0),"")</f>
        <v>South Africa</v>
      </c>
      <c r="F332" s="43">
        <f>IF(A332="","",COUNTIFS('Paste - Relationships'!$A:$A,A332,'Paste - Relationships'!$AE:$AE,""))</f>
        <v>1</v>
      </c>
      <c r="G332" s="43" t="str">
        <f t="shared" si="5"/>
        <v>Has Capacity</v>
      </c>
      <c r="H332" s="43" t="str">
        <f>IF(A332="","",IF(COUNTIF('Programme Mentors'!$A:$A,A332)&gt;0,"Enrolled","—"))</f>
        <v>—</v>
      </c>
    </row>
    <row r="333" spans="1:8" ht="14.25" customHeight="1" x14ac:dyDescent="0.3">
      <c r="A333" s="9">
        <f>'Paste - Mentors'!A333</f>
        <v>3792307</v>
      </c>
      <c r="B333" s="4" t="str">
        <f>IFERROR(VLOOKUP(A333,'Paste - Mentors'!$A:$B,2,0),"")</f>
        <v>Jaco Van Tonder</v>
      </c>
      <c r="C333" s="4">
        <f>IFERROR(VLOOKUP(A333,'Paste - Mentors'!$A:$D,4,0),"")</f>
        <v>0</v>
      </c>
      <c r="D333" s="9" t="str">
        <f>IFERROR(VLOOKUP(A333,'Paste - Mentors'!$A:$F,6,0),"")</f>
        <v>FNB</v>
      </c>
      <c r="E333" s="9" t="str">
        <f>IFERROR(VLOOKUP(A333,'Paste - Mentors'!$A:$E,5,0),"")</f>
        <v>South Africa</v>
      </c>
      <c r="F333" s="9">
        <f>IF(A333="","",COUNTIFS('Paste - Relationships'!$A:$A,A333,'Paste - Relationships'!$AE:$AE,""))</f>
        <v>0</v>
      </c>
      <c r="G333" s="9" t="str">
        <f t="shared" si="5"/>
        <v>Available</v>
      </c>
      <c r="H333" s="9" t="str">
        <f>IF(A333="","",IF(COUNTIF('Programme Mentors'!$A:$A,A333)&gt;0,"Enrolled","—"))</f>
        <v>—</v>
      </c>
    </row>
    <row r="334" spans="1:8" ht="14.25" customHeight="1" x14ac:dyDescent="0.3">
      <c r="A334" s="43">
        <f>'Paste - Mentors'!A334</f>
        <v>3792595</v>
      </c>
      <c r="B334" s="3" t="str">
        <f>IFERROR(VLOOKUP(A334,'Paste - Mentors'!$A:$B,2,0),"")</f>
        <v>Frank Dhlamini</v>
      </c>
      <c r="C334" s="3" t="str">
        <f>IFERROR(VLOOKUP(A334,'Paste - Mentors'!$A:$D,4,0),"")</f>
        <v>Career Mentor</v>
      </c>
      <c r="D334" s="43" t="str">
        <f>IFERROR(VLOOKUP(A334,'Paste - Mentors'!$A:$F,6,0),"")</f>
        <v>FNB</v>
      </c>
      <c r="E334" s="43" t="str">
        <f>IFERROR(VLOOKUP(A334,'Paste - Mentors'!$A:$E,5,0),"")</f>
        <v>South Africa</v>
      </c>
      <c r="F334" s="43">
        <f>IF(A334="","",COUNTIFS('Paste - Relationships'!$A:$A,A334,'Paste - Relationships'!$AE:$AE,""))</f>
        <v>0</v>
      </c>
      <c r="G334" s="43" t="str">
        <f t="shared" si="5"/>
        <v>Available</v>
      </c>
      <c r="H334" s="43" t="str">
        <f>IF(A334="","",IF(COUNTIF('Programme Mentors'!$A:$A,A334)&gt;0,"Enrolled","—"))</f>
        <v>—</v>
      </c>
    </row>
    <row r="335" spans="1:8" ht="14.25" customHeight="1" x14ac:dyDescent="0.3">
      <c r="A335" s="9">
        <f>'Paste - Mentors'!A335</f>
        <v>3794687</v>
      </c>
      <c r="B335" s="4" t="str">
        <f>IFERROR(VLOOKUP(A335,'Paste - Mentors'!$A:$B,2,0),"")</f>
        <v>Aileen Spanier-Marson</v>
      </c>
      <c r="C335" s="4" t="str">
        <f>IFERROR(VLOOKUP(A335,'Paste - Mentors'!$A:$D,4,0),"")</f>
        <v>Career Mentor</v>
      </c>
      <c r="D335" s="9" t="str">
        <f>IFERROR(VLOOKUP(A335,'Paste - Mentors'!$A:$F,6,0),"")</f>
        <v>RMB</v>
      </c>
      <c r="E335" s="9" t="str">
        <f>IFERROR(VLOOKUP(A335,'Paste - Mentors'!$A:$E,5,0),"")</f>
        <v>South Africa</v>
      </c>
      <c r="F335" s="9">
        <f>IF(A335="","",COUNTIFS('Paste - Relationships'!$A:$A,A335,'Paste - Relationships'!$AE:$AE,""))</f>
        <v>1</v>
      </c>
      <c r="G335" s="9" t="str">
        <f t="shared" si="5"/>
        <v>Has Capacity</v>
      </c>
      <c r="H335" s="9" t="str">
        <f>IF(A335="","",IF(COUNTIF('Programme Mentors'!$A:$A,A335)&gt;0,"Enrolled","—"))</f>
        <v>—</v>
      </c>
    </row>
    <row r="336" spans="1:8" ht="14.25" customHeight="1" x14ac:dyDescent="0.3">
      <c r="A336" s="43">
        <f>'Paste - Mentors'!A336</f>
        <v>3795373</v>
      </c>
      <c r="B336" s="3" t="str">
        <f>IFERROR(VLOOKUP(A336,'Paste - Mentors'!$A:$B,2,0),"")</f>
        <v>Yudhvir Seetharam</v>
      </c>
      <c r="C336" s="3" t="str">
        <f>IFERROR(VLOOKUP(A336,'Paste - Mentors'!$A:$D,4,0),"")</f>
        <v>Career Mentor</v>
      </c>
      <c r="D336" s="43" t="str">
        <f>IFERROR(VLOOKUP(A336,'Paste - Mentors'!$A:$F,6,0),"")</f>
        <v>FNB</v>
      </c>
      <c r="E336" s="43" t="str">
        <f>IFERROR(VLOOKUP(A336,'Paste - Mentors'!$A:$E,5,0),"")</f>
        <v>South Africa</v>
      </c>
      <c r="F336" s="43">
        <f>IF(A336="","",COUNTIFS('Paste - Relationships'!$A:$A,A336,'Paste - Relationships'!$AE:$AE,""))</f>
        <v>1</v>
      </c>
      <c r="G336" s="43" t="str">
        <f t="shared" si="5"/>
        <v>Has Capacity</v>
      </c>
      <c r="H336" s="43" t="str">
        <f>IF(A336="","",IF(COUNTIF('Programme Mentors'!$A:$A,A336)&gt;0,"Enrolled","—"))</f>
        <v>—</v>
      </c>
    </row>
    <row r="337" spans="1:8" ht="14.25" customHeight="1" x14ac:dyDescent="0.3">
      <c r="A337" s="9">
        <f>'Paste - Mentors'!A337</f>
        <v>3795446</v>
      </c>
      <c r="B337" s="4" t="str">
        <f>IFERROR(VLOOKUP(A337,'Paste - Mentors'!$A:$B,2,0),"")</f>
        <v>Willem-Dirk Van'T Zand</v>
      </c>
      <c r="C337" s="4" t="str">
        <f>IFERROR(VLOOKUP(A337,'Paste - Mentors'!$A:$D,4,0),"")</f>
        <v>Career Mentor
Technical Mentor
Z2-Programme Mentor (HC Managed)</v>
      </c>
      <c r="D337" s="9" t="str">
        <f>IFERROR(VLOOKUP(A337,'Paste - Mentors'!$A:$F,6,0),"")</f>
        <v>FirstRand Corporate Centre</v>
      </c>
      <c r="E337" s="9" t="str">
        <f>IFERROR(VLOOKUP(A337,'Paste - Mentors'!$A:$E,5,0),"")</f>
        <v>South Africa</v>
      </c>
      <c r="F337" s="9">
        <f>IF(A337="","",COUNTIFS('Paste - Relationships'!$A:$A,A337,'Paste - Relationships'!$AE:$AE,""))</f>
        <v>0</v>
      </c>
      <c r="G337" s="9" t="str">
        <f t="shared" si="5"/>
        <v>Available</v>
      </c>
      <c r="H337" s="9" t="str">
        <f>IF(A337="","",IF(COUNTIF('Programme Mentors'!$A:$A,A337)&gt;0,"Enrolled","—"))</f>
        <v>—</v>
      </c>
    </row>
    <row r="338" spans="1:8" ht="57" customHeight="1" x14ac:dyDescent="0.3">
      <c r="A338" s="43">
        <f>'Paste - Mentors'!A338</f>
        <v>3795721</v>
      </c>
      <c r="B338" s="3" t="str">
        <f>IFERROR(VLOOKUP(A338,'Paste - Mentors'!$A:$B,2,0),"")</f>
        <v>Lerato Moloja</v>
      </c>
      <c r="C338" s="3" t="str">
        <f>IFERROR(VLOOKUP(A338,'Paste - Mentors'!$A:$D,4,0),"")</f>
        <v>Career Mentor</v>
      </c>
      <c r="D338" s="43" t="str">
        <f>IFERROR(VLOOKUP(A338,'Paste - Mentors'!$A:$F,6,0),"")</f>
        <v>FNB</v>
      </c>
      <c r="E338" s="43" t="str">
        <f>IFERROR(VLOOKUP(A338,'Paste - Mentors'!$A:$E,5,0),"")</f>
        <v>South Africa</v>
      </c>
      <c r="F338" s="43">
        <f>IF(A338="","",COUNTIFS('Paste - Relationships'!$A:$A,A338,'Paste - Relationships'!$AE:$AE,""))</f>
        <v>0</v>
      </c>
      <c r="G338" s="43" t="str">
        <f t="shared" si="5"/>
        <v>Available</v>
      </c>
      <c r="H338" s="43" t="str">
        <f>IF(A338="","",IF(COUNTIF('Programme Mentors'!$A:$A,A338)&gt;0,"Enrolled","—"))</f>
        <v>—</v>
      </c>
    </row>
    <row r="339" spans="1:8" ht="14.25" customHeight="1" x14ac:dyDescent="0.3">
      <c r="A339" s="9">
        <f>'Paste - Mentors'!A339</f>
        <v>3795950</v>
      </c>
      <c r="B339" s="4" t="str">
        <f>IFERROR(VLOOKUP(A339,'Paste - Mentors'!$A:$B,2,0),"")</f>
        <v>Raeesa Mohamed</v>
      </c>
      <c r="C339" s="4" t="str">
        <f>IFERROR(VLOOKUP(A339,'Paste - Mentors'!$A:$D,4,0),"")</f>
        <v>Career Mentor</v>
      </c>
      <c r="D339" s="9" t="str">
        <f>IFERROR(VLOOKUP(A339,'Paste - Mentors'!$A:$F,6,0),"")</f>
        <v>FNB</v>
      </c>
      <c r="E339" s="9" t="str">
        <f>IFERROR(VLOOKUP(A339,'Paste - Mentors'!$A:$E,5,0),"")</f>
        <v>South Africa</v>
      </c>
      <c r="F339" s="9">
        <f>IF(A339="","",COUNTIFS('Paste - Relationships'!$A:$A,A339,'Paste - Relationships'!$AE:$AE,""))</f>
        <v>0</v>
      </c>
      <c r="G339" s="9" t="str">
        <f t="shared" si="5"/>
        <v>Available</v>
      </c>
      <c r="H339" s="9" t="str">
        <f>IF(A339="","",IF(COUNTIF('Programme Mentors'!$A:$A,A339)&gt;0,"Enrolled","—"))</f>
        <v>—</v>
      </c>
    </row>
    <row r="340" spans="1:8" ht="14.25" customHeight="1" x14ac:dyDescent="0.3">
      <c r="A340" s="43">
        <f>'Paste - Mentors'!A340</f>
        <v>3797155</v>
      </c>
      <c r="B340" s="3" t="str">
        <f>IFERROR(VLOOKUP(A340,'Paste - Mentors'!$A:$B,2,0),"")</f>
        <v>Farhana Miller</v>
      </c>
      <c r="C340" s="3" t="str">
        <f>IFERROR(VLOOKUP(A340,'Paste - Mentors'!$A:$D,4,0),"")</f>
        <v>Career Mentor</v>
      </c>
      <c r="D340" s="43" t="str">
        <f>IFERROR(VLOOKUP(A340,'Paste - Mentors'!$A:$F,6,0),"")</f>
        <v>FNB</v>
      </c>
      <c r="E340" s="43" t="str">
        <f>IFERROR(VLOOKUP(A340,'Paste - Mentors'!$A:$E,5,0),"")</f>
        <v>South Africa</v>
      </c>
      <c r="F340" s="43">
        <f>IF(A340="","",COUNTIFS('Paste - Relationships'!$A:$A,A340,'Paste - Relationships'!$AE:$AE,""))</f>
        <v>0</v>
      </c>
      <c r="G340" s="43" t="str">
        <f t="shared" si="5"/>
        <v>Available</v>
      </c>
      <c r="H340" s="43" t="str">
        <f>IF(A340="","",IF(COUNTIF('Programme Mentors'!$A:$A,A340)&gt;0,"Enrolled","—"))</f>
        <v>—</v>
      </c>
    </row>
    <row r="341" spans="1:8" ht="14.25" customHeight="1" x14ac:dyDescent="0.3">
      <c r="A341" s="9">
        <f>'Paste - Mentors'!A341</f>
        <v>3799379</v>
      </c>
      <c r="B341" s="4" t="str">
        <f>IFERROR(VLOOKUP(A341,'Paste - Mentors'!$A:$B,2,0),"")</f>
        <v>Vukile Sikhakhane</v>
      </c>
      <c r="C341" s="4" t="str">
        <f>IFERROR(VLOOKUP(A341,'Paste - Mentors'!$A:$D,4,0),"")</f>
        <v>Career Mentor</v>
      </c>
      <c r="D341" s="9" t="str">
        <f>IFERROR(VLOOKUP(A341,'Paste - Mentors'!$A:$F,6,0),"")</f>
        <v>FNB</v>
      </c>
      <c r="E341" s="9" t="str">
        <f>IFERROR(VLOOKUP(A341,'Paste - Mentors'!$A:$E,5,0),"")</f>
        <v>South Africa</v>
      </c>
      <c r="F341" s="9">
        <f>IF(A341="","",COUNTIFS('Paste - Relationships'!$A:$A,A341,'Paste - Relationships'!$AE:$AE,""))</f>
        <v>0</v>
      </c>
      <c r="G341" s="9" t="str">
        <f t="shared" si="5"/>
        <v>Available</v>
      </c>
      <c r="H341" s="9" t="str">
        <f>IF(A341="","",IF(COUNTIF('Programme Mentors'!$A:$A,A341)&gt;0,"Enrolled","—"))</f>
        <v>—</v>
      </c>
    </row>
    <row r="342" spans="1:8" ht="14.25" customHeight="1" x14ac:dyDescent="0.3">
      <c r="A342" s="43">
        <f>'Paste - Mentors'!A342</f>
        <v>3803643</v>
      </c>
      <c r="B342" s="3" t="str">
        <f>IFERROR(VLOOKUP(A342,'Paste - Mentors'!$A:$B,2,0),"")</f>
        <v>Vusi Mabuza</v>
      </c>
      <c r="C342" s="3" t="str">
        <f>IFERROR(VLOOKUP(A342,'Paste - Mentors'!$A:$D,4,0),"")</f>
        <v>Career Mentor</v>
      </c>
      <c r="D342" s="43" t="str">
        <f>IFERROR(VLOOKUP(A342,'Paste - Mentors'!$A:$F,6,0),"")</f>
        <v>FNB</v>
      </c>
      <c r="E342" s="43" t="str">
        <f>IFERROR(VLOOKUP(A342,'Paste - Mentors'!$A:$E,5,0),"")</f>
        <v>South Africa</v>
      </c>
      <c r="F342" s="43">
        <f>IF(A342="","",COUNTIFS('Paste - Relationships'!$A:$A,A342,'Paste - Relationships'!$AE:$AE,""))</f>
        <v>0</v>
      </c>
      <c r="G342" s="43" t="str">
        <f t="shared" si="5"/>
        <v>Available</v>
      </c>
      <c r="H342" s="43" t="str">
        <f>IF(A342="","",IF(COUNTIF('Programme Mentors'!$A:$A,A342)&gt;0,"Enrolled","—"))</f>
        <v>—</v>
      </c>
    </row>
    <row r="343" spans="1:8" ht="14.25" customHeight="1" x14ac:dyDescent="0.3">
      <c r="A343" s="9">
        <f>'Paste - Mentors'!A343</f>
        <v>3803821</v>
      </c>
      <c r="B343" s="4" t="str">
        <f>IFERROR(VLOOKUP(A343,'Paste - Mentors'!$A:$B,2,0),"")</f>
        <v>Sabata Chomane</v>
      </c>
      <c r="C343" s="4" t="str">
        <f>IFERROR(VLOOKUP(A343,'Paste - Mentors'!$A:$D,4,0),"")</f>
        <v>Career Mentor</v>
      </c>
      <c r="D343" s="9" t="str">
        <f>IFERROR(VLOOKUP(A343,'Paste - Mentors'!$A:$F,6,0),"")</f>
        <v>FNB</v>
      </c>
      <c r="E343" s="9" t="str">
        <f>IFERROR(VLOOKUP(A343,'Paste - Mentors'!$A:$E,5,0),"")</f>
        <v>South Africa</v>
      </c>
      <c r="F343" s="9">
        <f>IF(A343="","",COUNTIFS('Paste - Relationships'!$A:$A,A343,'Paste - Relationships'!$AE:$AE,""))</f>
        <v>0</v>
      </c>
      <c r="G343" s="9" t="str">
        <f t="shared" si="5"/>
        <v>Available</v>
      </c>
      <c r="H343" s="9" t="str">
        <f>IF(A343="","",IF(COUNTIF('Programme Mentors'!$A:$A,A343)&gt;0,"Enrolled","—"))</f>
        <v>—</v>
      </c>
    </row>
    <row r="344" spans="1:8" ht="14.25" customHeight="1" x14ac:dyDescent="0.3">
      <c r="A344" s="43">
        <f>'Paste - Mentors'!A344</f>
        <v>3818748</v>
      </c>
      <c r="B344" s="3" t="str">
        <f>IFERROR(VLOOKUP(A344,'Paste - Mentors'!$A:$B,2,0),"")</f>
        <v>Hlamalani Mashaba</v>
      </c>
      <c r="C344" s="3" t="str">
        <f>IFERROR(VLOOKUP(A344,'Paste - Mentors'!$A:$D,4,0),"")</f>
        <v>Career Mentor</v>
      </c>
      <c r="D344" s="43" t="str">
        <f>IFERROR(VLOOKUP(A344,'Paste - Mentors'!$A:$F,6,0),"")</f>
        <v>FirstRand Corporate Centre</v>
      </c>
      <c r="E344" s="43" t="str">
        <f>IFERROR(VLOOKUP(A344,'Paste - Mentors'!$A:$E,5,0),"")</f>
        <v>South Africa</v>
      </c>
      <c r="F344" s="43">
        <f>IF(A344="","",COUNTIFS('Paste - Relationships'!$A:$A,A344,'Paste - Relationships'!$AE:$AE,""))</f>
        <v>2</v>
      </c>
      <c r="G344" s="43" t="str">
        <f t="shared" si="5"/>
        <v>Has Capacity</v>
      </c>
      <c r="H344" s="43" t="str">
        <f>IF(A344="","",IF(COUNTIF('Programme Mentors'!$A:$A,A344)&gt;0,"Enrolled","—"))</f>
        <v>—</v>
      </c>
    </row>
    <row r="345" spans="1:8" ht="33.75" customHeight="1" x14ac:dyDescent="0.3">
      <c r="A345" s="9">
        <f>'Paste - Mentors'!A345</f>
        <v>3819450</v>
      </c>
      <c r="B345" s="4" t="str">
        <f>IFERROR(VLOOKUP(A345,'Paste - Mentors'!$A:$B,2,0),"")</f>
        <v>Kesh Pather</v>
      </c>
      <c r="C345" s="4" t="str">
        <f>IFERROR(VLOOKUP(A345,'Paste - Mentors'!$A:$D,4,0),"")</f>
        <v>Career Mentor</v>
      </c>
      <c r="D345" s="9" t="str">
        <f>IFERROR(VLOOKUP(A345,'Paste - Mentors'!$A:$F,6,0),"")</f>
        <v>FNB</v>
      </c>
      <c r="E345" s="9" t="str">
        <f>IFERROR(VLOOKUP(A345,'Paste - Mentors'!$A:$E,5,0),"")</f>
        <v>South Africa</v>
      </c>
      <c r="F345" s="9">
        <f>IF(A345="","",COUNTIFS('Paste - Relationships'!$A:$A,A345,'Paste - Relationships'!$AE:$AE,""))</f>
        <v>0</v>
      </c>
      <c r="G345" s="9" t="str">
        <f t="shared" si="5"/>
        <v>Available</v>
      </c>
      <c r="H345" s="9" t="str">
        <f>IF(A345="","",IF(COUNTIF('Programme Mentors'!$A:$A,A345)&gt;0,"Enrolled","—"))</f>
        <v>—</v>
      </c>
    </row>
    <row r="346" spans="1:8" ht="14.25" customHeight="1" x14ac:dyDescent="0.3">
      <c r="A346" s="43">
        <f>'Paste - Mentors'!A346</f>
        <v>3821544</v>
      </c>
      <c r="B346" s="3" t="str">
        <f>IFERROR(VLOOKUP(A346,'Paste - Mentors'!$A:$B,2,0),"")</f>
        <v>Thifhelimbilu Bonyane</v>
      </c>
      <c r="C346" s="3">
        <f>IFERROR(VLOOKUP(A346,'Paste - Mentors'!$A:$D,4,0),"")</f>
        <v>0</v>
      </c>
      <c r="D346" s="43" t="str">
        <f>IFERROR(VLOOKUP(A346,'Paste - Mentors'!$A:$F,6,0),"")</f>
        <v>FNB</v>
      </c>
      <c r="E346" s="43" t="str">
        <f>IFERROR(VLOOKUP(A346,'Paste - Mentors'!$A:$E,5,0),"")</f>
        <v>South Africa</v>
      </c>
      <c r="F346" s="43">
        <f>IF(A346="","",COUNTIFS('Paste - Relationships'!$A:$A,A346,'Paste - Relationships'!$AE:$AE,""))</f>
        <v>0</v>
      </c>
      <c r="G346" s="43" t="str">
        <f t="shared" si="5"/>
        <v>Available</v>
      </c>
      <c r="H346" s="43" t="str">
        <f>IF(A346="","",IF(COUNTIF('Programme Mentors'!$A:$A,A346)&gt;0,"Enrolled","—"))</f>
        <v>—</v>
      </c>
    </row>
    <row r="347" spans="1:8" ht="14.25" customHeight="1" x14ac:dyDescent="0.3">
      <c r="A347" s="9">
        <f>'Paste - Mentors'!A347</f>
        <v>3828700</v>
      </c>
      <c r="B347" s="4" t="str">
        <f>IFERROR(VLOOKUP(A347,'Paste - Mentors'!$A:$B,2,0),"")</f>
        <v>Krishen Rangappa</v>
      </c>
      <c r="C347" s="4" t="str">
        <f>IFERROR(VLOOKUP(A347,'Paste - Mentors'!$A:$D,4,0),"")</f>
        <v>Career Mentor</v>
      </c>
      <c r="D347" s="9" t="str">
        <f>IFERROR(VLOOKUP(A347,'Paste - Mentors'!$A:$F,6,0),"")</f>
        <v>FNB</v>
      </c>
      <c r="E347" s="9" t="str">
        <f>IFERROR(VLOOKUP(A347,'Paste - Mentors'!$A:$E,5,0),"")</f>
        <v>South Africa</v>
      </c>
      <c r="F347" s="9">
        <f>IF(A347="","",COUNTIFS('Paste - Relationships'!$A:$A,A347,'Paste - Relationships'!$AE:$AE,""))</f>
        <v>0</v>
      </c>
      <c r="G347" s="9" t="str">
        <f t="shared" si="5"/>
        <v>Available</v>
      </c>
      <c r="H347" s="9" t="str">
        <f>IF(A347="","",IF(COUNTIF('Programme Mentors'!$A:$A,A347)&gt;0,"Enrolled","—"))</f>
        <v>—</v>
      </c>
    </row>
    <row r="348" spans="1:8" ht="14.25" customHeight="1" x14ac:dyDescent="0.3">
      <c r="A348" s="43">
        <f>'Paste - Mentors'!A348</f>
        <v>3828921</v>
      </c>
      <c r="B348" s="3" t="str">
        <f>IFERROR(VLOOKUP(A348,'Paste - Mentors'!$A:$B,2,0),"")</f>
        <v>Celest Eilers</v>
      </c>
      <c r="C348" s="3" t="str">
        <f>IFERROR(VLOOKUP(A348,'Paste - Mentors'!$A:$D,4,0),"")</f>
        <v>Career Mentor</v>
      </c>
      <c r="D348" s="43" t="str">
        <f>IFERROR(VLOOKUP(A348,'Paste - Mentors'!$A:$F,6,0),"")</f>
        <v>FNB</v>
      </c>
      <c r="E348" s="43" t="str">
        <f>IFERROR(VLOOKUP(A348,'Paste - Mentors'!$A:$E,5,0),"")</f>
        <v>South Africa</v>
      </c>
      <c r="F348" s="43">
        <f>IF(A348="","",COUNTIFS('Paste - Relationships'!$A:$A,A348,'Paste - Relationships'!$AE:$AE,""))</f>
        <v>0</v>
      </c>
      <c r="G348" s="43" t="str">
        <f t="shared" si="5"/>
        <v>Available</v>
      </c>
      <c r="H348" s="43" t="str">
        <f>IF(A348="","",IF(COUNTIF('Programme Mentors'!$A:$A,A348)&gt;0,"Enrolled","—"))</f>
        <v>—</v>
      </c>
    </row>
    <row r="349" spans="1:8" ht="14.25" customHeight="1" x14ac:dyDescent="0.3">
      <c r="A349" s="9">
        <f>'Paste - Mentors'!A349</f>
        <v>3829073</v>
      </c>
      <c r="B349" s="4" t="str">
        <f>IFERROR(VLOOKUP(A349,'Paste - Mentors'!$A:$B,2,0),"")</f>
        <v>Christopher Pillay</v>
      </c>
      <c r="C349" s="4" t="str">
        <f>IFERROR(VLOOKUP(A349,'Paste - Mentors'!$A:$D,4,0),"")</f>
        <v>Career Mentor</v>
      </c>
      <c r="D349" s="9" t="str">
        <f>IFERROR(VLOOKUP(A349,'Paste - Mentors'!$A:$F,6,0),"")</f>
        <v>FNB</v>
      </c>
      <c r="E349" s="9" t="str">
        <f>IFERROR(VLOOKUP(A349,'Paste - Mentors'!$A:$E,5,0),"")</f>
        <v>South Africa</v>
      </c>
      <c r="F349" s="9">
        <f>IF(A349="","",COUNTIFS('Paste - Relationships'!$A:$A,A349,'Paste - Relationships'!$AE:$AE,""))</f>
        <v>1</v>
      </c>
      <c r="G349" s="9" t="str">
        <f t="shared" si="5"/>
        <v>Has Capacity</v>
      </c>
      <c r="H349" s="9" t="str">
        <f>IF(A349="","",IF(COUNTIF('Programme Mentors'!$A:$A,A349)&gt;0,"Enrolled","—"))</f>
        <v>—</v>
      </c>
    </row>
    <row r="350" spans="1:8" ht="14.25" customHeight="1" x14ac:dyDescent="0.3">
      <c r="A350" s="43">
        <f>'Paste - Mentors'!A350</f>
        <v>3830810</v>
      </c>
      <c r="B350" s="3" t="str">
        <f>IFERROR(VLOOKUP(A350,'Paste - Mentors'!$A:$B,2,0),"")</f>
        <v>Aneshree Pather</v>
      </c>
      <c r="C350" s="3" t="str">
        <f>IFERROR(VLOOKUP(A350,'Paste - Mentors'!$A:$D,4,0),"")</f>
        <v>Career Mentor</v>
      </c>
      <c r="D350" s="43" t="str">
        <f>IFERROR(VLOOKUP(A350,'Paste - Mentors'!$A:$F,6,0),"")</f>
        <v>FNB</v>
      </c>
      <c r="E350" s="43" t="str">
        <f>IFERROR(VLOOKUP(A350,'Paste - Mentors'!$A:$E,5,0),"")</f>
        <v>South Africa</v>
      </c>
      <c r="F350" s="43">
        <f>IF(A350="","",COUNTIFS('Paste - Relationships'!$A:$A,A350,'Paste - Relationships'!$AE:$AE,""))</f>
        <v>1</v>
      </c>
      <c r="G350" s="43" t="str">
        <f t="shared" si="5"/>
        <v>Has Capacity</v>
      </c>
      <c r="H350" s="43" t="str">
        <f>IF(A350="","",IF(COUNTIF('Programme Mentors'!$A:$A,A350)&gt;0,"Enrolled","—"))</f>
        <v>—</v>
      </c>
    </row>
    <row r="351" spans="1:8" ht="14.25" customHeight="1" x14ac:dyDescent="0.3">
      <c r="A351" s="9">
        <f>'Paste - Mentors'!A351</f>
        <v>3834654</v>
      </c>
      <c r="B351" s="4" t="str">
        <f>IFERROR(VLOOKUP(A351,'Paste - Mentors'!$A:$B,2,0),"")</f>
        <v>Mante Mothiba</v>
      </c>
      <c r="C351" s="4" t="str">
        <f>IFERROR(VLOOKUP(A351,'Paste - Mentors'!$A:$D,4,0),"")</f>
        <v>Career Mentor</v>
      </c>
      <c r="D351" s="9" t="str">
        <f>IFERROR(VLOOKUP(A351,'Paste - Mentors'!$A:$F,6,0),"")</f>
        <v>FNB</v>
      </c>
      <c r="E351" s="9" t="str">
        <f>IFERROR(VLOOKUP(A351,'Paste - Mentors'!$A:$E,5,0),"")</f>
        <v>South Africa</v>
      </c>
      <c r="F351" s="9">
        <f>IF(A351="","",COUNTIFS('Paste - Relationships'!$A:$A,A351,'Paste - Relationships'!$AE:$AE,""))</f>
        <v>0</v>
      </c>
      <c r="G351" s="9" t="str">
        <f t="shared" si="5"/>
        <v>Available</v>
      </c>
      <c r="H351" s="9" t="str">
        <f>IF(A351="","",IF(COUNTIF('Programme Mentors'!$A:$A,A351)&gt;0,"Enrolled","—"))</f>
        <v>—</v>
      </c>
    </row>
    <row r="352" spans="1:8" ht="14.25" customHeight="1" x14ac:dyDescent="0.3">
      <c r="A352" s="43">
        <f>'Paste - Mentors'!A352</f>
        <v>3837432</v>
      </c>
      <c r="B352" s="3" t="str">
        <f>IFERROR(VLOOKUP(A352,'Paste - Mentors'!$A:$B,2,0),"")</f>
        <v>Vhuyedzani Makhado</v>
      </c>
      <c r="C352" s="3" t="str">
        <f>IFERROR(VLOOKUP(A352,'Paste - Mentors'!$A:$D,4,0),"")</f>
        <v>Career Mentor</v>
      </c>
      <c r="D352" s="43" t="str">
        <f>IFERROR(VLOOKUP(A352,'Paste - Mentors'!$A:$F,6,0),"")</f>
        <v>FNB</v>
      </c>
      <c r="E352" s="43" t="str">
        <f>IFERROR(VLOOKUP(A352,'Paste - Mentors'!$A:$E,5,0),"")</f>
        <v>South Africa</v>
      </c>
      <c r="F352" s="43">
        <f>IF(A352="","",COUNTIFS('Paste - Relationships'!$A:$A,A352,'Paste - Relationships'!$AE:$AE,""))</f>
        <v>0</v>
      </c>
      <c r="G352" s="43" t="str">
        <f t="shared" si="5"/>
        <v>Available</v>
      </c>
      <c r="H352" s="43" t="str">
        <f>IF(A352="","",IF(COUNTIF('Programme Mentors'!$A:$A,A352)&gt;0,"Enrolled","—"))</f>
        <v>—</v>
      </c>
    </row>
    <row r="353" spans="1:8" ht="14.25" customHeight="1" x14ac:dyDescent="0.3">
      <c r="A353" s="9">
        <f>'Paste - Mentors'!A353</f>
        <v>3837521</v>
      </c>
      <c r="B353" s="4" t="str">
        <f>IFERROR(VLOOKUP(A353,'Paste - Mentors'!$A:$B,2,0),"")</f>
        <v>Orateng Moshweunyane</v>
      </c>
      <c r="C353" s="4" t="str">
        <f>IFERROR(VLOOKUP(A353,'Paste - Mentors'!$A:$D,4,0),"")</f>
        <v>Career Mentor
Technical Mentor</v>
      </c>
      <c r="D353" s="9" t="str">
        <f>IFERROR(VLOOKUP(A353,'Paste - Mentors'!$A:$F,6,0),"")</f>
        <v>FNB</v>
      </c>
      <c r="E353" s="9" t="str">
        <f>IFERROR(VLOOKUP(A353,'Paste - Mentors'!$A:$E,5,0),"")</f>
        <v>South Africa</v>
      </c>
      <c r="F353" s="9">
        <f>IF(A353="","",COUNTIFS('Paste - Relationships'!$A:$A,A353,'Paste - Relationships'!$AE:$AE,""))</f>
        <v>0</v>
      </c>
      <c r="G353" s="9" t="str">
        <f t="shared" si="5"/>
        <v>Available</v>
      </c>
      <c r="H353" s="9" t="str">
        <f>IF(A353="","",IF(COUNTIF('Programme Mentors'!$A:$A,A353)&gt;0,"Enrolled","—"))</f>
        <v>—</v>
      </c>
    </row>
    <row r="354" spans="1:8" ht="33.75" customHeight="1" x14ac:dyDescent="0.3">
      <c r="A354" s="43">
        <f>'Paste - Mentors'!A354</f>
        <v>3837742</v>
      </c>
      <c r="B354" s="3" t="str">
        <f>IFERROR(VLOOKUP(A354,'Paste - Mentors'!$A:$B,2,0),"")</f>
        <v>Mcguyver Sekgala</v>
      </c>
      <c r="C354" s="3" t="str">
        <f>IFERROR(VLOOKUP(A354,'Paste - Mentors'!$A:$D,4,0),"")</f>
        <v>Career Mentor
Workplace  Buddy</v>
      </c>
      <c r="D354" s="43" t="str">
        <f>IFERROR(VLOOKUP(A354,'Paste - Mentors'!$A:$F,6,0),"")</f>
        <v>FNB</v>
      </c>
      <c r="E354" s="43" t="str">
        <f>IFERROR(VLOOKUP(A354,'Paste - Mentors'!$A:$E,5,0),"")</f>
        <v>South Africa</v>
      </c>
      <c r="F354" s="43">
        <f>IF(A354="","",COUNTIFS('Paste - Relationships'!$A:$A,A354,'Paste - Relationships'!$AE:$AE,""))</f>
        <v>0</v>
      </c>
      <c r="G354" s="43" t="str">
        <f t="shared" si="5"/>
        <v>Available</v>
      </c>
      <c r="H354" s="43" t="str">
        <f>IF(A354="","",IF(COUNTIF('Programme Mentors'!$A:$A,A354)&gt;0,"Enrolled","—"))</f>
        <v>—</v>
      </c>
    </row>
    <row r="355" spans="1:8" ht="33.75" customHeight="1" x14ac:dyDescent="0.3">
      <c r="A355" s="9">
        <f>'Paste - Mentors'!A355</f>
        <v>3839559</v>
      </c>
      <c r="B355" s="4" t="str">
        <f>IFERROR(VLOOKUP(A355,'Paste - Mentors'!$A:$B,2,0),"")</f>
        <v>Suzanne Myburgh</v>
      </c>
      <c r="C355" s="4" t="str">
        <f>IFERROR(VLOOKUP(A355,'Paste - Mentors'!$A:$D,4,0),"")</f>
        <v>Career Mentor</v>
      </c>
      <c r="D355" s="9" t="str">
        <f>IFERROR(VLOOKUP(A355,'Paste - Mentors'!$A:$F,6,0),"")</f>
        <v>FNB</v>
      </c>
      <c r="E355" s="9" t="str">
        <f>IFERROR(VLOOKUP(A355,'Paste - Mentors'!$A:$E,5,0),"")</f>
        <v>South Africa</v>
      </c>
      <c r="F355" s="9">
        <f>IF(A355="","",COUNTIFS('Paste - Relationships'!$A:$A,A355,'Paste - Relationships'!$AE:$AE,""))</f>
        <v>0</v>
      </c>
      <c r="G355" s="9" t="str">
        <f t="shared" si="5"/>
        <v>Available</v>
      </c>
      <c r="H355" s="9" t="str">
        <f>IF(A355="","",IF(COUNTIF('Programme Mentors'!$A:$A,A355)&gt;0,"Enrolled","—"))</f>
        <v>—</v>
      </c>
    </row>
    <row r="356" spans="1:8" ht="14.25" customHeight="1" x14ac:dyDescent="0.3">
      <c r="A356" s="43">
        <f>'Paste - Mentors'!A356</f>
        <v>3844994</v>
      </c>
      <c r="B356" s="3" t="str">
        <f>IFERROR(VLOOKUP(A356,'Paste - Mentors'!$A:$B,2,0),"")</f>
        <v>Maserame Motheta</v>
      </c>
      <c r="C356" s="3" t="str">
        <f>IFERROR(VLOOKUP(A356,'Paste - Mentors'!$A:$D,4,0),"")</f>
        <v>Career Mentor</v>
      </c>
      <c r="D356" s="43" t="str">
        <f>IFERROR(VLOOKUP(A356,'Paste - Mentors'!$A:$F,6,0),"")</f>
        <v>FNB</v>
      </c>
      <c r="E356" s="43" t="str">
        <f>IFERROR(VLOOKUP(A356,'Paste - Mentors'!$A:$E,5,0),"")</f>
        <v>South Africa</v>
      </c>
      <c r="F356" s="43">
        <f>IF(A356="","",COUNTIFS('Paste - Relationships'!$A:$A,A356,'Paste - Relationships'!$AE:$AE,""))</f>
        <v>0</v>
      </c>
      <c r="G356" s="43" t="str">
        <f t="shared" si="5"/>
        <v>Available</v>
      </c>
      <c r="H356" s="43" t="str">
        <f>IF(A356="","",IF(COUNTIF('Programme Mentors'!$A:$A,A356)&gt;0,"Enrolled","—"))</f>
        <v>—</v>
      </c>
    </row>
    <row r="357" spans="1:8" ht="14.25" customHeight="1" x14ac:dyDescent="0.3">
      <c r="A357" s="9">
        <f>'Paste - Mentors'!A357</f>
        <v>3847764</v>
      </c>
      <c r="B357" s="4" t="str">
        <f>IFERROR(VLOOKUP(A357,'Paste - Mentors'!$A:$B,2,0),"")</f>
        <v>Duane Ryan</v>
      </c>
      <c r="C357" s="4" t="str">
        <f>IFERROR(VLOOKUP(A357,'Paste - Mentors'!$A:$D,4,0),"")</f>
        <v>Leadership Mentor</v>
      </c>
      <c r="D357" s="9" t="str">
        <f>IFERROR(VLOOKUP(A357,'Paste - Mentors'!$A:$F,6,0),"")</f>
        <v>FNB</v>
      </c>
      <c r="E357" s="9" t="str">
        <f>IFERROR(VLOOKUP(A357,'Paste - Mentors'!$A:$E,5,0),"")</f>
        <v>South Africa</v>
      </c>
      <c r="F357" s="9">
        <f>IF(A357="","",COUNTIFS('Paste - Relationships'!$A:$A,A357,'Paste - Relationships'!$AE:$AE,""))</f>
        <v>1</v>
      </c>
      <c r="G357" s="9" t="str">
        <f t="shared" si="5"/>
        <v>Has Capacity</v>
      </c>
      <c r="H357" s="9" t="str">
        <f>IF(A357="","",IF(COUNTIF('Programme Mentors'!$A:$A,A357)&gt;0,"Enrolled","—"))</f>
        <v>—</v>
      </c>
    </row>
    <row r="358" spans="1:8" ht="14.25" customHeight="1" x14ac:dyDescent="0.3">
      <c r="A358" s="43">
        <f>'Paste - Mentors'!A358</f>
        <v>3857506</v>
      </c>
      <c r="B358" s="3" t="str">
        <f>IFERROR(VLOOKUP(A358,'Paste - Mentors'!$A:$B,2,0),"")</f>
        <v>Ashok Ravuri</v>
      </c>
      <c r="C358" s="3" t="str">
        <f>IFERROR(VLOOKUP(A358,'Paste - Mentors'!$A:$D,4,0),"")</f>
        <v>Career Mentor</v>
      </c>
      <c r="D358" s="43" t="str">
        <f>IFERROR(VLOOKUP(A358,'Paste - Mentors'!$A:$F,6,0),"")</f>
        <v>FirstRand Corporate Centre</v>
      </c>
      <c r="E358" s="43" t="str">
        <f>IFERROR(VLOOKUP(A358,'Paste - Mentors'!$A:$E,5,0),"")</f>
        <v>South Africa</v>
      </c>
      <c r="F358" s="43">
        <f>IF(A358="","",COUNTIFS('Paste - Relationships'!$A:$A,A358,'Paste - Relationships'!$AE:$AE,""))</f>
        <v>0</v>
      </c>
      <c r="G358" s="43" t="str">
        <f t="shared" si="5"/>
        <v>Available</v>
      </c>
      <c r="H358" s="43" t="str">
        <f>IF(A358="","",IF(COUNTIF('Programme Mentors'!$A:$A,A358)&gt;0,"Enrolled","—"))</f>
        <v>—</v>
      </c>
    </row>
    <row r="359" spans="1:8" ht="33.75" customHeight="1" x14ac:dyDescent="0.3">
      <c r="A359" s="9">
        <f>'Paste - Mentors'!A359</f>
        <v>3862119</v>
      </c>
      <c r="B359" s="4" t="str">
        <f>IFERROR(VLOOKUP(A359,'Paste - Mentors'!$A:$B,2,0),"")</f>
        <v>Khanyisa Hlazo</v>
      </c>
      <c r="C359" s="4" t="str">
        <f>IFERROR(VLOOKUP(A359,'Paste - Mentors'!$A:$D,4,0),"")</f>
        <v>Career Mentor</v>
      </c>
      <c r="D359" s="9" t="str">
        <f>IFERROR(VLOOKUP(A359,'Paste - Mentors'!$A:$F,6,0),"")</f>
        <v>FNB</v>
      </c>
      <c r="E359" s="9" t="str">
        <f>IFERROR(VLOOKUP(A359,'Paste - Mentors'!$A:$E,5,0),"")</f>
        <v>South Africa</v>
      </c>
      <c r="F359" s="9">
        <f>IF(A359="","",COUNTIFS('Paste - Relationships'!$A:$A,A359,'Paste - Relationships'!$AE:$AE,""))</f>
        <v>0</v>
      </c>
      <c r="G359" s="9" t="str">
        <f t="shared" si="5"/>
        <v>Available</v>
      </c>
      <c r="H359" s="9" t="str">
        <f>IF(A359="","",IF(COUNTIF('Programme Mentors'!$A:$A,A359)&gt;0,"Enrolled","—"))</f>
        <v>—</v>
      </c>
    </row>
    <row r="360" spans="1:8" ht="14.25" customHeight="1" x14ac:dyDescent="0.3">
      <c r="A360" s="43">
        <f>'Paste - Mentors'!A360</f>
        <v>3862348</v>
      </c>
      <c r="B360" s="3" t="str">
        <f>IFERROR(VLOOKUP(A360,'Paste - Mentors'!$A:$B,2,0),"")</f>
        <v>Nkhensani Risimati</v>
      </c>
      <c r="C360" s="3" t="str">
        <f>IFERROR(VLOOKUP(A360,'Paste - Mentors'!$A:$D,4,0),"")</f>
        <v>Career Mentor</v>
      </c>
      <c r="D360" s="43" t="str">
        <f>IFERROR(VLOOKUP(A360,'Paste - Mentors'!$A:$F,6,0),"")</f>
        <v>FNB</v>
      </c>
      <c r="E360" s="43" t="str">
        <f>IFERROR(VLOOKUP(A360,'Paste - Mentors'!$A:$E,5,0),"")</f>
        <v>South Africa</v>
      </c>
      <c r="F360" s="43">
        <f>IF(A360="","",COUNTIFS('Paste - Relationships'!$A:$A,A360,'Paste - Relationships'!$AE:$AE,""))</f>
        <v>0</v>
      </c>
      <c r="G360" s="43" t="str">
        <f t="shared" si="5"/>
        <v>Available</v>
      </c>
      <c r="H360" s="43" t="str">
        <f>IF(A360="","",IF(COUNTIF('Programme Mentors'!$A:$A,A360)&gt;0,"Enrolled","—"))</f>
        <v>—</v>
      </c>
    </row>
    <row r="361" spans="1:8" ht="14.25" customHeight="1" x14ac:dyDescent="0.3">
      <c r="A361" s="9">
        <f>'Paste - Mentors'!A361</f>
        <v>3868664</v>
      </c>
      <c r="B361" s="4" t="str">
        <f>IFERROR(VLOOKUP(A361,'Paste - Mentors'!$A:$B,2,0),"")</f>
        <v>Tibane Lebese</v>
      </c>
      <c r="C361" s="4" t="str">
        <f>IFERROR(VLOOKUP(A361,'Paste - Mentors'!$A:$D,4,0),"")</f>
        <v>Leadership Mentor
Transition Mentor</v>
      </c>
      <c r="D361" s="9" t="str">
        <f>IFERROR(VLOOKUP(A361,'Paste - Mentors'!$A:$F,6,0),"")</f>
        <v>FNB</v>
      </c>
      <c r="E361" s="9" t="str">
        <f>IFERROR(VLOOKUP(A361,'Paste - Mentors'!$A:$E,5,0),"")</f>
        <v>South Africa</v>
      </c>
      <c r="F361" s="9">
        <f>IF(A361="","",COUNTIFS('Paste - Relationships'!$A:$A,A361,'Paste - Relationships'!$AE:$AE,""))</f>
        <v>0</v>
      </c>
      <c r="G361" s="9" t="str">
        <f t="shared" si="5"/>
        <v>Available</v>
      </c>
      <c r="H361" s="9" t="str">
        <f>IF(A361="","",IF(COUNTIF('Programme Mentors'!$A:$A,A361)&gt;0,"Enrolled","—"))</f>
        <v>—</v>
      </c>
    </row>
    <row r="362" spans="1:8" ht="33.75" customHeight="1" x14ac:dyDescent="0.3">
      <c r="A362" s="43">
        <f>'Paste - Mentors'!A362</f>
        <v>3878414</v>
      </c>
      <c r="B362" s="3" t="str">
        <f>IFERROR(VLOOKUP(A362,'Paste - Mentors'!$A:$B,2,0),"")</f>
        <v>Lorna Reid</v>
      </c>
      <c r="C362" s="3" t="str">
        <f>IFERROR(VLOOKUP(A362,'Paste - Mentors'!$A:$D,4,0),"")</f>
        <v>Career Mentor
Leadership Mentor
Transition Mentor</v>
      </c>
      <c r="D362" s="43" t="str">
        <f>IFERROR(VLOOKUP(A362,'Paste - Mentors'!$A:$F,6,0),"")</f>
        <v>FNB</v>
      </c>
      <c r="E362" s="43" t="str">
        <f>IFERROR(VLOOKUP(A362,'Paste - Mentors'!$A:$E,5,0),"")</f>
        <v>South Africa</v>
      </c>
      <c r="F362" s="43">
        <f>IF(A362="","",COUNTIFS('Paste - Relationships'!$A:$A,A362,'Paste - Relationships'!$AE:$AE,""))</f>
        <v>0</v>
      </c>
      <c r="G362" s="43" t="str">
        <f t="shared" si="5"/>
        <v>Available</v>
      </c>
      <c r="H362" s="43" t="str">
        <f>IF(A362="","",IF(COUNTIF('Programme Mentors'!$A:$A,A362)&gt;0,"Enrolled","—"))</f>
        <v>—</v>
      </c>
    </row>
    <row r="363" spans="1:8" ht="57" customHeight="1" x14ac:dyDescent="0.3">
      <c r="A363" s="9">
        <f>'Paste - Mentors'!A363</f>
        <v>3878546</v>
      </c>
      <c r="B363" s="4" t="str">
        <f>IFERROR(VLOOKUP(A363,'Paste - Mentors'!$A:$B,2,0),"")</f>
        <v>Kelly Gilbert</v>
      </c>
      <c r="C363" s="4" t="str">
        <f>IFERROR(VLOOKUP(A363,'Paste - Mentors'!$A:$D,4,0),"")</f>
        <v>Career Mentor</v>
      </c>
      <c r="D363" s="9" t="str">
        <f>IFERROR(VLOOKUP(A363,'Paste - Mentors'!$A:$F,6,0),"")</f>
        <v>FNB</v>
      </c>
      <c r="E363" s="9" t="str">
        <f>IFERROR(VLOOKUP(A363,'Paste - Mentors'!$A:$E,5,0),"")</f>
        <v>South Africa</v>
      </c>
      <c r="F363" s="9">
        <f>IF(A363="","",COUNTIFS('Paste - Relationships'!$A:$A,A363,'Paste - Relationships'!$AE:$AE,""))</f>
        <v>0</v>
      </c>
      <c r="G363" s="9" t="str">
        <f t="shared" si="5"/>
        <v>Available</v>
      </c>
      <c r="H363" s="9" t="str">
        <f>IF(A363="","",IF(COUNTIF('Programme Mentors'!$A:$A,A363)&gt;0,"Enrolled","—"))</f>
        <v>—</v>
      </c>
    </row>
    <row r="364" spans="1:8" ht="14.25" customHeight="1" x14ac:dyDescent="0.3">
      <c r="A364" s="43">
        <f>'Paste - Mentors'!A364</f>
        <v>3878732</v>
      </c>
      <c r="B364" s="3" t="str">
        <f>IFERROR(VLOOKUP(A364,'Paste - Mentors'!$A:$B,2,0),"")</f>
        <v>Isabel Jacobs</v>
      </c>
      <c r="C364" s="3" t="str">
        <f>IFERROR(VLOOKUP(A364,'Paste - Mentors'!$A:$D,4,0),"")</f>
        <v>Career Mentor</v>
      </c>
      <c r="D364" s="43" t="str">
        <f>IFERROR(VLOOKUP(A364,'Paste - Mentors'!$A:$F,6,0),"")</f>
        <v>FNB</v>
      </c>
      <c r="E364" s="43" t="str">
        <f>IFERROR(VLOOKUP(A364,'Paste - Mentors'!$A:$E,5,0),"")</f>
        <v>South Africa</v>
      </c>
      <c r="F364" s="43">
        <f>IF(A364="","",COUNTIFS('Paste - Relationships'!$A:$A,A364,'Paste - Relationships'!$AE:$AE,""))</f>
        <v>0</v>
      </c>
      <c r="G364" s="43" t="str">
        <f t="shared" si="5"/>
        <v>Available</v>
      </c>
      <c r="H364" s="43" t="str">
        <f>IF(A364="","",IF(COUNTIF('Programme Mentors'!$A:$A,A364)&gt;0,"Enrolled","—"))</f>
        <v>—</v>
      </c>
    </row>
    <row r="365" spans="1:8" ht="14.25" customHeight="1" x14ac:dyDescent="0.3">
      <c r="A365" s="9">
        <f>'Paste - Mentors'!A365</f>
        <v>3902161</v>
      </c>
      <c r="B365" s="4" t="str">
        <f>IFERROR(VLOOKUP(A365,'Paste - Mentors'!$A:$B,2,0),"")</f>
        <v>Mariska Walkerley</v>
      </c>
      <c r="C365" s="4" t="str">
        <f>IFERROR(VLOOKUP(A365,'Paste - Mentors'!$A:$D,4,0),"")</f>
        <v>Career Mentor</v>
      </c>
      <c r="D365" s="9" t="str">
        <f>IFERROR(VLOOKUP(A365,'Paste - Mentors'!$A:$F,6,0),"")</f>
        <v>FNB</v>
      </c>
      <c r="E365" s="9" t="str">
        <f>IFERROR(VLOOKUP(A365,'Paste - Mentors'!$A:$E,5,0),"")</f>
        <v>South Africa</v>
      </c>
      <c r="F365" s="9">
        <f>IF(A365="","",COUNTIFS('Paste - Relationships'!$A:$A,A365,'Paste - Relationships'!$AE:$AE,""))</f>
        <v>1</v>
      </c>
      <c r="G365" s="9" t="str">
        <f t="shared" si="5"/>
        <v>Has Capacity</v>
      </c>
      <c r="H365" s="9" t="str">
        <f>IF(A365="","",IF(COUNTIF('Programme Mentors'!$A:$A,A365)&gt;0,"Enrolled","—"))</f>
        <v>—</v>
      </c>
    </row>
    <row r="366" spans="1:8" ht="14.25" customHeight="1" x14ac:dyDescent="0.3">
      <c r="A366" s="43">
        <f>'Paste - Mentors'!A366</f>
        <v>3905004</v>
      </c>
      <c r="B366" s="3" t="str">
        <f>IFERROR(VLOOKUP(A366,'Paste - Mentors'!$A:$B,2,0),"")</f>
        <v>Daisy Makoni</v>
      </c>
      <c r="C366" s="3" t="str">
        <f>IFERROR(VLOOKUP(A366,'Paste - Mentors'!$A:$D,4,0),"")</f>
        <v>Career Mentor</v>
      </c>
      <c r="D366" s="43" t="str">
        <f>IFERROR(VLOOKUP(A366,'Paste - Mentors'!$A:$F,6,0),"")</f>
        <v>FNB</v>
      </c>
      <c r="E366" s="43" t="str">
        <f>IFERROR(VLOOKUP(A366,'Paste - Mentors'!$A:$E,5,0),"")</f>
        <v>South Africa</v>
      </c>
      <c r="F366" s="43">
        <f>IF(A366="","",COUNTIFS('Paste - Relationships'!$A:$A,A366,'Paste - Relationships'!$AE:$AE,""))</f>
        <v>0</v>
      </c>
      <c r="G366" s="43" t="str">
        <f t="shared" si="5"/>
        <v>Available</v>
      </c>
      <c r="H366" s="43" t="str">
        <f>IF(A366="","",IF(COUNTIF('Programme Mentors'!$A:$A,A366)&gt;0,"Enrolled","—"))</f>
        <v>—</v>
      </c>
    </row>
    <row r="367" spans="1:8" ht="14.25" customHeight="1" x14ac:dyDescent="0.3">
      <c r="A367" s="9">
        <f>'Paste - Mentors'!A367</f>
        <v>3949427</v>
      </c>
      <c r="B367" s="4" t="str">
        <f>IFERROR(VLOOKUP(A367,'Paste - Mentors'!$A:$B,2,0),"")</f>
        <v>Matimba Zitha</v>
      </c>
      <c r="C367" s="4" t="str">
        <f>IFERROR(VLOOKUP(A367,'Paste - Mentors'!$A:$D,4,0),"")</f>
        <v>Career Mentor</v>
      </c>
      <c r="D367" s="9" t="str">
        <f>IFERROR(VLOOKUP(A367,'Paste - Mentors'!$A:$F,6,0),"")</f>
        <v>FNB</v>
      </c>
      <c r="E367" s="9" t="str">
        <f>IFERROR(VLOOKUP(A367,'Paste - Mentors'!$A:$E,5,0),"")</f>
        <v>South Africa</v>
      </c>
      <c r="F367" s="9">
        <f>IF(A367="","",COUNTIFS('Paste - Relationships'!$A:$A,A367,'Paste - Relationships'!$AE:$AE,""))</f>
        <v>0</v>
      </c>
      <c r="G367" s="9" t="str">
        <f t="shared" si="5"/>
        <v>Available</v>
      </c>
      <c r="H367" s="9" t="str">
        <f>IF(A367="","",IF(COUNTIF('Programme Mentors'!$A:$A,A367)&gt;0,"Enrolled","—"))</f>
        <v>—</v>
      </c>
    </row>
    <row r="368" spans="1:8" ht="14.25" customHeight="1" x14ac:dyDescent="0.3">
      <c r="A368" s="43">
        <f>'Paste - Mentors'!A368</f>
        <v>3954978</v>
      </c>
      <c r="B368" s="3" t="str">
        <f>IFERROR(VLOOKUP(A368,'Paste - Mentors'!$A:$B,2,0),"")</f>
        <v>Thuto Masilo</v>
      </c>
      <c r="C368" s="3" t="str">
        <f>IFERROR(VLOOKUP(A368,'Paste - Mentors'!$A:$D,4,0),"")</f>
        <v>Career Mentor</v>
      </c>
      <c r="D368" s="43" t="str">
        <f>IFERROR(VLOOKUP(A368,'Paste - Mentors'!$A:$F,6,0),"")</f>
        <v>FNB</v>
      </c>
      <c r="E368" s="43" t="str">
        <f>IFERROR(VLOOKUP(A368,'Paste - Mentors'!$A:$E,5,0),"")</f>
        <v>South Africa</v>
      </c>
      <c r="F368" s="43">
        <f>IF(A368="","",COUNTIFS('Paste - Relationships'!$A:$A,A368,'Paste - Relationships'!$AE:$AE,""))</f>
        <v>0</v>
      </c>
      <c r="G368" s="43" t="str">
        <f t="shared" si="5"/>
        <v>Available</v>
      </c>
      <c r="H368" s="43" t="str">
        <f>IF(A368="","",IF(COUNTIF('Programme Mentors'!$A:$A,A368)&gt;0,"Enrolled","—"))</f>
        <v>—</v>
      </c>
    </row>
    <row r="369" spans="1:8" ht="14.25" customHeight="1" x14ac:dyDescent="0.3">
      <c r="A369" s="9">
        <f>'Paste - Mentors'!A369</f>
        <v>3955125</v>
      </c>
      <c r="B369" s="4" t="str">
        <f>IFERROR(VLOOKUP(A369,'Paste - Mentors'!$A:$B,2,0),"")</f>
        <v>Shaun Rampersad</v>
      </c>
      <c r="C369" s="4" t="str">
        <f>IFERROR(VLOOKUP(A369,'Paste - Mentors'!$A:$D,4,0),"")</f>
        <v>Technical Mentor</v>
      </c>
      <c r="D369" s="9" t="str">
        <f>IFERROR(VLOOKUP(A369,'Paste - Mentors'!$A:$F,6,0),"")</f>
        <v>FNB</v>
      </c>
      <c r="E369" s="9" t="str">
        <f>IFERROR(VLOOKUP(A369,'Paste - Mentors'!$A:$E,5,0),"")</f>
        <v>South Africa</v>
      </c>
      <c r="F369" s="9">
        <f>IF(A369="","",COUNTIFS('Paste - Relationships'!$A:$A,A369,'Paste - Relationships'!$AE:$AE,""))</f>
        <v>0</v>
      </c>
      <c r="G369" s="9" t="str">
        <f t="shared" si="5"/>
        <v>Available</v>
      </c>
      <c r="H369" s="9" t="str">
        <f>IF(A369="","",IF(COUNTIF('Programme Mentors'!$A:$A,A369)&gt;0,"Enrolled","—"))</f>
        <v>—</v>
      </c>
    </row>
    <row r="370" spans="1:8" ht="14.25" customHeight="1" x14ac:dyDescent="0.3">
      <c r="A370" s="43">
        <f>'Paste - Mentors'!A370</f>
        <v>3974510</v>
      </c>
      <c r="B370" s="3" t="str">
        <f>IFERROR(VLOOKUP(A370,'Paste - Mentors'!$A:$B,2,0),"")</f>
        <v>Dimpho Thupayakgosi</v>
      </c>
      <c r="C370" s="3" t="str">
        <f>IFERROR(VLOOKUP(A370,'Paste - Mentors'!$A:$D,4,0),"")</f>
        <v>Career Mentor</v>
      </c>
      <c r="D370" s="43" t="str">
        <f>IFERROR(VLOOKUP(A370,'Paste - Mentors'!$A:$F,6,0),"")</f>
        <v>FNB</v>
      </c>
      <c r="E370" s="43" t="str">
        <f>IFERROR(VLOOKUP(A370,'Paste - Mentors'!$A:$E,5,0),"")</f>
        <v>South Africa</v>
      </c>
      <c r="F370" s="43">
        <f>IF(A370="","",COUNTIFS('Paste - Relationships'!$A:$A,A370,'Paste - Relationships'!$AE:$AE,""))</f>
        <v>0</v>
      </c>
      <c r="G370" s="43" t="str">
        <f t="shared" si="5"/>
        <v>Available</v>
      </c>
      <c r="H370" s="43" t="str">
        <f>IF(A370="","",IF(COUNTIF('Programme Mentors'!$A:$A,A370)&gt;0,"Enrolled","—"))</f>
        <v>—</v>
      </c>
    </row>
    <row r="371" spans="1:8" ht="14.25" customHeight="1" x14ac:dyDescent="0.3">
      <c r="A371" s="9">
        <f>'Paste - Mentors'!A371</f>
        <v>4501241</v>
      </c>
      <c r="B371" s="4" t="str">
        <f>IFERROR(VLOOKUP(A371,'Paste - Mentors'!$A:$B,2,0),"")</f>
        <v>Roshni Morar</v>
      </c>
      <c r="C371" s="4" t="str">
        <f>IFERROR(VLOOKUP(A371,'Paste - Mentors'!$A:$D,4,0),"")</f>
        <v>Transition Mentor
Workplace  Buddy</v>
      </c>
      <c r="D371" s="9" t="str">
        <f>IFERROR(VLOOKUP(A371,'Paste - Mentors'!$A:$F,6,0),"")</f>
        <v>RMB</v>
      </c>
      <c r="E371" s="9" t="str">
        <f>IFERROR(VLOOKUP(A371,'Paste - Mentors'!$A:$E,5,0),"")</f>
        <v>South Africa</v>
      </c>
      <c r="F371" s="9">
        <f>IF(A371="","",COUNTIFS('Paste - Relationships'!$A:$A,A371,'Paste - Relationships'!$AE:$AE,""))</f>
        <v>0</v>
      </c>
      <c r="G371" s="9" t="str">
        <f t="shared" si="5"/>
        <v>Available</v>
      </c>
      <c r="H371" s="9" t="str">
        <f>IF(A371="","",IF(COUNTIF('Programme Mentors'!$A:$A,A371)&gt;0,"Enrolled","—"))</f>
        <v>—</v>
      </c>
    </row>
    <row r="372" spans="1:8" ht="33.75" customHeight="1" x14ac:dyDescent="0.3">
      <c r="A372" s="43">
        <f>'Paste - Mentors'!A372</f>
        <v>4506367</v>
      </c>
      <c r="B372" s="3" t="str">
        <f>IFERROR(VLOOKUP(A372,'Paste - Mentors'!$A:$B,2,0),"")</f>
        <v>Willem Van Der Westhuizen</v>
      </c>
      <c r="C372" s="3" t="str">
        <f>IFERROR(VLOOKUP(A372,'Paste - Mentors'!$A:$D,4,0),"")</f>
        <v>Z2-Programme Mentor (HC Managed)</v>
      </c>
      <c r="D372" s="43" t="str">
        <f>IFERROR(VLOOKUP(A372,'Paste - Mentors'!$A:$F,6,0),"")</f>
        <v>RMB</v>
      </c>
      <c r="E372" s="43" t="str">
        <f>IFERROR(VLOOKUP(A372,'Paste - Mentors'!$A:$E,5,0),"")</f>
        <v>South Africa</v>
      </c>
      <c r="F372" s="43">
        <f>IF(A372="","",COUNTIFS('Paste - Relationships'!$A:$A,A372,'Paste - Relationships'!$AE:$AE,""))</f>
        <v>0</v>
      </c>
      <c r="G372" s="43" t="str">
        <f t="shared" si="5"/>
        <v>Available</v>
      </c>
      <c r="H372" s="43" t="str">
        <f>IF(A372="","",IF(COUNTIF('Programme Mentors'!$A:$A,A372)&gt;0,"Enrolled","—"))</f>
        <v>—</v>
      </c>
    </row>
    <row r="373" spans="1:8" ht="14.25" customHeight="1" x14ac:dyDescent="0.3">
      <c r="A373" s="9">
        <f>'Paste - Mentors'!A373</f>
        <v>4516850</v>
      </c>
      <c r="B373" s="4" t="str">
        <f>IFERROR(VLOOKUP(A373,'Paste - Mentors'!$A:$B,2,0),"")</f>
        <v>Werner Van Oudenhove De St Gery</v>
      </c>
      <c r="C373" s="4" t="str">
        <f>IFERROR(VLOOKUP(A373,'Paste - Mentors'!$A:$D,4,0),"")</f>
        <v>Z2-Programme Mentor (HC Managed)</v>
      </c>
      <c r="D373" s="9" t="str">
        <f>IFERROR(VLOOKUP(A373,'Paste - Mentors'!$A:$F,6,0),"")</f>
        <v>RMB</v>
      </c>
      <c r="E373" s="9" t="str">
        <f>IFERROR(VLOOKUP(A373,'Paste - Mentors'!$A:$E,5,0),"")</f>
        <v>South Africa</v>
      </c>
      <c r="F373" s="9">
        <f>IF(A373="","",COUNTIFS('Paste - Relationships'!$A:$A,A373,'Paste - Relationships'!$AE:$AE,""))</f>
        <v>0</v>
      </c>
      <c r="G373" s="9" t="str">
        <f t="shared" si="5"/>
        <v>Available</v>
      </c>
      <c r="H373" s="9" t="str">
        <f>IF(A373="","",IF(COUNTIF('Programme Mentors'!$A:$A,A373)&gt;0,"Enrolled","—"))</f>
        <v>—</v>
      </c>
    </row>
    <row r="374" spans="1:8" ht="22.5" customHeight="1" x14ac:dyDescent="0.3">
      <c r="A374" s="43">
        <f>'Paste - Mentors'!A374</f>
        <v>4518470</v>
      </c>
      <c r="B374" s="3" t="str">
        <f>IFERROR(VLOOKUP(A374,'Paste - Mentors'!$A:$B,2,0),"")</f>
        <v>Karel Botes</v>
      </c>
      <c r="C374" s="3" t="str">
        <f>IFERROR(VLOOKUP(A374,'Paste - Mentors'!$A:$D,4,0),"")</f>
        <v>Z2-Programme Mentor (HC Managed)</v>
      </c>
      <c r="D374" s="43" t="str">
        <f>IFERROR(VLOOKUP(A374,'Paste - Mentors'!$A:$F,6,0),"")</f>
        <v>RMB</v>
      </c>
      <c r="E374" s="43" t="str">
        <f>IFERROR(VLOOKUP(A374,'Paste - Mentors'!$A:$E,5,0),"")</f>
        <v>South Africa</v>
      </c>
      <c r="F374" s="43">
        <f>IF(A374="","",COUNTIFS('Paste - Relationships'!$A:$A,A374,'Paste - Relationships'!$AE:$AE,""))</f>
        <v>0</v>
      </c>
      <c r="G374" s="43" t="str">
        <f t="shared" si="5"/>
        <v>Available</v>
      </c>
      <c r="H374" s="43" t="str">
        <f>IF(A374="","",IF(COUNTIF('Programme Mentors'!$A:$A,A374)&gt;0,"Enrolled","—"))</f>
        <v>—</v>
      </c>
    </row>
    <row r="375" spans="1:8" ht="14.25" customHeight="1" x14ac:dyDescent="0.3">
      <c r="A375" s="9">
        <f>'Paste - Mentors'!A375</f>
        <v>4519523</v>
      </c>
      <c r="B375" s="4" t="str">
        <f>IFERROR(VLOOKUP(A375,'Paste - Mentors'!$A:$B,2,0),"")</f>
        <v>Willy Robinson</v>
      </c>
      <c r="C375" s="4" t="str">
        <f>IFERROR(VLOOKUP(A375,'Paste - Mentors'!$A:$D,4,0),"")</f>
        <v>Z2-Programme Mentor (HC Managed)</v>
      </c>
      <c r="D375" s="9" t="str">
        <f>IFERROR(VLOOKUP(A375,'Paste - Mentors'!$A:$F,6,0),"")</f>
        <v>RMB</v>
      </c>
      <c r="E375" s="9" t="str">
        <f>IFERROR(VLOOKUP(A375,'Paste - Mentors'!$A:$E,5,0),"")</f>
        <v>South Africa</v>
      </c>
      <c r="F375" s="9">
        <f>IF(A375="","",COUNTIFS('Paste - Relationships'!$A:$A,A375,'Paste - Relationships'!$AE:$AE,""))</f>
        <v>0</v>
      </c>
      <c r="G375" s="9" t="str">
        <f t="shared" si="5"/>
        <v>Available</v>
      </c>
      <c r="H375" s="9" t="str">
        <f>IF(A375="","",IF(COUNTIF('Programme Mentors'!$A:$A,A375)&gt;0,"Enrolled","—"))</f>
        <v>—</v>
      </c>
    </row>
    <row r="376" spans="1:8" ht="14.25" customHeight="1" x14ac:dyDescent="0.3">
      <c r="A376" s="43">
        <f>'Paste - Mentors'!A376</f>
        <v>4519620</v>
      </c>
      <c r="B376" s="3" t="str">
        <f>IFERROR(VLOOKUP(A376,'Paste - Mentors'!$A:$B,2,0),"")</f>
        <v>Meera Khandoo</v>
      </c>
      <c r="C376" s="3" t="str">
        <f>IFERROR(VLOOKUP(A376,'Paste - Mentors'!$A:$D,4,0),"")</f>
        <v>Career Mentor
Transition Mentor
Workplace  Buddy</v>
      </c>
      <c r="D376" s="43" t="str">
        <f>IFERROR(VLOOKUP(A376,'Paste - Mentors'!$A:$F,6,0),"")</f>
        <v>RMB</v>
      </c>
      <c r="E376" s="43" t="str">
        <f>IFERROR(VLOOKUP(A376,'Paste - Mentors'!$A:$E,5,0),"")</f>
        <v>South Africa</v>
      </c>
      <c r="F376" s="43">
        <f>IF(A376="","",COUNTIFS('Paste - Relationships'!$A:$A,A376,'Paste - Relationships'!$AE:$AE,""))</f>
        <v>1</v>
      </c>
      <c r="G376" s="43" t="str">
        <f t="shared" si="5"/>
        <v>Has Capacity</v>
      </c>
      <c r="H376" s="43" t="str">
        <f>IF(A376="","",IF(COUNTIF('Programme Mentors'!$A:$A,A376)&gt;0,"Enrolled","—"))</f>
        <v>—</v>
      </c>
    </row>
    <row r="377" spans="1:8" ht="57" customHeight="1" x14ac:dyDescent="0.3">
      <c r="A377" s="9">
        <f>'Paste - Mentors'!A377</f>
        <v>4520378</v>
      </c>
      <c r="B377" s="4" t="str">
        <f>IFERROR(VLOOKUP(A377,'Paste - Mentors'!$A:$B,2,0),"")</f>
        <v>Adriaan Els</v>
      </c>
      <c r="C377" s="4" t="str">
        <f>IFERROR(VLOOKUP(A377,'Paste - Mentors'!$A:$D,4,0),"")</f>
        <v>Z2-Programme Mentor (HC Managed)</v>
      </c>
      <c r="D377" s="9" t="str">
        <f>IFERROR(VLOOKUP(A377,'Paste - Mentors'!$A:$F,6,0),"")</f>
        <v>RMB</v>
      </c>
      <c r="E377" s="9" t="str">
        <f>IFERROR(VLOOKUP(A377,'Paste - Mentors'!$A:$E,5,0),"")</f>
        <v>South Africa</v>
      </c>
      <c r="F377" s="9">
        <f>IF(A377="","",COUNTIFS('Paste - Relationships'!$A:$A,A377,'Paste - Relationships'!$AE:$AE,""))</f>
        <v>0</v>
      </c>
      <c r="G377" s="9" t="str">
        <f t="shared" si="5"/>
        <v>Available</v>
      </c>
      <c r="H377" s="9" t="str">
        <f>IF(A377="","",IF(COUNTIF('Programme Mentors'!$A:$A,A377)&gt;0,"Enrolled","—"))</f>
        <v>—</v>
      </c>
    </row>
    <row r="378" spans="1:8" ht="14.25" customHeight="1" x14ac:dyDescent="0.3">
      <c r="A378" s="43">
        <f>'Paste - Mentors'!A378</f>
        <v>4521250</v>
      </c>
      <c r="B378" s="3" t="str">
        <f>IFERROR(VLOOKUP(A378,'Paste - Mentors'!$A:$B,2,0),"")</f>
        <v>Terence O'Neill</v>
      </c>
      <c r="C378" s="3" t="str">
        <f>IFERROR(VLOOKUP(A378,'Paste - Mentors'!$A:$D,4,0),"")</f>
        <v>Z2-Programme Mentor (HC Managed)</v>
      </c>
      <c r="D378" s="43" t="str">
        <f>IFERROR(VLOOKUP(A378,'Paste - Mentors'!$A:$F,6,0),"")</f>
        <v>RMB</v>
      </c>
      <c r="E378" s="43" t="str">
        <f>IFERROR(VLOOKUP(A378,'Paste - Mentors'!$A:$E,5,0),"")</f>
        <v>South Africa</v>
      </c>
      <c r="F378" s="43">
        <f>IF(A378="","",COUNTIFS('Paste - Relationships'!$A:$A,A378,'Paste - Relationships'!$AE:$AE,""))</f>
        <v>0</v>
      </c>
      <c r="G378" s="43" t="str">
        <f t="shared" si="5"/>
        <v>Available</v>
      </c>
      <c r="H378" s="43" t="str">
        <f>IF(A378="","",IF(COUNTIF('Programme Mentors'!$A:$A,A378)&gt;0,"Enrolled","—"))</f>
        <v>—</v>
      </c>
    </row>
    <row r="379" spans="1:8" ht="14.25" customHeight="1" x14ac:dyDescent="0.3">
      <c r="A379" s="9">
        <f>'Paste - Mentors'!A379</f>
        <v>4522990</v>
      </c>
      <c r="B379" s="4" t="str">
        <f>IFERROR(VLOOKUP(A379,'Paste - Mentors'!$A:$B,2,0),"")</f>
        <v>Colin Struwig</v>
      </c>
      <c r="C379" s="4" t="str">
        <f>IFERROR(VLOOKUP(A379,'Paste - Mentors'!$A:$D,4,0),"")</f>
        <v>Z2-Programme Mentor (HC Managed)</v>
      </c>
      <c r="D379" s="9" t="str">
        <f>IFERROR(VLOOKUP(A379,'Paste - Mentors'!$A:$F,6,0),"")</f>
        <v>RMB</v>
      </c>
      <c r="E379" s="9" t="str">
        <f>IFERROR(VLOOKUP(A379,'Paste - Mentors'!$A:$E,5,0),"")</f>
        <v>South Africa</v>
      </c>
      <c r="F379" s="9">
        <f>IF(A379="","",COUNTIFS('Paste - Relationships'!$A:$A,A379,'Paste - Relationships'!$AE:$AE,""))</f>
        <v>0</v>
      </c>
      <c r="G379" s="9" t="str">
        <f t="shared" si="5"/>
        <v>Available</v>
      </c>
      <c r="H379" s="9" t="str">
        <f>IF(A379="","",IF(COUNTIF('Programme Mentors'!$A:$A,A379)&gt;0,"Enrolled","—"))</f>
        <v>—</v>
      </c>
    </row>
    <row r="380" spans="1:8" ht="14.25" customHeight="1" x14ac:dyDescent="0.3">
      <c r="A380" s="43">
        <f>'Paste - Mentors'!A380</f>
        <v>4524098</v>
      </c>
      <c r="B380" s="3" t="str">
        <f>IFERROR(VLOOKUP(A380,'Paste - Mentors'!$A:$B,2,0),"")</f>
        <v>Sisinyane Hope Motau</v>
      </c>
      <c r="C380" s="3" t="str">
        <f>IFERROR(VLOOKUP(A380,'Paste - Mentors'!$A:$D,4,0),"")</f>
        <v>Career Mentor
Workplace  Buddy</v>
      </c>
      <c r="D380" s="43" t="str">
        <f>IFERROR(VLOOKUP(A380,'Paste - Mentors'!$A:$F,6,0),"")</f>
        <v>FNB</v>
      </c>
      <c r="E380" s="43" t="str">
        <f>IFERROR(VLOOKUP(A380,'Paste - Mentors'!$A:$E,5,0),"")</f>
        <v>South Africa</v>
      </c>
      <c r="F380" s="43">
        <f>IF(A380="","",COUNTIFS('Paste - Relationships'!$A:$A,A380,'Paste - Relationships'!$AE:$AE,""))</f>
        <v>0</v>
      </c>
      <c r="G380" s="43" t="str">
        <f t="shared" si="5"/>
        <v>Available</v>
      </c>
      <c r="H380" s="43" t="str">
        <f>IF(A380="","",IF(COUNTIF('Programme Mentors'!$A:$A,A380)&gt;0,"Enrolled","—"))</f>
        <v>—</v>
      </c>
    </row>
    <row r="381" spans="1:8" ht="33.75" customHeight="1" x14ac:dyDescent="0.3">
      <c r="A381" s="9">
        <f>'Paste - Mentors'!A381</f>
        <v>4524136</v>
      </c>
      <c r="B381" s="4" t="str">
        <f>IFERROR(VLOOKUP(A381,'Paste - Mentors'!$A:$B,2,0),"")</f>
        <v>Lambrie Van Straaten</v>
      </c>
      <c r="C381" s="4" t="str">
        <f>IFERROR(VLOOKUP(A381,'Paste - Mentors'!$A:$D,4,0),"")</f>
        <v>Z2-Programme Mentor (HC Managed)</v>
      </c>
      <c r="D381" s="9" t="str">
        <f>IFERROR(VLOOKUP(A381,'Paste - Mentors'!$A:$F,6,0),"")</f>
        <v>RMB</v>
      </c>
      <c r="E381" s="9" t="str">
        <f>IFERROR(VLOOKUP(A381,'Paste - Mentors'!$A:$E,5,0),"")</f>
        <v>South Africa</v>
      </c>
      <c r="F381" s="9">
        <f>IF(A381="","",COUNTIFS('Paste - Relationships'!$A:$A,A381,'Paste - Relationships'!$AE:$AE,""))</f>
        <v>0</v>
      </c>
      <c r="G381" s="9" t="str">
        <f t="shared" si="5"/>
        <v>Available</v>
      </c>
      <c r="H381" s="9" t="str">
        <f>IF(A381="","",IF(COUNTIF('Programme Mentors'!$A:$A,A381)&gt;0,"Enrolled","—"))</f>
        <v>—</v>
      </c>
    </row>
    <row r="382" spans="1:8" ht="14.25" customHeight="1" x14ac:dyDescent="0.3">
      <c r="A382" s="43">
        <f>'Paste - Mentors'!A382</f>
        <v>4526058</v>
      </c>
      <c r="B382" s="3" t="str">
        <f>IFERROR(VLOOKUP(A382,'Paste - Mentors'!$A:$B,2,0),"")</f>
        <v>Wilhelm Pauer</v>
      </c>
      <c r="C382" s="3" t="str">
        <f>IFERROR(VLOOKUP(A382,'Paste - Mentors'!$A:$D,4,0),"")</f>
        <v>Z2-Programme Mentor (HC Managed)</v>
      </c>
      <c r="D382" s="43" t="str">
        <f>IFERROR(VLOOKUP(A382,'Paste - Mentors'!$A:$F,6,0),"")</f>
        <v>RMB</v>
      </c>
      <c r="E382" s="43" t="str">
        <f>IFERROR(VLOOKUP(A382,'Paste - Mentors'!$A:$E,5,0),"")</f>
        <v>South Africa</v>
      </c>
      <c r="F382" s="43">
        <f>IF(A382="","",COUNTIFS('Paste - Relationships'!$A:$A,A382,'Paste - Relationships'!$AE:$AE,""))</f>
        <v>0</v>
      </c>
      <c r="G382" s="43" t="str">
        <f t="shared" si="5"/>
        <v>Available</v>
      </c>
      <c r="H382" s="43" t="str">
        <f>IF(A382="","",IF(COUNTIF('Programme Mentors'!$A:$A,A382)&gt;0,"Enrolled","—"))</f>
        <v>—</v>
      </c>
    </row>
    <row r="383" spans="1:8" ht="14.25" customHeight="1" x14ac:dyDescent="0.3">
      <c r="A383" s="9">
        <f>'Paste - Mentors'!A383</f>
        <v>4527658</v>
      </c>
      <c r="B383" s="4" t="str">
        <f>IFERROR(VLOOKUP(A383,'Paste - Mentors'!$A:$B,2,0),"")</f>
        <v>Richard Foaden</v>
      </c>
      <c r="C383" s="4" t="str">
        <f>IFERROR(VLOOKUP(A383,'Paste - Mentors'!$A:$D,4,0),"")</f>
        <v>Career Mentor
Technical Mentor</v>
      </c>
      <c r="D383" s="9" t="str">
        <f>IFERROR(VLOOKUP(A383,'Paste - Mentors'!$A:$F,6,0),"")</f>
        <v>FNB</v>
      </c>
      <c r="E383" s="9" t="str">
        <f>IFERROR(VLOOKUP(A383,'Paste - Mentors'!$A:$E,5,0),"")</f>
        <v>South Africa</v>
      </c>
      <c r="F383" s="9">
        <f>IF(A383="","",COUNTIFS('Paste - Relationships'!$A:$A,A383,'Paste - Relationships'!$AE:$AE,""))</f>
        <v>1</v>
      </c>
      <c r="G383" s="9" t="str">
        <f t="shared" si="5"/>
        <v>Has Capacity</v>
      </c>
      <c r="H383" s="9" t="str">
        <f>IF(A383="","",IF(COUNTIF('Programme Mentors'!$A:$A,A383)&gt;0,"Enrolled","—"))</f>
        <v>—</v>
      </c>
    </row>
    <row r="384" spans="1:8" ht="33.75" customHeight="1" x14ac:dyDescent="0.3">
      <c r="A384" s="43">
        <f>'Paste - Mentors'!A384</f>
        <v>4527798</v>
      </c>
      <c r="B384" s="3" t="str">
        <f>IFERROR(VLOOKUP(A384,'Paste - Mentors'!$A:$B,2,0),"")</f>
        <v>Handri Kymdell</v>
      </c>
      <c r="C384" s="3" t="str">
        <f>IFERROR(VLOOKUP(A384,'Paste - Mentors'!$A:$D,4,0),"")</f>
        <v>Workplace  Buddy</v>
      </c>
      <c r="D384" s="43" t="str">
        <f>IFERROR(VLOOKUP(A384,'Paste - Mentors'!$A:$F,6,0),"")</f>
        <v>RMB</v>
      </c>
      <c r="E384" s="43" t="str">
        <f>IFERROR(VLOOKUP(A384,'Paste - Mentors'!$A:$E,5,0),"")</f>
        <v>South Africa</v>
      </c>
      <c r="F384" s="43">
        <f>IF(A384="","",COUNTIFS('Paste - Relationships'!$A:$A,A384,'Paste - Relationships'!$AE:$AE,""))</f>
        <v>0</v>
      </c>
      <c r="G384" s="43" t="str">
        <f t="shared" si="5"/>
        <v>Available</v>
      </c>
      <c r="H384" s="43" t="str">
        <f>IF(A384="","",IF(COUNTIF('Programme Mentors'!$A:$A,A384)&gt;0,"Enrolled","—"))</f>
        <v>—</v>
      </c>
    </row>
    <row r="385" spans="1:8" ht="14.25" customHeight="1" x14ac:dyDescent="0.3">
      <c r="A385" s="9">
        <f>'Paste - Mentors'!A385</f>
        <v>4529103</v>
      </c>
      <c r="B385" s="4" t="str">
        <f>IFERROR(VLOOKUP(A385,'Paste - Mentors'!$A:$B,2,0),"")</f>
        <v>Rathithi Kolobe</v>
      </c>
      <c r="C385" s="4" t="str">
        <f>IFERROR(VLOOKUP(A385,'Paste - Mentors'!$A:$D,4,0),"")</f>
        <v>Career Mentor</v>
      </c>
      <c r="D385" s="9" t="str">
        <f>IFERROR(VLOOKUP(A385,'Paste - Mentors'!$A:$F,6,0),"")</f>
        <v>FirstRand Corporate Centre</v>
      </c>
      <c r="E385" s="9" t="str">
        <f>IFERROR(VLOOKUP(A385,'Paste - Mentors'!$A:$E,5,0),"")</f>
        <v>South Africa</v>
      </c>
      <c r="F385" s="9">
        <f>IF(A385="","",COUNTIFS('Paste - Relationships'!$A:$A,A385,'Paste - Relationships'!$AE:$AE,""))</f>
        <v>0</v>
      </c>
      <c r="G385" s="9" t="str">
        <f t="shared" si="5"/>
        <v>Available</v>
      </c>
      <c r="H385" s="9" t="str">
        <f>IF(A385="","",IF(COUNTIF('Programme Mentors'!$A:$A,A385)&gt;0,"Enrolled","—"))</f>
        <v>—</v>
      </c>
    </row>
    <row r="386" spans="1:8" ht="33.75" customHeight="1" x14ac:dyDescent="0.3">
      <c r="A386" s="43">
        <f>'Paste - Mentors'!A386</f>
        <v>4529537</v>
      </c>
      <c r="B386" s="3" t="str">
        <f>IFERROR(VLOOKUP(A386,'Paste - Mentors'!$A:$B,2,0),"")</f>
        <v>Pete Cottrell</v>
      </c>
      <c r="C386" s="3">
        <f>IFERROR(VLOOKUP(A386,'Paste - Mentors'!$A:$D,4,0),"")</f>
        <v>0</v>
      </c>
      <c r="D386" s="43" t="str">
        <f>IFERROR(VLOOKUP(A386,'Paste - Mentors'!$A:$F,6,0),"")</f>
        <v>RMB</v>
      </c>
      <c r="E386" s="43" t="str">
        <f>IFERROR(VLOOKUP(A386,'Paste - Mentors'!$A:$E,5,0),"")</f>
        <v>South Africa</v>
      </c>
      <c r="F386" s="43">
        <f>IF(A386="","",COUNTIFS('Paste - Relationships'!$A:$A,A386,'Paste - Relationships'!$AE:$AE,""))</f>
        <v>0</v>
      </c>
      <c r="G386" s="43" t="str">
        <f t="shared" si="5"/>
        <v>Available</v>
      </c>
      <c r="H386" s="43" t="str">
        <f>IF(A386="","",IF(COUNTIF('Programme Mentors'!$A:$A,A386)&gt;0,"Enrolled","—"))</f>
        <v>—</v>
      </c>
    </row>
    <row r="387" spans="1:8" ht="14.25" customHeight="1" x14ac:dyDescent="0.3">
      <c r="A387" s="9">
        <f>'Paste - Mentors'!A387</f>
        <v>4532031</v>
      </c>
      <c r="B387" s="4" t="str">
        <f>IFERROR(VLOOKUP(A387,'Paste - Mentors'!$A:$B,2,0),"")</f>
        <v>Naomi Sekgobela</v>
      </c>
      <c r="C387" s="4" t="str">
        <f>IFERROR(VLOOKUP(A387,'Paste - Mentors'!$A:$D,4,0),"")</f>
        <v>Career Mentor</v>
      </c>
      <c r="D387" s="9" t="str">
        <f>IFERROR(VLOOKUP(A387,'Paste - Mentors'!$A:$F,6,0),"")</f>
        <v>RMB</v>
      </c>
      <c r="E387" s="9" t="str">
        <f>IFERROR(VLOOKUP(A387,'Paste - Mentors'!$A:$E,5,0),"")</f>
        <v>South Africa</v>
      </c>
      <c r="F387" s="9">
        <f>IF(A387="","",COUNTIFS('Paste - Relationships'!$A:$A,A387,'Paste - Relationships'!$AE:$AE,""))</f>
        <v>4</v>
      </c>
      <c r="G387" s="9" t="str">
        <f t="shared" si="5"/>
        <v>At Capacity</v>
      </c>
      <c r="H387" s="9" t="str">
        <f>IF(A387="","",IF(COUNTIF('Programme Mentors'!$A:$A,A387)&gt;0,"Enrolled","—"))</f>
        <v>—</v>
      </c>
    </row>
    <row r="388" spans="1:8" ht="14.25" customHeight="1" x14ac:dyDescent="0.3">
      <c r="A388" s="43">
        <f>'Paste - Mentors'!A388</f>
        <v>4533151</v>
      </c>
      <c r="B388" s="3" t="str">
        <f>IFERROR(VLOOKUP(A388,'Paste - Mentors'!$A:$B,2,0),"")</f>
        <v>Jean Du Plessis</v>
      </c>
      <c r="C388" s="3" t="str">
        <f>IFERROR(VLOOKUP(A388,'Paste - Mentors'!$A:$D,4,0),"")</f>
        <v>Z2-Programme Mentor (HC Managed)</v>
      </c>
      <c r="D388" s="43" t="str">
        <f>IFERROR(VLOOKUP(A388,'Paste - Mentors'!$A:$F,6,0),"")</f>
        <v>RMB</v>
      </c>
      <c r="E388" s="43" t="str">
        <f>IFERROR(VLOOKUP(A388,'Paste - Mentors'!$A:$E,5,0),"")</f>
        <v>South Africa</v>
      </c>
      <c r="F388" s="43">
        <f>IF(A388="","",COUNTIFS('Paste - Relationships'!$A:$A,A388,'Paste - Relationships'!$AE:$AE,""))</f>
        <v>0</v>
      </c>
      <c r="G388" s="43" t="str">
        <f t="shared" ref="G388:G451" si="6">IF(A388="","",IF(F388&gt;=3,"At Capacity",IF(F388=0,"Available","Has Capacity")))</f>
        <v>Available</v>
      </c>
      <c r="H388" s="43" t="str">
        <f>IF(A388="","",IF(COUNTIF('Programme Mentors'!$A:$A,A388)&gt;0,"Enrolled","—"))</f>
        <v>—</v>
      </c>
    </row>
    <row r="389" spans="1:8" ht="14.25" customHeight="1" x14ac:dyDescent="0.3">
      <c r="A389" s="9">
        <f>'Paste - Mentors'!A389</f>
        <v>4535006</v>
      </c>
      <c r="B389" s="4" t="str">
        <f>IFERROR(VLOOKUP(A389,'Paste - Mentors'!$A:$B,2,0),"")</f>
        <v>Liesha Chanderman</v>
      </c>
      <c r="C389" s="4" t="str">
        <f>IFERROR(VLOOKUP(A389,'Paste - Mentors'!$A:$D,4,0),"")</f>
        <v>Career Mentor
Leadership Mentor
Technical Mentor</v>
      </c>
      <c r="D389" s="9" t="str">
        <f>IFERROR(VLOOKUP(A389,'Paste - Mentors'!$A:$F,6,0),"")</f>
        <v>RMB</v>
      </c>
      <c r="E389" s="9" t="str">
        <f>IFERROR(VLOOKUP(A389,'Paste - Mentors'!$A:$E,5,0),"")</f>
        <v>South Africa</v>
      </c>
      <c r="F389" s="9">
        <f>IF(A389="","",COUNTIFS('Paste - Relationships'!$A:$A,A389,'Paste - Relationships'!$AE:$AE,""))</f>
        <v>0</v>
      </c>
      <c r="G389" s="9" t="str">
        <f t="shared" si="6"/>
        <v>Available</v>
      </c>
      <c r="H389" s="9" t="str">
        <f>IF(A389="","",IF(COUNTIF('Programme Mentors'!$A:$A,A389)&gt;0,"Enrolled","—"))</f>
        <v>—</v>
      </c>
    </row>
    <row r="390" spans="1:8" ht="57" customHeight="1" x14ac:dyDescent="0.3">
      <c r="A390" s="43">
        <f>'Paste - Mentors'!A390</f>
        <v>4535286</v>
      </c>
      <c r="B390" s="3" t="str">
        <f>IFERROR(VLOOKUP(A390,'Paste - Mentors'!$A:$B,2,0),"")</f>
        <v>Athena Botha</v>
      </c>
      <c r="C390" s="3" t="str">
        <f>IFERROR(VLOOKUP(A390,'Paste - Mentors'!$A:$D,4,0),"")</f>
        <v>Career Mentor</v>
      </c>
      <c r="D390" s="43" t="str">
        <f>IFERROR(VLOOKUP(A390,'Paste - Mentors'!$A:$F,6,0),"")</f>
        <v>FNB</v>
      </c>
      <c r="E390" s="43" t="str">
        <f>IFERROR(VLOOKUP(A390,'Paste - Mentors'!$A:$E,5,0),"")</f>
        <v>South Africa</v>
      </c>
      <c r="F390" s="43">
        <f>IF(A390="","",COUNTIFS('Paste - Relationships'!$A:$A,A390,'Paste - Relationships'!$AE:$AE,""))</f>
        <v>4</v>
      </c>
      <c r="G390" s="43" t="str">
        <f t="shared" si="6"/>
        <v>At Capacity</v>
      </c>
      <c r="H390" s="43" t="str">
        <f>IF(A390="","",IF(COUNTIF('Programme Mentors'!$A:$A,A390)&gt;0,"Enrolled","—"))</f>
        <v>—</v>
      </c>
    </row>
    <row r="391" spans="1:8" ht="14.25" customHeight="1" x14ac:dyDescent="0.3">
      <c r="A391" s="9">
        <f>'Paste - Mentors'!A391</f>
        <v>4603737</v>
      </c>
      <c r="B391" s="4" t="str">
        <f>IFERROR(VLOOKUP(A391,'Paste - Mentors'!$A:$B,2,0),"")</f>
        <v>Andrew Hudson</v>
      </c>
      <c r="C391" s="4" t="str">
        <f>IFERROR(VLOOKUP(A391,'Paste - Mentors'!$A:$D,4,0),"")</f>
        <v>Career Mentor</v>
      </c>
      <c r="D391" s="9" t="str">
        <f>IFERROR(VLOOKUP(A391,'Paste - Mentors'!$A:$F,6,0),"")</f>
        <v>FNB</v>
      </c>
      <c r="E391" s="9" t="str">
        <f>IFERROR(VLOOKUP(A391,'Paste - Mentors'!$A:$E,5,0),"")</f>
        <v>South Africa</v>
      </c>
      <c r="F391" s="9">
        <f>IF(A391="","",COUNTIFS('Paste - Relationships'!$A:$A,A391,'Paste - Relationships'!$AE:$AE,""))</f>
        <v>0</v>
      </c>
      <c r="G391" s="9" t="str">
        <f t="shared" si="6"/>
        <v>Available</v>
      </c>
      <c r="H391" s="9" t="str">
        <f>IF(A391="","",IF(COUNTIF('Programme Mentors'!$A:$A,A391)&gt;0,"Enrolled","—"))</f>
        <v>—</v>
      </c>
    </row>
    <row r="392" spans="1:8" ht="14.25" customHeight="1" x14ac:dyDescent="0.3">
      <c r="A392" s="43">
        <f>'Paste - Mentors'!A392</f>
        <v>4604687</v>
      </c>
      <c r="B392" s="3" t="str">
        <f>IFERROR(VLOOKUP(A392,'Paste - Mentors'!$A:$B,2,0),"")</f>
        <v>Sagren Naidoo</v>
      </c>
      <c r="C392" s="3" t="str">
        <f>IFERROR(VLOOKUP(A392,'Paste - Mentors'!$A:$D,4,0),"")</f>
        <v>Career Mentor</v>
      </c>
      <c r="D392" s="43" t="str">
        <f>IFERROR(VLOOKUP(A392,'Paste - Mentors'!$A:$F,6,0),"")</f>
        <v>FNB</v>
      </c>
      <c r="E392" s="43" t="str">
        <f>IFERROR(VLOOKUP(A392,'Paste - Mentors'!$A:$E,5,0),"")</f>
        <v>South Africa</v>
      </c>
      <c r="F392" s="43">
        <f>IF(A392="","",COUNTIFS('Paste - Relationships'!$A:$A,A392,'Paste - Relationships'!$AE:$AE,""))</f>
        <v>0</v>
      </c>
      <c r="G392" s="43" t="str">
        <f t="shared" si="6"/>
        <v>Available</v>
      </c>
      <c r="H392" s="43" t="str">
        <f>IF(A392="","",IF(COUNTIF('Programme Mentors'!$A:$A,A392)&gt;0,"Enrolled","—"))</f>
        <v>—</v>
      </c>
    </row>
    <row r="393" spans="1:8" ht="14.25" customHeight="1" x14ac:dyDescent="0.3">
      <c r="A393" s="9">
        <f>'Paste - Mentors'!A393</f>
        <v>4604873</v>
      </c>
      <c r="B393" s="4" t="str">
        <f>IFERROR(VLOOKUP(A393,'Paste - Mentors'!$A:$B,2,0),"")</f>
        <v>Radiyya Chotia Reddy</v>
      </c>
      <c r="C393" s="4" t="str">
        <f>IFERROR(VLOOKUP(A393,'Paste - Mentors'!$A:$D,4,0),"")</f>
        <v>Career Mentor</v>
      </c>
      <c r="D393" s="9" t="str">
        <f>IFERROR(VLOOKUP(A393,'Paste - Mentors'!$A:$F,6,0),"")</f>
        <v>FNB</v>
      </c>
      <c r="E393" s="9" t="str">
        <f>IFERROR(VLOOKUP(A393,'Paste - Mentors'!$A:$E,5,0),"")</f>
        <v>South Africa</v>
      </c>
      <c r="F393" s="9">
        <f>IF(A393="","",COUNTIFS('Paste - Relationships'!$A:$A,A393,'Paste - Relationships'!$AE:$AE,""))</f>
        <v>0</v>
      </c>
      <c r="G393" s="9" t="str">
        <f t="shared" si="6"/>
        <v>Available</v>
      </c>
      <c r="H393" s="9" t="str">
        <f>IF(A393="","",IF(COUNTIF('Programme Mentors'!$A:$A,A393)&gt;0,"Enrolled","—"))</f>
        <v>—</v>
      </c>
    </row>
    <row r="394" spans="1:8" ht="14.25" customHeight="1" x14ac:dyDescent="0.3">
      <c r="A394" s="43">
        <f>'Paste - Mentors'!A394</f>
        <v>4607627</v>
      </c>
      <c r="B394" s="3" t="str">
        <f>IFERROR(VLOOKUP(A394,'Paste - Mentors'!$A:$B,2,0),"")</f>
        <v>Malini Mudaly</v>
      </c>
      <c r="C394" s="3" t="str">
        <f>IFERROR(VLOOKUP(A394,'Paste - Mentors'!$A:$D,4,0),"")</f>
        <v>Career Mentor</v>
      </c>
      <c r="D394" s="43" t="str">
        <f>IFERROR(VLOOKUP(A394,'Paste - Mentors'!$A:$F,6,0),"")</f>
        <v>FNB</v>
      </c>
      <c r="E394" s="43" t="str">
        <f>IFERROR(VLOOKUP(A394,'Paste - Mentors'!$A:$E,5,0),"")</f>
        <v>South Africa</v>
      </c>
      <c r="F394" s="43">
        <f>IF(A394="","",COUNTIFS('Paste - Relationships'!$A:$A,A394,'Paste - Relationships'!$AE:$AE,""))</f>
        <v>1</v>
      </c>
      <c r="G394" s="43" t="str">
        <f t="shared" si="6"/>
        <v>Has Capacity</v>
      </c>
      <c r="H394" s="43" t="str">
        <f>IF(A394="","",IF(COUNTIF('Programme Mentors'!$A:$A,A394)&gt;0,"Enrolled","—"))</f>
        <v>—</v>
      </c>
    </row>
    <row r="395" spans="1:8" ht="14.25" customHeight="1" x14ac:dyDescent="0.3">
      <c r="A395" s="9">
        <f>'Paste - Mentors'!A395</f>
        <v>4610016</v>
      </c>
      <c r="B395" s="4" t="str">
        <f>IFERROR(VLOOKUP(A395,'Paste - Mentors'!$A:$B,2,0),"")</f>
        <v>Gareth Kin</v>
      </c>
      <c r="C395" s="4" t="str">
        <f>IFERROR(VLOOKUP(A395,'Paste - Mentors'!$A:$D,4,0),"")</f>
        <v>Career Mentor</v>
      </c>
      <c r="D395" s="9" t="str">
        <f>IFERROR(VLOOKUP(A395,'Paste - Mentors'!$A:$F,6,0),"")</f>
        <v>FNB</v>
      </c>
      <c r="E395" s="9" t="str">
        <f>IFERROR(VLOOKUP(A395,'Paste - Mentors'!$A:$E,5,0),"")</f>
        <v>South Africa</v>
      </c>
      <c r="F395" s="9">
        <f>IF(A395="","",COUNTIFS('Paste - Relationships'!$A:$A,A395,'Paste - Relationships'!$AE:$AE,""))</f>
        <v>0</v>
      </c>
      <c r="G395" s="9" t="str">
        <f t="shared" si="6"/>
        <v>Available</v>
      </c>
      <c r="H395" s="9" t="str">
        <f>IF(A395="","",IF(COUNTIF('Programme Mentors'!$A:$A,A395)&gt;0,"Enrolled","—"))</f>
        <v>—</v>
      </c>
    </row>
    <row r="396" spans="1:8" ht="14.25" customHeight="1" x14ac:dyDescent="0.3">
      <c r="A396" s="43">
        <f>'Paste - Mentors'!A396</f>
        <v>4612418</v>
      </c>
      <c r="B396" s="3" t="str">
        <f>IFERROR(VLOOKUP(A396,'Paste - Mentors'!$A:$B,2,0),"")</f>
        <v>Ric Smithwick</v>
      </c>
      <c r="C396" s="3" t="str">
        <f>IFERROR(VLOOKUP(A396,'Paste - Mentors'!$A:$D,4,0),"")</f>
        <v>Career Mentor</v>
      </c>
      <c r="D396" s="43" t="str">
        <f>IFERROR(VLOOKUP(A396,'Paste - Mentors'!$A:$F,6,0),"")</f>
        <v>FNB</v>
      </c>
      <c r="E396" s="43" t="str">
        <f>IFERROR(VLOOKUP(A396,'Paste - Mentors'!$A:$E,5,0),"")</f>
        <v>South Africa</v>
      </c>
      <c r="F396" s="43">
        <f>IF(A396="","",COUNTIFS('Paste - Relationships'!$A:$A,A396,'Paste - Relationships'!$AE:$AE,""))</f>
        <v>0</v>
      </c>
      <c r="G396" s="43" t="str">
        <f t="shared" si="6"/>
        <v>Available</v>
      </c>
      <c r="H396" s="43" t="str">
        <f>IF(A396="","",IF(COUNTIF('Programme Mentors'!$A:$A,A396)&gt;0,"Enrolled","—"))</f>
        <v>—</v>
      </c>
    </row>
    <row r="397" spans="1:8" ht="14.25" customHeight="1" x14ac:dyDescent="0.3">
      <c r="A397" s="9">
        <f>'Paste - Mentors'!A397</f>
        <v>4612590</v>
      </c>
      <c r="B397" s="4" t="str">
        <f>IFERROR(VLOOKUP(A397,'Paste - Mentors'!$A:$B,2,0),"")</f>
        <v>Themba Mabizela</v>
      </c>
      <c r="C397" s="4" t="str">
        <f>IFERROR(VLOOKUP(A397,'Paste - Mentors'!$A:$D,4,0),"")</f>
        <v>Career Mentor
Technical Mentor</v>
      </c>
      <c r="D397" s="9" t="str">
        <f>IFERROR(VLOOKUP(A397,'Paste - Mentors'!$A:$F,6,0),"")</f>
        <v>FNB</v>
      </c>
      <c r="E397" s="9" t="str">
        <f>IFERROR(VLOOKUP(A397,'Paste - Mentors'!$A:$E,5,0),"")</f>
        <v>South Africa</v>
      </c>
      <c r="F397" s="9">
        <f>IF(A397="","",COUNTIFS('Paste - Relationships'!$A:$A,A397,'Paste - Relationships'!$AE:$AE,""))</f>
        <v>1</v>
      </c>
      <c r="G397" s="9" t="str">
        <f t="shared" si="6"/>
        <v>Has Capacity</v>
      </c>
      <c r="H397" s="9" t="str">
        <f>IF(A397="","",IF(COUNTIF('Programme Mentors'!$A:$A,A397)&gt;0,"Enrolled","—"))</f>
        <v>—</v>
      </c>
    </row>
    <row r="398" spans="1:8" ht="33.75" customHeight="1" x14ac:dyDescent="0.3">
      <c r="A398" s="43">
        <f>'Paste - Mentors'!A398</f>
        <v>4612744</v>
      </c>
      <c r="B398" s="3" t="str">
        <f>IFERROR(VLOOKUP(A398,'Paste - Mentors'!$A:$B,2,0),"")</f>
        <v>Naeem Motala</v>
      </c>
      <c r="C398" s="3" t="str">
        <f>IFERROR(VLOOKUP(A398,'Paste - Mentors'!$A:$D,4,0),"")</f>
        <v>Career Mentor</v>
      </c>
      <c r="D398" s="43" t="str">
        <f>IFERROR(VLOOKUP(A398,'Paste - Mentors'!$A:$F,6,0),"")</f>
        <v>FNB</v>
      </c>
      <c r="E398" s="43" t="str">
        <f>IFERROR(VLOOKUP(A398,'Paste - Mentors'!$A:$E,5,0),"")</f>
        <v>South Africa</v>
      </c>
      <c r="F398" s="43">
        <f>IF(A398="","",COUNTIFS('Paste - Relationships'!$A:$A,A398,'Paste - Relationships'!$AE:$AE,""))</f>
        <v>0</v>
      </c>
      <c r="G398" s="43" t="str">
        <f t="shared" si="6"/>
        <v>Available</v>
      </c>
      <c r="H398" s="43" t="str">
        <f>IF(A398="","",IF(COUNTIF('Programme Mentors'!$A:$A,A398)&gt;0,"Enrolled","—"))</f>
        <v>—</v>
      </c>
    </row>
    <row r="399" spans="1:8" ht="14.25" customHeight="1" x14ac:dyDescent="0.3">
      <c r="A399" s="9">
        <f>'Paste - Mentors'!A399</f>
        <v>4613430</v>
      </c>
      <c r="B399" s="4" t="str">
        <f>IFERROR(VLOOKUP(A399,'Paste - Mentors'!$A:$B,2,0),"")</f>
        <v>Shetal Bhoola</v>
      </c>
      <c r="C399" s="4" t="str">
        <f>IFERROR(VLOOKUP(A399,'Paste - Mentors'!$A:$D,4,0),"")</f>
        <v>Career Mentor
Leadership Mentor</v>
      </c>
      <c r="D399" s="9" t="str">
        <f>IFERROR(VLOOKUP(A399,'Paste - Mentors'!$A:$F,6,0),"")</f>
        <v>FNB</v>
      </c>
      <c r="E399" s="9" t="str">
        <f>IFERROR(VLOOKUP(A399,'Paste - Mentors'!$A:$E,5,0),"")</f>
        <v>South Africa</v>
      </c>
      <c r="F399" s="9">
        <f>IF(A399="","",COUNTIFS('Paste - Relationships'!$A:$A,A399,'Paste - Relationships'!$AE:$AE,""))</f>
        <v>0</v>
      </c>
      <c r="G399" s="9" t="str">
        <f t="shared" si="6"/>
        <v>Available</v>
      </c>
      <c r="H399" s="9" t="str">
        <f>IF(A399="","",IF(COUNTIF('Programme Mentors'!$A:$A,A399)&gt;0,"Enrolled","—"))</f>
        <v>—</v>
      </c>
    </row>
    <row r="400" spans="1:8" ht="33.75" customHeight="1" x14ac:dyDescent="0.3">
      <c r="A400" s="43">
        <f>'Paste - Mentors'!A400</f>
        <v>4615956</v>
      </c>
      <c r="B400" s="3" t="str">
        <f>IFERROR(VLOOKUP(A400,'Paste - Mentors'!$A:$B,2,0),"")</f>
        <v>Kreneshen Moodley</v>
      </c>
      <c r="C400" s="3" t="str">
        <f>IFERROR(VLOOKUP(A400,'Paste - Mentors'!$A:$D,4,0),"")</f>
        <v>Career Mentor</v>
      </c>
      <c r="D400" s="43" t="str">
        <f>IFERROR(VLOOKUP(A400,'Paste - Mentors'!$A:$F,6,0),"")</f>
        <v>FNB</v>
      </c>
      <c r="E400" s="43" t="str">
        <f>IFERROR(VLOOKUP(A400,'Paste - Mentors'!$A:$E,5,0),"")</f>
        <v>South Africa</v>
      </c>
      <c r="F400" s="43">
        <f>IF(A400="","",COUNTIFS('Paste - Relationships'!$A:$A,A400,'Paste - Relationships'!$AE:$AE,""))</f>
        <v>1</v>
      </c>
      <c r="G400" s="43" t="str">
        <f t="shared" si="6"/>
        <v>Has Capacity</v>
      </c>
      <c r="H400" s="43" t="str">
        <f>IF(A400="","",IF(COUNTIF('Programme Mentors'!$A:$A,A400)&gt;0,"Enrolled","—"))</f>
        <v>—</v>
      </c>
    </row>
    <row r="401" spans="1:8" ht="14.25" customHeight="1" x14ac:dyDescent="0.3">
      <c r="A401" s="9">
        <f>'Paste - Mentors'!A401</f>
        <v>4617215</v>
      </c>
      <c r="B401" s="4" t="str">
        <f>IFERROR(VLOOKUP(A401,'Paste - Mentors'!$A:$B,2,0),"")</f>
        <v>Richard Levesque</v>
      </c>
      <c r="C401" s="4" t="str">
        <f>IFERROR(VLOOKUP(A401,'Paste - Mentors'!$A:$D,4,0),"")</f>
        <v>Career Mentor</v>
      </c>
      <c r="D401" s="9" t="str">
        <f>IFERROR(VLOOKUP(A401,'Paste - Mentors'!$A:$F,6,0),"")</f>
        <v>FNB</v>
      </c>
      <c r="E401" s="9" t="str">
        <f>IFERROR(VLOOKUP(A401,'Paste - Mentors'!$A:$E,5,0),"")</f>
        <v>South Africa</v>
      </c>
      <c r="F401" s="9">
        <f>IF(A401="","",COUNTIFS('Paste - Relationships'!$A:$A,A401,'Paste - Relationships'!$AE:$AE,""))</f>
        <v>1</v>
      </c>
      <c r="G401" s="9" t="str">
        <f t="shared" si="6"/>
        <v>Has Capacity</v>
      </c>
      <c r="H401" s="9" t="str">
        <f>IF(A401="","",IF(COUNTIF('Programme Mentors'!$A:$A,A401)&gt;0,"Enrolled","—"))</f>
        <v>—</v>
      </c>
    </row>
    <row r="402" spans="1:8" ht="14.25" customHeight="1" x14ac:dyDescent="0.3">
      <c r="A402" s="43">
        <f>'Paste - Mentors'!A402</f>
        <v>4617444</v>
      </c>
      <c r="B402" s="3" t="str">
        <f>IFERROR(VLOOKUP(A402,'Paste - Mentors'!$A:$B,2,0),"")</f>
        <v>Riana Prins</v>
      </c>
      <c r="C402" s="3" t="str">
        <f>IFERROR(VLOOKUP(A402,'Paste - Mentors'!$A:$D,4,0),"")</f>
        <v>Career Mentor</v>
      </c>
      <c r="D402" s="43" t="str">
        <f>IFERROR(VLOOKUP(A402,'Paste - Mentors'!$A:$F,6,0),"")</f>
        <v>FNB</v>
      </c>
      <c r="E402" s="43" t="str">
        <f>IFERROR(VLOOKUP(A402,'Paste - Mentors'!$A:$E,5,0),"")</f>
        <v>South Africa</v>
      </c>
      <c r="F402" s="43">
        <f>IF(A402="","",COUNTIFS('Paste - Relationships'!$A:$A,A402,'Paste - Relationships'!$AE:$AE,""))</f>
        <v>0</v>
      </c>
      <c r="G402" s="43" t="str">
        <f t="shared" si="6"/>
        <v>Available</v>
      </c>
      <c r="H402" s="43" t="str">
        <f>IF(A402="","",IF(COUNTIF('Programme Mentors'!$A:$A,A402)&gt;0,"Enrolled","—"))</f>
        <v>—</v>
      </c>
    </row>
    <row r="403" spans="1:8" ht="14.25" customHeight="1" x14ac:dyDescent="0.3">
      <c r="A403" s="9">
        <f>'Paste - Mentors'!A403</f>
        <v>4619803</v>
      </c>
      <c r="B403" s="4" t="str">
        <f>IFERROR(VLOOKUP(A403,'Paste - Mentors'!$A:$B,2,0),"")</f>
        <v>Renel Francis</v>
      </c>
      <c r="C403" s="4" t="str">
        <f>IFERROR(VLOOKUP(A403,'Paste - Mentors'!$A:$D,4,0),"")</f>
        <v>Career Mentor</v>
      </c>
      <c r="D403" s="9" t="str">
        <f>IFERROR(VLOOKUP(A403,'Paste - Mentors'!$A:$F,6,0),"")</f>
        <v>FNB</v>
      </c>
      <c r="E403" s="9" t="str">
        <f>IFERROR(VLOOKUP(A403,'Paste - Mentors'!$A:$E,5,0),"")</f>
        <v>South Africa</v>
      </c>
      <c r="F403" s="9">
        <f>IF(A403="","",COUNTIFS('Paste - Relationships'!$A:$A,A403,'Paste - Relationships'!$AE:$AE,""))</f>
        <v>0</v>
      </c>
      <c r="G403" s="9" t="str">
        <f t="shared" si="6"/>
        <v>Available</v>
      </c>
      <c r="H403" s="9" t="str">
        <f>IF(A403="","",IF(COUNTIF('Programme Mentors'!$A:$A,A403)&gt;0,"Enrolled","—"))</f>
        <v>—</v>
      </c>
    </row>
    <row r="404" spans="1:8" ht="14.25" customHeight="1" x14ac:dyDescent="0.3">
      <c r="A404" s="43">
        <f>'Paste - Mentors'!A404</f>
        <v>4622294</v>
      </c>
      <c r="B404" s="3" t="str">
        <f>IFERROR(VLOOKUP(A404,'Paste - Mentors'!$A:$B,2,0),"")</f>
        <v>Sulien Naidoo</v>
      </c>
      <c r="C404" s="3" t="str">
        <f>IFERROR(VLOOKUP(A404,'Paste - Mentors'!$A:$D,4,0),"")</f>
        <v>Career Mentor</v>
      </c>
      <c r="D404" s="43" t="str">
        <f>IFERROR(VLOOKUP(A404,'Paste - Mentors'!$A:$F,6,0),"")</f>
        <v>FNB</v>
      </c>
      <c r="E404" s="43" t="str">
        <f>IFERROR(VLOOKUP(A404,'Paste - Mentors'!$A:$E,5,0),"")</f>
        <v>South Africa</v>
      </c>
      <c r="F404" s="43">
        <f>IF(A404="","",COUNTIFS('Paste - Relationships'!$A:$A,A404,'Paste - Relationships'!$AE:$AE,""))</f>
        <v>0</v>
      </c>
      <c r="G404" s="43" t="str">
        <f t="shared" si="6"/>
        <v>Available</v>
      </c>
      <c r="H404" s="43" t="str">
        <f>IF(A404="","",IF(COUNTIF('Programme Mentors'!$A:$A,A404)&gt;0,"Enrolled","—"))</f>
        <v>—</v>
      </c>
    </row>
    <row r="405" spans="1:8" ht="14.25" customHeight="1" x14ac:dyDescent="0.3">
      <c r="A405" s="9">
        <f>'Paste - Mentors'!A405</f>
        <v>4623231</v>
      </c>
      <c r="B405" s="4" t="str">
        <f>IFERROR(VLOOKUP(A405,'Paste - Mentors'!$A:$B,2,0),"")</f>
        <v>Cheryl Odayar</v>
      </c>
      <c r="C405" s="4">
        <f>IFERROR(VLOOKUP(A405,'Paste - Mentors'!$A:$D,4,0),"")</f>
        <v>0</v>
      </c>
      <c r="D405" s="9" t="str">
        <f>IFERROR(VLOOKUP(A405,'Paste - Mentors'!$A:$F,6,0),"")</f>
        <v>FNB</v>
      </c>
      <c r="E405" s="9" t="str">
        <f>IFERROR(VLOOKUP(A405,'Paste - Mentors'!$A:$E,5,0),"")</f>
        <v>South Africa</v>
      </c>
      <c r="F405" s="9">
        <f>IF(A405="","",COUNTIFS('Paste - Relationships'!$A:$A,A405,'Paste - Relationships'!$AE:$AE,""))</f>
        <v>0</v>
      </c>
      <c r="G405" s="9" t="str">
        <f t="shared" si="6"/>
        <v>Available</v>
      </c>
      <c r="H405" s="9" t="str">
        <f>IF(A405="","",IF(COUNTIF('Programme Mentors'!$A:$A,A405)&gt;0,"Enrolled","—"))</f>
        <v>—</v>
      </c>
    </row>
    <row r="406" spans="1:8" ht="14.25" customHeight="1" x14ac:dyDescent="0.3">
      <c r="A406" s="43">
        <f>'Paste - Mentors'!A406</f>
        <v>4626591</v>
      </c>
      <c r="B406" s="3" t="str">
        <f>IFERROR(VLOOKUP(A406,'Paste - Mentors'!$A:$B,2,0),"")</f>
        <v>Bongi Dlamini</v>
      </c>
      <c r="C406" s="3" t="str">
        <f>IFERROR(VLOOKUP(A406,'Paste - Mentors'!$A:$D,4,0),"")</f>
        <v>Career Mentor</v>
      </c>
      <c r="D406" s="43" t="str">
        <f>IFERROR(VLOOKUP(A406,'Paste - Mentors'!$A:$F,6,0),"")</f>
        <v>FNB</v>
      </c>
      <c r="E406" s="43" t="str">
        <f>IFERROR(VLOOKUP(A406,'Paste - Mentors'!$A:$E,5,0),"")</f>
        <v>South Africa</v>
      </c>
      <c r="F406" s="43">
        <f>IF(A406="","",COUNTIFS('Paste - Relationships'!$A:$A,A406,'Paste - Relationships'!$AE:$AE,""))</f>
        <v>0</v>
      </c>
      <c r="G406" s="43" t="str">
        <f t="shared" si="6"/>
        <v>Available</v>
      </c>
      <c r="H406" s="43" t="str">
        <f>IF(A406="","",IF(COUNTIF('Programme Mentors'!$A:$A,A406)&gt;0,"Enrolled","—"))</f>
        <v>—</v>
      </c>
    </row>
    <row r="407" spans="1:8" ht="14.25" customHeight="1" x14ac:dyDescent="0.3">
      <c r="A407" s="9">
        <f>'Paste - Mentors'!A407</f>
        <v>4626990</v>
      </c>
      <c r="B407" s="4" t="str">
        <f>IFERROR(VLOOKUP(A407,'Paste - Mentors'!$A:$B,2,0),"")</f>
        <v>Thyhappiness Kosa</v>
      </c>
      <c r="C407" s="4" t="str">
        <f>IFERROR(VLOOKUP(A407,'Paste - Mentors'!$A:$D,4,0),"")</f>
        <v>Career Mentor
Transition Mentor</v>
      </c>
      <c r="D407" s="9" t="str">
        <f>IFERROR(VLOOKUP(A407,'Paste - Mentors'!$A:$F,6,0),"")</f>
        <v>FNB</v>
      </c>
      <c r="E407" s="9" t="str">
        <f>IFERROR(VLOOKUP(A407,'Paste - Mentors'!$A:$E,5,0),"")</f>
        <v>South Africa</v>
      </c>
      <c r="F407" s="9">
        <f>IF(A407="","",COUNTIFS('Paste - Relationships'!$A:$A,A407,'Paste - Relationships'!$AE:$AE,""))</f>
        <v>0</v>
      </c>
      <c r="G407" s="9" t="str">
        <f t="shared" si="6"/>
        <v>Available</v>
      </c>
      <c r="H407" s="9" t="str">
        <f>IF(A407="","",IF(COUNTIF('Programme Mentors'!$A:$A,A407)&gt;0,"Enrolled","—"))</f>
        <v>—</v>
      </c>
    </row>
    <row r="408" spans="1:8" ht="33.75" customHeight="1" x14ac:dyDescent="0.3">
      <c r="A408" s="43">
        <f>'Paste - Mentors'!A408</f>
        <v>4630211</v>
      </c>
      <c r="B408" s="3" t="str">
        <f>IFERROR(VLOOKUP(A408,'Paste - Mentors'!$A:$B,2,0),"")</f>
        <v>Lamla Gege</v>
      </c>
      <c r="C408" s="3" t="str">
        <f>IFERROR(VLOOKUP(A408,'Paste - Mentors'!$A:$D,4,0),"")</f>
        <v>Career Mentor</v>
      </c>
      <c r="D408" s="43" t="str">
        <f>IFERROR(VLOOKUP(A408,'Paste - Mentors'!$A:$F,6,0),"")</f>
        <v>FNB</v>
      </c>
      <c r="E408" s="43" t="str">
        <f>IFERROR(VLOOKUP(A408,'Paste - Mentors'!$A:$E,5,0),"")</f>
        <v>South Africa</v>
      </c>
      <c r="F408" s="43">
        <f>IF(A408="","",COUNTIFS('Paste - Relationships'!$A:$A,A408,'Paste - Relationships'!$AE:$AE,""))</f>
        <v>0</v>
      </c>
      <c r="G408" s="43" t="str">
        <f t="shared" si="6"/>
        <v>Available</v>
      </c>
      <c r="H408" s="43" t="str">
        <f>IF(A408="","",IF(COUNTIF('Programme Mentors'!$A:$A,A408)&gt;0,"Enrolled","—"))</f>
        <v>—</v>
      </c>
    </row>
    <row r="409" spans="1:8" ht="14.25" customHeight="1" x14ac:dyDescent="0.3">
      <c r="A409" s="9">
        <f>'Paste - Mentors'!A409</f>
        <v>4631188</v>
      </c>
      <c r="B409" s="4" t="str">
        <f>IFERROR(VLOOKUP(A409,'Paste - Mentors'!$A:$B,2,0),"")</f>
        <v>Tandekile Bantubevana</v>
      </c>
      <c r="C409" s="4" t="str">
        <f>IFERROR(VLOOKUP(A409,'Paste - Mentors'!$A:$D,4,0),"")</f>
        <v>Career Mentor</v>
      </c>
      <c r="D409" s="9" t="str">
        <f>IFERROR(VLOOKUP(A409,'Paste - Mentors'!$A:$F,6,0),"")</f>
        <v>FNB</v>
      </c>
      <c r="E409" s="9" t="str">
        <f>IFERROR(VLOOKUP(A409,'Paste - Mentors'!$A:$E,5,0),"")</f>
        <v>South Africa</v>
      </c>
      <c r="F409" s="9">
        <f>IF(A409="","",COUNTIFS('Paste - Relationships'!$A:$A,A409,'Paste - Relationships'!$AE:$AE,""))</f>
        <v>0</v>
      </c>
      <c r="G409" s="9" t="str">
        <f t="shared" si="6"/>
        <v>Available</v>
      </c>
      <c r="H409" s="9" t="str">
        <f>IF(A409="","",IF(COUNTIF('Programme Mentors'!$A:$A,A409)&gt;0,"Enrolled","—"))</f>
        <v>—</v>
      </c>
    </row>
    <row r="410" spans="1:8" ht="14.25" customHeight="1" x14ac:dyDescent="0.3">
      <c r="A410" s="43">
        <f>'Paste - Mentors'!A410</f>
        <v>4632303</v>
      </c>
      <c r="B410" s="3" t="str">
        <f>IFERROR(VLOOKUP(A410,'Paste - Mentors'!$A:$B,2,0),"")</f>
        <v>J.R. Hume</v>
      </c>
      <c r="C410" s="3" t="str">
        <f>IFERROR(VLOOKUP(A410,'Paste - Mentors'!$A:$D,4,0),"")</f>
        <v>Z2-Programme Mentor (HC Managed)</v>
      </c>
      <c r="D410" s="43" t="str">
        <f>IFERROR(VLOOKUP(A410,'Paste - Mentors'!$A:$F,6,0),"")</f>
        <v>RMB</v>
      </c>
      <c r="E410" s="43" t="str">
        <f>IFERROR(VLOOKUP(A410,'Paste - Mentors'!$A:$E,5,0),"")</f>
        <v>South Africa</v>
      </c>
      <c r="F410" s="43">
        <f>IF(A410="","",COUNTIFS('Paste - Relationships'!$A:$A,A410,'Paste - Relationships'!$AE:$AE,""))</f>
        <v>0</v>
      </c>
      <c r="G410" s="43" t="str">
        <f t="shared" si="6"/>
        <v>Available</v>
      </c>
      <c r="H410" s="43" t="str">
        <f>IF(A410="","",IF(COUNTIF('Programme Mentors'!$A:$A,A410)&gt;0,"Enrolled","—"))</f>
        <v>—</v>
      </c>
    </row>
    <row r="411" spans="1:8" ht="14.25" customHeight="1" x14ac:dyDescent="0.3">
      <c r="A411" s="9">
        <f>'Paste - Mentors'!A411</f>
        <v>4642988</v>
      </c>
      <c r="B411" s="4" t="str">
        <f>IFERROR(VLOOKUP(A411,'Paste - Mentors'!$A:$B,2,0),"")</f>
        <v>Siphokazi Foli</v>
      </c>
      <c r="C411" s="4" t="str">
        <f>IFERROR(VLOOKUP(A411,'Paste - Mentors'!$A:$D,4,0),"")</f>
        <v>Career Mentor</v>
      </c>
      <c r="D411" s="9" t="str">
        <f>IFERROR(VLOOKUP(A411,'Paste - Mentors'!$A:$F,6,0),"")</f>
        <v>FNB</v>
      </c>
      <c r="E411" s="9" t="str">
        <f>IFERROR(VLOOKUP(A411,'Paste - Mentors'!$A:$E,5,0),"")</f>
        <v>South Africa</v>
      </c>
      <c r="F411" s="9">
        <f>IF(A411="","",COUNTIFS('Paste - Relationships'!$A:$A,A411,'Paste - Relationships'!$AE:$AE,""))</f>
        <v>0</v>
      </c>
      <c r="G411" s="9" t="str">
        <f t="shared" si="6"/>
        <v>Available</v>
      </c>
      <c r="H411" s="9" t="str">
        <f>IF(A411="","",IF(COUNTIF('Programme Mentors'!$A:$A,A411)&gt;0,"Enrolled","—"))</f>
        <v>—</v>
      </c>
    </row>
    <row r="412" spans="1:8" ht="14.25" customHeight="1" x14ac:dyDescent="0.3">
      <c r="A412" s="43">
        <f>'Paste - Mentors'!A412</f>
        <v>4643321</v>
      </c>
      <c r="B412" s="3" t="str">
        <f>IFERROR(VLOOKUP(A412,'Paste - Mentors'!$A:$B,2,0),"")</f>
        <v>Kevin Hu</v>
      </c>
      <c r="C412" s="3" t="str">
        <f>IFERROR(VLOOKUP(A412,'Paste - Mentors'!$A:$D,4,0),"")</f>
        <v>Career Mentor
Technical Mentor
Z2-Programme Mentor (HC Managed)</v>
      </c>
      <c r="D412" s="43" t="str">
        <f>IFERROR(VLOOKUP(A412,'Paste - Mentors'!$A:$F,6,0),"")</f>
        <v>FirstRand Corporate Centre</v>
      </c>
      <c r="E412" s="43" t="str">
        <f>IFERROR(VLOOKUP(A412,'Paste - Mentors'!$A:$E,5,0),"")</f>
        <v>South Africa</v>
      </c>
      <c r="F412" s="43">
        <f>IF(A412="","",COUNTIFS('Paste - Relationships'!$A:$A,A412,'Paste - Relationships'!$AE:$AE,""))</f>
        <v>0</v>
      </c>
      <c r="G412" s="43" t="str">
        <f t="shared" si="6"/>
        <v>Available</v>
      </c>
      <c r="H412" s="43" t="str">
        <f>IF(A412="","",IF(COUNTIF('Programme Mentors'!$A:$A,A412)&gt;0,"Enrolled","—"))</f>
        <v>—</v>
      </c>
    </row>
    <row r="413" spans="1:8" ht="57" customHeight="1" x14ac:dyDescent="0.3">
      <c r="A413" s="9">
        <f>'Paste - Mentors'!A413</f>
        <v>4645421</v>
      </c>
      <c r="B413" s="4" t="str">
        <f>IFERROR(VLOOKUP(A413,'Paste - Mentors'!$A:$B,2,0),"")</f>
        <v>Thulani Dube</v>
      </c>
      <c r="C413" s="4" t="str">
        <f>IFERROR(VLOOKUP(A413,'Paste - Mentors'!$A:$D,4,0),"")</f>
        <v>Career Mentor</v>
      </c>
      <c r="D413" s="9" t="str">
        <f>IFERROR(VLOOKUP(A413,'Paste - Mentors'!$A:$F,6,0),"")</f>
        <v>FNB</v>
      </c>
      <c r="E413" s="9" t="str">
        <f>IFERROR(VLOOKUP(A413,'Paste - Mentors'!$A:$E,5,0),"")</f>
        <v>South Africa</v>
      </c>
      <c r="F413" s="9">
        <f>IF(A413="","",COUNTIFS('Paste - Relationships'!$A:$A,A413,'Paste - Relationships'!$AE:$AE,""))</f>
        <v>0</v>
      </c>
      <c r="G413" s="9" t="str">
        <f t="shared" si="6"/>
        <v>Available</v>
      </c>
      <c r="H413" s="9" t="str">
        <f>IF(A413="","",IF(COUNTIF('Programme Mentors'!$A:$A,A413)&gt;0,"Enrolled","—"))</f>
        <v>—</v>
      </c>
    </row>
    <row r="414" spans="1:8" ht="14.25" customHeight="1" x14ac:dyDescent="0.3">
      <c r="A414" s="43">
        <f>'Paste - Mentors'!A414</f>
        <v>4649567</v>
      </c>
      <c r="B414" s="3" t="str">
        <f>IFERROR(VLOOKUP(A414,'Paste - Mentors'!$A:$B,2,0),"")</f>
        <v>Sibongile Ngomani</v>
      </c>
      <c r="C414" s="3" t="str">
        <f>IFERROR(VLOOKUP(A414,'Paste - Mentors'!$A:$D,4,0),"")</f>
        <v>Career Mentor</v>
      </c>
      <c r="D414" s="43" t="str">
        <f>IFERROR(VLOOKUP(A414,'Paste - Mentors'!$A:$F,6,0),"")</f>
        <v>FNB</v>
      </c>
      <c r="E414" s="43" t="str">
        <f>IFERROR(VLOOKUP(A414,'Paste - Mentors'!$A:$E,5,0),"")</f>
        <v>South Africa</v>
      </c>
      <c r="F414" s="43">
        <f>IF(A414="","",COUNTIFS('Paste - Relationships'!$A:$A,A414,'Paste - Relationships'!$AE:$AE,""))</f>
        <v>0</v>
      </c>
      <c r="G414" s="43" t="str">
        <f t="shared" si="6"/>
        <v>Available</v>
      </c>
      <c r="H414" s="43" t="str">
        <f>IF(A414="","",IF(COUNTIF('Programme Mentors'!$A:$A,A414)&gt;0,"Enrolled","—"))</f>
        <v>—</v>
      </c>
    </row>
    <row r="415" spans="1:8" ht="14.25" customHeight="1" x14ac:dyDescent="0.3">
      <c r="A415" s="9">
        <f>'Paste - Mentors'!A415</f>
        <v>4651308</v>
      </c>
      <c r="B415" s="4" t="str">
        <f>IFERROR(VLOOKUP(A415,'Paste - Mentors'!$A:$B,2,0),"")</f>
        <v>Serisha Naicker</v>
      </c>
      <c r="C415" s="4" t="str">
        <f>IFERROR(VLOOKUP(A415,'Paste - Mentors'!$A:$D,4,0),"")</f>
        <v>Career Mentor</v>
      </c>
      <c r="D415" s="9" t="str">
        <f>IFERROR(VLOOKUP(A415,'Paste - Mentors'!$A:$F,6,0),"")</f>
        <v>FNB</v>
      </c>
      <c r="E415" s="9" t="str">
        <f>IFERROR(VLOOKUP(A415,'Paste - Mentors'!$A:$E,5,0),"")</f>
        <v>South Africa</v>
      </c>
      <c r="F415" s="9">
        <f>IF(A415="","",COUNTIFS('Paste - Relationships'!$A:$A,A415,'Paste - Relationships'!$AE:$AE,""))</f>
        <v>0</v>
      </c>
      <c r="G415" s="9" t="str">
        <f t="shared" si="6"/>
        <v>Available</v>
      </c>
      <c r="H415" s="9" t="str">
        <f>IF(A415="","",IF(COUNTIF('Programme Mentors'!$A:$A,A415)&gt;0,"Enrolled","—"))</f>
        <v>—</v>
      </c>
    </row>
    <row r="416" spans="1:8" ht="14.25" customHeight="1" x14ac:dyDescent="0.3">
      <c r="A416" s="43">
        <f>'Paste - Mentors'!A416</f>
        <v>4651685</v>
      </c>
      <c r="B416" s="3" t="str">
        <f>IFERROR(VLOOKUP(A416,'Paste - Mentors'!$A:$B,2,0),"")</f>
        <v>Wiann Mans</v>
      </c>
      <c r="C416" s="3" t="str">
        <f>IFERROR(VLOOKUP(A416,'Paste - Mentors'!$A:$D,4,0),"")</f>
        <v>Career Mentor</v>
      </c>
      <c r="D416" s="43" t="str">
        <f>IFERROR(VLOOKUP(A416,'Paste - Mentors'!$A:$F,6,0),"")</f>
        <v>FNB</v>
      </c>
      <c r="E416" s="43" t="str">
        <f>IFERROR(VLOOKUP(A416,'Paste - Mentors'!$A:$E,5,0),"")</f>
        <v>Namibia</v>
      </c>
      <c r="F416" s="43">
        <f>IF(A416="","",COUNTIFS('Paste - Relationships'!$A:$A,A416,'Paste - Relationships'!$AE:$AE,""))</f>
        <v>0</v>
      </c>
      <c r="G416" s="43" t="str">
        <f t="shared" si="6"/>
        <v>Available</v>
      </c>
      <c r="H416" s="43" t="str">
        <f>IF(A416="","",IF(COUNTIF('Programme Mentors'!$A:$A,A416)&gt;0,"Enrolled","—"))</f>
        <v>—</v>
      </c>
    </row>
    <row r="417" spans="1:8" ht="14.25" customHeight="1" x14ac:dyDescent="0.3">
      <c r="A417" s="9">
        <f>'Paste - Mentors'!A417</f>
        <v>4655249</v>
      </c>
      <c r="B417" s="4" t="str">
        <f>IFERROR(VLOOKUP(A417,'Paste - Mentors'!$A:$B,2,0),"")</f>
        <v>Candice Mesk</v>
      </c>
      <c r="C417" s="4" t="str">
        <f>IFERROR(VLOOKUP(A417,'Paste - Mentors'!$A:$D,4,0),"")</f>
        <v>Career Mentor
Workplace  Buddy</v>
      </c>
      <c r="D417" s="9" t="str">
        <f>IFERROR(VLOOKUP(A417,'Paste - Mentors'!$A:$F,6,0),"")</f>
        <v>FirstRand Corporate Centre</v>
      </c>
      <c r="E417" s="9" t="str">
        <f>IFERROR(VLOOKUP(A417,'Paste - Mentors'!$A:$E,5,0),"")</f>
        <v>South Africa</v>
      </c>
      <c r="F417" s="9">
        <f>IF(A417="","",COUNTIFS('Paste - Relationships'!$A:$A,A417,'Paste - Relationships'!$AE:$AE,""))</f>
        <v>0</v>
      </c>
      <c r="G417" s="9" t="str">
        <f t="shared" si="6"/>
        <v>Available</v>
      </c>
      <c r="H417" s="9" t="str">
        <f>IF(A417="","",IF(COUNTIF('Programme Mentors'!$A:$A,A417)&gt;0,"Enrolled","—"))</f>
        <v>—</v>
      </c>
    </row>
    <row r="418" spans="1:8" ht="33.75" customHeight="1" x14ac:dyDescent="0.3">
      <c r="A418" s="43">
        <f>'Paste - Mentors'!A418</f>
        <v>4655516</v>
      </c>
      <c r="B418" s="3" t="str">
        <f>IFERROR(VLOOKUP(A418,'Paste - Mentors'!$A:$B,2,0),"")</f>
        <v>Abdul Raheem Karim</v>
      </c>
      <c r="C418" s="3" t="str">
        <f>IFERROR(VLOOKUP(A418,'Paste - Mentors'!$A:$D,4,0),"")</f>
        <v>Career Mentor</v>
      </c>
      <c r="D418" s="43" t="str">
        <f>IFERROR(VLOOKUP(A418,'Paste - Mentors'!$A:$F,6,0),"")</f>
        <v>FNB</v>
      </c>
      <c r="E418" s="43" t="str">
        <f>IFERROR(VLOOKUP(A418,'Paste - Mentors'!$A:$E,5,0),"")</f>
        <v>South Africa</v>
      </c>
      <c r="F418" s="43">
        <f>IF(A418="","",COUNTIFS('Paste - Relationships'!$A:$A,A418,'Paste - Relationships'!$AE:$AE,""))</f>
        <v>0</v>
      </c>
      <c r="G418" s="43" t="str">
        <f t="shared" si="6"/>
        <v>Available</v>
      </c>
      <c r="H418" s="43" t="str">
        <f>IF(A418="","",IF(COUNTIF('Programme Mentors'!$A:$A,A418)&gt;0,"Enrolled","—"))</f>
        <v>—</v>
      </c>
    </row>
    <row r="419" spans="1:8" ht="14.25" customHeight="1" x14ac:dyDescent="0.3">
      <c r="A419" s="9">
        <f>'Paste - Mentors'!A419</f>
        <v>4657810</v>
      </c>
      <c r="B419" s="4" t="str">
        <f>IFERROR(VLOOKUP(A419,'Paste - Mentors'!$A:$B,2,0),"")</f>
        <v>Coenraad Pretorius</v>
      </c>
      <c r="C419" s="4" t="str">
        <f>IFERROR(VLOOKUP(A419,'Paste - Mentors'!$A:$D,4,0),"")</f>
        <v>Career Mentor</v>
      </c>
      <c r="D419" s="9" t="str">
        <f>IFERROR(VLOOKUP(A419,'Paste - Mentors'!$A:$F,6,0),"")</f>
        <v>FNB</v>
      </c>
      <c r="E419" s="9" t="str">
        <f>IFERROR(VLOOKUP(A419,'Paste - Mentors'!$A:$E,5,0),"")</f>
        <v>South Africa</v>
      </c>
      <c r="F419" s="9">
        <f>IF(A419="","",COUNTIFS('Paste - Relationships'!$A:$A,A419,'Paste - Relationships'!$AE:$AE,""))</f>
        <v>0</v>
      </c>
      <c r="G419" s="9" t="str">
        <f t="shared" si="6"/>
        <v>Available</v>
      </c>
      <c r="H419" s="9" t="str">
        <f>IF(A419="","",IF(COUNTIF('Programme Mentors'!$A:$A,A419)&gt;0,"Enrolled","—"))</f>
        <v>—</v>
      </c>
    </row>
    <row r="420" spans="1:8" ht="14.25" customHeight="1" x14ac:dyDescent="0.3">
      <c r="A420" s="43">
        <f>'Paste - Mentors'!A420</f>
        <v>4659872</v>
      </c>
      <c r="B420" s="3" t="str">
        <f>IFERROR(VLOOKUP(A420,'Paste - Mentors'!$A:$B,2,0),"")</f>
        <v>Cornel Du Toit</v>
      </c>
      <c r="C420" s="3" t="str">
        <f>IFERROR(VLOOKUP(A420,'Paste - Mentors'!$A:$D,4,0),"")</f>
        <v>Career Mentor
Technical Mentor</v>
      </c>
      <c r="D420" s="43" t="str">
        <f>IFERROR(VLOOKUP(A420,'Paste - Mentors'!$A:$F,6,0),"")</f>
        <v>FNB</v>
      </c>
      <c r="E420" s="43" t="str">
        <f>IFERROR(VLOOKUP(A420,'Paste - Mentors'!$A:$E,5,0),"")</f>
        <v>South Africa</v>
      </c>
      <c r="F420" s="43">
        <f>IF(A420="","",COUNTIFS('Paste - Relationships'!$A:$A,A420,'Paste - Relationships'!$AE:$AE,""))</f>
        <v>0</v>
      </c>
      <c r="G420" s="43" t="str">
        <f t="shared" si="6"/>
        <v>Available</v>
      </c>
      <c r="H420" s="43" t="str">
        <f>IF(A420="","",IF(COUNTIF('Programme Mentors'!$A:$A,A420)&gt;0,"Enrolled","—"))</f>
        <v>—</v>
      </c>
    </row>
    <row r="421" spans="1:8" ht="33.75" customHeight="1" x14ac:dyDescent="0.3">
      <c r="A421" s="9">
        <f>'Paste - Mentors'!A421</f>
        <v>4662342</v>
      </c>
      <c r="B421" s="4" t="str">
        <f>IFERROR(VLOOKUP(A421,'Paste - Mentors'!$A:$B,2,0),"")</f>
        <v>Jeanette Ledwaba</v>
      </c>
      <c r="C421" s="4" t="str">
        <f>IFERROR(VLOOKUP(A421,'Paste - Mentors'!$A:$D,4,0),"")</f>
        <v>Career Mentor</v>
      </c>
      <c r="D421" s="9" t="str">
        <f>IFERROR(VLOOKUP(A421,'Paste - Mentors'!$A:$F,6,0),"")</f>
        <v>FNB</v>
      </c>
      <c r="E421" s="9" t="str">
        <f>IFERROR(VLOOKUP(A421,'Paste - Mentors'!$A:$E,5,0),"")</f>
        <v>South Africa</v>
      </c>
      <c r="F421" s="9">
        <f>IF(A421="","",COUNTIFS('Paste - Relationships'!$A:$A,A421,'Paste - Relationships'!$AE:$AE,""))</f>
        <v>0</v>
      </c>
      <c r="G421" s="9" t="str">
        <f t="shared" si="6"/>
        <v>Available</v>
      </c>
      <c r="H421" s="9" t="str">
        <f>IF(A421="","",IF(COUNTIF('Programme Mentors'!$A:$A,A421)&gt;0,"Enrolled","—"))</f>
        <v>—</v>
      </c>
    </row>
    <row r="422" spans="1:8" ht="14.25" customHeight="1" x14ac:dyDescent="0.3">
      <c r="A422" s="43">
        <f>'Paste - Mentors'!A422</f>
        <v>4662458</v>
      </c>
      <c r="B422" s="3" t="str">
        <f>IFERROR(VLOOKUP(A422,'Paste - Mentors'!$A:$B,2,0),"")</f>
        <v>Kgotso Buys</v>
      </c>
      <c r="C422" s="3" t="str">
        <f>IFERROR(VLOOKUP(A422,'Paste - Mentors'!$A:$D,4,0),"")</f>
        <v>Career Mentor
Leadership Mentor
Transition Mentor</v>
      </c>
      <c r="D422" s="43" t="str">
        <f>IFERROR(VLOOKUP(A422,'Paste - Mentors'!$A:$F,6,0),"")</f>
        <v>RMB</v>
      </c>
      <c r="E422" s="43" t="str">
        <f>IFERROR(VLOOKUP(A422,'Paste - Mentors'!$A:$E,5,0),"")</f>
        <v>South Africa</v>
      </c>
      <c r="F422" s="43">
        <f>IF(A422="","",COUNTIFS('Paste - Relationships'!$A:$A,A422,'Paste - Relationships'!$AE:$AE,""))</f>
        <v>1</v>
      </c>
      <c r="G422" s="43" t="str">
        <f t="shared" si="6"/>
        <v>Has Capacity</v>
      </c>
      <c r="H422" s="43" t="str">
        <f>IF(A422="","",IF(COUNTIF('Programme Mentors'!$A:$A,A422)&gt;0,"Enrolled","—"))</f>
        <v>—</v>
      </c>
    </row>
    <row r="423" spans="1:8" ht="57" customHeight="1" x14ac:dyDescent="0.3">
      <c r="A423" s="9">
        <f>'Paste - Mentors'!A423</f>
        <v>4665236</v>
      </c>
      <c r="B423" s="4" t="str">
        <f>IFERROR(VLOOKUP(A423,'Paste - Mentors'!$A:$B,2,0),"")</f>
        <v>Khutso Rasetsana</v>
      </c>
      <c r="C423" s="4" t="str">
        <f>IFERROR(VLOOKUP(A423,'Paste - Mentors'!$A:$D,4,0),"")</f>
        <v>Career Mentor</v>
      </c>
      <c r="D423" s="9" t="str">
        <f>IFERROR(VLOOKUP(A423,'Paste - Mentors'!$A:$F,6,0),"")</f>
        <v>FNB</v>
      </c>
      <c r="E423" s="9" t="str">
        <f>IFERROR(VLOOKUP(A423,'Paste - Mentors'!$A:$E,5,0),"")</f>
        <v>South Africa</v>
      </c>
      <c r="F423" s="9">
        <f>IF(A423="","",COUNTIFS('Paste - Relationships'!$A:$A,A423,'Paste - Relationships'!$AE:$AE,""))</f>
        <v>0</v>
      </c>
      <c r="G423" s="9" t="str">
        <f t="shared" si="6"/>
        <v>Available</v>
      </c>
      <c r="H423" s="9" t="str">
        <f>IF(A423="","",IF(COUNTIF('Programme Mentors'!$A:$A,A423)&gt;0,"Enrolled","—"))</f>
        <v>—</v>
      </c>
    </row>
    <row r="424" spans="1:8" ht="14.25" customHeight="1" x14ac:dyDescent="0.3">
      <c r="A424" s="43">
        <f>'Paste - Mentors'!A424</f>
        <v>4669274</v>
      </c>
      <c r="B424" s="3" t="str">
        <f>IFERROR(VLOOKUP(A424,'Paste - Mentors'!$A:$B,2,0),"")</f>
        <v>Charl Jansen Van Rensburg</v>
      </c>
      <c r="C424" s="3" t="str">
        <f>IFERROR(VLOOKUP(A424,'Paste - Mentors'!$A:$D,4,0),"")</f>
        <v>Career Mentor</v>
      </c>
      <c r="D424" s="43" t="str">
        <f>IFERROR(VLOOKUP(A424,'Paste - Mentors'!$A:$F,6,0),"")</f>
        <v>FNB</v>
      </c>
      <c r="E424" s="43" t="str">
        <f>IFERROR(VLOOKUP(A424,'Paste - Mentors'!$A:$E,5,0),"")</f>
        <v>South Africa</v>
      </c>
      <c r="F424" s="43">
        <f>IF(A424="","",COUNTIFS('Paste - Relationships'!$A:$A,A424,'Paste - Relationships'!$AE:$AE,""))</f>
        <v>0</v>
      </c>
      <c r="G424" s="43" t="str">
        <f t="shared" si="6"/>
        <v>Available</v>
      </c>
      <c r="H424" s="43" t="str">
        <f>IF(A424="","",IF(COUNTIF('Programme Mentors'!$A:$A,A424)&gt;0,"Enrolled","—"))</f>
        <v>—</v>
      </c>
    </row>
    <row r="425" spans="1:8" ht="14.25" customHeight="1" x14ac:dyDescent="0.3">
      <c r="A425" s="9">
        <f>'Paste - Mentors'!A425</f>
        <v>4670078</v>
      </c>
      <c r="B425" s="4" t="str">
        <f>IFERROR(VLOOKUP(A425,'Paste - Mentors'!$A:$B,2,0),"")</f>
        <v>Kyle Rajoo</v>
      </c>
      <c r="C425" s="4" t="str">
        <f>IFERROR(VLOOKUP(A425,'Paste - Mentors'!$A:$D,4,0),"")</f>
        <v>Career Mentor</v>
      </c>
      <c r="D425" s="9" t="str">
        <f>IFERROR(VLOOKUP(A425,'Paste - Mentors'!$A:$F,6,0),"")</f>
        <v>FNB</v>
      </c>
      <c r="E425" s="9" t="str">
        <f>IFERROR(VLOOKUP(A425,'Paste - Mentors'!$A:$E,5,0),"")</f>
        <v>South Africa</v>
      </c>
      <c r="F425" s="9">
        <f>IF(A425="","",COUNTIFS('Paste - Relationships'!$A:$A,A425,'Paste - Relationships'!$AE:$AE,""))</f>
        <v>0</v>
      </c>
      <c r="G425" s="9" t="str">
        <f t="shared" si="6"/>
        <v>Available</v>
      </c>
      <c r="H425" s="9" t="str">
        <f>IF(A425="","",IF(COUNTIF('Programme Mentors'!$A:$A,A425)&gt;0,"Enrolled","—"))</f>
        <v>—</v>
      </c>
    </row>
    <row r="426" spans="1:8" ht="14.25" customHeight="1" x14ac:dyDescent="0.3">
      <c r="A426" s="43">
        <f>'Paste - Mentors'!A426</f>
        <v>4673913</v>
      </c>
      <c r="B426" s="3" t="str">
        <f>IFERROR(VLOOKUP(A426,'Paste - Mentors'!$A:$B,2,0),"")</f>
        <v>Mduduzi Nxumalo</v>
      </c>
      <c r="C426" s="3" t="str">
        <f>IFERROR(VLOOKUP(A426,'Paste - Mentors'!$A:$D,4,0),"")</f>
        <v>Career Mentor</v>
      </c>
      <c r="D426" s="43" t="str">
        <f>IFERROR(VLOOKUP(A426,'Paste - Mentors'!$A:$F,6,0),"")</f>
        <v>FNB</v>
      </c>
      <c r="E426" s="43" t="str">
        <f>IFERROR(VLOOKUP(A426,'Paste - Mentors'!$A:$E,5,0),"")</f>
        <v>South Africa</v>
      </c>
      <c r="F426" s="43">
        <f>IF(A426="","",COUNTIFS('Paste - Relationships'!$A:$A,A426,'Paste - Relationships'!$AE:$AE,""))</f>
        <v>0</v>
      </c>
      <c r="G426" s="43" t="str">
        <f t="shared" si="6"/>
        <v>Available</v>
      </c>
      <c r="H426" s="43" t="str">
        <f>IF(A426="","",IF(COUNTIF('Programme Mentors'!$A:$A,A426)&gt;0,"Enrolled","—"))</f>
        <v>—</v>
      </c>
    </row>
    <row r="427" spans="1:8" ht="14.25" customHeight="1" x14ac:dyDescent="0.3">
      <c r="A427" s="9">
        <f>'Paste - Mentors'!A427</f>
        <v>4674308</v>
      </c>
      <c r="B427" s="4" t="str">
        <f>IFERROR(VLOOKUP(A427,'Paste - Mentors'!$A:$B,2,0),"")</f>
        <v>Jacqueline Becker</v>
      </c>
      <c r="C427" s="4" t="str">
        <f>IFERROR(VLOOKUP(A427,'Paste - Mentors'!$A:$D,4,0),"")</f>
        <v>Career Mentor
Leadership Mentor
Transition Mentor
Workplace  Buddy</v>
      </c>
      <c r="D427" s="9" t="str">
        <f>IFERROR(VLOOKUP(A427,'Paste - Mentors'!$A:$F,6,0),"")</f>
        <v>FNB</v>
      </c>
      <c r="E427" s="9" t="str">
        <f>IFERROR(VLOOKUP(A427,'Paste - Mentors'!$A:$E,5,0),"")</f>
        <v>South Africa</v>
      </c>
      <c r="F427" s="9">
        <f>IF(A427="","",COUNTIFS('Paste - Relationships'!$A:$A,A427,'Paste - Relationships'!$AE:$AE,""))</f>
        <v>0</v>
      </c>
      <c r="G427" s="9" t="str">
        <f t="shared" si="6"/>
        <v>Available</v>
      </c>
      <c r="H427" s="9" t="str">
        <f>IF(A427="","",IF(COUNTIF('Programme Mentors'!$A:$A,A427)&gt;0,"Enrolled","—"))</f>
        <v>—</v>
      </c>
    </row>
    <row r="428" spans="1:8" ht="79.5" customHeight="1" x14ac:dyDescent="0.3">
      <c r="A428" s="43">
        <f>'Paste - Mentors'!A428</f>
        <v>4677692</v>
      </c>
      <c r="B428" s="3" t="str">
        <f>IFERROR(VLOOKUP(A428,'Paste - Mentors'!$A:$B,2,0),"")</f>
        <v>Anthony Pollitt</v>
      </c>
      <c r="C428" s="3" t="str">
        <f>IFERROR(VLOOKUP(A428,'Paste - Mentors'!$A:$D,4,0),"")</f>
        <v>Career Mentor</v>
      </c>
      <c r="D428" s="43" t="str">
        <f>IFERROR(VLOOKUP(A428,'Paste - Mentors'!$A:$F,6,0),"")</f>
        <v>FNB</v>
      </c>
      <c r="E428" s="43" t="str">
        <f>IFERROR(VLOOKUP(A428,'Paste - Mentors'!$A:$E,5,0),"")</f>
        <v>South Africa</v>
      </c>
      <c r="F428" s="43">
        <f>IF(A428="","",COUNTIFS('Paste - Relationships'!$A:$A,A428,'Paste - Relationships'!$AE:$AE,""))</f>
        <v>0</v>
      </c>
      <c r="G428" s="43" t="str">
        <f t="shared" si="6"/>
        <v>Available</v>
      </c>
      <c r="H428" s="43" t="str">
        <f>IF(A428="","",IF(COUNTIF('Programme Mentors'!$A:$A,A428)&gt;0,"Enrolled","—"))</f>
        <v>—</v>
      </c>
    </row>
    <row r="429" spans="1:8" ht="14.25" customHeight="1" x14ac:dyDescent="0.3">
      <c r="A429" s="9">
        <f>'Paste - Mentors'!A429</f>
        <v>4678117</v>
      </c>
      <c r="B429" s="4" t="str">
        <f>IFERROR(VLOOKUP(A429,'Paste - Mentors'!$A:$B,2,0),"")</f>
        <v>Decklyn Pretorius</v>
      </c>
      <c r="C429" s="4" t="str">
        <f>IFERROR(VLOOKUP(A429,'Paste - Mentors'!$A:$D,4,0),"")</f>
        <v>Career Mentor</v>
      </c>
      <c r="D429" s="9" t="str">
        <f>IFERROR(VLOOKUP(A429,'Paste - Mentors'!$A:$F,6,0),"")</f>
        <v>FNB</v>
      </c>
      <c r="E429" s="9" t="str">
        <f>IFERROR(VLOOKUP(A429,'Paste - Mentors'!$A:$E,5,0),"")</f>
        <v>South Africa</v>
      </c>
      <c r="F429" s="9">
        <f>IF(A429="","",COUNTIFS('Paste - Relationships'!$A:$A,A429,'Paste - Relationships'!$AE:$AE,""))</f>
        <v>0</v>
      </c>
      <c r="G429" s="9" t="str">
        <f t="shared" si="6"/>
        <v>Available</v>
      </c>
      <c r="H429" s="9" t="str">
        <f>IF(A429="","",IF(COUNTIF('Programme Mentors'!$A:$A,A429)&gt;0,"Enrolled","—"))</f>
        <v>—</v>
      </c>
    </row>
    <row r="430" spans="1:8" ht="14.25" customHeight="1" x14ac:dyDescent="0.3">
      <c r="A430" s="43">
        <f>'Paste - Mentors'!A430</f>
        <v>4679113</v>
      </c>
      <c r="B430" s="3" t="str">
        <f>IFERROR(VLOOKUP(A430,'Paste - Mentors'!$A:$B,2,0),"")</f>
        <v>Veneta Nair</v>
      </c>
      <c r="C430" s="3" t="str">
        <f>IFERROR(VLOOKUP(A430,'Paste - Mentors'!$A:$D,4,0),"")</f>
        <v>Career Mentor</v>
      </c>
      <c r="D430" s="43" t="str">
        <f>IFERROR(VLOOKUP(A430,'Paste - Mentors'!$A:$F,6,0),"")</f>
        <v>RMB</v>
      </c>
      <c r="E430" s="43" t="str">
        <f>IFERROR(VLOOKUP(A430,'Paste - Mentors'!$A:$E,5,0),"")</f>
        <v>South Africa</v>
      </c>
      <c r="F430" s="43">
        <f>IF(A430="","",COUNTIFS('Paste - Relationships'!$A:$A,A430,'Paste - Relationships'!$AE:$AE,""))</f>
        <v>0</v>
      </c>
      <c r="G430" s="43" t="str">
        <f t="shared" si="6"/>
        <v>Available</v>
      </c>
      <c r="H430" s="43" t="str">
        <f>IF(A430="","",IF(COUNTIF('Programme Mentors'!$A:$A,A430)&gt;0,"Enrolled","—"))</f>
        <v>—</v>
      </c>
    </row>
    <row r="431" spans="1:8" ht="14.25" customHeight="1" x14ac:dyDescent="0.3">
      <c r="A431" s="9">
        <f>'Paste - Mentors'!A431</f>
        <v>4679520</v>
      </c>
      <c r="B431" s="4" t="str">
        <f>IFERROR(VLOOKUP(A431,'Paste - Mentors'!$A:$B,2,0),"")</f>
        <v>Wesley Moffett</v>
      </c>
      <c r="C431" s="4" t="str">
        <f>IFERROR(VLOOKUP(A431,'Paste - Mentors'!$A:$D,4,0),"")</f>
        <v>Career Mentor</v>
      </c>
      <c r="D431" s="9" t="str">
        <f>IFERROR(VLOOKUP(A431,'Paste - Mentors'!$A:$F,6,0),"")</f>
        <v>FNB</v>
      </c>
      <c r="E431" s="9" t="str">
        <f>IFERROR(VLOOKUP(A431,'Paste - Mentors'!$A:$E,5,0),"")</f>
        <v>South Africa</v>
      </c>
      <c r="F431" s="9">
        <f>IF(A431="","",COUNTIFS('Paste - Relationships'!$A:$A,A431,'Paste - Relationships'!$AE:$AE,""))</f>
        <v>0</v>
      </c>
      <c r="G431" s="9" t="str">
        <f t="shared" si="6"/>
        <v>Available</v>
      </c>
      <c r="H431" s="9" t="str">
        <f>IF(A431="","",IF(COUNTIF('Programme Mentors'!$A:$A,A431)&gt;0,"Enrolled","—"))</f>
        <v>—</v>
      </c>
    </row>
    <row r="432" spans="1:8" ht="14.25" customHeight="1" x14ac:dyDescent="0.3">
      <c r="A432" s="43">
        <f>'Paste - Mentors'!A432</f>
        <v>4680065</v>
      </c>
      <c r="B432" s="3" t="str">
        <f>IFERROR(VLOOKUP(A432,'Paste - Mentors'!$A:$B,2,0),"")</f>
        <v>Palesa Nhlapo</v>
      </c>
      <c r="C432" s="3" t="str">
        <f>IFERROR(VLOOKUP(A432,'Paste - Mentors'!$A:$D,4,0),"")</f>
        <v>Career Mentor</v>
      </c>
      <c r="D432" s="43" t="str">
        <f>IFERROR(VLOOKUP(A432,'Paste - Mentors'!$A:$F,6,0),"")</f>
        <v>FNB</v>
      </c>
      <c r="E432" s="43" t="str">
        <f>IFERROR(VLOOKUP(A432,'Paste - Mentors'!$A:$E,5,0),"")</f>
        <v>South Africa</v>
      </c>
      <c r="F432" s="43">
        <f>IF(A432="","",COUNTIFS('Paste - Relationships'!$A:$A,A432,'Paste - Relationships'!$AE:$AE,""))</f>
        <v>0</v>
      </c>
      <c r="G432" s="43" t="str">
        <f t="shared" si="6"/>
        <v>Available</v>
      </c>
      <c r="H432" s="43" t="str">
        <f>IF(A432="","",IF(COUNTIF('Programme Mentors'!$A:$A,A432)&gt;0,"Enrolled","—"))</f>
        <v>—</v>
      </c>
    </row>
    <row r="433" spans="1:8" ht="14.25" customHeight="1" x14ac:dyDescent="0.3">
      <c r="A433" s="9">
        <f>'Paste - Mentors'!A433</f>
        <v>4682645</v>
      </c>
      <c r="B433" s="4" t="str">
        <f>IFERROR(VLOOKUP(A433,'Paste - Mentors'!$A:$B,2,0),"")</f>
        <v>Buyisile Maseko</v>
      </c>
      <c r="C433" s="4" t="str">
        <f>IFERROR(VLOOKUP(A433,'Paste - Mentors'!$A:$D,4,0),"")</f>
        <v>Career Mentor</v>
      </c>
      <c r="D433" s="9" t="str">
        <f>IFERROR(VLOOKUP(A433,'Paste - Mentors'!$A:$F,6,0),"")</f>
        <v>FNB</v>
      </c>
      <c r="E433" s="9" t="str">
        <f>IFERROR(VLOOKUP(A433,'Paste - Mentors'!$A:$E,5,0),"")</f>
        <v>South Africa</v>
      </c>
      <c r="F433" s="9">
        <f>IF(A433="","",COUNTIFS('Paste - Relationships'!$A:$A,A433,'Paste - Relationships'!$AE:$AE,""))</f>
        <v>0</v>
      </c>
      <c r="G433" s="9" t="str">
        <f t="shared" si="6"/>
        <v>Available</v>
      </c>
      <c r="H433" s="9" t="str">
        <f>IF(A433="","",IF(COUNTIF('Programme Mentors'!$A:$A,A433)&gt;0,"Enrolled","—"))</f>
        <v>—</v>
      </c>
    </row>
    <row r="434" spans="1:8" ht="14.25" customHeight="1" x14ac:dyDescent="0.3">
      <c r="A434" s="43">
        <f>'Paste - Mentors'!A434</f>
        <v>4683315</v>
      </c>
      <c r="B434" s="3" t="str">
        <f>IFERROR(VLOOKUP(A434,'Paste - Mentors'!$A:$B,2,0),"")</f>
        <v>Pravesh Sunker</v>
      </c>
      <c r="C434" s="3" t="str">
        <f>IFERROR(VLOOKUP(A434,'Paste - Mentors'!$A:$D,4,0),"")</f>
        <v>Career Mentor</v>
      </c>
      <c r="D434" s="43" t="str">
        <f>IFERROR(VLOOKUP(A434,'Paste - Mentors'!$A:$F,6,0),"")</f>
        <v>FNB</v>
      </c>
      <c r="E434" s="43" t="str">
        <f>IFERROR(VLOOKUP(A434,'Paste - Mentors'!$A:$E,5,0),"")</f>
        <v>South Africa</v>
      </c>
      <c r="F434" s="43">
        <f>IF(A434="","",COUNTIFS('Paste - Relationships'!$A:$A,A434,'Paste - Relationships'!$AE:$AE,""))</f>
        <v>0</v>
      </c>
      <c r="G434" s="43" t="str">
        <f t="shared" si="6"/>
        <v>Available</v>
      </c>
      <c r="H434" s="43" t="str">
        <f>IF(A434="","",IF(COUNTIF('Programme Mentors'!$A:$A,A434)&gt;0,"Enrolled","—"))</f>
        <v>—</v>
      </c>
    </row>
    <row r="435" spans="1:8" ht="14.25" customHeight="1" x14ac:dyDescent="0.3">
      <c r="A435" s="9">
        <f>'Paste - Mentors'!A435</f>
        <v>4693590</v>
      </c>
      <c r="B435" s="4" t="str">
        <f>IFERROR(VLOOKUP(A435,'Paste - Mentors'!$A:$B,2,0),"")</f>
        <v>Martha Wesi</v>
      </c>
      <c r="C435" s="4" t="str">
        <f>IFERROR(VLOOKUP(A435,'Paste - Mentors'!$A:$D,4,0),"")</f>
        <v>Career Mentor</v>
      </c>
      <c r="D435" s="9" t="str">
        <f>IFERROR(VLOOKUP(A435,'Paste - Mentors'!$A:$F,6,0),"")</f>
        <v>FNB</v>
      </c>
      <c r="E435" s="9" t="str">
        <f>IFERROR(VLOOKUP(A435,'Paste - Mentors'!$A:$E,5,0),"")</f>
        <v>South Africa</v>
      </c>
      <c r="F435" s="9">
        <f>IF(A435="","",COUNTIFS('Paste - Relationships'!$A:$A,A435,'Paste - Relationships'!$AE:$AE,""))</f>
        <v>0</v>
      </c>
      <c r="G435" s="9" t="str">
        <f t="shared" si="6"/>
        <v>Available</v>
      </c>
      <c r="H435" s="9" t="str">
        <f>IF(A435="","",IF(COUNTIF('Programme Mentors'!$A:$A,A435)&gt;0,"Enrolled","—"))</f>
        <v>—</v>
      </c>
    </row>
    <row r="436" spans="1:8" ht="14.25" customHeight="1" x14ac:dyDescent="0.3">
      <c r="A436" s="43">
        <f>'Paste - Mentors'!A436</f>
        <v>4693914</v>
      </c>
      <c r="B436" s="3" t="str">
        <f>IFERROR(VLOOKUP(A436,'Paste - Mentors'!$A:$B,2,0),"")</f>
        <v>Kribben Govender</v>
      </c>
      <c r="C436" s="3" t="str">
        <f>IFERROR(VLOOKUP(A436,'Paste - Mentors'!$A:$D,4,0),"")</f>
        <v>Career Mentor</v>
      </c>
      <c r="D436" s="43" t="str">
        <f>IFERROR(VLOOKUP(A436,'Paste - Mentors'!$A:$F,6,0),"")</f>
        <v>FNB</v>
      </c>
      <c r="E436" s="43" t="str">
        <f>IFERROR(VLOOKUP(A436,'Paste - Mentors'!$A:$E,5,0),"")</f>
        <v>South Africa</v>
      </c>
      <c r="F436" s="43">
        <f>IF(A436="","",COUNTIFS('Paste - Relationships'!$A:$A,A436,'Paste - Relationships'!$AE:$AE,""))</f>
        <v>0</v>
      </c>
      <c r="G436" s="43" t="str">
        <f t="shared" si="6"/>
        <v>Available</v>
      </c>
      <c r="H436" s="43" t="str">
        <f>IF(A436="","",IF(COUNTIF('Programme Mentors'!$A:$A,A436)&gt;0,"Enrolled","—"))</f>
        <v>—</v>
      </c>
    </row>
    <row r="437" spans="1:8" ht="14.25" customHeight="1" x14ac:dyDescent="0.3">
      <c r="A437" s="9">
        <f>'Paste - Mentors'!A437</f>
        <v>4694481</v>
      </c>
      <c r="B437" s="4" t="str">
        <f>IFERROR(VLOOKUP(A437,'Paste - Mentors'!$A:$B,2,0),"")</f>
        <v>Thabile Mlungwana</v>
      </c>
      <c r="C437" s="4" t="str">
        <f>IFERROR(VLOOKUP(A437,'Paste - Mentors'!$A:$D,4,0),"")</f>
        <v>Career Mentor</v>
      </c>
      <c r="D437" s="9" t="str">
        <f>IFERROR(VLOOKUP(A437,'Paste - Mentors'!$A:$F,6,0),"")</f>
        <v>FNB</v>
      </c>
      <c r="E437" s="9" t="str">
        <f>IFERROR(VLOOKUP(A437,'Paste - Mentors'!$A:$E,5,0),"")</f>
        <v>South Africa</v>
      </c>
      <c r="F437" s="9">
        <f>IF(A437="","",COUNTIFS('Paste - Relationships'!$A:$A,A437,'Paste - Relationships'!$AE:$AE,""))</f>
        <v>0</v>
      </c>
      <c r="G437" s="9" t="str">
        <f t="shared" si="6"/>
        <v>Available</v>
      </c>
      <c r="H437" s="9" t="str">
        <f>IF(A437="","",IF(COUNTIF('Programme Mentors'!$A:$A,A437)&gt;0,"Enrolled","—"))</f>
        <v>—</v>
      </c>
    </row>
    <row r="438" spans="1:8" ht="14.25" customHeight="1" x14ac:dyDescent="0.3">
      <c r="A438" s="43">
        <f>'Paste - Mentors'!A438</f>
        <v>4695275</v>
      </c>
      <c r="B438" s="3" t="str">
        <f>IFERROR(VLOOKUP(A438,'Paste - Mentors'!$A:$B,2,0),"")</f>
        <v>Jackie Diack</v>
      </c>
      <c r="C438" s="3" t="str">
        <f>IFERROR(VLOOKUP(A438,'Paste - Mentors'!$A:$D,4,0),"")</f>
        <v>Career Mentor</v>
      </c>
      <c r="D438" s="43" t="str">
        <f>IFERROR(VLOOKUP(A438,'Paste - Mentors'!$A:$F,6,0),"")</f>
        <v>FNB</v>
      </c>
      <c r="E438" s="43" t="str">
        <f>IFERROR(VLOOKUP(A438,'Paste - Mentors'!$A:$E,5,0),"")</f>
        <v>South Africa</v>
      </c>
      <c r="F438" s="43">
        <f>IF(A438="","",COUNTIFS('Paste - Relationships'!$A:$A,A438,'Paste - Relationships'!$AE:$AE,""))</f>
        <v>0</v>
      </c>
      <c r="G438" s="43" t="str">
        <f t="shared" si="6"/>
        <v>Available</v>
      </c>
      <c r="H438" s="43" t="str">
        <f>IF(A438="","",IF(COUNTIF('Programme Mentors'!$A:$A,A438)&gt;0,"Enrolled","—"))</f>
        <v>—</v>
      </c>
    </row>
    <row r="439" spans="1:8" ht="14.25" customHeight="1" x14ac:dyDescent="0.3">
      <c r="A439" s="9">
        <f>'Paste - Mentors'!A439</f>
        <v>4695658</v>
      </c>
      <c r="B439" s="4" t="str">
        <f>IFERROR(VLOOKUP(A439,'Paste - Mentors'!$A:$B,2,0),"")</f>
        <v>Khomotso Molokwane</v>
      </c>
      <c r="C439" s="4" t="str">
        <f>IFERROR(VLOOKUP(A439,'Paste - Mentors'!$A:$D,4,0),"")</f>
        <v>Career Mentor</v>
      </c>
      <c r="D439" s="9" t="str">
        <f>IFERROR(VLOOKUP(A439,'Paste - Mentors'!$A:$F,6,0),"")</f>
        <v>FNB</v>
      </c>
      <c r="E439" s="9" t="str">
        <f>IFERROR(VLOOKUP(A439,'Paste - Mentors'!$A:$E,5,0),"")</f>
        <v>South Africa</v>
      </c>
      <c r="F439" s="9">
        <f>IF(A439="","",COUNTIFS('Paste - Relationships'!$A:$A,A439,'Paste - Relationships'!$AE:$AE,""))</f>
        <v>0</v>
      </c>
      <c r="G439" s="9" t="str">
        <f t="shared" si="6"/>
        <v>Available</v>
      </c>
      <c r="H439" s="9" t="str">
        <f>IF(A439="","",IF(COUNTIF('Programme Mentors'!$A:$A,A439)&gt;0,"Enrolled","—"))</f>
        <v>—</v>
      </c>
    </row>
    <row r="440" spans="1:8" ht="14.25" customHeight="1" x14ac:dyDescent="0.3">
      <c r="A440" s="43">
        <f>'Paste - Mentors'!A440</f>
        <v>4696360</v>
      </c>
      <c r="B440" s="3" t="str">
        <f>IFERROR(VLOOKUP(A440,'Paste - Mentors'!$A:$B,2,0),"")</f>
        <v>Adriaan Swanepoel</v>
      </c>
      <c r="C440" s="3" t="str">
        <f>IFERROR(VLOOKUP(A440,'Paste - Mentors'!$A:$D,4,0),"")</f>
        <v>Technical Mentor</v>
      </c>
      <c r="D440" s="43" t="str">
        <f>IFERROR(VLOOKUP(A440,'Paste - Mentors'!$A:$F,6,0),"")</f>
        <v>FNB</v>
      </c>
      <c r="E440" s="43" t="str">
        <f>IFERROR(VLOOKUP(A440,'Paste - Mentors'!$A:$E,5,0),"")</f>
        <v>South Africa</v>
      </c>
      <c r="F440" s="43">
        <f>IF(A440="","",COUNTIFS('Paste - Relationships'!$A:$A,A440,'Paste - Relationships'!$AE:$AE,""))</f>
        <v>1</v>
      </c>
      <c r="G440" s="43" t="str">
        <f t="shared" si="6"/>
        <v>Has Capacity</v>
      </c>
      <c r="H440" s="43" t="str">
        <f>IF(A440="","",IF(COUNTIF('Programme Mentors'!$A:$A,A440)&gt;0,"Enrolled","—"))</f>
        <v>—</v>
      </c>
    </row>
    <row r="441" spans="1:8" ht="14.25" customHeight="1" x14ac:dyDescent="0.3">
      <c r="A441" s="9">
        <f>'Paste - Mentors'!A441</f>
        <v>4698339</v>
      </c>
      <c r="B441" s="4" t="str">
        <f>IFERROR(VLOOKUP(A441,'Paste - Mentors'!$A:$B,2,0),"")</f>
        <v>Babalwa Masoka</v>
      </c>
      <c r="C441" s="4" t="str">
        <f>IFERROR(VLOOKUP(A441,'Paste - Mentors'!$A:$D,4,0),"")</f>
        <v>Career Mentor</v>
      </c>
      <c r="D441" s="9" t="str">
        <f>IFERROR(VLOOKUP(A441,'Paste - Mentors'!$A:$F,6,0),"")</f>
        <v>FNB</v>
      </c>
      <c r="E441" s="9" t="str">
        <f>IFERROR(VLOOKUP(A441,'Paste - Mentors'!$A:$E,5,0),"")</f>
        <v>South Africa</v>
      </c>
      <c r="F441" s="9">
        <f>IF(A441="","",COUNTIFS('Paste - Relationships'!$A:$A,A441,'Paste - Relationships'!$AE:$AE,""))</f>
        <v>0</v>
      </c>
      <c r="G441" s="9" t="str">
        <f t="shared" si="6"/>
        <v>Available</v>
      </c>
      <c r="H441" s="9" t="str">
        <f>IF(A441="","",IF(COUNTIF('Programme Mentors'!$A:$A,A441)&gt;0,"Enrolled","—"))</f>
        <v>—</v>
      </c>
    </row>
    <row r="442" spans="1:8" ht="14.25" customHeight="1" x14ac:dyDescent="0.3">
      <c r="A442" s="43">
        <f>'Paste - Mentors'!A442</f>
        <v>4698576</v>
      </c>
      <c r="B442" s="3" t="str">
        <f>IFERROR(VLOOKUP(A442,'Paste - Mentors'!$A:$B,2,0),"")</f>
        <v>Heidi Coetzee</v>
      </c>
      <c r="C442" s="3" t="str">
        <f>IFERROR(VLOOKUP(A442,'Paste - Mentors'!$A:$D,4,0),"")</f>
        <v>Career Mentor
Leadership Mentor</v>
      </c>
      <c r="D442" s="43" t="str">
        <f>IFERROR(VLOOKUP(A442,'Paste - Mentors'!$A:$F,6,0),"")</f>
        <v>RMB</v>
      </c>
      <c r="E442" s="43" t="str">
        <f>IFERROR(VLOOKUP(A442,'Paste - Mentors'!$A:$E,5,0),"")</f>
        <v>South Africa</v>
      </c>
      <c r="F442" s="43">
        <f>IF(A442="","",COUNTIFS('Paste - Relationships'!$A:$A,A442,'Paste - Relationships'!$AE:$AE,""))</f>
        <v>2</v>
      </c>
      <c r="G442" s="43" t="str">
        <f t="shared" si="6"/>
        <v>Has Capacity</v>
      </c>
      <c r="H442" s="43" t="str">
        <f>IF(A442="","",IF(COUNTIF('Programme Mentors'!$A:$A,A442)&gt;0,"Enrolled","—"))</f>
        <v>—</v>
      </c>
    </row>
    <row r="443" spans="1:8" ht="33.75" customHeight="1" x14ac:dyDescent="0.3">
      <c r="A443" s="9">
        <f>'Paste - Mentors'!A443</f>
        <v>4699270</v>
      </c>
      <c r="B443" s="4" t="str">
        <f>IFERROR(VLOOKUP(A443,'Paste - Mentors'!$A:$B,2,0),"")</f>
        <v>Paseka Simela</v>
      </c>
      <c r="C443" s="4" t="str">
        <f>IFERROR(VLOOKUP(A443,'Paste - Mentors'!$A:$D,4,0),"")</f>
        <v>Career Mentor</v>
      </c>
      <c r="D443" s="9" t="str">
        <f>IFERROR(VLOOKUP(A443,'Paste - Mentors'!$A:$F,6,0),"")</f>
        <v>FNB</v>
      </c>
      <c r="E443" s="9" t="str">
        <f>IFERROR(VLOOKUP(A443,'Paste - Mentors'!$A:$E,5,0),"")</f>
        <v>South Africa</v>
      </c>
      <c r="F443" s="9">
        <f>IF(A443="","",COUNTIFS('Paste - Relationships'!$A:$A,A443,'Paste - Relationships'!$AE:$AE,""))</f>
        <v>0</v>
      </c>
      <c r="G443" s="9" t="str">
        <f t="shared" si="6"/>
        <v>Available</v>
      </c>
      <c r="H443" s="9" t="str">
        <f>IF(A443="","",IF(COUNTIF('Programme Mentors'!$A:$A,A443)&gt;0,"Enrolled","—"))</f>
        <v>—</v>
      </c>
    </row>
    <row r="444" spans="1:8" ht="14.25" customHeight="1" x14ac:dyDescent="0.3">
      <c r="A444" s="43">
        <f>'Paste - Mentors'!A444</f>
        <v>4705041</v>
      </c>
      <c r="B444" s="3" t="str">
        <f>IFERROR(VLOOKUP(A444,'Paste - Mentors'!$A:$B,2,0),"")</f>
        <v>Linda Cele</v>
      </c>
      <c r="C444" s="3" t="str">
        <f>IFERROR(VLOOKUP(A444,'Paste - Mentors'!$A:$D,4,0),"")</f>
        <v>Career Mentor</v>
      </c>
      <c r="D444" s="43" t="str">
        <f>IFERROR(VLOOKUP(A444,'Paste - Mentors'!$A:$F,6,0),"")</f>
        <v>WesBank</v>
      </c>
      <c r="E444" s="43" t="str">
        <f>IFERROR(VLOOKUP(A444,'Paste - Mentors'!$A:$E,5,0),"")</f>
        <v>South Africa</v>
      </c>
      <c r="F444" s="43">
        <f>IF(A444="","",COUNTIFS('Paste - Relationships'!$A:$A,A444,'Paste - Relationships'!$AE:$AE,""))</f>
        <v>0</v>
      </c>
      <c r="G444" s="43" t="str">
        <f t="shared" si="6"/>
        <v>Available</v>
      </c>
      <c r="H444" s="43" t="str">
        <f>IF(A444="","",IF(COUNTIF('Programme Mentors'!$A:$A,A444)&gt;0,"Enrolled","—"))</f>
        <v>—</v>
      </c>
    </row>
    <row r="445" spans="1:8" ht="14.25" customHeight="1" x14ac:dyDescent="0.3">
      <c r="A445" s="9">
        <f>'Paste - Mentors'!A445</f>
        <v>4705610</v>
      </c>
      <c r="B445" s="4" t="str">
        <f>IFERROR(VLOOKUP(A445,'Paste - Mentors'!$A:$B,2,0),"")</f>
        <v>Tania Finn</v>
      </c>
      <c r="C445" s="4" t="str">
        <f>IFERROR(VLOOKUP(A445,'Paste - Mentors'!$A:$D,4,0),"")</f>
        <v>Career Mentor
Leadership Mentor
Technical Mentor</v>
      </c>
      <c r="D445" s="9" t="str">
        <f>IFERROR(VLOOKUP(A445,'Paste - Mentors'!$A:$F,6,0),"")</f>
        <v>RMB</v>
      </c>
      <c r="E445" s="9" t="str">
        <f>IFERROR(VLOOKUP(A445,'Paste - Mentors'!$A:$E,5,0),"")</f>
        <v>South Africa</v>
      </c>
      <c r="F445" s="9">
        <f>IF(A445="","",COUNTIFS('Paste - Relationships'!$A:$A,A445,'Paste - Relationships'!$AE:$AE,""))</f>
        <v>1</v>
      </c>
      <c r="G445" s="9" t="str">
        <f t="shared" si="6"/>
        <v>Has Capacity</v>
      </c>
      <c r="H445" s="9" t="str">
        <f>IF(A445="","",IF(COUNTIF('Programme Mentors'!$A:$A,A445)&gt;0,"Enrolled","—"))</f>
        <v>—</v>
      </c>
    </row>
    <row r="446" spans="1:8" ht="57" customHeight="1" x14ac:dyDescent="0.3">
      <c r="A446" s="43">
        <f>'Paste - Mentors'!A446</f>
        <v>4709179</v>
      </c>
      <c r="B446" s="3" t="str">
        <f>IFERROR(VLOOKUP(A446,'Paste - Mentors'!$A:$B,2,0),"")</f>
        <v>Elaine Knoetsec</v>
      </c>
      <c r="C446" s="3" t="str">
        <f>IFERROR(VLOOKUP(A446,'Paste - Mentors'!$A:$D,4,0),"")</f>
        <v>Career Mentor</v>
      </c>
      <c r="D446" s="43" t="str">
        <f>IFERROR(VLOOKUP(A446,'Paste - Mentors'!$A:$F,6,0),"")</f>
        <v>FNB</v>
      </c>
      <c r="E446" s="43" t="str">
        <f>IFERROR(VLOOKUP(A446,'Paste - Mentors'!$A:$E,5,0),"")</f>
        <v>South Africa</v>
      </c>
      <c r="F446" s="43">
        <f>IF(A446="","",COUNTIFS('Paste - Relationships'!$A:$A,A446,'Paste - Relationships'!$AE:$AE,""))</f>
        <v>1</v>
      </c>
      <c r="G446" s="43" t="str">
        <f t="shared" si="6"/>
        <v>Has Capacity</v>
      </c>
      <c r="H446" s="43" t="str">
        <f>IF(A446="","",IF(COUNTIF('Programme Mentors'!$A:$A,A446)&gt;0,"Enrolled","—"))</f>
        <v>—</v>
      </c>
    </row>
    <row r="447" spans="1:8" ht="14.25" customHeight="1" x14ac:dyDescent="0.3">
      <c r="A447" s="9">
        <f>'Paste - Mentors'!A447</f>
        <v>4709802</v>
      </c>
      <c r="B447" s="4" t="str">
        <f>IFERROR(VLOOKUP(A447,'Paste - Mentors'!$A:$B,2,0),"")</f>
        <v>Themba Dube</v>
      </c>
      <c r="C447" s="4" t="str">
        <f>IFERROR(VLOOKUP(A447,'Paste - Mentors'!$A:$D,4,0),"")</f>
        <v>Career Mentor</v>
      </c>
      <c r="D447" s="9" t="str">
        <f>IFERROR(VLOOKUP(A447,'Paste - Mentors'!$A:$F,6,0),"")</f>
        <v>FNB</v>
      </c>
      <c r="E447" s="9" t="str">
        <f>IFERROR(VLOOKUP(A447,'Paste - Mentors'!$A:$E,5,0),"")</f>
        <v>South Africa</v>
      </c>
      <c r="F447" s="9">
        <f>IF(A447="","",COUNTIFS('Paste - Relationships'!$A:$A,A447,'Paste - Relationships'!$AE:$AE,""))</f>
        <v>0</v>
      </c>
      <c r="G447" s="9" t="str">
        <f t="shared" si="6"/>
        <v>Available</v>
      </c>
      <c r="H447" s="9" t="str">
        <f>IF(A447="","",IF(COUNTIF('Programme Mentors'!$A:$A,A447)&gt;0,"Enrolled","—"))</f>
        <v>—</v>
      </c>
    </row>
    <row r="448" spans="1:8" ht="14.25" customHeight="1" x14ac:dyDescent="0.3">
      <c r="A448" s="43">
        <f>'Paste - Mentors'!A448</f>
        <v>4711289</v>
      </c>
      <c r="B448" s="3" t="str">
        <f>IFERROR(VLOOKUP(A448,'Paste - Mentors'!$A:$B,2,0),"")</f>
        <v>Gcebile Nkosi</v>
      </c>
      <c r="C448" s="3" t="str">
        <f>IFERROR(VLOOKUP(A448,'Paste - Mentors'!$A:$D,4,0),"")</f>
        <v>Career Mentor</v>
      </c>
      <c r="D448" s="43" t="str">
        <f>IFERROR(VLOOKUP(A448,'Paste - Mentors'!$A:$F,6,0),"")</f>
        <v>FNB</v>
      </c>
      <c r="E448" s="43" t="str">
        <f>IFERROR(VLOOKUP(A448,'Paste - Mentors'!$A:$E,5,0),"")</f>
        <v>South Africa</v>
      </c>
      <c r="F448" s="43">
        <f>IF(A448="","",COUNTIFS('Paste - Relationships'!$A:$A,A448,'Paste - Relationships'!$AE:$AE,""))</f>
        <v>0</v>
      </c>
      <c r="G448" s="43" t="str">
        <f t="shared" si="6"/>
        <v>Available</v>
      </c>
      <c r="H448" s="43" t="str">
        <f>IF(A448="","",IF(COUNTIF('Programme Mentors'!$A:$A,A448)&gt;0,"Enrolled","—"))</f>
        <v>—</v>
      </c>
    </row>
    <row r="449" spans="1:8" ht="14.25" customHeight="1" x14ac:dyDescent="0.3">
      <c r="A449" s="9">
        <f>'Paste - Mentors'!A449</f>
        <v>4711815</v>
      </c>
      <c r="B449" s="4" t="str">
        <f>IFERROR(VLOOKUP(A449,'Paste - Mentors'!$A:$B,2,0),"")</f>
        <v>Aslam Khan</v>
      </c>
      <c r="C449" s="4" t="str">
        <f>IFERROR(VLOOKUP(A449,'Paste - Mentors'!$A:$D,4,0),"")</f>
        <v>Career Mentor</v>
      </c>
      <c r="D449" s="9" t="str">
        <f>IFERROR(VLOOKUP(A449,'Paste - Mentors'!$A:$F,6,0),"")</f>
        <v>FNB</v>
      </c>
      <c r="E449" s="9" t="str">
        <f>IFERROR(VLOOKUP(A449,'Paste - Mentors'!$A:$E,5,0),"")</f>
        <v>South Africa</v>
      </c>
      <c r="F449" s="9">
        <f>IF(A449="","",COUNTIFS('Paste - Relationships'!$A:$A,A449,'Paste - Relationships'!$AE:$AE,""))</f>
        <v>0</v>
      </c>
      <c r="G449" s="9" t="str">
        <f t="shared" si="6"/>
        <v>Available</v>
      </c>
      <c r="H449" s="9" t="str">
        <f>IF(A449="","",IF(COUNTIF('Programme Mentors'!$A:$A,A449)&gt;0,"Enrolled","—"))</f>
        <v>—</v>
      </c>
    </row>
    <row r="450" spans="1:8" ht="14.25" customHeight="1" x14ac:dyDescent="0.3">
      <c r="A450" s="43">
        <f>'Paste - Mentors'!A450</f>
        <v>4712625</v>
      </c>
      <c r="B450" s="3" t="str">
        <f>IFERROR(VLOOKUP(A450,'Paste - Mentors'!$A:$B,2,0),"")</f>
        <v>Nokuphila Nkwanyana</v>
      </c>
      <c r="C450" s="3" t="str">
        <f>IFERROR(VLOOKUP(A450,'Paste - Mentors'!$A:$D,4,0),"")</f>
        <v>Career Mentor</v>
      </c>
      <c r="D450" s="43" t="str">
        <f>IFERROR(VLOOKUP(A450,'Paste - Mentors'!$A:$F,6,0),"")</f>
        <v>FNB</v>
      </c>
      <c r="E450" s="43" t="str">
        <f>IFERROR(VLOOKUP(A450,'Paste - Mentors'!$A:$E,5,0),"")</f>
        <v>South Africa</v>
      </c>
      <c r="F450" s="43">
        <f>IF(A450="","",COUNTIFS('Paste - Relationships'!$A:$A,A450,'Paste - Relationships'!$AE:$AE,""))</f>
        <v>0</v>
      </c>
      <c r="G450" s="43" t="str">
        <f t="shared" si="6"/>
        <v>Available</v>
      </c>
      <c r="H450" s="43" t="str">
        <f>IF(A450="","",IF(COUNTIF('Programme Mentors'!$A:$A,A450)&gt;0,"Enrolled","—"))</f>
        <v>—</v>
      </c>
    </row>
    <row r="451" spans="1:8" ht="14.25" customHeight="1" x14ac:dyDescent="0.3">
      <c r="A451" s="9">
        <f>'Paste - Mentors'!A451</f>
        <v>4714407</v>
      </c>
      <c r="B451" s="4" t="str">
        <f>IFERROR(VLOOKUP(A451,'Paste - Mentors'!$A:$B,2,0),"")</f>
        <v>Nomvula Mzila</v>
      </c>
      <c r="C451" s="4" t="str">
        <f>IFERROR(VLOOKUP(A451,'Paste - Mentors'!$A:$D,4,0),"")</f>
        <v>Career Mentor</v>
      </c>
      <c r="D451" s="9" t="str">
        <f>IFERROR(VLOOKUP(A451,'Paste - Mentors'!$A:$F,6,0),"")</f>
        <v>FNB</v>
      </c>
      <c r="E451" s="9" t="str">
        <f>IFERROR(VLOOKUP(A451,'Paste - Mentors'!$A:$E,5,0),"")</f>
        <v>South Africa</v>
      </c>
      <c r="F451" s="9">
        <f>IF(A451="","",COUNTIFS('Paste - Relationships'!$A:$A,A451,'Paste - Relationships'!$AE:$AE,""))</f>
        <v>0</v>
      </c>
      <c r="G451" s="9" t="str">
        <f t="shared" si="6"/>
        <v>Available</v>
      </c>
      <c r="H451" s="9" t="str">
        <f>IF(A451="","",IF(COUNTIF('Programme Mentors'!$A:$A,A451)&gt;0,"Enrolled","—"))</f>
        <v>—</v>
      </c>
    </row>
    <row r="452" spans="1:8" ht="14.25" customHeight="1" x14ac:dyDescent="0.3">
      <c r="A452" s="43">
        <f>'Paste - Mentors'!A452</f>
        <v>4714644</v>
      </c>
      <c r="B452" s="3" t="str">
        <f>IFERROR(VLOOKUP(A452,'Paste - Mentors'!$A:$B,2,0),"")</f>
        <v>Darpana Vallabh</v>
      </c>
      <c r="C452" s="3" t="str">
        <f>IFERROR(VLOOKUP(A452,'Paste - Mentors'!$A:$D,4,0),"")</f>
        <v>Career Mentor</v>
      </c>
      <c r="D452" s="43" t="str">
        <f>IFERROR(VLOOKUP(A452,'Paste - Mentors'!$A:$F,6,0),"")</f>
        <v>FNB</v>
      </c>
      <c r="E452" s="43" t="str">
        <f>IFERROR(VLOOKUP(A452,'Paste - Mentors'!$A:$E,5,0),"")</f>
        <v>South Africa</v>
      </c>
      <c r="F452" s="43">
        <f>IF(A452="","",COUNTIFS('Paste - Relationships'!$A:$A,A452,'Paste - Relationships'!$AE:$AE,""))</f>
        <v>0</v>
      </c>
      <c r="G452" s="43" t="str">
        <f t="shared" ref="G452:G515" si="7">IF(A452="","",IF(F452&gt;=3,"At Capacity",IF(F452=0,"Available","Has Capacity")))</f>
        <v>Available</v>
      </c>
      <c r="H452" s="43" t="str">
        <f>IF(A452="","",IF(COUNTIF('Programme Mentors'!$A:$A,A452)&gt;0,"Enrolled","—"))</f>
        <v>—</v>
      </c>
    </row>
    <row r="453" spans="1:8" ht="14.25" customHeight="1" x14ac:dyDescent="0.3">
      <c r="A453" s="9">
        <f>'Paste - Mentors'!A453</f>
        <v>4715462</v>
      </c>
      <c r="B453" s="4" t="str">
        <f>IFERROR(VLOOKUP(A453,'Paste - Mentors'!$A:$B,2,0),"")</f>
        <v>Charles Davids</v>
      </c>
      <c r="C453" s="4">
        <f>IFERROR(VLOOKUP(A453,'Paste - Mentors'!$A:$D,4,0),"")</f>
        <v>0</v>
      </c>
      <c r="D453" s="9" t="str">
        <f>IFERROR(VLOOKUP(A453,'Paste - Mentors'!$A:$F,6,0),"")</f>
        <v>FNB</v>
      </c>
      <c r="E453" s="9" t="str">
        <f>IFERROR(VLOOKUP(A453,'Paste - Mentors'!$A:$E,5,0),"")</f>
        <v>South Africa</v>
      </c>
      <c r="F453" s="9">
        <f>IF(A453="","",COUNTIFS('Paste - Relationships'!$A:$A,A453,'Paste - Relationships'!$AE:$AE,""))</f>
        <v>0</v>
      </c>
      <c r="G453" s="9" t="str">
        <f t="shared" si="7"/>
        <v>Available</v>
      </c>
      <c r="H453" s="9" t="str">
        <f>IF(A453="","",IF(COUNTIF('Programme Mentors'!$A:$A,A453)&gt;0,"Enrolled","—"))</f>
        <v>—</v>
      </c>
    </row>
    <row r="454" spans="1:8" ht="14.25" customHeight="1" x14ac:dyDescent="0.3">
      <c r="A454" s="43">
        <f>'Paste - Mentors'!A454</f>
        <v>4719174</v>
      </c>
      <c r="B454" s="3" t="str">
        <f>IFERROR(VLOOKUP(A454,'Paste - Mentors'!$A:$B,2,0),"")</f>
        <v>Tendani Mphidi</v>
      </c>
      <c r="C454" s="3" t="str">
        <f>IFERROR(VLOOKUP(A454,'Paste - Mentors'!$A:$D,4,0),"")</f>
        <v>Career Mentor</v>
      </c>
      <c r="D454" s="43" t="str">
        <f>IFERROR(VLOOKUP(A454,'Paste - Mentors'!$A:$F,6,0),"")</f>
        <v>FNB</v>
      </c>
      <c r="E454" s="43" t="str">
        <f>IFERROR(VLOOKUP(A454,'Paste - Mentors'!$A:$E,5,0),"")</f>
        <v>South Africa</v>
      </c>
      <c r="F454" s="43">
        <f>IF(A454="","",COUNTIFS('Paste - Relationships'!$A:$A,A454,'Paste - Relationships'!$AE:$AE,""))</f>
        <v>0</v>
      </c>
      <c r="G454" s="43" t="str">
        <f t="shared" si="7"/>
        <v>Available</v>
      </c>
      <c r="H454" s="43" t="str">
        <f>IF(A454="","",IF(COUNTIF('Programme Mentors'!$A:$A,A454)&gt;0,"Enrolled","—"))</f>
        <v>—</v>
      </c>
    </row>
    <row r="455" spans="1:8" ht="14.25" customHeight="1" x14ac:dyDescent="0.3">
      <c r="A455" s="9">
        <f>'Paste - Mentors'!A455</f>
        <v>4726693</v>
      </c>
      <c r="B455" s="4" t="str">
        <f>IFERROR(VLOOKUP(A455,'Paste - Mentors'!$A:$B,2,0),"")</f>
        <v>Maele Masibi</v>
      </c>
      <c r="C455" s="4" t="str">
        <f>IFERROR(VLOOKUP(A455,'Paste - Mentors'!$A:$D,4,0),"")</f>
        <v>Career Mentor</v>
      </c>
      <c r="D455" s="9" t="str">
        <f>IFERROR(VLOOKUP(A455,'Paste - Mentors'!$A:$F,6,0),"")</f>
        <v>FNB</v>
      </c>
      <c r="E455" s="9" t="str">
        <f>IFERROR(VLOOKUP(A455,'Paste - Mentors'!$A:$E,5,0),"")</f>
        <v>South Africa</v>
      </c>
      <c r="F455" s="9">
        <f>IF(A455="","",COUNTIFS('Paste - Relationships'!$A:$A,A455,'Paste - Relationships'!$AE:$AE,""))</f>
        <v>0</v>
      </c>
      <c r="G455" s="9" t="str">
        <f t="shared" si="7"/>
        <v>Available</v>
      </c>
      <c r="H455" s="9" t="str">
        <f>IF(A455="","",IF(COUNTIF('Programme Mentors'!$A:$A,A455)&gt;0,"Enrolled","—"))</f>
        <v>—</v>
      </c>
    </row>
    <row r="456" spans="1:8" ht="14.25" customHeight="1" x14ac:dyDescent="0.3">
      <c r="A456" s="43">
        <f>'Paste - Mentors'!A456</f>
        <v>4726960</v>
      </c>
      <c r="B456" s="3" t="str">
        <f>IFERROR(VLOOKUP(A456,'Paste - Mentors'!$A:$B,2,0),"")</f>
        <v>Michelle Potgieter</v>
      </c>
      <c r="C456" s="3" t="str">
        <f>IFERROR(VLOOKUP(A456,'Paste - Mentors'!$A:$D,4,0),"")</f>
        <v>Career Mentor</v>
      </c>
      <c r="D456" s="43" t="str">
        <f>IFERROR(VLOOKUP(A456,'Paste - Mentors'!$A:$F,6,0),"")</f>
        <v>FNB</v>
      </c>
      <c r="E456" s="43" t="str">
        <f>IFERROR(VLOOKUP(A456,'Paste - Mentors'!$A:$E,5,0),"")</f>
        <v>South Africa</v>
      </c>
      <c r="F456" s="43">
        <f>IF(A456="","",COUNTIFS('Paste - Relationships'!$A:$A,A456,'Paste - Relationships'!$AE:$AE,""))</f>
        <v>0</v>
      </c>
      <c r="G456" s="43" t="str">
        <f t="shared" si="7"/>
        <v>Available</v>
      </c>
      <c r="H456" s="43" t="str">
        <f>IF(A456="","",IF(COUNTIF('Programme Mentors'!$A:$A,A456)&gt;0,"Enrolled","—"))</f>
        <v>—</v>
      </c>
    </row>
    <row r="457" spans="1:8" ht="14.25" customHeight="1" x14ac:dyDescent="0.3">
      <c r="A457" s="9">
        <f>'Paste - Mentors'!A457</f>
        <v>4731026</v>
      </c>
      <c r="B457" s="4" t="str">
        <f>IFERROR(VLOOKUP(A457,'Paste - Mentors'!$A:$B,2,0),"")</f>
        <v>Mpho Mogoba</v>
      </c>
      <c r="C457" s="4" t="str">
        <f>IFERROR(VLOOKUP(A457,'Paste - Mentors'!$A:$D,4,0),"")</f>
        <v>Career Mentor</v>
      </c>
      <c r="D457" s="9" t="str">
        <f>IFERROR(VLOOKUP(A457,'Paste - Mentors'!$A:$F,6,0),"")</f>
        <v>FNB</v>
      </c>
      <c r="E457" s="9" t="str">
        <f>IFERROR(VLOOKUP(A457,'Paste - Mentors'!$A:$E,5,0),"")</f>
        <v>South Africa</v>
      </c>
      <c r="F457" s="9">
        <f>IF(A457="","",COUNTIFS('Paste - Relationships'!$A:$A,A457,'Paste - Relationships'!$AE:$AE,""))</f>
        <v>0</v>
      </c>
      <c r="G457" s="9" t="str">
        <f t="shared" si="7"/>
        <v>Available</v>
      </c>
      <c r="H457" s="9" t="str">
        <f>IF(A457="","",IF(COUNTIF('Programme Mentors'!$A:$A,A457)&gt;0,"Enrolled","—"))</f>
        <v>—</v>
      </c>
    </row>
    <row r="458" spans="1:8" ht="14.25" customHeight="1" x14ac:dyDescent="0.3">
      <c r="A458" s="43">
        <f>'Paste - Mentors'!A458</f>
        <v>4735331</v>
      </c>
      <c r="B458" s="3" t="str">
        <f>IFERROR(VLOOKUP(A458,'Paste - Mentors'!$A:$B,2,0),"")</f>
        <v>Steven Routledge</v>
      </c>
      <c r="C458" s="3" t="str">
        <f>IFERROR(VLOOKUP(A458,'Paste - Mentors'!$A:$D,4,0),"")</f>
        <v>Career Mentor</v>
      </c>
      <c r="D458" s="43" t="str">
        <f>IFERROR(VLOOKUP(A458,'Paste - Mentors'!$A:$F,6,0),"")</f>
        <v>FirstRand Corporate Centre</v>
      </c>
      <c r="E458" s="43" t="str">
        <f>IFERROR(VLOOKUP(A458,'Paste - Mentors'!$A:$E,5,0),"")</f>
        <v>South Africa</v>
      </c>
      <c r="F458" s="43">
        <f>IF(A458="","",COUNTIFS('Paste - Relationships'!$A:$A,A458,'Paste - Relationships'!$AE:$AE,""))</f>
        <v>1</v>
      </c>
      <c r="G458" s="43" t="str">
        <f t="shared" si="7"/>
        <v>Has Capacity</v>
      </c>
      <c r="H458" s="43" t="str">
        <f>IF(A458="","",IF(COUNTIF('Programme Mentors'!$A:$A,A458)&gt;0,"Enrolled","—"))</f>
        <v>—</v>
      </c>
    </row>
    <row r="459" spans="1:8" ht="33.75" customHeight="1" x14ac:dyDescent="0.3">
      <c r="A459" s="9">
        <f>'Paste - Mentors'!A459</f>
        <v>4735897</v>
      </c>
      <c r="B459" s="4" t="str">
        <f>IFERROR(VLOOKUP(A459,'Paste - Mentors'!$A:$B,2,0),"")</f>
        <v>Bertus Huisman</v>
      </c>
      <c r="C459" s="4" t="str">
        <f>IFERROR(VLOOKUP(A459,'Paste - Mentors'!$A:$D,4,0),"")</f>
        <v>Career Mentor
Leadership Mentor
Technical Mentor
Transition Mentor
Workplace  Buddy
Z2-Programme Mentor (HC Managed)</v>
      </c>
      <c r="D459" s="9" t="str">
        <f>IFERROR(VLOOKUP(A459,'Paste - Mentors'!$A:$F,6,0),"")</f>
        <v>RMB</v>
      </c>
      <c r="E459" s="9" t="str">
        <f>IFERROR(VLOOKUP(A459,'Paste - Mentors'!$A:$E,5,0),"")</f>
        <v>South Africa</v>
      </c>
      <c r="F459" s="9">
        <f>IF(A459="","",COUNTIFS('Paste - Relationships'!$A:$A,A459,'Paste - Relationships'!$AE:$AE,""))</f>
        <v>0</v>
      </c>
      <c r="G459" s="9" t="str">
        <f t="shared" si="7"/>
        <v>Available</v>
      </c>
      <c r="H459" s="9" t="str">
        <f>IF(A459="","",IF(COUNTIF('Programme Mentors'!$A:$A,A459)&gt;0,"Enrolled","—"))</f>
        <v>—</v>
      </c>
    </row>
    <row r="460" spans="1:8" ht="125.25" customHeight="1" x14ac:dyDescent="0.3">
      <c r="A460" s="43">
        <f>'Paste - Mentors'!A460</f>
        <v>4737326</v>
      </c>
      <c r="B460" s="3" t="str">
        <f>IFERROR(VLOOKUP(A460,'Paste - Mentors'!$A:$B,2,0),"")</f>
        <v>Ulrich Van Wijngaarden</v>
      </c>
      <c r="C460" s="3" t="str">
        <f>IFERROR(VLOOKUP(A460,'Paste - Mentors'!$A:$D,4,0),"")</f>
        <v>Career Mentor</v>
      </c>
      <c r="D460" s="43" t="str">
        <f>IFERROR(VLOOKUP(A460,'Paste - Mentors'!$A:$F,6,0),"")</f>
        <v>FNB</v>
      </c>
      <c r="E460" s="43" t="str">
        <f>IFERROR(VLOOKUP(A460,'Paste - Mentors'!$A:$E,5,0),"")</f>
        <v>South Africa</v>
      </c>
      <c r="F460" s="43">
        <f>IF(A460="","",COUNTIFS('Paste - Relationships'!$A:$A,A460,'Paste - Relationships'!$AE:$AE,""))</f>
        <v>0</v>
      </c>
      <c r="G460" s="43" t="str">
        <f t="shared" si="7"/>
        <v>Available</v>
      </c>
      <c r="H460" s="43" t="str">
        <f>IF(A460="","",IF(COUNTIF('Programme Mentors'!$A:$A,A460)&gt;0,"Enrolled","—"))</f>
        <v>—</v>
      </c>
    </row>
    <row r="461" spans="1:8" ht="14.25" customHeight="1" x14ac:dyDescent="0.3">
      <c r="A461" s="9">
        <f>'Paste - Mentors'!A461</f>
        <v>4739116</v>
      </c>
      <c r="B461" s="4" t="str">
        <f>IFERROR(VLOOKUP(A461,'Paste - Mentors'!$A:$B,2,0),"")</f>
        <v>Rethabile Tsekedi</v>
      </c>
      <c r="C461" s="4" t="str">
        <f>IFERROR(VLOOKUP(A461,'Paste - Mentors'!$A:$D,4,0),"")</f>
        <v>Career Mentor
Leadership Mentor
Workplace  Buddy</v>
      </c>
      <c r="D461" s="9" t="str">
        <f>IFERROR(VLOOKUP(A461,'Paste - Mentors'!$A:$F,6,0),"")</f>
        <v>FirstRand Corporate Centre</v>
      </c>
      <c r="E461" s="9" t="str">
        <f>IFERROR(VLOOKUP(A461,'Paste - Mentors'!$A:$E,5,0),"")</f>
        <v>South Africa</v>
      </c>
      <c r="F461" s="9">
        <f>IF(A461="","",COUNTIFS('Paste - Relationships'!$A:$A,A461,'Paste - Relationships'!$AE:$AE,""))</f>
        <v>1</v>
      </c>
      <c r="G461" s="9" t="str">
        <f t="shared" si="7"/>
        <v>Has Capacity</v>
      </c>
      <c r="H461" s="9" t="str">
        <f>IF(A461="","",IF(COUNTIF('Programme Mentors'!$A:$A,A461)&gt;0,"Enrolled","—"))</f>
        <v>—</v>
      </c>
    </row>
    <row r="462" spans="1:8" ht="57" customHeight="1" x14ac:dyDescent="0.3">
      <c r="A462" s="43">
        <f>'Paste - Mentors'!A462</f>
        <v>4739833</v>
      </c>
      <c r="B462" s="3" t="str">
        <f>IFERROR(VLOOKUP(A462,'Paste - Mentors'!$A:$B,2,0),"")</f>
        <v>Serena Gounden</v>
      </c>
      <c r="C462" s="3" t="str">
        <f>IFERROR(VLOOKUP(A462,'Paste - Mentors'!$A:$D,4,0),"")</f>
        <v>Leadership Mentor
Technical Mentor</v>
      </c>
      <c r="D462" s="43" t="str">
        <f>IFERROR(VLOOKUP(A462,'Paste - Mentors'!$A:$F,6,0),"")</f>
        <v>FNB</v>
      </c>
      <c r="E462" s="43" t="str">
        <f>IFERROR(VLOOKUP(A462,'Paste - Mentors'!$A:$E,5,0),"")</f>
        <v>South Africa</v>
      </c>
      <c r="F462" s="43">
        <f>IF(A462="","",COUNTIFS('Paste - Relationships'!$A:$A,A462,'Paste - Relationships'!$AE:$AE,""))</f>
        <v>0</v>
      </c>
      <c r="G462" s="43" t="str">
        <f t="shared" si="7"/>
        <v>Available</v>
      </c>
      <c r="H462" s="43" t="str">
        <f>IF(A462="","",IF(COUNTIF('Programme Mentors'!$A:$A,A462)&gt;0,"Enrolled","—"))</f>
        <v>—</v>
      </c>
    </row>
    <row r="463" spans="1:8" ht="33.75" customHeight="1" x14ac:dyDescent="0.3">
      <c r="A463" s="9">
        <f>'Paste - Mentors'!A463</f>
        <v>4740459</v>
      </c>
      <c r="B463" s="4" t="str">
        <f>IFERROR(VLOOKUP(A463,'Paste - Mentors'!$A:$B,2,0),"")</f>
        <v>Ramadimetja Sebola</v>
      </c>
      <c r="C463" s="4" t="str">
        <f>IFERROR(VLOOKUP(A463,'Paste - Mentors'!$A:$D,4,0),"")</f>
        <v>Career Mentor
Workplace  Buddy</v>
      </c>
      <c r="D463" s="9" t="str">
        <f>IFERROR(VLOOKUP(A463,'Paste - Mentors'!$A:$F,6,0),"")</f>
        <v>FNB</v>
      </c>
      <c r="E463" s="9" t="str">
        <f>IFERROR(VLOOKUP(A463,'Paste - Mentors'!$A:$E,5,0),"")</f>
        <v>South Africa</v>
      </c>
      <c r="F463" s="9">
        <f>IF(A463="","",COUNTIFS('Paste - Relationships'!$A:$A,A463,'Paste - Relationships'!$AE:$AE,""))</f>
        <v>0</v>
      </c>
      <c r="G463" s="9" t="str">
        <f t="shared" si="7"/>
        <v>Available</v>
      </c>
      <c r="H463" s="9" t="str">
        <f>IF(A463="","",IF(COUNTIF('Programme Mentors'!$A:$A,A463)&gt;0,"Enrolled","—"))</f>
        <v>—</v>
      </c>
    </row>
    <row r="464" spans="1:8" ht="33.75" customHeight="1" x14ac:dyDescent="0.3">
      <c r="A464" s="43">
        <f>'Paste - Mentors'!A464</f>
        <v>4741617</v>
      </c>
      <c r="B464" s="3" t="str">
        <f>IFERROR(VLOOKUP(A464,'Paste - Mentors'!$A:$B,2,0),"")</f>
        <v>Bina Rowjee</v>
      </c>
      <c r="C464" s="3" t="str">
        <f>IFERROR(VLOOKUP(A464,'Paste - Mentors'!$A:$D,4,0),"")</f>
        <v>Career Mentor</v>
      </c>
      <c r="D464" s="43" t="str">
        <f>IFERROR(VLOOKUP(A464,'Paste - Mentors'!$A:$F,6,0),"")</f>
        <v>FNB</v>
      </c>
      <c r="E464" s="43" t="str">
        <f>IFERROR(VLOOKUP(A464,'Paste - Mentors'!$A:$E,5,0),"")</f>
        <v>South Africa</v>
      </c>
      <c r="F464" s="43">
        <f>IF(A464="","",COUNTIFS('Paste - Relationships'!$A:$A,A464,'Paste - Relationships'!$AE:$AE,""))</f>
        <v>0</v>
      </c>
      <c r="G464" s="43" t="str">
        <f t="shared" si="7"/>
        <v>Available</v>
      </c>
      <c r="H464" s="43" t="str">
        <f>IF(A464="","",IF(COUNTIF('Programme Mentors'!$A:$A,A464)&gt;0,"Enrolled","—"))</f>
        <v>—</v>
      </c>
    </row>
    <row r="465" spans="1:8" ht="14.25" customHeight="1" x14ac:dyDescent="0.3">
      <c r="A465" s="9">
        <f>'Paste - Mentors'!A465</f>
        <v>4742192</v>
      </c>
      <c r="B465" s="4" t="str">
        <f>IFERROR(VLOOKUP(A465,'Paste - Mentors'!$A:$B,2,0),"")</f>
        <v>Mduduzi Sirayi</v>
      </c>
      <c r="C465" s="4" t="str">
        <f>IFERROR(VLOOKUP(A465,'Paste - Mentors'!$A:$D,4,0),"")</f>
        <v>Career Mentor
Technical Mentor</v>
      </c>
      <c r="D465" s="9" t="str">
        <f>IFERROR(VLOOKUP(A465,'Paste - Mentors'!$A:$F,6,0),"")</f>
        <v>FNB</v>
      </c>
      <c r="E465" s="9" t="str">
        <f>IFERROR(VLOOKUP(A465,'Paste - Mentors'!$A:$E,5,0),"")</f>
        <v>South Africa</v>
      </c>
      <c r="F465" s="9">
        <f>IF(A465="","",COUNTIFS('Paste - Relationships'!$A:$A,A465,'Paste - Relationships'!$AE:$AE,""))</f>
        <v>0</v>
      </c>
      <c r="G465" s="9" t="str">
        <f t="shared" si="7"/>
        <v>Available</v>
      </c>
      <c r="H465" s="9" t="str">
        <f>IF(A465="","",IF(COUNTIF('Programme Mentors'!$A:$A,A465)&gt;0,"Enrolled","—"))</f>
        <v>—</v>
      </c>
    </row>
    <row r="466" spans="1:8" ht="33.75" customHeight="1" x14ac:dyDescent="0.3">
      <c r="A466" s="43">
        <f>'Paste - Mentors'!A466</f>
        <v>4743369</v>
      </c>
      <c r="B466" s="3" t="str">
        <f>IFERROR(VLOOKUP(A466,'Paste - Mentors'!$A:$B,2,0),"")</f>
        <v>Brandon Lottering</v>
      </c>
      <c r="C466" s="3" t="str">
        <f>IFERROR(VLOOKUP(A466,'Paste - Mentors'!$A:$D,4,0),"")</f>
        <v>Career Mentor</v>
      </c>
      <c r="D466" s="43" t="str">
        <f>IFERROR(VLOOKUP(A466,'Paste - Mentors'!$A:$F,6,0),"")</f>
        <v>FNB</v>
      </c>
      <c r="E466" s="43" t="str">
        <f>IFERROR(VLOOKUP(A466,'Paste - Mentors'!$A:$E,5,0),"")</f>
        <v>South Africa</v>
      </c>
      <c r="F466" s="43">
        <f>IF(A466="","",COUNTIFS('Paste - Relationships'!$A:$A,A466,'Paste - Relationships'!$AE:$AE,""))</f>
        <v>0</v>
      </c>
      <c r="G466" s="43" t="str">
        <f t="shared" si="7"/>
        <v>Available</v>
      </c>
      <c r="H466" s="43" t="str">
        <f>IF(A466="","",IF(COUNTIF('Programme Mentors'!$A:$A,A466)&gt;0,"Enrolled","—"))</f>
        <v>—</v>
      </c>
    </row>
    <row r="467" spans="1:8" ht="14.25" customHeight="1" x14ac:dyDescent="0.3">
      <c r="A467" s="9">
        <f>'Paste - Mentors'!A467</f>
        <v>4745108</v>
      </c>
      <c r="B467" s="4" t="str">
        <f>IFERROR(VLOOKUP(A467,'Paste - Mentors'!$A:$B,2,0),"")</f>
        <v>Grace Mlangeni</v>
      </c>
      <c r="C467" s="4" t="str">
        <f>IFERROR(VLOOKUP(A467,'Paste - Mentors'!$A:$D,4,0),"")</f>
        <v>Career Mentor</v>
      </c>
      <c r="D467" s="9" t="str">
        <f>IFERROR(VLOOKUP(A467,'Paste - Mentors'!$A:$F,6,0),"")</f>
        <v>FNB</v>
      </c>
      <c r="E467" s="9" t="str">
        <f>IFERROR(VLOOKUP(A467,'Paste - Mentors'!$A:$E,5,0),"")</f>
        <v>South Africa</v>
      </c>
      <c r="F467" s="9">
        <f>IF(A467="","",COUNTIFS('Paste - Relationships'!$A:$A,A467,'Paste - Relationships'!$AE:$AE,""))</f>
        <v>0</v>
      </c>
      <c r="G467" s="9" t="str">
        <f t="shared" si="7"/>
        <v>Available</v>
      </c>
      <c r="H467" s="9" t="str">
        <f>IF(A467="","",IF(COUNTIF('Programme Mentors'!$A:$A,A467)&gt;0,"Enrolled","—"))</f>
        <v>—</v>
      </c>
    </row>
    <row r="468" spans="1:8" ht="14.25" customHeight="1" x14ac:dyDescent="0.3">
      <c r="A468" s="43">
        <f>'Paste - Mentors'!A468</f>
        <v>4745876</v>
      </c>
      <c r="B468" s="3" t="str">
        <f>IFERROR(VLOOKUP(A468,'Paste - Mentors'!$A:$B,2,0),"")</f>
        <v>Gloria Qoza</v>
      </c>
      <c r="C468" s="3" t="str">
        <f>IFERROR(VLOOKUP(A468,'Paste - Mentors'!$A:$D,4,0),"")</f>
        <v>Career Mentor</v>
      </c>
      <c r="D468" s="43" t="str">
        <f>IFERROR(VLOOKUP(A468,'Paste - Mentors'!$A:$F,6,0),"")</f>
        <v>FNB</v>
      </c>
      <c r="E468" s="43" t="str">
        <f>IFERROR(VLOOKUP(A468,'Paste - Mentors'!$A:$E,5,0),"")</f>
        <v>South Africa</v>
      </c>
      <c r="F468" s="43">
        <f>IF(A468="","",COUNTIFS('Paste - Relationships'!$A:$A,A468,'Paste - Relationships'!$AE:$AE,""))</f>
        <v>0</v>
      </c>
      <c r="G468" s="43" t="str">
        <f t="shared" si="7"/>
        <v>Available</v>
      </c>
      <c r="H468" s="43" t="str">
        <f>IF(A468="","",IF(COUNTIF('Programme Mentors'!$A:$A,A468)&gt;0,"Enrolled","—"))</f>
        <v>—</v>
      </c>
    </row>
    <row r="469" spans="1:8" ht="14.25" customHeight="1" x14ac:dyDescent="0.3">
      <c r="A469" s="9">
        <f>'Paste - Mentors'!A469</f>
        <v>4751795</v>
      </c>
      <c r="B469" s="4" t="str">
        <f>IFERROR(VLOOKUP(A469,'Paste - Mentors'!$A:$B,2,0),"")</f>
        <v>Molai Mothejoa</v>
      </c>
      <c r="C469" s="4" t="str">
        <f>IFERROR(VLOOKUP(A469,'Paste - Mentors'!$A:$D,4,0),"")</f>
        <v>Z2-Programme Mentor (HC Managed)</v>
      </c>
      <c r="D469" s="9" t="str">
        <f>IFERROR(VLOOKUP(A469,'Paste - Mentors'!$A:$F,6,0),"")</f>
        <v>RMB</v>
      </c>
      <c r="E469" s="9" t="str">
        <f>IFERROR(VLOOKUP(A469,'Paste - Mentors'!$A:$E,5,0),"")</f>
        <v>South Africa</v>
      </c>
      <c r="F469" s="9">
        <f>IF(A469="","",COUNTIFS('Paste - Relationships'!$A:$A,A469,'Paste - Relationships'!$AE:$AE,""))</f>
        <v>0</v>
      </c>
      <c r="G469" s="9" t="str">
        <f t="shared" si="7"/>
        <v>Available</v>
      </c>
      <c r="H469" s="9" t="str">
        <f>IF(A469="","",IF(COUNTIF('Programme Mentors'!$A:$A,A469)&gt;0,"Enrolled","—"))</f>
        <v>—</v>
      </c>
    </row>
    <row r="470" spans="1:8" ht="14.25" customHeight="1" x14ac:dyDescent="0.3">
      <c r="A470" s="43">
        <f>'Paste - Mentors'!A470</f>
        <v>4752929</v>
      </c>
      <c r="B470" s="3" t="str">
        <f>IFERROR(VLOOKUP(A470,'Paste - Mentors'!$A:$B,2,0),"")</f>
        <v>Adrian Tonkin</v>
      </c>
      <c r="C470" s="3" t="str">
        <f>IFERROR(VLOOKUP(A470,'Paste - Mentors'!$A:$D,4,0),"")</f>
        <v>Career Mentor</v>
      </c>
      <c r="D470" s="43" t="str">
        <f>IFERROR(VLOOKUP(A470,'Paste - Mentors'!$A:$F,6,0),"")</f>
        <v>FNB</v>
      </c>
      <c r="E470" s="43" t="str">
        <f>IFERROR(VLOOKUP(A470,'Paste - Mentors'!$A:$E,5,0),"")</f>
        <v>South Africa</v>
      </c>
      <c r="F470" s="43">
        <f>IF(A470="","",COUNTIFS('Paste - Relationships'!$A:$A,A470,'Paste - Relationships'!$AE:$AE,""))</f>
        <v>0</v>
      </c>
      <c r="G470" s="43" t="str">
        <f t="shared" si="7"/>
        <v>Available</v>
      </c>
      <c r="H470" s="43" t="str">
        <f>IF(A470="","",IF(COUNTIF('Programme Mentors'!$A:$A,A470)&gt;0,"Enrolled","—"))</f>
        <v>—</v>
      </c>
    </row>
    <row r="471" spans="1:8" ht="14.25" customHeight="1" x14ac:dyDescent="0.3">
      <c r="A471" s="9">
        <f>'Paste - Mentors'!A471</f>
        <v>4754557</v>
      </c>
      <c r="B471" s="4" t="str">
        <f>IFERROR(VLOOKUP(A471,'Paste - Mentors'!$A:$B,2,0),"")</f>
        <v>Zanele Seshoka</v>
      </c>
      <c r="C471" s="4" t="str">
        <f>IFERROR(VLOOKUP(A471,'Paste - Mentors'!$A:$D,4,0),"")</f>
        <v>Career Mentor</v>
      </c>
      <c r="D471" s="9" t="str">
        <f>IFERROR(VLOOKUP(A471,'Paste - Mentors'!$A:$F,6,0),"")</f>
        <v>FNB</v>
      </c>
      <c r="E471" s="9" t="str">
        <f>IFERROR(VLOOKUP(A471,'Paste - Mentors'!$A:$E,5,0),"")</f>
        <v>South Africa</v>
      </c>
      <c r="F471" s="9">
        <f>IF(A471="","",COUNTIFS('Paste - Relationships'!$A:$A,A471,'Paste - Relationships'!$AE:$AE,""))</f>
        <v>1</v>
      </c>
      <c r="G471" s="9" t="str">
        <f t="shared" si="7"/>
        <v>Has Capacity</v>
      </c>
      <c r="H471" s="9" t="str">
        <f>IF(A471="","",IF(COUNTIF('Programme Mentors'!$A:$A,A471)&gt;0,"Enrolled","—"))</f>
        <v>—</v>
      </c>
    </row>
    <row r="472" spans="1:8" ht="14.25" customHeight="1" x14ac:dyDescent="0.3">
      <c r="A472" s="43">
        <f>'Paste - Mentors'!A472</f>
        <v>4754719</v>
      </c>
      <c r="B472" s="3" t="str">
        <f>IFERROR(VLOOKUP(A472,'Paste - Mentors'!$A:$B,2,0),"")</f>
        <v>Eugene Siyabonga Ntokozo Mbele</v>
      </c>
      <c r="C472" s="3" t="str">
        <f>IFERROR(VLOOKUP(A472,'Paste - Mentors'!$A:$D,4,0),"")</f>
        <v>Career Mentor</v>
      </c>
      <c r="D472" s="43" t="str">
        <f>IFERROR(VLOOKUP(A472,'Paste - Mentors'!$A:$F,6,0),"")</f>
        <v>FNB</v>
      </c>
      <c r="E472" s="43" t="str">
        <f>IFERROR(VLOOKUP(A472,'Paste - Mentors'!$A:$E,5,0),"")</f>
        <v>South Africa</v>
      </c>
      <c r="F472" s="43">
        <f>IF(A472="","",COUNTIFS('Paste - Relationships'!$A:$A,A472,'Paste - Relationships'!$AE:$AE,""))</f>
        <v>0</v>
      </c>
      <c r="G472" s="43" t="str">
        <f t="shared" si="7"/>
        <v>Available</v>
      </c>
      <c r="H472" s="43" t="str">
        <f>IF(A472="","",IF(COUNTIF('Programme Mentors'!$A:$A,A472)&gt;0,"Enrolled","—"))</f>
        <v>—</v>
      </c>
    </row>
    <row r="473" spans="1:8" ht="21.75" customHeight="1" x14ac:dyDescent="0.3">
      <c r="A473" s="9">
        <f>'Paste - Mentors'!A473</f>
        <v>4757173</v>
      </c>
      <c r="B473" s="4" t="str">
        <f>IFERROR(VLOOKUP(A473,'Paste - Mentors'!$A:$B,2,0),"")</f>
        <v>Michelle Padayachee</v>
      </c>
      <c r="C473" s="4" t="str">
        <f>IFERROR(VLOOKUP(A473,'Paste - Mentors'!$A:$D,4,0),"")</f>
        <v>Career Mentor</v>
      </c>
      <c r="D473" s="9" t="str">
        <f>IFERROR(VLOOKUP(A473,'Paste - Mentors'!$A:$F,6,0),"")</f>
        <v>FNB</v>
      </c>
      <c r="E473" s="9" t="str">
        <f>IFERROR(VLOOKUP(A473,'Paste - Mentors'!$A:$E,5,0),"")</f>
        <v>South Africa</v>
      </c>
      <c r="F473" s="9">
        <f>IF(A473="","",COUNTIFS('Paste - Relationships'!$A:$A,A473,'Paste - Relationships'!$AE:$AE,""))</f>
        <v>0</v>
      </c>
      <c r="G473" s="9" t="str">
        <f t="shared" si="7"/>
        <v>Available</v>
      </c>
      <c r="H473" s="9" t="str">
        <f>IF(A473="","",IF(COUNTIF('Programme Mentors'!$A:$A,A473)&gt;0,"Enrolled","—"))</f>
        <v>—</v>
      </c>
    </row>
    <row r="474" spans="1:8" ht="14.25" customHeight="1" x14ac:dyDescent="0.3">
      <c r="A474" s="43">
        <f>'Paste - Mentors'!A474</f>
        <v>4759877</v>
      </c>
      <c r="B474" s="3" t="str">
        <f>IFERROR(VLOOKUP(A474,'Paste - Mentors'!$A:$B,2,0),"")</f>
        <v>Craig Fortuin</v>
      </c>
      <c r="C474" s="3" t="str">
        <f>IFERROR(VLOOKUP(A474,'Paste - Mentors'!$A:$D,4,0),"")</f>
        <v>Career Mentor</v>
      </c>
      <c r="D474" s="43" t="str">
        <f>IFERROR(VLOOKUP(A474,'Paste - Mentors'!$A:$F,6,0),"")</f>
        <v>FNB</v>
      </c>
      <c r="E474" s="43" t="str">
        <f>IFERROR(VLOOKUP(A474,'Paste - Mentors'!$A:$E,5,0),"")</f>
        <v>South Africa</v>
      </c>
      <c r="F474" s="43">
        <f>IF(A474="","",COUNTIFS('Paste - Relationships'!$A:$A,A474,'Paste - Relationships'!$AE:$AE,""))</f>
        <v>0</v>
      </c>
      <c r="G474" s="43" t="str">
        <f t="shared" si="7"/>
        <v>Available</v>
      </c>
      <c r="H474" s="43" t="str">
        <f>IF(A474="","",IF(COUNTIF('Programme Mentors'!$A:$A,A474)&gt;0,"Enrolled","—"))</f>
        <v>—</v>
      </c>
    </row>
    <row r="475" spans="1:8" ht="14.25" customHeight="1" x14ac:dyDescent="0.3">
      <c r="A475" s="9">
        <f>'Paste - Mentors'!A475</f>
        <v>4760611</v>
      </c>
      <c r="B475" s="4" t="str">
        <f>IFERROR(VLOOKUP(A475,'Paste - Mentors'!$A:$B,2,0),"")</f>
        <v>Michael Mabusela</v>
      </c>
      <c r="C475" s="4" t="str">
        <f>IFERROR(VLOOKUP(A475,'Paste - Mentors'!$A:$D,4,0),"")</f>
        <v>Career Mentor</v>
      </c>
      <c r="D475" s="9" t="str">
        <f>IFERROR(VLOOKUP(A475,'Paste - Mentors'!$A:$F,6,0),"")</f>
        <v>FNB</v>
      </c>
      <c r="E475" s="9" t="str">
        <f>IFERROR(VLOOKUP(A475,'Paste - Mentors'!$A:$E,5,0),"")</f>
        <v>South Africa</v>
      </c>
      <c r="F475" s="9">
        <f>IF(A475="","",COUNTIFS('Paste - Relationships'!$A:$A,A475,'Paste - Relationships'!$AE:$AE,""))</f>
        <v>0</v>
      </c>
      <c r="G475" s="9" t="str">
        <f t="shared" si="7"/>
        <v>Available</v>
      </c>
      <c r="H475" s="9" t="str">
        <f>IF(A475="","",IF(COUNTIF('Programme Mentors'!$A:$A,A475)&gt;0,"Enrolled","—"))</f>
        <v>—</v>
      </c>
    </row>
    <row r="476" spans="1:8" ht="14.25" customHeight="1" x14ac:dyDescent="0.3">
      <c r="A476" s="43">
        <f>'Paste - Mentors'!A476</f>
        <v>4762762</v>
      </c>
      <c r="B476" s="3" t="str">
        <f>IFERROR(VLOOKUP(A476,'Paste - Mentors'!$A:$B,2,0),"")</f>
        <v>Shailesh Pillay</v>
      </c>
      <c r="C476" s="3" t="str">
        <f>IFERROR(VLOOKUP(A476,'Paste - Mentors'!$A:$D,4,0),"")</f>
        <v>Career Mentor
Technical Mentor
Z2-Programme Mentor (HC Managed)</v>
      </c>
      <c r="D476" s="43" t="str">
        <f>IFERROR(VLOOKUP(A476,'Paste - Mentors'!$A:$F,6,0),"")</f>
        <v>FirstRand Corporate Centre</v>
      </c>
      <c r="E476" s="43" t="str">
        <f>IFERROR(VLOOKUP(A476,'Paste - Mentors'!$A:$E,5,0),"")</f>
        <v>South Africa</v>
      </c>
      <c r="F476" s="43">
        <f>IF(A476="","",COUNTIFS('Paste - Relationships'!$A:$A,A476,'Paste - Relationships'!$AE:$AE,""))</f>
        <v>0</v>
      </c>
      <c r="G476" s="43" t="str">
        <f t="shared" si="7"/>
        <v>Available</v>
      </c>
      <c r="H476" s="43" t="str">
        <f>IF(A476="","",IF(COUNTIF('Programme Mentors'!$A:$A,A476)&gt;0,"Enrolled","—"))</f>
        <v>—</v>
      </c>
    </row>
    <row r="477" spans="1:8" ht="57" customHeight="1" x14ac:dyDescent="0.3">
      <c r="A477" s="9">
        <f>'Paste - Mentors'!A477</f>
        <v>4763793</v>
      </c>
      <c r="B477" s="4" t="str">
        <f>IFERROR(VLOOKUP(A477,'Paste - Mentors'!$A:$B,2,0),"")</f>
        <v>Angela Bloem</v>
      </c>
      <c r="C477" s="4" t="str">
        <f>IFERROR(VLOOKUP(A477,'Paste - Mentors'!$A:$D,4,0),"")</f>
        <v>Career Mentor</v>
      </c>
      <c r="D477" s="9" t="str">
        <f>IFERROR(VLOOKUP(A477,'Paste - Mentors'!$A:$F,6,0),"")</f>
        <v>FNB</v>
      </c>
      <c r="E477" s="9" t="str">
        <f>IFERROR(VLOOKUP(A477,'Paste - Mentors'!$A:$E,5,0),"")</f>
        <v>South Africa</v>
      </c>
      <c r="F477" s="9">
        <f>IF(A477="","",COUNTIFS('Paste - Relationships'!$A:$A,A477,'Paste - Relationships'!$AE:$AE,""))</f>
        <v>0</v>
      </c>
      <c r="G477" s="9" t="str">
        <f t="shared" si="7"/>
        <v>Available</v>
      </c>
      <c r="H477" s="9" t="str">
        <f>IF(A477="","",IF(COUNTIF('Programme Mentors'!$A:$A,A477)&gt;0,"Enrolled","—"))</f>
        <v>—</v>
      </c>
    </row>
    <row r="478" spans="1:8" ht="14.25" customHeight="1" x14ac:dyDescent="0.3">
      <c r="A478" s="43">
        <f>'Paste - Mentors'!A478</f>
        <v>4764676</v>
      </c>
      <c r="B478" s="3" t="str">
        <f>IFERROR(VLOOKUP(A478,'Paste - Mentors'!$A:$B,2,0),"")</f>
        <v>Morne Van Der Walt</v>
      </c>
      <c r="C478" s="3" t="str">
        <f>IFERROR(VLOOKUP(A478,'Paste - Mentors'!$A:$D,4,0),"")</f>
        <v>Career Mentor</v>
      </c>
      <c r="D478" s="43" t="str">
        <f>IFERROR(VLOOKUP(A478,'Paste - Mentors'!$A:$F,6,0),"")</f>
        <v>FNB</v>
      </c>
      <c r="E478" s="43" t="str">
        <f>IFERROR(VLOOKUP(A478,'Paste - Mentors'!$A:$E,5,0),"")</f>
        <v>South Africa</v>
      </c>
      <c r="F478" s="43">
        <f>IF(A478="","",COUNTIFS('Paste - Relationships'!$A:$A,A478,'Paste - Relationships'!$AE:$AE,""))</f>
        <v>0</v>
      </c>
      <c r="G478" s="43" t="str">
        <f t="shared" si="7"/>
        <v>Available</v>
      </c>
      <c r="H478" s="43" t="str">
        <f>IF(A478="","",IF(COUNTIF('Programme Mentors'!$A:$A,A478)&gt;0,"Enrolled","—"))</f>
        <v>—</v>
      </c>
    </row>
    <row r="479" spans="1:8" ht="14.25" customHeight="1" x14ac:dyDescent="0.3">
      <c r="A479" s="9">
        <f>'Paste - Mentors'!A479</f>
        <v>4765176</v>
      </c>
      <c r="B479" s="4" t="str">
        <f>IFERROR(VLOOKUP(A479,'Paste - Mentors'!$A:$B,2,0),"")</f>
        <v>Busiso Hlatshwayo</v>
      </c>
      <c r="C479" s="4" t="str">
        <f>IFERROR(VLOOKUP(A479,'Paste - Mentors'!$A:$D,4,0),"")</f>
        <v>Career Mentor</v>
      </c>
      <c r="D479" s="9" t="str">
        <f>IFERROR(VLOOKUP(A479,'Paste - Mentors'!$A:$F,6,0),"")</f>
        <v>FNB</v>
      </c>
      <c r="E479" s="9" t="str">
        <f>IFERROR(VLOOKUP(A479,'Paste - Mentors'!$A:$E,5,0),"")</f>
        <v>South Africa</v>
      </c>
      <c r="F479" s="9">
        <f>IF(A479="","",COUNTIFS('Paste - Relationships'!$A:$A,A479,'Paste - Relationships'!$AE:$AE,""))</f>
        <v>0</v>
      </c>
      <c r="G479" s="9" t="str">
        <f t="shared" si="7"/>
        <v>Available</v>
      </c>
      <c r="H479" s="9" t="str">
        <f>IF(A479="","",IF(COUNTIF('Programme Mentors'!$A:$A,A479)&gt;0,"Enrolled","—"))</f>
        <v>—</v>
      </c>
    </row>
    <row r="480" spans="1:8" ht="14.25" customHeight="1" x14ac:dyDescent="0.3">
      <c r="A480" s="43">
        <f>'Paste - Mentors'!A480</f>
        <v>4769198</v>
      </c>
      <c r="B480" s="3" t="str">
        <f>IFERROR(VLOOKUP(A480,'Paste - Mentors'!$A:$B,2,0),"")</f>
        <v>Freddie Muller</v>
      </c>
      <c r="C480" s="3" t="str">
        <f>IFERROR(VLOOKUP(A480,'Paste - Mentors'!$A:$D,4,0),"")</f>
        <v>Career Mentor</v>
      </c>
      <c r="D480" s="43" t="str">
        <f>IFERROR(VLOOKUP(A480,'Paste - Mentors'!$A:$F,6,0),"")</f>
        <v>FNB</v>
      </c>
      <c r="E480" s="43" t="str">
        <f>IFERROR(VLOOKUP(A480,'Paste - Mentors'!$A:$E,5,0),"")</f>
        <v>South Africa</v>
      </c>
      <c r="F480" s="43">
        <f>IF(A480="","",COUNTIFS('Paste - Relationships'!$A:$A,A480,'Paste - Relationships'!$AE:$AE,""))</f>
        <v>0</v>
      </c>
      <c r="G480" s="43" t="str">
        <f t="shared" si="7"/>
        <v>Available</v>
      </c>
      <c r="H480" s="43" t="str">
        <f>IF(A480="","",IF(COUNTIF('Programme Mentors'!$A:$A,A480)&gt;0,"Enrolled","—"))</f>
        <v>—</v>
      </c>
    </row>
    <row r="481" spans="1:8" ht="14.25" customHeight="1" x14ac:dyDescent="0.3">
      <c r="A481" s="9">
        <f>'Paste - Mentors'!A481</f>
        <v>4771281</v>
      </c>
      <c r="B481" s="4" t="str">
        <f>IFERROR(VLOOKUP(A481,'Paste - Mentors'!$A:$B,2,0),"")</f>
        <v>Mitchell Ncube</v>
      </c>
      <c r="C481" s="4" t="str">
        <f>IFERROR(VLOOKUP(A481,'Paste - Mentors'!$A:$D,4,0),"")</f>
        <v>Career Mentor
Transition Mentor</v>
      </c>
      <c r="D481" s="9" t="str">
        <f>IFERROR(VLOOKUP(A481,'Paste - Mentors'!$A:$F,6,0),"")</f>
        <v>FNB</v>
      </c>
      <c r="E481" s="9" t="str">
        <f>IFERROR(VLOOKUP(A481,'Paste - Mentors'!$A:$E,5,0),"")</f>
        <v>South Africa</v>
      </c>
      <c r="F481" s="9">
        <f>IF(A481="","",COUNTIFS('Paste - Relationships'!$A:$A,A481,'Paste - Relationships'!$AE:$AE,""))</f>
        <v>0</v>
      </c>
      <c r="G481" s="9" t="str">
        <f t="shared" si="7"/>
        <v>Available</v>
      </c>
      <c r="H481" s="9" t="str">
        <f>IF(A481="","",IF(COUNTIF('Programme Mentors'!$A:$A,A481)&gt;0,"Enrolled","—"))</f>
        <v>—</v>
      </c>
    </row>
    <row r="482" spans="1:8" ht="33.75" customHeight="1" x14ac:dyDescent="0.3">
      <c r="A482" s="43">
        <f>'Paste - Mentors'!A482</f>
        <v>4773365</v>
      </c>
      <c r="B482" s="3" t="str">
        <f>IFERROR(VLOOKUP(A482,'Paste - Mentors'!$A:$B,2,0),"")</f>
        <v>Tokollo Matsapola</v>
      </c>
      <c r="C482" s="3" t="str">
        <f>IFERROR(VLOOKUP(A482,'Paste - Mentors'!$A:$D,4,0),"")</f>
        <v>Z2-Programme Mentor (HC Managed)</v>
      </c>
      <c r="D482" s="43" t="str">
        <f>IFERROR(VLOOKUP(A482,'Paste - Mentors'!$A:$F,6,0),"")</f>
        <v>RMB</v>
      </c>
      <c r="E482" s="43" t="str">
        <f>IFERROR(VLOOKUP(A482,'Paste - Mentors'!$A:$E,5,0),"")</f>
        <v>South Africa</v>
      </c>
      <c r="F482" s="43">
        <f>IF(A482="","",COUNTIFS('Paste - Relationships'!$A:$A,A482,'Paste - Relationships'!$AE:$AE,""))</f>
        <v>0</v>
      </c>
      <c r="G482" s="43" t="str">
        <f t="shared" si="7"/>
        <v>Available</v>
      </c>
      <c r="H482" s="43" t="str">
        <f>IF(A482="","",IF(COUNTIF('Programme Mentors'!$A:$A,A482)&gt;0,"Enrolled","—"))</f>
        <v>—</v>
      </c>
    </row>
    <row r="483" spans="1:8" ht="14.25" customHeight="1" x14ac:dyDescent="0.3">
      <c r="A483" s="9">
        <f>'Paste - Mentors'!A483</f>
        <v>4774515</v>
      </c>
      <c r="B483" s="4" t="str">
        <f>IFERROR(VLOOKUP(A483,'Paste - Mentors'!$A:$B,2,0),"")</f>
        <v>Jaco Loots</v>
      </c>
      <c r="C483" s="4" t="str">
        <f>IFERROR(VLOOKUP(A483,'Paste - Mentors'!$A:$D,4,0),"")</f>
        <v>Career Mentor
Technical Mentor</v>
      </c>
      <c r="D483" s="9" t="str">
        <f>IFERROR(VLOOKUP(A483,'Paste - Mentors'!$A:$F,6,0),"")</f>
        <v>FNB</v>
      </c>
      <c r="E483" s="9" t="str">
        <f>IFERROR(VLOOKUP(A483,'Paste - Mentors'!$A:$E,5,0),"")</f>
        <v>South Africa</v>
      </c>
      <c r="F483" s="9">
        <f>IF(A483="","",COUNTIFS('Paste - Relationships'!$A:$A,A483,'Paste - Relationships'!$AE:$AE,""))</f>
        <v>0</v>
      </c>
      <c r="G483" s="9" t="str">
        <f t="shared" si="7"/>
        <v>Available</v>
      </c>
      <c r="H483" s="9" t="str">
        <f>IF(A483="","",IF(COUNTIF('Programme Mentors'!$A:$A,A483)&gt;0,"Enrolled","—"))</f>
        <v>—</v>
      </c>
    </row>
    <row r="484" spans="1:8" ht="33.75" customHeight="1" x14ac:dyDescent="0.3">
      <c r="A484" s="43">
        <f>'Paste - Mentors'!A484</f>
        <v>4776690</v>
      </c>
      <c r="B484" s="3" t="str">
        <f>IFERROR(VLOOKUP(A484,'Paste - Mentors'!$A:$B,2,0),"")</f>
        <v>Caryn Bell</v>
      </c>
      <c r="C484" s="3" t="str">
        <f>IFERROR(VLOOKUP(A484,'Paste - Mentors'!$A:$D,4,0),"")</f>
        <v>Career Mentor</v>
      </c>
      <c r="D484" s="43" t="str">
        <f>IFERROR(VLOOKUP(A484,'Paste - Mentors'!$A:$F,6,0),"")</f>
        <v>FNB</v>
      </c>
      <c r="E484" s="43" t="str">
        <f>IFERROR(VLOOKUP(A484,'Paste - Mentors'!$A:$E,5,0),"")</f>
        <v>South Africa</v>
      </c>
      <c r="F484" s="43">
        <f>IF(A484="","",COUNTIFS('Paste - Relationships'!$A:$A,A484,'Paste - Relationships'!$AE:$AE,""))</f>
        <v>1</v>
      </c>
      <c r="G484" s="43" t="str">
        <f t="shared" si="7"/>
        <v>Has Capacity</v>
      </c>
      <c r="H484" s="43" t="str">
        <f>IF(A484="","",IF(COUNTIF('Programme Mentors'!$A:$A,A484)&gt;0,"Enrolled","—"))</f>
        <v>—</v>
      </c>
    </row>
    <row r="485" spans="1:8" ht="14.25" customHeight="1" x14ac:dyDescent="0.3">
      <c r="A485" s="9">
        <f>'Paste - Mentors'!A485</f>
        <v>4777557</v>
      </c>
      <c r="B485" s="4" t="str">
        <f>IFERROR(VLOOKUP(A485,'Paste - Mentors'!$A:$B,2,0),"")</f>
        <v>Phemelo Masilo</v>
      </c>
      <c r="C485" s="4" t="str">
        <f>IFERROR(VLOOKUP(A485,'Paste - Mentors'!$A:$D,4,0),"")</f>
        <v>Career Mentor</v>
      </c>
      <c r="D485" s="9" t="str">
        <f>IFERROR(VLOOKUP(A485,'Paste - Mentors'!$A:$F,6,0),"")</f>
        <v>FNB</v>
      </c>
      <c r="E485" s="9" t="str">
        <f>IFERROR(VLOOKUP(A485,'Paste - Mentors'!$A:$E,5,0),"")</f>
        <v>South Africa</v>
      </c>
      <c r="F485" s="9">
        <f>IF(A485="","",COUNTIFS('Paste - Relationships'!$A:$A,A485,'Paste - Relationships'!$AE:$AE,""))</f>
        <v>0</v>
      </c>
      <c r="G485" s="9" t="str">
        <f t="shared" si="7"/>
        <v>Available</v>
      </c>
      <c r="H485" s="9" t="str">
        <f>IF(A485="","",IF(COUNTIF('Programme Mentors'!$A:$A,A485)&gt;0,"Enrolled","—"))</f>
        <v>—</v>
      </c>
    </row>
    <row r="486" spans="1:8" ht="14.25" customHeight="1" x14ac:dyDescent="0.3">
      <c r="A486" s="43">
        <f>'Paste - Mentors'!A486</f>
        <v>4777816</v>
      </c>
      <c r="B486" s="3" t="str">
        <f>IFERROR(VLOOKUP(A486,'Paste - Mentors'!$A:$B,2,0),"")</f>
        <v>Mandisa Ndlovu</v>
      </c>
      <c r="C486" s="3" t="str">
        <f>IFERROR(VLOOKUP(A486,'Paste - Mentors'!$A:$D,4,0),"")</f>
        <v>Career Mentor</v>
      </c>
      <c r="D486" s="43" t="str">
        <f>IFERROR(VLOOKUP(A486,'Paste - Mentors'!$A:$F,6,0),"")</f>
        <v>FNB</v>
      </c>
      <c r="E486" s="43" t="str">
        <f>IFERROR(VLOOKUP(A486,'Paste - Mentors'!$A:$E,5,0),"")</f>
        <v>South Africa</v>
      </c>
      <c r="F486" s="43">
        <f>IF(A486="","",COUNTIFS('Paste - Relationships'!$A:$A,A486,'Paste - Relationships'!$AE:$AE,""))</f>
        <v>0</v>
      </c>
      <c r="G486" s="43" t="str">
        <f t="shared" si="7"/>
        <v>Available</v>
      </c>
      <c r="H486" s="43" t="str">
        <f>IF(A486="","",IF(COUNTIF('Programme Mentors'!$A:$A,A486)&gt;0,"Enrolled","—"))</f>
        <v>—</v>
      </c>
    </row>
    <row r="487" spans="1:8" ht="14.25" customHeight="1" x14ac:dyDescent="0.3">
      <c r="A487" s="9">
        <f>'Paste - Mentors'!A487</f>
        <v>4781252</v>
      </c>
      <c r="B487" s="4" t="str">
        <f>IFERROR(VLOOKUP(A487,'Paste - Mentors'!$A:$B,2,0),"")</f>
        <v>Harold Tiyisela Badjie</v>
      </c>
      <c r="C487" s="4" t="str">
        <f>IFERROR(VLOOKUP(A487,'Paste - Mentors'!$A:$D,4,0),"")</f>
        <v>Career Mentor</v>
      </c>
      <c r="D487" s="9" t="str">
        <f>IFERROR(VLOOKUP(A487,'Paste - Mentors'!$A:$F,6,0),"")</f>
        <v>FNB</v>
      </c>
      <c r="E487" s="9" t="str">
        <f>IFERROR(VLOOKUP(A487,'Paste - Mentors'!$A:$E,5,0),"")</f>
        <v>South Africa</v>
      </c>
      <c r="F487" s="9">
        <f>IF(A487="","",COUNTIFS('Paste - Relationships'!$A:$A,A487,'Paste - Relationships'!$AE:$AE,""))</f>
        <v>0</v>
      </c>
      <c r="G487" s="9" t="str">
        <f t="shared" si="7"/>
        <v>Available</v>
      </c>
      <c r="H487" s="9" t="str">
        <f>IF(A487="","",IF(COUNTIF('Programme Mentors'!$A:$A,A487)&gt;0,"Enrolled","—"))</f>
        <v>—</v>
      </c>
    </row>
    <row r="488" spans="1:8" ht="14.25" customHeight="1" x14ac:dyDescent="0.3">
      <c r="A488" s="43">
        <f>'Paste - Mentors'!A488</f>
        <v>4787153</v>
      </c>
      <c r="B488" s="3" t="str">
        <f>IFERROR(VLOOKUP(A488,'Paste - Mentors'!$A:$B,2,0),"")</f>
        <v>Malungelo Zwane</v>
      </c>
      <c r="C488" s="3" t="str">
        <f>IFERROR(VLOOKUP(A488,'Paste - Mentors'!$A:$D,4,0),"")</f>
        <v>Career Mentor</v>
      </c>
      <c r="D488" s="43" t="str">
        <f>IFERROR(VLOOKUP(A488,'Paste - Mentors'!$A:$F,6,0),"")</f>
        <v>FNB</v>
      </c>
      <c r="E488" s="43" t="str">
        <f>IFERROR(VLOOKUP(A488,'Paste - Mentors'!$A:$E,5,0),"")</f>
        <v>South Africa</v>
      </c>
      <c r="F488" s="43">
        <f>IF(A488="","",COUNTIFS('Paste - Relationships'!$A:$A,A488,'Paste - Relationships'!$AE:$AE,""))</f>
        <v>0</v>
      </c>
      <c r="G488" s="43" t="str">
        <f t="shared" si="7"/>
        <v>Available</v>
      </c>
      <c r="H488" s="43" t="str">
        <f>IF(A488="","",IF(COUNTIF('Programme Mentors'!$A:$A,A488)&gt;0,"Enrolled","—"))</f>
        <v>—</v>
      </c>
    </row>
    <row r="489" spans="1:8" ht="14.25" customHeight="1" x14ac:dyDescent="0.3">
      <c r="A489" s="9">
        <f>'Paste - Mentors'!A489</f>
        <v>4791169</v>
      </c>
      <c r="B489" s="4" t="str">
        <f>IFERROR(VLOOKUP(A489,'Paste - Mentors'!$A:$B,2,0),"")</f>
        <v>Kim Callender-Easby</v>
      </c>
      <c r="C489" s="4" t="str">
        <f>IFERROR(VLOOKUP(A489,'Paste - Mentors'!$A:$D,4,0),"")</f>
        <v>Career Mentor
Workplace  Buddy</v>
      </c>
      <c r="D489" s="9" t="str">
        <f>IFERROR(VLOOKUP(A489,'Paste - Mentors'!$A:$F,6,0),"")</f>
        <v>RMB</v>
      </c>
      <c r="E489" s="9" t="str">
        <f>IFERROR(VLOOKUP(A489,'Paste - Mentors'!$A:$E,5,0),"")</f>
        <v>South Africa</v>
      </c>
      <c r="F489" s="9">
        <f>IF(A489="","",COUNTIFS('Paste - Relationships'!$A:$A,A489,'Paste - Relationships'!$AE:$AE,""))</f>
        <v>0</v>
      </c>
      <c r="G489" s="9" t="str">
        <f t="shared" si="7"/>
        <v>Available</v>
      </c>
      <c r="H489" s="9" t="str">
        <f>IF(A489="","",IF(COUNTIF('Programme Mentors'!$A:$A,A489)&gt;0,"Enrolled","—"))</f>
        <v>—</v>
      </c>
    </row>
    <row r="490" spans="1:8" ht="33.75" customHeight="1" x14ac:dyDescent="0.3">
      <c r="A490" s="43">
        <f>'Paste - Mentors'!A490</f>
        <v>4793056</v>
      </c>
      <c r="B490" s="3" t="str">
        <f>IFERROR(VLOOKUP(A490,'Paste - Mentors'!$A:$B,2,0),"")</f>
        <v>Tumi Zwane</v>
      </c>
      <c r="C490" s="3" t="str">
        <f>IFERROR(VLOOKUP(A490,'Paste - Mentors'!$A:$D,4,0),"")</f>
        <v>Career Mentor
Leadership Mentor
Technical Mentor
Workplace  Buddy</v>
      </c>
      <c r="D490" s="43" t="str">
        <f>IFERROR(VLOOKUP(A490,'Paste - Mentors'!$A:$F,6,0),"")</f>
        <v>RMB</v>
      </c>
      <c r="E490" s="43" t="str">
        <f>IFERROR(VLOOKUP(A490,'Paste - Mentors'!$A:$E,5,0),"")</f>
        <v>South Africa</v>
      </c>
      <c r="F490" s="43">
        <f>IF(A490="","",COUNTIFS('Paste - Relationships'!$A:$A,A490,'Paste - Relationships'!$AE:$AE,""))</f>
        <v>0</v>
      </c>
      <c r="G490" s="43" t="str">
        <f t="shared" si="7"/>
        <v>Available</v>
      </c>
      <c r="H490" s="43" t="str">
        <f>IF(A490="","",IF(COUNTIF('Programme Mentors'!$A:$A,A490)&gt;0,"Enrolled","—"))</f>
        <v>—</v>
      </c>
    </row>
    <row r="491" spans="1:8" ht="79.5" customHeight="1" x14ac:dyDescent="0.3">
      <c r="A491" s="9">
        <f>'Paste - Mentors'!A491</f>
        <v>4794532</v>
      </c>
      <c r="B491" s="4" t="str">
        <f>IFERROR(VLOOKUP(A491,'Paste - Mentors'!$A:$B,2,0),"")</f>
        <v>Thenjelwa Mesatywa</v>
      </c>
      <c r="C491" s="4" t="str">
        <f>IFERROR(VLOOKUP(A491,'Paste - Mentors'!$A:$D,4,0),"")</f>
        <v>Career Mentor</v>
      </c>
      <c r="D491" s="9" t="str">
        <f>IFERROR(VLOOKUP(A491,'Paste - Mentors'!$A:$F,6,0),"")</f>
        <v>FNB</v>
      </c>
      <c r="E491" s="9" t="str">
        <f>IFERROR(VLOOKUP(A491,'Paste - Mentors'!$A:$E,5,0),"")</f>
        <v>South Africa</v>
      </c>
      <c r="F491" s="9">
        <f>IF(A491="","",COUNTIFS('Paste - Relationships'!$A:$A,A491,'Paste - Relationships'!$AE:$AE,""))</f>
        <v>0</v>
      </c>
      <c r="G491" s="9" t="str">
        <f t="shared" si="7"/>
        <v>Available</v>
      </c>
      <c r="H491" s="9" t="str">
        <f>IF(A491="","",IF(COUNTIF('Programme Mentors'!$A:$A,A491)&gt;0,"Enrolled","—"))</f>
        <v>—</v>
      </c>
    </row>
    <row r="492" spans="1:8" ht="14.25" customHeight="1" x14ac:dyDescent="0.3">
      <c r="A492" s="43">
        <f>'Paste - Mentors'!A492</f>
        <v>4800648</v>
      </c>
      <c r="B492" s="3" t="str">
        <f>IFERROR(VLOOKUP(A492,'Paste - Mentors'!$A:$B,2,0),"")</f>
        <v>Constance Baloyi</v>
      </c>
      <c r="C492" s="3" t="str">
        <f>IFERROR(VLOOKUP(A492,'Paste - Mentors'!$A:$D,4,0),"")</f>
        <v>Career Mentor</v>
      </c>
      <c r="D492" s="43" t="str">
        <f>IFERROR(VLOOKUP(A492,'Paste - Mentors'!$A:$F,6,0),"")</f>
        <v>FNB</v>
      </c>
      <c r="E492" s="43" t="str">
        <f>IFERROR(VLOOKUP(A492,'Paste - Mentors'!$A:$E,5,0),"")</f>
        <v>South Africa</v>
      </c>
      <c r="F492" s="43">
        <f>IF(A492="","",COUNTIFS('Paste - Relationships'!$A:$A,A492,'Paste - Relationships'!$AE:$AE,""))</f>
        <v>0</v>
      </c>
      <c r="G492" s="43" t="str">
        <f t="shared" si="7"/>
        <v>Available</v>
      </c>
      <c r="H492" s="43" t="str">
        <f>IF(A492="","",IF(COUNTIF('Programme Mentors'!$A:$A,A492)&gt;0,"Enrolled","—"))</f>
        <v>—</v>
      </c>
    </row>
    <row r="493" spans="1:8" ht="14.25" customHeight="1" x14ac:dyDescent="0.3">
      <c r="A493" s="9">
        <f>'Paste - Mentors'!A493</f>
        <v>4804287</v>
      </c>
      <c r="B493" s="4" t="str">
        <f>IFERROR(VLOOKUP(A493,'Paste - Mentors'!$A:$B,2,0),"")</f>
        <v>Sandile Phillip</v>
      </c>
      <c r="C493" s="4" t="str">
        <f>IFERROR(VLOOKUP(A493,'Paste - Mentors'!$A:$D,4,0),"")</f>
        <v>Career Mentor</v>
      </c>
      <c r="D493" s="9" t="str">
        <f>IFERROR(VLOOKUP(A493,'Paste - Mentors'!$A:$F,6,0),"")</f>
        <v>FNB</v>
      </c>
      <c r="E493" s="9" t="str">
        <f>IFERROR(VLOOKUP(A493,'Paste - Mentors'!$A:$E,5,0),"")</f>
        <v>South Africa</v>
      </c>
      <c r="F493" s="9">
        <f>IF(A493="","",COUNTIFS('Paste - Relationships'!$A:$A,A493,'Paste - Relationships'!$AE:$AE,""))</f>
        <v>0</v>
      </c>
      <c r="G493" s="9" t="str">
        <f t="shared" si="7"/>
        <v>Available</v>
      </c>
      <c r="H493" s="9" t="str">
        <f>IF(A493="","",IF(COUNTIF('Programme Mentors'!$A:$A,A493)&gt;0,"Enrolled","—"))</f>
        <v>—</v>
      </c>
    </row>
    <row r="494" spans="1:8" ht="14.25" customHeight="1" x14ac:dyDescent="0.3">
      <c r="A494" s="43">
        <f>'Paste - Mentors'!A494</f>
        <v>4804325</v>
      </c>
      <c r="B494" s="3" t="str">
        <f>IFERROR(VLOOKUP(A494,'Paste - Mentors'!$A:$B,2,0),"")</f>
        <v>Kholofelo Napo</v>
      </c>
      <c r="C494" s="3" t="str">
        <f>IFERROR(VLOOKUP(A494,'Paste - Mentors'!$A:$D,4,0),"")</f>
        <v>Career Mentor</v>
      </c>
      <c r="D494" s="43" t="str">
        <f>IFERROR(VLOOKUP(A494,'Paste - Mentors'!$A:$F,6,0),"")</f>
        <v>FNB</v>
      </c>
      <c r="E494" s="43" t="str">
        <f>IFERROR(VLOOKUP(A494,'Paste - Mentors'!$A:$E,5,0),"")</f>
        <v>South Africa</v>
      </c>
      <c r="F494" s="43">
        <f>IF(A494="","",COUNTIFS('Paste - Relationships'!$A:$A,A494,'Paste - Relationships'!$AE:$AE,""))</f>
        <v>0</v>
      </c>
      <c r="G494" s="43" t="str">
        <f t="shared" si="7"/>
        <v>Available</v>
      </c>
      <c r="H494" s="43" t="str">
        <f>IF(A494="","",IF(COUNTIF('Programme Mentors'!$A:$A,A494)&gt;0,"Enrolled","—"))</f>
        <v>—</v>
      </c>
    </row>
    <row r="495" spans="1:8" ht="14.25" customHeight="1" x14ac:dyDescent="0.3">
      <c r="A495" s="9">
        <f>'Paste - Mentors'!A495</f>
        <v>4805062</v>
      </c>
      <c r="B495" s="4" t="str">
        <f>IFERROR(VLOOKUP(A495,'Paste - Mentors'!$A:$B,2,0),"")</f>
        <v>Zaheer Ismail</v>
      </c>
      <c r="C495" s="4" t="str">
        <f>IFERROR(VLOOKUP(A495,'Paste - Mentors'!$A:$D,4,0),"")</f>
        <v>Career Mentor
Leadership Mentor
Transition Mentor
Workplace  Buddy</v>
      </c>
      <c r="D495" s="9" t="str">
        <f>IFERROR(VLOOKUP(A495,'Paste - Mentors'!$A:$F,6,0),"")</f>
        <v>FirstRand Corporate Centre</v>
      </c>
      <c r="E495" s="9" t="str">
        <f>IFERROR(VLOOKUP(A495,'Paste - Mentors'!$A:$E,5,0),"")</f>
        <v>South Africa</v>
      </c>
      <c r="F495" s="9">
        <f>IF(A495="","",COUNTIFS('Paste - Relationships'!$A:$A,A495,'Paste - Relationships'!$AE:$AE,""))</f>
        <v>2</v>
      </c>
      <c r="G495" s="9" t="str">
        <f t="shared" si="7"/>
        <v>Has Capacity</v>
      </c>
      <c r="H495" s="9" t="str">
        <f>IF(A495="","",IF(COUNTIF('Programme Mentors'!$A:$A,A495)&gt;0,"Enrolled","—"))</f>
        <v>—</v>
      </c>
    </row>
    <row r="496" spans="1:8" ht="79.5" customHeight="1" x14ac:dyDescent="0.3">
      <c r="A496" s="43">
        <f>'Paste - Mentors'!A496</f>
        <v>4807200</v>
      </c>
      <c r="B496" s="3" t="str">
        <f>IFERROR(VLOOKUP(A496,'Paste - Mentors'!$A:$B,2,0),"")</f>
        <v>Muhammad Seedat</v>
      </c>
      <c r="C496" s="3" t="str">
        <f>IFERROR(VLOOKUP(A496,'Paste - Mentors'!$A:$D,4,0),"")</f>
        <v>Career Mentor
Leadership Mentor
Technical Mentor
Transition Mentor
Workplace  Buddy</v>
      </c>
      <c r="D496" s="43" t="str">
        <f>IFERROR(VLOOKUP(A496,'Paste - Mentors'!$A:$F,6,0),"")</f>
        <v>FNB</v>
      </c>
      <c r="E496" s="43" t="str">
        <f>IFERROR(VLOOKUP(A496,'Paste - Mentors'!$A:$E,5,0),"")</f>
        <v>South Africa</v>
      </c>
      <c r="F496" s="43">
        <f>IF(A496="","",COUNTIFS('Paste - Relationships'!$A:$A,A496,'Paste - Relationships'!$AE:$AE,""))</f>
        <v>0</v>
      </c>
      <c r="G496" s="43" t="str">
        <f t="shared" si="7"/>
        <v>Available</v>
      </c>
      <c r="H496" s="43" t="str">
        <f>IF(A496="","",IF(COUNTIF('Programme Mentors'!$A:$A,A496)&gt;0,"Enrolled","—"))</f>
        <v>—</v>
      </c>
    </row>
    <row r="497" spans="1:8" ht="102" customHeight="1" x14ac:dyDescent="0.3">
      <c r="A497" s="9">
        <f>'Paste - Mentors'!A497</f>
        <v>4811143</v>
      </c>
      <c r="B497" s="4" t="str">
        <f>IFERROR(VLOOKUP(A497,'Paste - Mentors'!$A:$B,2,0),"")</f>
        <v>Edwina Zenani</v>
      </c>
      <c r="C497" s="4" t="str">
        <f>IFERROR(VLOOKUP(A497,'Paste - Mentors'!$A:$D,4,0),"")</f>
        <v>Leadership Mentor
Transition Mentor</v>
      </c>
      <c r="D497" s="9" t="str">
        <f>IFERROR(VLOOKUP(A497,'Paste - Mentors'!$A:$F,6,0),"")</f>
        <v>FNB</v>
      </c>
      <c r="E497" s="9" t="str">
        <f>IFERROR(VLOOKUP(A497,'Paste - Mentors'!$A:$E,5,0),"")</f>
        <v>South Africa</v>
      </c>
      <c r="F497" s="9">
        <f>IF(A497="","",COUNTIFS('Paste - Relationships'!$A:$A,A497,'Paste - Relationships'!$AE:$AE,""))</f>
        <v>0</v>
      </c>
      <c r="G497" s="9" t="str">
        <f t="shared" si="7"/>
        <v>Available</v>
      </c>
      <c r="H497" s="9" t="str">
        <f>IF(A497="","",IF(COUNTIF('Programme Mentors'!$A:$A,A497)&gt;0,"Enrolled","—"))</f>
        <v>—</v>
      </c>
    </row>
    <row r="498" spans="1:8" ht="33.75" customHeight="1" x14ac:dyDescent="0.3">
      <c r="A498" s="43">
        <f>'Paste - Mentors'!A498</f>
        <v>4813294</v>
      </c>
      <c r="B498" s="3" t="str">
        <f>IFERROR(VLOOKUP(A498,'Paste - Mentors'!$A:$B,2,0),"")</f>
        <v>Conroy Williams</v>
      </c>
      <c r="C498" s="3" t="str">
        <f>IFERROR(VLOOKUP(A498,'Paste - Mentors'!$A:$D,4,0),"")</f>
        <v>Career Mentor</v>
      </c>
      <c r="D498" s="43" t="str">
        <f>IFERROR(VLOOKUP(A498,'Paste - Mentors'!$A:$F,6,0),"")</f>
        <v>FNB</v>
      </c>
      <c r="E498" s="43" t="str">
        <f>IFERROR(VLOOKUP(A498,'Paste - Mentors'!$A:$E,5,0),"")</f>
        <v>South Africa</v>
      </c>
      <c r="F498" s="43">
        <f>IF(A498="","",COUNTIFS('Paste - Relationships'!$A:$A,A498,'Paste - Relationships'!$AE:$AE,""))</f>
        <v>0</v>
      </c>
      <c r="G498" s="43" t="str">
        <f t="shared" si="7"/>
        <v>Available</v>
      </c>
      <c r="H498" s="43" t="str">
        <f>IF(A498="","",IF(COUNTIF('Programme Mentors'!$A:$A,A498)&gt;0,"Enrolled","—"))</f>
        <v>—</v>
      </c>
    </row>
    <row r="499" spans="1:8" ht="14.25" customHeight="1" x14ac:dyDescent="0.3">
      <c r="A499" s="9">
        <f>'Paste - Mentors'!A499</f>
        <v>4815289</v>
      </c>
      <c r="B499" s="4" t="str">
        <f>IFERROR(VLOOKUP(A499,'Paste - Mentors'!$A:$B,2,0),"")</f>
        <v>Kamal Bhana</v>
      </c>
      <c r="C499" s="4" t="str">
        <f>IFERROR(VLOOKUP(A499,'Paste - Mentors'!$A:$D,4,0),"")</f>
        <v>Career Mentor</v>
      </c>
      <c r="D499" s="9" t="str">
        <f>IFERROR(VLOOKUP(A499,'Paste - Mentors'!$A:$F,6,0),"")</f>
        <v>FNB</v>
      </c>
      <c r="E499" s="9" t="str">
        <f>IFERROR(VLOOKUP(A499,'Paste - Mentors'!$A:$E,5,0),"")</f>
        <v>South Africa</v>
      </c>
      <c r="F499" s="9">
        <f>IF(A499="","",COUNTIFS('Paste - Relationships'!$A:$A,A499,'Paste - Relationships'!$AE:$AE,""))</f>
        <v>0</v>
      </c>
      <c r="G499" s="9" t="str">
        <f t="shared" si="7"/>
        <v>Available</v>
      </c>
      <c r="H499" s="9" t="str">
        <f>IF(A499="","",IF(COUNTIF('Programme Mentors'!$A:$A,A499)&gt;0,"Enrolled","—"))</f>
        <v>—</v>
      </c>
    </row>
    <row r="500" spans="1:8" ht="14.25" customHeight="1" x14ac:dyDescent="0.3">
      <c r="A500" s="43">
        <f>'Paste - Mentors'!A500</f>
        <v>4817184</v>
      </c>
      <c r="B500" s="3" t="str">
        <f>IFERROR(VLOOKUP(A500,'Paste - Mentors'!$A:$B,2,0),"")</f>
        <v>Zizi Sohuma</v>
      </c>
      <c r="C500" s="3" t="str">
        <f>IFERROR(VLOOKUP(A500,'Paste - Mentors'!$A:$D,4,0),"")</f>
        <v>Career Mentor</v>
      </c>
      <c r="D500" s="43" t="str">
        <f>IFERROR(VLOOKUP(A500,'Paste - Mentors'!$A:$F,6,0),"")</f>
        <v>FNB</v>
      </c>
      <c r="E500" s="43" t="str">
        <f>IFERROR(VLOOKUP(A500,'Paste - Mentors'!$A:$E,5,0),"")</f>
        <v>South Africa</v>
      </c>
      <c r="F500" s="43">
        <f>IF(A500="","",COUNTIFS('Paste - Relationships'!$A:$A,A500,'Paste - Relationships'!$AE:$AE,""))</f>
        <v>0</v>
      </c>
      <c r="G500" s="43" t="str">
        <f t="shared" si="7"/>
        <v>Available</v>
      </c>
      <c r="H500" s="43" t="str">
        <f>IF(A500="","",IF(COUNTIF('Programme Mentors'!$A:$A,A500)&gt;0,"Enrolled","—"))</f>
        <v>—</v>
      </c>
    </row>
    <row r="501" spans="1:8" ht="14.25" customHeight="1" x14ac:dyDescent="0.3">
      <c r="A501" s="9">
        <f>'Paste - Mentors'!A501</f>
        <v>4818865</v>
      </c>
      <c r="B501" s="4" t="str">
        <f>IFERROR(VLOOKUP(A501,'Paste - Mentors'!$A:$B,2,0),"")</f>
        <v>Mmamodise Tiro</v>
      </c>
      <c r="C501" s="4" t="str">
        <f>IFERROR(VLOOKUP(A501,'Paste - Mentors'!$A:$D,4,0),"")</f>
        <v>Career Mentor</v>
      </c>
      <c r="D501" s="9" t="str">
        <f>IFERROR(VLOOKUP(A501,'Paste - Mentors'!$A:$F,6,0),"")</f>
        <v>FNB</v>
      </c>
      <c r="E501" s="9" t="str">
        <f>IFERROR(VLOOKUP(A501,'Paste - Mentors'!$A:$E,5,0),"")</f>
        <v>South Africa</v>
      </c>
      <c r="F501" s="9">
        <f>IF(A501="","",COUNTIFS('Paste - Relationships'!$A:$A,A501,'Paste - Relationships'!$AE:$AE,""))</f>
        <v>0</v>
      </c>
      <c r="G501" s="9" t="str">
        <f t="shared" si="7"/>
        <v>Available</v>
      </c>
      <c r="H501" s="9" t="str">
        <f>IF(A501="","",IF(COUNTIF('Programme Mentors'!$A:$A,A501)&gt;0,"Enrolled","—"))</f>
        <v>—</v>
      </c>
    </row>
    <row r="502" spans="1:8" ht="14.25" customHeight="1" x14ac:dyDescent="0.3">
      <c r="A502" s="43">
        <f>'Paste - Mentors'!A502</f>
        <v>4819373</v>
      </c>
      <c r="B502" s="3" t="str">
        <f>IFERROR(VLOOKUP(A502,'Paste - Mentors'!$A:$B,2,0),"")</f>
        <v>Nirvana Ramboth</v>
      </c>
      <c r="C502" s="3" t="str">
        <f>IFERROR(VLOOKUP(A502,'Paste - Mentors'!$A:$D,4,0),"")</f>
        <v>Career Mentor</v>
      </c>
      <c r="D502" s="43" t="str">
        <f>IFERROR(VLOOKUP(A502,'Paste - Mentors'!$A:$F,6,0),"")</f>
        <v>FNB</v>
      </c>
      <c r="E502" s="43" t="str">
        <f>IFERROR(VLOOKUP(A502,'Paste - Mentors'!$A:$E,5,0),"")</f>
        <v>South Africa</v>
      </c>
      <c r="F502" s="43">
        <f>IF(A502="","",COUNTIFS('Paste - Relationships'!$A:$A,A502,'Paste - Relationships'!$AE:$AE,""))</f>
        <v>0</v>
      </c>
      <c r="G502" s="43" t="str">
        <f t="shared" si="7"/>
        <v>Available</v>
      </c>
      <c r="H502" s="43" t="str">
        <f>IF(A502="","",IF(COUNTIF('Programme Mentors'!$A:$A,A502)&gt;0,"Enrolled","—"))</f>
        <v>—</v>
      </c>
    </row>
    <row r="503" spans="1:8" ht="14.25" customHeight="1" x14ac:dyDescent="0.3">
      <c r="A503" s="9">
        <f>'Paste - Mentors'!A503</f>
        <v>4820851</v>
      </c>
      <c r="B503" s="4" t="str">
        <f>IFERROR(VLOOKUP(A503,'Paste - Mentors'!$A:$B,2,0),"")</f>
        <v>Enoch Ndlovu</v>
      </c>
      <c r="C503" s="4" t="str">
        <f>IFERROR(VLOOKUP(A503,'Paste - Mentors'!$A:$D,4,0),"")</f>
        <v>Career Mentor</v>
      </c>
      <c r="D503" s="9" t="str">
        <f>IFERROR(VLOOKUP(A503,'Paste - Mentors'!$A:$F,6,0),"")</f>
        <v>FirstRand Corporate Centre</v>
      </c>
      <c r="E503" s="9" t="str">
        <f>IFERROR(VLOOKUP(A503,'Paste - Mentors'!$A:$E,5,0),"")</f>
        <v>South Africa</v>
      </c>
      <c r="F503" s="9">
        <f>IF(A503="","",COUNTIFS('Paste - Relationships'!$A:$A,A503,'Paste - Relationships'!$AE:$AE,""))</f>
        <v>1</v>
      </c>
      <c r="G503" s="9" t="str">
        <f t="shared" si="7"/>
        <v>Has Capacity</v>
      </c>
      <c r="H503" s="9" t="str">
        <f>IF(A503="","",IF(COUNTIF('Programme Mentors'!$A:$A,A503)&gt;0,"Enrolled","—"))</f>
        <v>—</v>
      </c>
    </row>
    <row r="504" spans="1:8" ht="33.75" customHeight="1" x14ac:dyDescent="0.3">
      <c r="A504" s="43">
        <f>'Paste - Mentors'!A504</f>
        <v>4825535</v>
      </c>
      <c r="B504" s="3" t="str">
        <f>IFERROR(VLOOKUP(A504,'Paste - Mentors'!$A:$B,2,0),"")</f>
        <v>Nicole Van Der Merwe</v>
      </c>
      <c r="C504" s="3" t="str">
        <f>IFERROR(VLOOKUP(A504,'Paste - Mentors'!$A:$D,4,0),"")</f>
        <v>Career Mentor</v>
      </c>
      <c r="D504" s="43" t="str">
        <f>IFERROR(VLOOKUP(A504,'Paste - Mentors'!$A:$F,6,0),"")</f>
        <v>FNB</v>
      </c>
      <c r="E504" s="43" t="str">
        <f>IFERROR(VLOOKUP(A504,'Paste - Mentors'!$A:$E,5,0),"")</f>
        <v>South Africa</v>
      </c>
      <c r="F504" s="43">
        <f>IF(A504="","",COUNTIFS('Paste - Relationships'!$A:$A,A504,'Paste - Relationships'!$AE:$AE,""))</f>
        <v>0</v>
      </c>
      <c r="G504" s="43" t="str">
        <f t="shared" si="7"/>
        <v>Available</v>
      </c>
      <c r="H504" s="43" t="str">
        <f>IF(A504="","",IF(COUNTIF('Programme Mentors'!$A:$A,A504)&gt;0,"Enrolled","—"))</f>
        <v>—</v>
      </c>
    </row>
    <row r="505" spans="1:8" ht="14.25" customHeight="1" x14ac:dyDescent="0.3">
      <c r="A505" s="9">
        <f>'Paste - Mentors'!A505</f>
        <v>4826221</v>
      </c>
      <c r="B505" s="4" t="str">
        <f>IFERROR(VLOOKUP(A505,'Paste - Mentors'!$A:$B,2,0),"")</f>
        <v>Elrico Goliath</v>
      </c>
      <c r="C505" s="4" t="str">
        <f>IFERROR(VLOOKUP(A505,'Paste - Mentors'!$A:$D,4,0),"")</f>
        <v>Career Mentor</v>
      </c>
      <c r="D505" s="9" t="str">
        <f>IFERROR(VLOOKUP(A505,'Paste - Mentors'!$A:$F,6,0),"")</f>
        <v>FNB</v>
      </c>
      <c r="E505" s="9" t="str">
        <f>IFERROR(VLOOKUP(A505,'Paste - Mentors'!$A:$E,5,0),"")</f>
        <v>South Africa</v>
      </c>
      <c r="F505" s="9">
        <f>IF(A505="","",COUNTIFS('Paste - Relationships'!$A:$A,A505,'Paste - Relationships'!$AE:$AE,""))</f>
        <v>0</v>
      </c>
      <c r="G505" s="9" t="str">
        <f t="shared" si="7"/>
        <v>Available</v>
      </c>
      <c r="H505" s="9" t="str">
        <f>IF(A505="","",IF(COUNTIF('Programme Mentors'!$A:$A,A505)&gt;0,"Enrolled","—"))</f>
        <v>—</v>
      </c>
    </row>
    <row r="506" spans="1:8" ht="14.25" customHeight="1" x14ac:dyDescent="0.3">
      <c r="A506" s="43">
        <f>'Paste - Mentors'!A506</f>
        <v>4826450</v>
      </c>
      <c r="B506" s="3" t="str">
        <f>IFERROR(VLOOKUP(A506,'Paste - Mentors'!$A:$B,2,0),"")</f>
        <v>Thabo Matukane-Mnisi</v>
      </c>
      <c r="C506" s="3" t="str">
        <f>IFERROR(VLOOKUP(A506,'Paste - Mentors'!$A:$D,4,0),"")</f>
        <v>Career Mentor</v>
      </c>
      <c r="D506" s="43" t="str">
        <f>IFERROR(VLOOKUP(A506,'Paste - Mentors'!$A:$F,6,0),"")</f>
        <v>FNB</v>
      </c>
      <c r="E506" s="43" t="str">
        <f>IFERROR(VLOOKUP(A506,'Paste - Mentors'!$A:$E,5,0),"")</f>
        <v>South Africa</v>
      </c>
      <c r="F506" s="43">
        <f>IF(A506="","",COUNTIFS('Paste - Relationships'!$A:$A,A506,'Paste - Relationships'!$AE:$AE,""))</f>
        <v>0</v>
      </c>
      <c r="G506" s="43" t="str">
        <f t="shared" si="7"/>
        <v>Available</v>
      </c>
      <c r="H506" s="43" t="str">
        <f>IF(A506="","",IF(COUNTIF('Programme Mentors'!$A:$A,A506)&gt;0,"Enrolled","—"))</f>
        <v>—</v>
      </c>
    </row>
    <row r="507" spans="1:8" ht="14.25" customHeight="1" x14ac:dyDescent="0.3">
      <c r="A507" s="9">
        <f>'Paste - Mentors'!A507</f>
        <v>4829662</v>
      </c>
      <c r="B507" s="4" t="str">
        <f>IFERROR(VLOOKUP(A507,'Paste - Mentors'!$A:$B,2,0),"")</f>
        <v>Stephan Hattingh</v>
      </c>
      <c r="C507" s="4" t="str">
        <f>IFERROR(VLOOKUP(A507,'Paste - Mentors'!$A:$D,4,0),"")</f>
        <v>Career Mentor
Workplace  Buddy</v>
      </c>
      <c r="D507" s="9" t="str">
        <f>IFERROR(VLOOKUP(A507,'Paste - Mentors'!$A:$F,6,0),"")</f>
        <v>FNB</v>
      </c>
      <c r="E507" s="9" t="str">
        <f>IFERROR(VLOOKUP(A507,'Paste - Mentors'!$A:$E,5,0),"")</f>
        <v>South Africa</v>
      </c>
      <c r="F507" s="9">
        <f>IF(A507="","",COUNTIFS('Paste - Relationships'!$A:$A,A507,'Paste - Relationships'!$AE:$AE,""))</f>
        <v>0</v>
      </c>
      <c r="G507" s="9" t="str">
        <f t="shared" si="7"/>
        <v>Available</v>
      </c>
      <c r="H507" s="9" t="str">
        <f>IF(A507="","",IF(COUNTIF('Programme Mentors'!$A:$A,A507)&gt;0,"Enrolled","—"))</f>
        <v>—</v>
      </c>
    </row>
    <row r="508" spans="1:8" ht="33.75" customHeight="1" x14ac:dyDescent="0.3">
      <c r="A508" s="43">
        <f>'Paste - Mentors'!A508</f>
        <v>4829700</v>
      </c>
      <c r="B508" s="3" t="str">
        <f>IFERROR(VLOOKUP(A508,'Paste - Mentors'!$A:$B,2,0),"")</f>
        <v>Gao Ngakantsi</v>
      </c>
      <c r="C508" s="3" t="str">
        <f>IFERROR(VLOOKUP(A508,'Paste - Mentors'!$A:$D,4,0),"")</f>
        <v>Career Mentor</v>
      </c>
      <c r="D508" s="43" t="str">
        <f>IFERROR(VLOOKUP(A508,'Paste - Mentors'!$A:$F,6,0),"")</f>
        <v>FNB</v>
      </c>
      <c r="E508" s="43" t="str">
        <f>IFERROR(VLOOKUP(A508,'Paste - Mentors'!$A:$E,5,0),"")</f>
        <v>South Africa</v>
      </c>
      <c r="F508" s="43">
        <f>IF(A508="","",COUNTIFS('Paste - Relationships'!$A:$A,A508,'Paste - Relationships'!$AE:$AE,""))</f>
        <v>0</v>
      </c>
      <c r="G508" s="43" t="str">
        <f t="shared" si="7"/>
        <v>Available</v>
      </c>
      <c r="H508" s="43" t="str">
        <f>IF(A508="","",IF(COUNTIF('Programme Mentors'!$A:$A,A508)&gt;0,"Enrolled","—"))</f>
        <v>—</v>
      </c>
    </row>
    <row r="509" spans="1:8" ht="14.25" customHeight="1" x14ac:dyDescent="0.3">
      <c r="A509" s="9">
        <f>'Paste - Mentors'!A509</f>
        <v>4829891</v>
      </c>
      <c r="B509" s="4" t="str">
        <f>IFERROR(VLOOKUP(A509,'Paste - Mentors'!$A:$B,2,0),"")</f>
        <v>Bokamoso Lebaka</v>
      </c>
      <c r="C509" s="4" t="str">
        <f>IFERROR(VLOOKUP(A509,'Paste - Mentors'!$A:$D,4,0),"")</f>
        <v>Career Mentor</v>
      </c>
      <c r="D509" s="9" t="str">
        <f>IFERROR(VLOOKUP(A509,'Paste - Mentors'!$A:$F,6,0),"")</f>
        <v>FNB</v>
      </c>
      <c r="E509" s="9" t="str">
        <f>IFERROR(VLOOKUP(A509,'Paste - Mentors'!$A:$E,5,0),"")</f>
        <v>South Africa</v>
      </c>
      <c r="F509" s="9">
        <f>IF(A509="","",COUNTIFS('Paste - Relationships'!$A:$A,A509,'Paste - Relationships'!$AE:$AE,""))</f>
        <v>0</v>
      </c>
      <c r="G509" s="9" t="str">
        <f t="shared" si="7"/>
        <v>Available</v>
      </c>
      <c r="H509" s="9" t="str">
        <f>IF(A509="","",IF(COUNTIF('Programme Mentors'!$A:$A,A509)&gt;0,"Enrolled","—"))</f>
        <v>—</v>
      </c>
    </row>
    <row r="510" spans="1:8" ht="14.25" customHeight="1" x14ac:dyDescent="0.3">
      <c r="A510" s="43">
        <f>'Paste - Mentors'!A510</f>
        <v>4830601</v>
      </c>
      <c r="B510" s="3" t="str">
        <f>IFERROR(VLOOKUP(A510,'Paste - Mentors'!$A:$B,2,0),"")</f>
        <v>Tshepiso Mngomezulu</v>
      </c>
      <c r="C510" s="3" t="str">
        <f>IFERROR(VLOOKUP(A510,'Paste - Mentors'!$A:$D,4,0),"")</f>
        <v>Career Mentor
Leadership Mentor
Workplace  Buddy</v>
      </c>
      <c r="D510" s="43" t="str">
        <f>IFERROR(VLOOKUP(A510,'Paste - Mentors'!$A:$F,6,0),"")</f>
        <v>RMB</v>
      </c>
      <c r="E510" s="43" t="str">
        <f>IFERROR(VLOOKUP(A510,'Paste - Mentors'!$A:$E,5,0),"")</f>
        <v>South Africa</v>
      </c>
      <c r="F510" s="43">
        <f>IF(A510="","",COUNTIFS('Paste - Relationships'!$A:$A,A510,'Paste - Relationships'!$AE:$AE,""))</f>
        <v>1</v>
      </c>
      <c r="G510" s="43" t="str">
        <f t="shared" si="7"/>
        <v>Has Capacity</v>
      </c>
      <c r="H510" s="43" t="str">
        <f>IF(A510="","",IF(COUNTIF('Programme Mentors'!$A:$A,A510)&gt;0,"Enrolled","—"))</f>
        <v>—</v>
      </c>
    </row>
    <row r="511" spans="1:8" ht="57" customHeight="1" x14ac:dyDescent="0.3">
      <c r="A511" s="9">
        <f>'Paste - Mentors'!A511</f>
        <v>4832299</v>
      </c>
      <c r="B511" s="4" t="str">
        <f>IFERROR(VLOOKUP(A511,'Paste - Mentors'!$A:$B,2,0),"")</f>
        <v>Innocentia Moeketsi</v>
      </c>
      <c r="C511" s="4" t="str">
        <f>IFERROR(VLOOKUP(A511,'Paste - Mentors'!$A:$D,4,0),"")</f>
        <v>Career Mentor</v>
      </c>
      <c r="D511" s="9" t="str">
        <f>IFERROR(VLOOKUP(A511,'Paste - Mentors'!$A:$F,6,0),"")</f>
        <v>FNB</v>
      </c>
      <c r="E511" s="9" t="str">
        <f>IFERROR(VLOOKUP(A511,'Paste - Mentors'!$A:$E,5,0),"")</f>
        <v>South Africa</v>
      </c>
      <c r="F511" s="9">
        <f>IF(A511="","",COUNTIFS('Paste - Relationships'!$A:$A,A511,'Paste - Relationships'!$AE:$AE,""))</f>
        <v>0</v>
      </c>
      <c r="G511" s="9" t="str">
        <f t="shared" si="7"/>
        <v>Available</v>
      </c>
      <c r="H511" s="9" t="str">
        <f>IF(A511="","",IF(COUNTIF('Programme Mentors'!$A:$A,A511)&gt;0,"Enrolled","—"))</f>
        <v>—</v>
      </c>
    </row>
    <row r="512" spans="1:8" ht="14.25" customHeight="1" x14ac:dyDescent="0.3">
      <c r="A512" s="43">
        <f>'Paste - Mentors'!A512</f>
        <v>4833538</v>
      </c>
      <c r="B512" s="3" t="str">
        <f>IFERROR(VLOOKUP(A512,'Paste - Mentors'!$A:$B,2,0),"")</f>
        <v>Bradley Shodries</v>
      </c>
      <c r="C512" s="3" t="str">
        <f>IFERROR(VLOOKUP(A512,'Paste - Mentors'!$A:$D,4,0),"")</f>
        <v>Career Mentor</v>
      </c>
      <c r="D512" s="43" t="str">
        <f>IFERROR(VLOOKUP(A512,'Paste - Mentors'!$A:$F,6,0),"")</f>
        <v>RMB</v>
      </c>
      <c r="E512" s="43" t="str">
        <f>IFERROR(VLOOKUP(A512,'Paste - Mentors'!$A:$E,5,0),"")</f>
        <v>South Africa</v>
      </c>
      <c r="F512" s="43">
        <f>IF(A512="","",COUNTIFS('Paste - Relationships'!$A:$A,A512,'Paste - Relationships'!$AE:$AE,""))</f>
        <v>0</v>
      </c>
      <c r="G512" s="43" t="str">
        <f t="shared" si="7"/>
        <v>Available</v>
      </c>
      <c r="H512" s="43" t="str">
        <f>IF(A512="","",IF(COUNTIF('Programme Mentors'!$A:$A,A512)&gt;0,"Enrolled","—"))</f>
        <v>—</v>
      </c>
    </row>
    <row r="513" spans="1:8" ht="14.25" customHeight="1" x14ac:dyDescent="0.3">
      <c r="A513" s="9">
        <f>'Paste - Mentors'!A513</f>
        <v>4834992</v>
      </c>
      <c r="B513" s="4" t="str">
        <f>IFERROR(VLOOKUP(A513,'Paste - Mentors'!$A:$B,2,0),"")</f>
        <v>Tracy Farndell</v>
      </c>
      <c r="C513" s="4" t="str">
        <f>IFERROR(VLOOKUP(A513,'Paste - Mentors'!$A:$D,4,0),"")</f>
        <v>Career Mentor</v>
      </c>
      <c r="D513" s="9" t="str">
        <f>IFERROR(VLOOKUP(A513,'Paste - Mentors'!$A:$F,6,0),"")</f>
        <v>FNB</v>
      </c>
      <c r="E513" s="9" t="str">
        <f>IFERROR(VLOOKUP(A513,'Paste - Mentors'!$A:$E,5,0),"")</f>
        <v>South Africa</v>
      </c>
      <c r="F513" s="9">
        <f>IF(A513="","",COUNTIFS('Paste - Relationships'!$A:$A,A513,'Paste - Relationships'!$AE:$AE,""))</f>
        <v>0</v>
      </c>
      <c r="G513" s="9" t="str">
        <f t="shared" si="7"/>
        <v>Available</v>
      </c>
      <c r="H513" s="9" t="str">
        <f>IF(A513="","",IF(COUNTIF('Programme Mentors'!$A:$A,A513)&gt;0,"Enrolled","—"))</f>
        <v>—</v>
      </c>
    </row>
    <row r="514" spans="1:8" ht="14.25" customHeight="1" x14ac:dyDescent="0.3">
      <c r="A514" s="43">
        <f>'Paste - Mentors'!A514</f>
        <v>4842227</v>
      </c>
      <c r="B514" s="3" t="str">
        <f>IFERROR(VLOOKUP(A514,'Paste - Mentors'!$A:$B,2,0),"")</f>
        <v>Mary Mwale</v>
      </c>
      <c r="C514" s="3" t="str">
        <f>IFERROR(VLOOKUP(A514,'Paste - Mentors'!$A:$D,4,0),"")</f>
        <v>Career Mentor</v>
      </c>
      <c r="D514" s="43" t="str">
        <f>IFERROR(VLOOKUP(A514,'Paste - Mentors'!$A:$F,6,0),"")</f>
        <v>FNB</v>
      </c>
      <c r="E514" s="43" t="str">
        <f>IFERROR(VLOOKUP(A514,'Paste - Mentors'!$A:$E,5,0),"")</f>
        <v>South Africa</v>
      </c>
      <c r="F514" s="43">
        <f>IF(A514="","",COUNTIFS('Paste - Relationships'!$A:$A,A514,'Paste - Relationships'!$AE:$AE,""))</f>
        <v>0</v>
      </c>
      <c r="G514" s="43" t="str">
        <f t="shared" si="7"/>
        <v>Available</v>
      </c>
      <c r="H514" s="43" t="str">
        <f>IF(A514="","",IF(COUNTIF('Programme Mentors'!$A:$A,A514)&gt;0,"Enrolled","—"))</f>
        <v>—</v>
      </c>
    </row>
    <row r="515" spans="1:8" ht="14.25" customHeight="1" x14ac:dyDescent="0.3">
      <c r="A515" s="9">
        <f>'Paste - Mentors'!A515</f>
        <v>4843320</v>
      </c>
      <c r="B515" s="4" t="str">
        <f>IFERROR(VLOOKUP(A515,'Paste - Mentors'!$A:$B,2,0),"")</f>
        <v>Theho Paul</v>
      </c>
      <c r="C515" s="4" t="str">
        <f>IFERROR(VLOOKUP(A515,'Paste - Mentors'!$A:$D,4,0),"")</f>
        <v>Career Mentor</v>
      </c>
      <c r="D515" s="9" t="str">
        <f>IFERROR(VLOOKUP(A515,'Paste - Mentors'!$A:$F,6,0),"")</f>
        <v>FNB</v>
      </c>
      <c r="E515" s="9" t="str">
        <f>IFERROR(VLOOKUP(A515,'Paste - Mentors'!$A:$E,5,0),"")</f>
        <v>South Africa</v>
      </c>
      <c r="F515" s="9">
        <f>IF(A515="","",COUNTIFS('Paste - Relationships'!$A:$A,A515,'Paste - Relationships'!$AE:$AE,""))</f>
        <v>0</v>
      </c>
      <c r="G515" s="9" t="str">
        <f t="shared" si="7"/>
        <v>Available</v>
      </c>
      <c r="H515" s="9" t="str">
        <f>IF(A515="","",IF(COUNTIF('Programme Mentors'!$A:$A,A515)&gt;0,"Enrolled","—"))</f>
        <v>—</v>
      </c>
    </row>
    <row r="516" spans="1:8" ht="14.25" customHeight="1" x14ac:dyDescent="0.3">
      <c r="A516" s="43">
        <f>'Paste - Mentors'!A516</f>
        <v>4843630</v>
      </c>
      <c r="B516" s="3" t="str">
        <f>IFERROR(VLOOKUP(A516,'Paste - Mentors'!$A:$B,2,0),"")</f>
        <v>Lethu Nala</v>
      </c>
      <c r="C516" s="3" t="str">
        <f>IFERROR(VLOOKUP(A516,'Paste - Mentors'!$A:$D,4,0),"")</f>
        <v>Career Mentor</v>
      </c>
      <c r="D516" s="43" t="str">
        <f>IFERROR(VLOOKUP(A516,'Paste - Mentors'!$A:$F,6,0),"")</f>
        <v>FNB</v>
      </c>
      <c r="E516" s="43" t="str">
        <f>IFERROR(VLOOKUP(A516,'Paste - Mentors'!$A:$E,5,0),"")</f>
        <v>South Africa</v>
      </c>
      <c r="F516" s="43">
        <f>IF(A516="","",COUNTIFS('Paste - Relationships'!$A:$A,A516,'Paste - Relationships'!$AE:$AE,""))</f>
        <v>0</v>
      </c>
      <c r="G516" s="43" t="str">
        <f t="shared" ref="G516:G579" si="8">IF(A516="","",IF(F516&gt;=3,"At Capacity",IF(F516=0,"Available","Has Capacity")))</f>
        <v>Available</v>
      </c>
      <c r="H516" s="43" t="str">
        <f>IF(A516="","",IF(COUNTIF('Programme Mentors'!$A:$A,A516)&gt;0,"Enrolled","—"))</f>
        <v>—</v>
      </c>
    </row>
    <row r="517" spans="1:8" ht="14.25" customHeight="1" x14ac:dyDescent="0.3">
      <c r="A517" s="9">
        <f>'Paste - Mentors'!A517</f>
        <v>4845226</v>
      </c>
      <c r="B517" s="4" t="str">
        <f>IFERROR(VLOOKUP(A517,'Paste - Mentors'!$A:$B,2,0),"")</f>
        <v>Candice Khan</v>
      </c>
      <c r="C517" s="4" t="str">
        <f>IFERROR(VLOOKUP(A517,'Paste - Mentors'!$A:$D,4,0),"")</f>
        <v>Career Mentor</v>
      </c>
      <c r="D517" s="9" t="str">
        <f>IFERROR(VLOOKUP(A517,'Paste - Mentors'!$A:$F,6,0),"")</f>
        <v>FNB</v>
      </c>
      <c r="E517" s="9" t="str">
        <f>IFERROR(VLOOKUP(A517,'Paste - Mentors'!$A:$E,5,0),"")</f>
        <v>South Africa</v>
      </c>
      <c r="F517" s="9">
        <f>IF(A517="","",COUNTIFS('Paste - Relationships'!$A:$A,A517,'Paste - Relationships'!$AE:$AE,""))</f>
        <v>0</v>
      </c>
      <c r="G517" s="9" t="str">
        <f t="shared" si="8"/>
        <v>Available</v>
      </c>
      <c r="H517" s="9" t="str">
        <f>IF(A517="","",IF(COUNTIF('Programme Mentors'!$A:$A,A517)&gt;0,"Enrolled","—"))</f>
        <v>—</v>
      </c>
    </row>
    <row r="518" spans="1:8" ht="14.25" customHeight="1" x14ac:dyDescent="0.3">
      <c r="A518" s="43">
        <f>'Paste - Mentors'!A518</f>
        <v>4845919</v>
      </c>
      <c r="B518" s="3" t="str">
        <f>IFERROR(VLOOKUP(A518,'Paste - Mentors'!$A:$B,2,0),"")</f>
        <v>Charles Chapman</v>
      </c>
      <c r="C518" s="3" t="str">
        <f>IFERROR(VLOOKUP(A518,'Paste - Mentors'!$A:$D,4,0),"")</f>
        <v>Career Mentor</v>
      </c>
      <c r="D518" s="43" t="str">
        <f>IFERROR(VLOOKUP(A518,'Paste - Mentors'!$A:$F,6,0),"")</f>
        <v>FNB</v>
      </c>
      <c r="E518" s="43" t="str">
        <f>IFERROR(VLOOKUP(A518,'Paste - Mentors'!$A:$E,5,0),"")</f>
        <v>Namibia</v>
      </c>
      <c r="F518" s="43">
        <f>IF(A518="","",COUNTIFS('Paste - Relationships'!$A:$A,A518,'Paste - Relationships'!$AE:$AE,""))</f>
        <v>0</v>
      </c>
      <c r="G518" s="43" t="str">
        <f t="shared" si="8"/>
        <v>Available</v>
      </c>
      <c r="H518" s="43" t="str">
        <f>IF(A518="","",IF(COUNTIF('Programme Mentors'!$A:$A,A518)&gt;0,"Enrolled","—"))</f>
        <v>—</v>
      </c>
    </row>
    <row r="519" spans="1:8" ht="14.25" customHeight="1" x14ac:dyDescent="0.3">
      <c r="A519" s="9">
        <f>'Paste - Mentors'!A519</f>
        <v>4847334</v>
      </c>
      <c r="B519" s="4" t="str">
        <f>IFERROR(VLOOKUP(A519,'Paste - Mentors'!$A:$B,2,0),"")</f>
        <v>Lynette Diedericks</v>
      </c>
      <c r="C519" s="4" t="str">
        <f>IFERROR(VLOOKUP(A519,'Paste - Mentors'!$A:$D,4,0),"")</f>
        <v>Career Mentor
Transition Mentor</v>
      </c>
      <c r="D519" s="9" t="str">
        <f>IFERROR(VLOOKUP(A519,'Paste - Mentors'!$A:$F,6,0),"")</f>
        <v>FNB</v>
      </c>
      <c r="E519" s="9" t="str">
        <f>IFERROR(VLOOKUP(A519,'Paste - Mentors'!$A:$E,5,0),"")</f>
        <v>South Africa</v>
      </c>
      <c r="F519" s="9">
        <f>IF(A519="","",COUNTIFS('Paste - Relationships'!$A:$A,A519,'Paste - Relationships'!$AE:$AE,""))</f>
        <v>0</v>
      </c>
      <c r="G519" s="9" t="str">
        <f t="shared" si="8"/>
        <v>Available</v>
      </c>
      <c r="H519" s="9" t="str">
        <f>IF(A519="","",IF(COUNTIF('Programme Mentors'!$A:$A,A519)&gt;0,"Enrolled","—"))</f>
        <v>—</v>
      </c>
    </row>
    <row r="520" spans="1:8" ht="33.75" customHeight="1" x14ac:dyDescent="0.3">
      <c r="A520" s="43">
        <f>'Paste - Mentors'!A520</f>
        <v>4848659</v>
      </c>
      <c r="B520" s="3" t="str">
        <f>IFERROR(VLOOKUP(A520,'Paste - Mentors'!$A:$B,2,0),"")</f>
        <v>Rafael Martinez De La Iglesia</v>
      </c>
      <c r="C520" s="3" t="str">
        <f>IFERROR(VLOOKUP(A520,'Paste - Mentors'!$A:$D,4,0),"")</f>
        <v>Career Mentor</v>
      </c>
      <c r="D520" s="43" t="str">
        <f>IFERROR(VLOOKUP(A520,'Paste - Mentors'!$A:$F,6,0),"")</f>
        <v>FNB</v>
      </c>
      <c r="E520" s="43" t="str">
        <f>IFERROR(VLOOKUP(A520,'Paste - Mentors'!$A:$E,5,0),"")</f>
        <v>South Africa</v>
      </c>
      <c r="F520" s="43">
        <f>IF(A520="","",COUNTIFS('Paste - Relationships'!$A:$A,A520,'Paste - Relationships'!$AE:$AE,""))</f>
        <v>0</v>
      </c>
      <c r="G520" s="43" t="str">
        <f t="shared" si="8"/>
        <v>Available</v>
      </c>
      <c r="H520" s="43" t="str">
        <f>IF(A520="","",IF(COUNTIF('Programme Mentors'!$A:$A,A520)&gt;0,"Enrolled","—"))</f>
        <v>—</v>
      </c>
    </row>
    <row r="521" spans="1:8" ht="14.25" customHeight="1" x14ac:dyDescent="0.3">
      <c r="A521" s="9">
        <f>'Paste - Mentors'!A521</f>
        <v>4848829</v>
      </c>
      <c r="B521" s="4" t="str">
        <f>IFERROR(VLOOKUP(A521,'Paste - Mentors'!$A:$B,2,0),"")</f>
        <v>Lifa Masindane</v>
      </c>
      <c r="C521" s="4" t="str">
        <f>IFERROR(VLOOKUP(A521,'Paste - Mentors'!$A:$D,4,0),"")</f>
        <v>Career Mentor</v>
      </c>
      <c r="D521" s="9" t="str">
        <f>IFERROR(VLOOKUP(A521,'Paste - Mentors'!$A:$F,6,0),"")</f>
        <v>FNB</v>
      </c>
      <c r="E521" s="9" t="str">
        <f>IFERROR(VLOOKUP(A521,'Paste - Mentors'!$A:$E,5,0),"")</f>
        <v>South Africa</v>
      </c>
      <c r="F521" s="9">
        <f>IF(A521="","",COUNTIFS('Paste - Relationships'!$A:$A,A521,'Paste - Relationships'!$AE:$AE,""))</f>
        <v>0</v>
      </c>
      <c r="G521" s="9" t="str">
        <f t="shared" si="8"/>
        <v>Available</v>
      </c>
      <c r="H521" s="9" t="str">
        <f>IF(A521="","",IF(COUNTIF('Programme Mentors'!$A:$A,A521)&gt;0,"Enrolled","—"))</f>
        <v>—</v>
      </c>
    </row>
    <row r="522" spans="1:8" ht="14.25" customHeight="1" x14ac:dyDescent="0.3">
      <c r="A522" s="43">
        <f>'Paste - Mentors'!A522</f>
        <v>4852249</v>
      </c>
      <c r="B522" s="3" t="str">
        <f>IFERROR(VLOOKUP(A522,'Paste - Mentors'!$A:$B,2,0),"")</f>
        <v>Sk Nene</v>
      </c>
      <c r="C522" s="3" t="str">
        <f>IFERROR(VLOOKUP(A522,'Paste - Mentors'!$A:$D,4,0),"")</f>
        <v>Career Mentor</v>
      </c>
      <c r="D522" s="43" t="str">
        <f>IFERROR(VLOOKUP(A522,'Paste - Mentors'!$A:$F,6,0),"")</f>
        <v>FNB</v>
      </c>
      <c r="E522" s="43" t="str">
        <f>IFERROR(VLOOKUP(A522,'Paste - Mentors'!$A:$E,5,0),"")</f>
        <v>South Africa</v>
      </c>
      <c r="F522" s="43">
        <f>IF(A522="","",COUNTIFS('Paste - Relationships'!$A:$A,A522,'Paste - Relationships'!$AE:$AE,""))</f>
        <v>0</v>
      </c>
      <c r="G522" s="43" t="str">
        <f t="shared" si="8"/>
        <v>Available</v>
      </c>
      <c r="H522" s="43" t="str">
        <f>IF(A522="","",IF(COUNTIF('Programme Mentors'!$A:$A,A522)&gt;0,"Enrolled","—"))</f>
        <v>—</v>
      </c>
    </row>
    <row r="523" spans="1:8" ht="14.25" customHeight="1" x14ac:dyDescent="0.3">
      <c r="A523" s="9">
        <f>'Paste - Mentors'!A523</f>
        <v>4853997</v>
      </c>
      <c r="B523" s="4" t="str">
        <f>IFERROR(VLOOKUP(A523,'Paste - Mentors'!$A:$B,2,0),"")</f>
        <v>Lucille Abrams</v>
      </c>
      <c r="C523" s="4" t="str">
        <f>IFERROR(VLOOKUP(A523,'Paste - Mentors'!$A:$D,4,0),"")</f>
        <v>Technical Mentor
Workplace  Buddy</v>
      </c>
      <c r="D523" s="9" t="str">
        <f>IFERROR(VLOOKUP(A523,'Paste - Mentors'!$A:$F,6,0),"")</f>
        <v>FNB</v>
      </c>
      <c r="E523" s="9" t="str">
        <f>IFERROR(VLOOKUP(A523,'Paste - Mentors'!$A:$E,5,0),"")</f>
        <v>South Africa</v>
      </c>
      <c r="F523" s="9">
        <f>IF(A523="","",COUNTIFS('Paste - Relationships'!$A:$A,A523,'Paste - Relationships'!$AE:$AE,""))</f>
        <v>0</v>
      </c>
      <c r="G523" s="9" t="str">
        <f t="shared" si="8"/>
        <v>Available</v>
      </c>
      <c r="H523" s="9" t="str">
        <f>IF(A523="","",IF(COUNTIF('Programme Mentors'!$A:$A,A523)&gt;0,"Enrolled","—"))</f>
        <v>—</v>
      </c>
    </row>
    <row r="524" spans="1:8" ht="33.75" customHeight="1" x14ac:dyDescent="0.3">
      <c r="A524" s="43">
        <f>'Paste - Mentors'!A524</f>
        <v>4856066</v>
      </c>
      <c r="B524" s="3" t="str">
        <f>IFERROR(VLOOKUP(A524,'Paste - Mentors'!$A:$B,2,0),"")</f>
        <v>Faith Sibiya</v>
      </c>
      <c r="C524" s="3" t="str">
        <f>IFERROR(VLOOKUP(A524,'Paste - Mentors'!$A:$D,4,0),"")</f>
        <v>Career Mentor</v>
      </c>
      <c r="D524" s="43" t="str">
        <f>IFERROR(VLOOKUP(A524,'Paste - Mentors'!$A:$F,6,0),"")</f>
        <v>FNB</v>
      </c>
      <c r="E524" s="43" t="str">
        <f>IFERROR(VLOOKUP(A524,'Paste - Mentors'!$A:$E,5,0),"")</f>
        <v>South Africa</v>
      </c>
      <c r="F524" s="43">
        <f>IF(A524="","",COUNTIFS('Paste - Relationships'!$A:$A,A524,'Paste - Relationships'!$AE:$AE,""))</f>
        <v>0</v>
      </c>
      <c r="G524" s="43" t="str">
        <f t="shared" si="8"/>
        <v>Available</v>
      </c>
      <c r="H524" s="43" t="str">
        <f>IF(A524="","",IF(COUNTIF('Programme Mentors'!$A:$A,A524)&gt;0,"Enrolled","—"))</f>
        <v>—</v>
      </c>
    </row>
    <row r="525" spans="1:8" ht="14.25" customHeight="1" x14ac:dyDescent="0.3">
      <c r="A525" s="9">
        <f>'Paste - Mentors'!A525</f>
        <v>4856538</v>
      </c>
      <c r="B525" s="4" t="str">
        <f>IFERROR(VLOOKUP(A525,'Paste - Mentors'!$A:$B,2,0),"")</f>
        <v>Nomthandazo Sibiya</v>
      </c>
      <c r="C525" s="4" t="str">
        <f>IFERROR(VLOOKUP(A525,'Paste - Mentors'!$A:$D,4,0),"")</f>
        <v>Career Mentor</v>
      </c>
      <c r="D525" s="9" t="str">
        <f>IFERROR(VLOOKUP(A525,'Paste - Mentors'!$A:$F,6,0),"")</f>
        <v>FNB</v>
      </c>
      <c r="E525" s="9" t="str">
        <f>IFERROR(VLOOKUP(A525,'Paste - Mentors'!$A:$E,5,0),"")</f>
        <v>South Africa</v>
      </c>
      <c r="F525" s="9">
        <f>IF(A525="","",COUNTIFS('Paste - Relationships'!$A:$A,A525,'Paste - Relationships'!$AE:$AE,""))</f>
        <v>0</v>
      </c>
      <c r="G525" s="9" t="str">
        <f t="shared" si="8"/>
        <v>Available</v>
      </c>
      <c r="H525" s="9" t="str">
        <f>IF(A525="","",IF(COUNTIF('Programme Mentors'!$A:$A,A525)&gt;0,"Enrolled","—"))</f>
        <v>—</v>
      </c>
    </row>
    <row r="526" spans="1:8" ht="14.25" customHeight="1" x14ac:dyDescent="0.3">
      <c r="A526" s="43">
        <f>'Paste - Mentors'!A526</f>
        <v>4856864</v>
      </c>
      <c r="B526" s="3" t="str">
        <f>IFERROR(VLOOKUP(A526,'Paste - Mentors'!$A:$B,2,0),"")</f>
        <v>Ouma Aphane</v>
      </c>
      <c r="C526" s="3" t="str">
        <f>IFERROR(VLOOKUP(A526,'Paste - Mentors'!$A:$D,4,0),"")</f>
        <v>Career Mentor</v>
      </c>
      <c r="D526" s="43" t="str">
        <f>IFERROR(VLOOKUP(A526,'Paste - Mentors'!$A:$F,6,0),"")</f>
        <v>FNB</v>
      </c>
      <c r="E526" s="43" t="str">
        <f>IFERROR(VLOOKUP(A526,'Paste - Mentors'!$A:$E,5,0),"")</f>
        <v>South Africa</v>
      </c>
      <c r="F526" s="43">
        <f>IF(A526="","",COUNTIFS('Paste - Relationships'!$A:$A,A526,'Paste - Relationships'!$AE:$AE,""))</f>
        <v>0</v>
      </c>
      <c r="G526" s="43" t="str">
        <f t="shared" si="8"/>
        <v>Available</v>
      </c>
      <c r="H526" s="43" t="str">
        <f>IF(A526="","",IF(COUNTIF('Programme Mentors'!$A:$A,A526)&gt;0,"Enrolled","—"))</f>
        <v>—</v>
      </c>
    </row>
    <row r="527" spans="1:8" ht="14.25" customHeight="1" x14ac:dyDescent="0.3">
      <c r="A527" s="9">
        <f>'Paste - Mentors'!A527</f>
        <v>4857283</v>
      </c>
      <c r="B527" s="4" t="str">
        <f>IFERROR(VLOOKUP(A527,'Paste - Mentors'!$A:$B,2,0),"")</f>
        <v>Mr Tshililo Tharini</v>
      </c>
      <c r="C527" s="4" t="str">
        <f>IFERROR(VLOOKUP(A527,'Paste - Mentors'!$A:$D,4,0),"")</f>
        <v>Career Mentor</v>
      </c>
      <c r="D527" s="9" t="str">
        <f>IFERROR(VLOOKUP(A527,'Paste - Mentors'!$A:$F,6,0),"")</f>
        <v>FNB</v>
      </c>
      <c r="E527" s="9" t="str">
        <f>IFERROR(VLOOKUP(A527,'Paste - Mentors'!$A:$E,5,0),"")</f>
        <v>South Africa</v>
      </c>
      <c r="F527" s="9">
        <f>IF(A527="","",COUNTIFS('Paste - Relationships'!$A:$A,A527,'Paste - Relationships'!$AE:$AE,""))</f>
        <v>0</v>
      </c>
      <c r="G527" s="9" t="str">
        <f t="shared" si="8"/>
        <v>Available</v>
      </c>
      <c r="H527" s="9" t="str">
        <f>IF(A527="","",IF(COUNTIF('Programme Mentors'!$A:$A,A527)&gt;0,"Enrolled","—"))</f>
        <v>—</v>
      </c>
    </row>
    <row r="528" spans="1:8" ht="14.25" customHeight="1" x14ac:dyDescent="0.3">
      <c r="A528" s="43">
        <f>'Paste - Mentors'!A528</f>
        <v>4858182</v>
      </c>
      <c r="B528" s="3" t="str">
        <f>IFERROR(VLOOKUP(A528,'Paste - Mentors'!$A:$B,2,0),"")</f>
        <v>Markus Prince</v>
      </c>
      <c r="C528" s="3" t="str">
        <f>IFERROR(VLOOKUP(A528,'Paste - Mentors'!$A:$D,4,0),"")</f>
        <v>Career Mentor</v>
      </c>
      <c r="D528" s="43" t="str">
        <f>IFERROR(VLOOKUP(A528,'Paste - Mentors'!$A:$F,6,0),"")</f>
        <v>FNB</v>
      </c>
      <c r="E528" s="43" t="str">
        <f>IFERROR(VLOOKUP(A528,'Paste - Mentors'!$A:$E,5,0),"")</f>
        <v>South Africa</v>
      </c>
      <c r="F528" s="43">
        <f>IF(A528="","",COUNTIFS('Paste - Relationships'!$A:$A,A528,'Paste - Relationships'!$AE:$AE,""))</f>
        <v>0</v>
      </c>
      <c r="G528" s="43" t="str">
        <f t="shared" si="8"/>
        <v>Available</v>
      </c>
      <c r="H528" s="43" t="str">
        <f>IF(A528="","",IF(COUNTIF('Programme Mentors'!$A:$A,A528)&gt;0,"Enrolled","—"))</f>
        <v>—</v>
      </c>
    </row>
    <row r="529" spans="1:8" ht="14.25" customHeight="1" x14ac:dyDescent="0.3">
      <c r="A529" s="9">
        <f>'Paste - Mentors'!A529</f>
        <v>4859952</v>
      </c>
      <c r="B529" s="4" t="str">
        <f>IFERROR(VLOOKUP(A529,'Paste - Mentors'!$A:$B,2,0),"")</f>
        <v>Joanita Van Staden</v>
      </c>
      <c r="C529" s="4" t="str">
        <f>IFERROR(VLOOKUP(A529,'Paste - Mentors'!$A:$D,4,0),"")</f>
        <v>Career Mentor
Leadership Mentor
Technical Mentor
Transition Mentor
Workplace  Buddy</v>
      </c>
      <c r="D529" s="9" t="str">
        <f>IFERROR(VLOOKUP(A529,'Paste - Mentors'!$A:$F,6,0),"")</f>
        <v>RMB</v>
      </c>
      <c r="E529" s="9" t="str">
        <f>IFERROR(VLOOKUP(A529,'Paste - Mentors'!$A:$E,5,0),"")</f>
        <v>South Africa</v>
      </c>
      <c r="F529" s="9">
        <f>IF(A529="","",COUNTIFS('Paste - Relationships'!$A:$A,A529,'Paste - Relationships'!$AE:$AE,""))</f>
        <v>0</v>
      </c>
      <c r="G529" s="9" t="str">
        <f t="shared" si="8"/>
        <v>Available</v>
      </c>
      <c r="H529" s="9" t="str">
        <f>IF(A529="","",IF(COUNTIF('Programme Mentors'!$A:$A,A529)&gt;0,"Enrolled","—"))</f>
        <v>—</v>
      </c>
    </row>
    <row r="530" spans="1:8" ht="102" customHeight="1" x14ac:dyDescent="0.3">
      <c r="A530" s="43">
        <f>'Paste - Mentors'!A530</f>
        <v>4863267</v>
      </c>
      <c r="B530" s="3" t="str">
        <f>IFERROR(VLOOKUP(A530,'Paste - Mentors'!$A:$B,2,0),"")</f>
        <v>Maya Samlal</v>
      </c>
      <c r="C530" s="3" t="str">
        <f>IFERROR(VLOOKUP(A530,'Paste - Mentors'!$A:$D,4,0),"")</f>
        <v>Career Mentor</v>
      </c>
      <c r="D530" s="43" t="str">
        <f>IFERROR(VLOOKUP(A530,'Paste - Mentors'!$A:$F,6,0),"")</f>
        <v>FNB</v>
      </c>
      <c r="E530" s="43" t="str">
        <f>IFERROR(VLOOKUP(A530,'Paste - Mentors'!$A:$E,5,0),"")</f>
        <v>South Africa</v>
      </c>
      <c r="F530" s="43">
        <f>IF(A530="","",COUNTIFS('Paste - Relationships'!$A:$A,A530,'Paste - Relationships'!$AE:$AE,""))</f>
        <v>0</v>
      </c>
      <c r="G530" s="43" t="str">
        <f t="shared" si="8"/>
        <v>Available</v>
      </c>
      <c r="H530" s="43" t="str">
        <f>IF(A530="","",IF(COUNTIF('Programme Mentors'!$A:$A,A530)&gt;0,"Enrolled","—"))</f>
        <v>—</v>
      </c>
    </row>
    <row r="531" spans="1:8" ht="14.25" customHeight="1" x14ac:dyDescent="0.3">
      <c r="A531" s="9">
        <f>'Paste - Mentors'!A531</f>
        <v>4863291</v>
      </c>
      <c r="B531" s="4" t="str">
        <f>IFERROR(VLOOKUP(A531,'Paste - Mentors'!$A:$B,2,0),"")</f>
        <v>Khethiwe Khoza</v>
      </c>
      <c r="C531" s="4" t="str">
        <f>IFERROR(VLOOKUP(A531,'Paste - Mentors'!$A:$D,4,0),"")</f>
        <v>Career Mentor</v>
      </c>
      <c r="D531" s="9" t="str">
        <f>IFERROR(VLOOKUP(A531,'Paste - Mentors'!$A:$F,6,0),"")</f>
        <v>FNB</v>
      </c>
      <c r="E531" s="9" t="str">
        <f>IFERROR(VLOOKUP(A531,'Paste - Mentors'!$A:$E,5,0),"")</f>
        <v>South Africa</v>
      </c>
      <c r="F531" s="9">
        <f>IF(A531="","",COUNTIFS('Paste - Relationships'!$A:$A,A531,'Paste - Relationships'!$AE:$AE,""))</f>
        <v>0</v>
      </c>
      <c r="G531" s="9" t="str">
        <f t="shared" si="8"/>
        <v>Available</v>
      </c>
      <c r="H531" s="9" t="str">
        <f>IF(A531="","",IF(COUNTIF('Programme Mentors'!$A:$A,A531)&gt;0,"Enrolled","—"))</f>
        <v>—</v>
      </c>
    </row>
    <row r="532" spans="1:8" ht="14.25" customHeight="1" x14ac:dyDescent="0.3">
      <c r="A532" s="43">
        <f>'Paste - Mentors'!A532</f>
        <v>4865316</v>
      </c>
      <c r="B532" s="3" t="str">
        <f>IFERROR(VLOOKUP(A532,'Paste - Mentors'!$A:$B,2,0),"")</f>
        <v>Ndiyafhi Mphephu</v>
      </c>
      <c r="C532" s="3" t="str">
        <f>IFERROR(VLOOKUP(A532,'Paste - Mentors'!$A:$D,4,0),"")</f>
        <v>Career Mentor</v>
      </c>
      <c r="D532" s="43" t="str">
        <f>IFERROR(VLOOKUP(A532,'Paste - Mentors'!$A:$F,6,0),"")</f>
        <v>FNB</v>
      </c>
      <c r="E532" s="43" t="str">
        <f>IFERROR(VLOOKUP(A532,'Paste - Mentors'!$A:$E,5,0),"")</f>
        <v>South Africa</v>
      </c>
      <c r="F532" s="43">
        <f>IF(A532="","",COUNTIFS('Paste - Relationships'!$A:$A,A532,'Paste - Relationships'!$AE:$AE,""))</f>
        <v>0</v>
      </c>
      <c r="G532" s="43" t="str">
        <f t="shared" si="8"/>
        <v>Available</v>
      </c>
      <c r="H532" s="43" t="str">
        <f>IF(A532="","",IF(COUNTIF('Programme Mentors'!$A:$A,A532)&gt;0,"Enrolled","—"))</f>
        <v>—</v>
      </c>
    </row>
    <row r="533" spans="1:8" ht="14.25" customHeight="1" x14ac:dyDescent="0.3">
      <c r="A533" s="9">
        <f>'Paste - Mentors'!A533</f>
        <v>4865952</v>
      </c>
      <c r="B533" s="4" t="str">
        <f>IFERROR(VLOOKUP(A533,'Paste - Mentors'!$A:$B,2,0),"")</f>
        <v>Bruce Ncube</v>
      </c>
      <c r="C533" s="4" t="str">
        <f>IFERROR(VLOOKUP(A533,'Paste - Mentors'!$A:$D,4,0),"")</f>
        <v>Career Mentor</v>
      </c>
      <c r="D533" s="9" t="str">
        <f>IFERROR(VLOOKUP(A533,'Paste - Mentors'!$A:$F,6,0),"")</f>
        <v>FNB</v>
      </c>
      <c r="E533" s="9" t="str">
        <f>IFERROR(VLOOKUP(A533,'Paste - Mentors'!$A:$E,5,0),"")</f>
        <v>South Africa</v>
      </c>
      <c r="F533" s="9">
        <f>IF(A533="","",COUNTIFS('Paste - Relationships'!$A:$A,A533,'Paste - Relationships'!$AE:$AE,""))</f>
        <v>0</v>
      </c>
      <c r="G533" s="9" t="str">
        <f t="shared" si="8"/>
        <v>Available</v>
      </c>
      <c r="H533" s="9" t="str">
        <f>IF(A533="","",IF(COUNTIF('Programme Mentors'!$A:$A,A533)&gt;0,"Enrolled","—"))</f>
        <v>—</v>
      </c>
    </row>
    <row r="534" spans="1:8" ht="14.25" customHeight="1" x14ac:dyDescent="0.3">
      <c r="A534" s="43">
        <f>'Paste - Mentors'!A534</f>
        <v>4868498</v>
      </c>
      <c r="B534" s="3" t="str">
        <f>IFERROR(VLOOKUP(A534,'Paste - Mentors'!$A:$B,2,0),"")</f>
        <v>Sumayyah Suliman</v>
      </c>
      <c r="C534" s="3" t="str">
        <f>IFERROR(VLOOKUP(A534,'Paste - Mentors'!$A:$D,4,0),"")</f>
        <v>Career Mentor</v>
      </c>
      <c r="D534" s="43" t="str">
        <f>IFERROR(VLOOKUP(A534,'Paste - Mentors'!$A:$F,6,0),"")</f>
        <v>FNB</v>
      </c>
      <c r="E534" s="43" t="str">
        <f>IFERROR(VLOOKUP(A534,'Paste - Mentors'!$A:$E,5,0),"")</f>
        <v>South Africa</v>
      </c>
      <c r="F534" s="43">
        <f>IF(A534="","",COUNTIFS('Paste - Relationships'!$A:$A,A534,'Paste - Relationships'!$AE:$AE,""))</f>
        <v>0</v>
      </c>
      <c r="G534" s="43" t="str">
        <f t="shared" si="8"/>
        <v>Available</v>
      </c>
      <c r="H534" s="43" t="str">
        <f>IF(A534="","",IF(COUNTIF('Programme Mentors'!$A:$A,A534)&gt;0,"Enrolled","—"))</f>
        <v>—</v>
      </c>
    </row>
    <row r="535" spans="1:8" ht="14.25" customHeight="1" x14ac:dyDescent="0.3">
      <c r="A535" s="9">
        <f>'Paste - Mentors'!A535</f>
        <v>4869869</v>
      </c>
      <c r="B535" s="4" t="str">
        <f>IFERROR(VLOOKUP(A535,'Paste - Mentors'!$A:$B,2,0),"")</f>
        <v>Lwazi Madonsela</v>
      </c>
      <c r="C535" s="4" t="str">
        <f>IFERROR(VLOOKUP(A535,'Paste - Mentors'!$A:$D,4,0),"")</f>
        <v>Career Mentor</v>
      </c>
      <c r="D535" s="9" t="str">
        <f>IFERROR(VLOOKUP(A535,'Paste - Mentors'!$A:$F,6,0),"")</f>
        <v>FNB</v>
      </c>
      <c r="E535" s="9" t="str">
        <f>IFERROR(VLOOKUP(A535,'Paste - Mentors'!$A:$E,5,0),"")</f>
        <v>South Africa</v>
      </c>
      <c r="F535" s="9">
        <f>IF(A535="","",COUNTIFS('Paste - Relationships'!$A:$A,A535,'Paste - Relationships'!$AE:$AE,""))</f>
        <v>0</v>
      </c>
      <c r="G535" s="9" t="str">
        <f t="shared" si="8"/>
        <v>Available</v>
      </c>
      <c r="H535" s="9" t="str">
        <f>IF(A535="","",IF(COUNTIF('Programme Mentors'!$A:$A,A535)&gt;0,"Enrolled","—"))</f>
        <v>—</v>
      </c>
    </row>
    <row r="536" spans="1:8" ht="14.25" customHeight="1" x14ac:dyDescent="0.3">
      <c r="A536" s="43">
        <f>'Paste - Mentors'!A536</f>
        <v>4870417</v>
      </c>
      <c r="B536" s="3" t="str">
        <f>IFERROR(VLOOKUP(A536,'Paste - Mentors'!$A:$B,2,0),"")</f>
        <v>Fhumulani Mudau</v>
      </c>
      <c r="C536" s="3" t="str">
        <f>IFERROR(VLOOKUP(A536,'Paste - Mentors'!$A:$D,4,0),"")</f>
        <v>Career Mentor</v>
      </c>
      <c r="D536" s="43" t="str">
        <f>IFERROR(VLOOKUP(A536,'Paste - Mentors'!$A:$F,6,0),"")</f>
        <v>FNB</v>
      </c>
      <c r="E536" s="43" t="str">
        <f>IFERROR(VLOOKUP(A536,'Paste - Mentors'!$A:$E,5,0),"")</f>
        <v>South Africa</v>
      </c>
      <c r="F536" s="43">
        <f>IF(A536="","",COUNTIFS('Paste - Relationships'!$A:$A,A536,'Paste - Relationships'!$AE:$AE,""))</f>
        <v>0</v>
      </c>
      <c r="G536" s="43" t="str">
        <f t="shared" si="8"/>
        <v>Available</v>
      </c>
      <c r="H536" s="43" t="str">
        <f>IF(A536="","",IF(COUNTIF('Programme Mentors'!$A:$A,A536)&gt;0,"Enrolled","—"))</f>
        <v>—</v>
      </c>
    </row>
    <row r="537" spans="1:8" ht="14.25" customHeight="1" x14ac:dyDescent="0.3">
      <c r="A537" s="9">
        <f>'Paste - Mentors'!A537</f>
        <v>4871464</v>
      </c>
      <c r="B537" s="4" t="str">
        <f>IFERROR(VLOOKUP(A537,'Paste - Mentors'!$A:$B,2,0),"")</f>
        <v>Samantha Mntungwa</v>
      </c>
      <c r="C537" s="4" t="str">
        <f>IFERROR(VLOOKUP(A537,'Paste - Mentors'!$A:$D,4,0),"")</f>
        <v>Career Mentor</v>
      </c>
      <c r="D537" s="9" t="str">
        <f>IFERROR(VLOOKUP(A537,'Paste - Mentors'!$A:$F,6,0),"")</f>
        <v>FNB</v>
      </c>
      <c r="E537" s="9" t="str">
        <f>IFERROR(VLOOKUP(A537,'Paste - Mentors'!$A:$E,5,0),"")</f>
        <v>South Africa</v>
      </c>
      <c r="F537" s="9">
        <f>IF(A537="","",COUNTIFS('Paste - Relationships'!$A:$A,A537,'Paste - Relationships'!$AE:$AE,""))</f>
        <v>0</v>
      </c>
      <c r="G537" s="9" t="str">
        <f t="shared" si="8"/>
        <v>Available</v>
      </c>
      <c r="H537" s="9" t="str">
        <f>IF(A537="","",IF(COUNTIF('Programme Mentors'!$A:$A,A537)&gt;0,"Enrolled","—"))</f>
        <v>—</v>
      </c>
    </row>
    <row r="538" spans="1:8" ht="14.25" customHeight="1" x14ac:dyDescent="0.3">
      <c r="A538" s="43">
        <f>'Paste - Mentors'!A538</f>
        <v>4872231</v>
      </c>
      <c r="B538" s="3" t="str">
        <f>IFERROR(VLOOKUP(A538,'Paste - Mentors'!$A:$B,2,0),"")</f>
        <v>Meghan Mitchell</v>
      </c>
      <c r="C538" s="3" t="str">
        <f>IFERROR(VLOOKUP(A538,'Paste - Mentors'!$A:$D,4,0),"")</f>
        <v>Career Mentor</v>
      </c>
      <c r="D538" s="43" t="str">
        <f>IFERROR(VLOOKUP(A538,'Paste - Mentors'!$A:$F,6,0),"")</f>
        <v>FirstRand Corporate Centre</v>
      </c>
      <c r="E538" s="43" t="str">
        <f>IFERROR(VLOOKUP(A538,'Paste - Mentors'!$A:$E,5,0),"")</f>
        <v>South Africa</v>
      </c>
      <c r="F538" s="43">
        <f>IF(A538="","",COUNTIFS('Paste - Relationships'!$A:$A,A538,'Paste - Relationships'!$AE:$AE,""))</f>
        <v>0</v>
      </c>
      <c r="G538" s="43" t="str">
        <f t="shared" si="8"/>
        <v>Available</v>
      </c>
      <c r="H538" s="43" t="str">
        <f>IF(A538="","",IF(COUNTIF('Programme Mentors'!$A:$A,A538)&gt;0,"Enrolled","—"))</f>
        <v>—</v>
      </c>
    </row>
    <row r="539" spans="1:8" ht="33.75" customHeight="1" x14ac:dyDescent="0.3">
      <c r="A539" s="9">
        <f>'Paste - Mentors'!A539</f>
        <v>4873505</v>
      </c>
      <c r="B539" s="4" t="str">
        <f>IFERROR(VLOOKUP(A539,'Paste - Mentors'!$A:$B,2,0),"")</f>
        <v>Ezelle Wolmarans</v>
      </c>
      <c r="C539" s="4" t="str">
        <f>IFERROR(VLOOKUP(A539,'Paste - Mentors'!$A:$D,4,0),"")</f>
        <v>Career Mentor
Technical Mentor
Workplace  Buddy</v>
      </c>
      <c r="D539" s="9" t="str">
        <f>IFERROR(VLOOKUP(A539,'Paste - Mentors'!$A:$F,6,0),"")</f>
        <v>RMB</v>
      </c>
      <c r="E539" s="9" t="str">
        <f>IFERROR(VLOOKUP(A539,'Paste - Mentors'!$A:$E,5,0),"")</f>
        <v>South Africa</v>
      </c>
      <c r="F539" s="9">
        <f>IF(A539="","",COUNTIFS('Paste - Relationships'!$A:$A,A539,'Paste - Relationships'!$AE:$AE,""))</f>
        <v>0</v>
      </c>
      <c r="G539" s="9" t="str">
        <f t="shared" si="8"/>
        <v>Available</v>
      </c>
      <c r="H539" s="9" t="str">
        <f>IF(A539="","",IF(COUNTIF('Programme Mentors'!$A:$A,A539)&gt;0,"Enrolled","—"))</f>
        <v>—</v>
      </c>
    </row>
    <row r="540" spans="1:8" ht="57" customHeight="1" x14ac:dyDescent="0.3">
      <c r="A540" s="43">
        <f>'Paste - Mentors'!A540</f>
        <v>4875346</v>
      </c>
      <c r="B540" s="3" t="str">
        <f>IFERROR(VLOOKUP(A540,'Paste - Mentors'!$A:$B,2,0),"")</f>
        <v>Mulalo Kutame</v>
      </c>
      <c r="C540" s="3" t="str">
        <f>IFERROR(VLOOKUP(A540,'Paste - Mentors'!$A:$D,4,0),"")</f>
        <v>Career Mentor
Leadership Mentor
Transition Mentor</v>
      </c>
      <c r="D540" s="43" t="str">
        <f>IFERROR(VLOOKUP(A540,'Paste - Mentors'!$A:$F,6,0),"")</f>
        <v>FNB</v>
      </c>
      <c r="E540" s="43" t="str">
        <f>IFERROR(VLOOKUP(A540,'Paste - Mentors'!$A:$E,5,0),"")</f>
        <v>South Africa</v>
      </c>
      <c r="F540" s="43">
        <f>IF(A540="","",COUNTIFS('Paste - Relationships'!$A:$A,A540,'Paste - Relationships'!$AE:$AE,""))</f>
        <v>0</v>
      </c>
      <c r="G540" s="43" t="str">
        <f t="shared" si="8"/>
        <v>Available</v>
      </c>
      <c r="H540" s="43" t="str">
        <f>IF(A540="","",IF(COUNTIF('Programme Mentors'!$A:$A,A540)&gt;0,"Enrolled","—"))</f>
        <v>—</v>
      </c>
    </row>
    <row r="541" spans="1:8" ht="57" customHeight="1" x14ac:dyDescent="0.3">
      <c r="A541" s="9">
        <f>'Paste - Mentors'!A541</f>
        <v>4876709</v>
      </c>
      <c r="B541" s="4" t="str">
        <f>IFERROR(VLOOKUP(A541,'Paste - Mentors'!$A:$B,2,0),"")</f>
        <v>Shivash Jughdaw</v>
      </c>
      <c r="C541" s="4" t="str">
        <f>IFERROR(VLOOKUP(A541,'Paste - Mentors'!$A:$D,4,0),"")</f>
        <v>Career Mentor</v>
      </c>
      <c r="D541" s="9" t="str">
        <f>IFERROR(VLOOKUP(A541,'Paste - Mentors'!$A:$F,6,0),"")</f>
        <v>FNB</v>
      </c>
      <c r="E541" s="9" t="str">
        <f>IFERROR(VLOOKUP(A541,'Paste - Mentors'!$A:$E,5,0),"")</f>
        <v>South Africa</v>
      </c>
      <c r="F541" s="9">
        <f>IF(A541="","",COUNTIFS('Paste - Relationships'!$A:$A,A541,'Paste - Relationships'!$AE:$AE,""))</f>
        <v>0</v>
      </c>
      <c r="G541" s="9" t="str">
        <f t="shared" si="8"/>
        <v>Available</v>
      </c>
      <c r="H541" s="9" t="str">
        <f>IF(A541="","",IF(COUNTIF('Programme Mentors'!$A:$A,A541)&gt;0,"Enrolled","—"))</f>
        <v>—</v>
      </c>
    </row>
    <row r="542" spans="1:8" ht="14.25" customHeight="1" x14ac:dyDescent="0.3">
      <c r="A542" s="43">
        <f>'Paste - Mentors'!A542</f>
        <v>4877594</v>
      </c>
      <c r="B542" s="3" t="str">
        <f>IFERROR(VLOOKUP(A542,'Paste - Mentors'!$A:$B,2,0),"")</f>
        <v>Allen Chapingidza</v>
      </c>
      <c r="C542" s="3" t="str">
        <f>IFERROR(VLOOKUP(A542,'Paste - Mentors'!$A:$D,4,0),"")</f>
        <v>Career Mentor
Technical Mentor
Transition Mentor
Workplace  Buddy</v>
      </c>
      <c r="D542" s="43" t="str">
        <f>IFERROR(VLOOKUP(A542,'Paste - Mentors'!$A:$F,6,0),"")</f>
        <v>FNB</v>
      </c>
      <c r="E542" s="43" t="str">
        <f>IFERROR(VLOOKUP(A542,'Paste - Mentors'!$A:$E,5,0),"")</f>
        <v>South Africa</v>
      </c>
      <c r="F542" s="43">
        <f>IF(A542="","",COUNTIFS('Paste - Relationships'!$A:$A,A542,'Paste - Relationships'!$AE:$AE,""))</f>
        <v>0</v>
      </c>
      <c r="G542" s="43" t="str">
        <f t="shared" si="8"/>
        <v>Available</v>
      </c>
      <c r="H542" s="43" t="str">
        <f>IF(A542="","",IF(COUNTIF('Programme Mentors'!$A:$A,A542)&gt;0,"Enrolled","—"))</f>
        <v>—</v>
      </c>
    </row>
    <row r="543" spans="1:8" ht="79.5" customHeight="1" x14ac:dyDescent="0.3">
      <c r="A543" s="9">
        <f>'Paste - Mentors'!A543</f>
        <v>4878043</v>
      </c>
      <c r="B543" s="4" t="str">
        <f>IFERROR(VLOOKUP(A543,'Paste - Mentors'!$A:$B,2,0),"")</f>
        <v>Mark Miller</v>
      </c>
      <c r="C543" s="4" t="str">
        <f>IFERROR(VLOOKUP(A543,'Paste - Mentors'!$A:$D,4,0),"")</f>
        <v>Career Mentor</v>
      </c>
      <c r="D543" s="9" t="str">
        <f>IFERROR(VLOOKUP(A543,'Paste - Mentors'!$A:$F,6,0),"")</f>
        <v>FNB</v>
      </c>
      <c r="E543" s="9" t="str">
        <f>IFERROR(VLOOKUP(A543,'Paste - Mentors'!$A:$E,5,0),"")</f>
        <v>South Africa</v>
      </c>
      <c r="F543" s="9">
        <f>IF(A543="","",COUNTIFS('Paste - Relationships'!$A:$A,A543,'Paste - Relationships'!$AE:$AE,""))</f>
        <v>0</v>
      </c>
      <c r="G543" s="9" t="str">
        <f t="shared" si="8"/>
        <v>Available</v>
      </c>
      <c r="H543" s="9" t="str">
        <f>IF(A543="","",IF(COUNTIF('Programme Mentors'!$A:$A,A543)&gt;0,"Enrolled","—"))</f>
        <v>—</v>
      </c>
    </row>
    <row r="544" spans="1:8" ht="14.25" customHeight="1" x14ac:dyDescent="0.3">
      <c r="A544" s="43">
        <f>'Paste - Mentors'!A544</f>
        <v>4878809</v>
      </c>
      <c r="B544" s="3" t="str">
        <f>IFERROR(VLOOKUP(A544,'Paste - Mentors'!$A:$B,2,0),"")</f>
        <v>Dirk Kotze</v>
      </c>
      <c r="C544" s="3" t="str">
        <f>IFERROR(VLOOKUP(A544,'Paste - Mentors'!$A:$D,4,0),"")</f>
        <v>Career Mentor</v>
      </c>
      <c r="D544" s="43" t="str">
        <f>IFERROR(VLOOKUP(A544,'Paste - Mentors'!$A:$F,6,0),"")</f>
        <v>FNB</v>
      </c>
      <c r="E544" s="43" t="str">
        <f>IFERROR(VLOOKUP(A544,'Paste - Mentors'!$A:$E,5,0),"")</f>
        <v>South Africa</v>
      </c>
      <c r="F544" s="43">
        <f>IF(A544="","",COUNTIFS('Paste - Relationships'!$A:$A,A544,'Paste - Relationships'!$AE:$AE,""))</f>
        <v>0</v>
      </c>
      <c r="G544" s="43" t="str">
        <f t="shared" si="8"/>
        <v>Available</v>
      </c>
      <c r="H544" s="43" t="str">
        <f>IF(A544="","",IF(COUNTIF('Programme Mentors'!$A:$A,A544)&gt;0,"Enrolled","—"))</f>
        <v>—</v>
      </c>
    </row>
    <row r="545" spans="1:8" ht="14.25" customHeight="1" x14ac:dyDescent="0.3">
      <c r="A545" s="9">
        <f>'Paste - Mentors'!A545</f>
        <v>4878922</v>
      </c>
      <c r="B545" s="4" t="str">
        <f>IFERROR(VLOOKUP(A545,'Paste - Mentors'!$A:$B,2,0),"")</f>
        <v>Fridah Maake-Gumede</v>
      </c>
      <c r="C545" s="4" t="str">
        <f>IFERROR(VLOOKUP(A545,'Paste - Mentors'!$A:$D,4,0),"")</f>
        <v>Career Mentor</v>
      </c>
      <c r="D545" s="9" t="str">
        <f>IFERROR(VLOOKUP(A545,'Paste - Mentors'!$A:$F,6,0),"")</f>
        <v>FNB</v>
      </c>
      <c r="E545" s="9" t="str">
        <f>IFERROR(VLOOKUP(A545,'Paste - Mentors'!$A:$E,5,0),"")</f>
        <v>South Africa</v>
      </c>
      <c r="F545" s="9">
        <f>IF(A545="","",COUNTIFS('Paste - Relationships'!$A:$A,A545,'Paste - Relationships'!$AE:$AE,""))</f>
        <v>0</v>
      </c>
      <c r="G545" s="9" t="str">
        <f t="shared" si="8"/>
        <v>Available</v>
      </c>
      <c r="H545" s="9" t="str">
        <f>IF(A545="","",IF(COUNTIF('Programme Mentors'!$A:$A,A545)&gt;0,"Enrolled","—"))</f>
        <v>—</v>
      </c>
    </row>
    <row r="546" spans="1:8" ht="14.25" customHeight="1" x14ac:dyDescent="0.3">
      <c r="A546" s="43">
        <f>'Paste - Mentors'!A546</f>
        <v>4882253</v>
      </c>
      <c r="B546" s="3" t="str">
        <f>IFERROR(VLOOKUP(A546,'Paste - Mentors'!$A:$B,2,0),"")</f>
        <v>Sdumisile Mbambo</v>
      </c>
      <c r="C546" s="3" t="str">
        <f>IFERROR(VLOOKUP(A546,'Paste - Mentors'!$A:$D,4,0),"")</f>
        <v>Leadership Mentor
Technical Mentor</v>
      </c>
      <c r="D546" s="43" t="str">
        <f>IFERROR(VLOOKUP(A546,'Paste - Mentors'!$A:$F,6,0),"")</f>
        <v>FNB</v>
      </c>
      <c r="E546" s="43" t="str">
        <f>IFERROR(VLOOKUP(A546,'Paste - Mentors'!$A:$E,5,0),"")</f>
        <v>South Africa</v>
      </c>
      <c r="F546" s="43">
        <f>IF(A546="","",COUNTIFS('Paste - Relationships'!$A:$A,A546,'Paste - Relationships'!$AE:$AE,""))</f>
        <v>0</v>
      </c>
      <c r="G546" s="43" t="str">
        <f t="shared" si="8"/>
        <v>Available</v>
      </c>
      <c r="H546" s="43" t="str">
        <f>IF(A546="","",IF(COUNTIF('Programme Mentors'!$A:$A,A546)&gt;0,"Enrolled","—"))</f>
        <v>—</v>
      </c>
    </row>
    <row r="547" spans="1:8" ht="33.75" customHeight="1" x14ac:dyDescent="0.3">
      <c r="A547" s="9">
        <f>'Paste - Mentors'!A547</f>
        <v>4883535</v>
      </c>
      <c r="B547" s="4" t="str">
        <f>IFERROR(VLOOKUP(A547,'Paste - Mentors'!$A:$B,2,0),"")</f>
        <v>Brett Kruger</v>
      </c>
      <c r="C547" s="4" t="str">
        <f>IFERROR(VLOOKUP(A547,'Paste - Mentors'!$A:$D,4,0),"")</f>
        <v>Career Mentor</v>
      </c>
      <c r="D547" s="9" t="str">
        <f>IFERROR(VLOOKUP(A547,'Paste - Mentors'!$A:$F,6,0),"")</f>
        <v>FNB</v>
      </c>
      <c r="E547" s="9" t="str">
        <f>IFERROR(VLOOKUP(A547,'Paste - Mentors'!$A:$E,5,0),"")</f>
        <v>South Africa</v>
      </c>
      <c r="F547" s="9">
        <f>IF(A547="","",COUNTIFS('Paste - Relationships'!$A:$A,A547,'Paste - Relationships'!$AE:$AE,""))</f>
        <v>0</v>
      </c>
      <c r="G547" s="9" t="str">
        <f t="shared" si="8"/>
        <v>Available</v>
      </c>
      <c r="H547" s="9" t="str">
        <f>IF(A547="","",IF(COUNTIF('Programme Mentors'!$A:$A,A547)&gt;0,"Enrolled","—"))</f>
        <v>—</v>
      </c>
    </row>
    <row r="548" spans="1:8" ht="14.25" customHeight="1" x14ac:dyDescent="0.3">
      <c r="A548" s="43">
        <f>'Paste - Mentors'!A548</f>
        <v>4887891</v>
      </c>
      <c r="B548" s="3" t="str">
        <f>IFERROR(VLOOKUP(A548,'Paste - Mentors'!$A:$B,2,0),"")</f>
        <v>Kebaokeditse Ramolotsa</v>
      </c>
      <c r="C548" s="3" t="str">
        <f>IFERROR(VLOOKUP(A548,'Paste - Mentors'!$A:$D,4,0),"")</f>
        <v>Career Mentor</v>
      </c>
      <c r="D548" s="43" t="str">
        <f>IFERROR(VLOOKUP(A548,'Paste - Mentors'!$A:$F,6,0),"")</f>
        <v>FNB</v>
      </c>
      <c r="E548" s="43" t="str">
        <f>IFERROR(VLOOKUP(A548,'Paste - Mentors'!$A:$E,5,0),"")</f>
        <v>South Africa</v>
      </c>
      <c r="F548" s="43">
        <f>IF(A548="","",COUNTIFS('Paste - Relationships'!$A:$A,A548,'Paste - Relationships'!$AE:$AE,""))</f>
        <v>0</v>
      </c>
      <c r="G548" s="43" t="str">
        <f t="shared" si="8"/>
        <v>Available</v>
      </c>
      <c r="H548" s="43" t="str">
        <f>IF(A548="","",IF(COUNTIF('Programme Mentors'!$A:$A,A548)&gt;0,"Enrolled","—"))</f>
        <v>—</v>
      </c>
    </row>
    <row r="549" spans="1:8" ht="14.25" customHeight="1" x14ac:dyDescent="0.3">
      <c r="A549" s="9">
        <f>'Paste - Mentors'!A549</f>
        <v>4888758</v>
      </c>
      <c r="B549" s="4" t="str">
        <f>IFERROR(VLOOKUP(A549,'Paste - Mentors'!$A:$B,2,0),"")</f>
        <v>Jonathan Hayes</v>
      </c>
      <c r="C549" s="4" t="str">
        <f>IFERROR(VLOOKUP(A549,'Paste - Mentors'!$A:$D,4,0),"")</f>
        <v>Career Mentor</v>
      </c>
      <c r="D549" s="9" t="str">
        <f>IFERROR(VLOOKUP(A549,'Paste - Mentors'!$A:$F,6,0),"")</f>
        <v>FNB</v>
      </c>
      <c r="E549" s="9" t="str">
        <f>IFERROR(VLOOKUP(A549,'Paste - Mentors'!$A:$E,5,0),"")</f>
        <v>South Africa</v>
      </c>
      <c r="F549" s="9">
        <f>IF(A549="","",COUNTIFS('Paste - Relationships'!$A:$A,A549,'Paste - Relationships'!$AE:$AE,""))</f>
        <v>0</v>
      </c>
      <c r="G549" s="9" t="str">
        <f t="shared" si="8"/>
        <v>Available</v>
      </c>
      <c r="H549" s="9" t="str">
        <f>IF(A549="","",IF(COUNTIF('Programme Mentors'!$A:$A,A549)&gt;0,"Enrolled","—"))</f>
        <v>—</v>
      </c>
    </row>
    <row r="550" spans="1:8" ht="14.25" customHeight="1" x14ac:dyDescent="0.3">
      <c r="A550" s="43">
        <f>'Paste - Mentors'!A550</f>
        <v>4892402</v>
      </c>
      <c r="B550" s="3" t="str">
        <f>IFERROR(VLOOKUP(A550,'Paste - Mentors'!$A:$B,2,0),"")</f>
        <v>Mberii Kamahene</v>
      </c>
      <c r="C550" s="3" t="str">
        <f>IFERROR(VLOOKUP(A550,'Paste - Mentors'!$A:$D,4,0),"")</f>
        <v>Career Mentor</v>
      </c>
      <c r="D550" s="43" t="str">
        <f>IFERROR(VLOOKUP(A550,'Paste - Mentors'!$A:$F,6,0),"")</f>
        <v>FNB</v>
      </c>
      <c r="E550" s="43" t="str">
        <f>IFERROR(VLOOKUP(A550,'Paste - Mentors'!$A:$E,5,0),"")</f>
        <v>Namibia</v>
      </c>
      <c r="F550" s="43">
        <f>IF(A550="","",COUNTIFS('Paste - Relationships'!$A:$A,A550,'Paste - Relationships'!$AE:$AE,""))</f>
        <v>0</v>
      </c>
      <c r="G550" s="43" t="str">
        <f t="shared" si="8"/>
        <v>Available</v>
      </c>
      <c r="H550" s="43" t="str">
        <f>IF(A550="","",IF(COUNTIF('Programme Mentors'!$A:$A,A550)&gt;0,"Enrolled","—"))</f>
        <v>—</v>
      </c>
    </row>
    <row r="551" spans="1:8" ht="14.25" customHeight="1" x14ac:dyDescent="0.3">
      <c r="A551" s="9">
        <f>'Paste - Mentors'!A551</f>
        <v>4893824</v>
      </c>
      <c r="B551" s="4" t="str">
        <f>IFERROR(VLOOKUP(A551,'Paste - Mentors'!$A:$B,2,0),"")</f>
        <v>Philip Schutte</v>
      </c>
      <c r="C551" s="4" t="str">
        <f>IFERROR(VLOOKUP(A551,'Paste - Mentors'!$A:$D,4,0),"")</f>
        <v>Career Mentor</v>
      </c>
      <c r="D551" s="9" t="str">
        <f>IFERROR(VLOOKUP(A551,'Paste - Mentors'!$A:$F,6,0),"")</f>
        <v>FNB</v>
      </c>
      <c r="E551" s="9" t="str">
        <f>IFERROR(VLOOKUP(A551,'Paste - Mentors'!$A:$E,5,0),"")</f>
        <v>South Africa</v>
      </c>
      <c r="F551" s="9">
        <f>IF(A551="","",COUNTIFS('Paste - Relationships'!$A:$A,A551,'Paste - Relationships'!$AE:$AE,""))</f>
        <v>0</v>
      </c>
      <c r="G551" s="9" t="str">
        <f t="shared" si="8"/>
        <v>Available</v>
      </c>
      <c r="H551" s="9" t="str">
        <f>IF(A551="","",IF(COUNTIF('Programme Mentors'!$A:$A,A551)&gt;0,"Enrolled","—"))</f>
        <v>—</v>
      </c>
    </row>
    <row r="552" spans="1:8" ht="14.25" customHeight="1" x14ac:dyDescent="0.3">
      <c r="A552" s="43">
        <f>'Paste - Mentors'!A552</f>
        <v>4894391</v>
      </c>
      <c r="B552" s="3" t="str">
        <f>IFERROR(VLOOKUP(A552,'Paste - Mentors'!$A:$B,2,0),"")</f>
        <v>Karabo Makgala</v>
      </c>
      <c r="C552" s="3" t="str">
        <f>IFERROR(VLOOKUP(A552,'Paste - Mentors'!$A:$D,4,0),"")</f>
        <v>Career Mentor</v>
      </c>
      <c r="D552" s="43" t="str">
        <f>IFERROR(VLOOKUP(A552,'Paste - Mentors'!$A:$F,6,0),"")</f>
        <v>FNB</v>
      </c>
      <c r="E552" s="43" t="str">
        <f>IFERROR(VLOOKUP(A552,'Paste - Mentors'!$A:$E,5,0),"")</f>
        <v>South Africa</v>
      </c>
      <c r="F552" s="43">
        <f>IF(A552="","",COUNTIFS('Paste - Relationships'!$A:$A,A552,'Paste - Relationships'!$AE:$AE,""))</f>
        <v>0</v>
      </c>
      <c r="G552" s="43" t="str">
        <f t="shared" si="8"/>
        <v>Available</v>
      </c>
      <c r="H552" s="43" t="str">
        <f>IF(A552="","",IF(COUNTIF('Programme Mentors'!$A:$A,A552)&gt;0,"Enrolled","—"))</f>
        <v>—</v>
      </c>
    </row>
    <row r="553" spans="1:8" ht="14.25" customHeight="1" x14ac:dyDescent="0.3">
      <c r="A553" s="9">
        <f>'Paste - Mentors'!A553</f>
        <v>4900243</v>
      </c>
      <c r="B553" s="4" t="str">
        <f>IFERROR(VLOOKUP(A553,'Paste - Mentors'!$A:$B,2,0),"")</f>
        <v>Trevian Peter</v>
      </c>
      <c r="C553" s="4" t="str">
        <f>IFERROR(VLOOKUP(A553,'Paste - Mentors'!$A:$D,4,0),"")</f>
        <v>Career Mentor</v>
      </c>
      <c r="D553" s="9" t="str">
        <f>IFERROR(VLOOKUP(A553,'Paste - Mentors'!$A:$F,6,0),"")</f>
        <v>FNB</v>
      </c>
      <c r="E553" s="9" t="str">
        <f>IFERROR(VLOOKUP(A553,'Paste - Mentors'!$A:$E,5,0),"")</f>
        <v>South Africa</v>
      </c>
      <c r="F553" s="9">
        <f>IF(A553="","",COUNTIFS('Paste - Relationships'!$A:$A,A553,'Paste - Relationships'!$AE:$AE,""))</f>
        <v>0</v>
      </c>
      <c r="G553" s="9" t="str">
        <f t="shared" si="8"/>
        <v>Available</v>
      </c>
      <c r="H553" s="9" t="str">
        <f>IF(A553="","",IF(COUNTIF('Programme Mentors'!$A:$A,A553)&gt;0,"Enrolled","—"))</f>
        <v>—</v>
      </c>
    </row>
    <row r="554" spans="1:8" ht="14.25" customHeight="1" x14ac:dyDescent="0.3">
      <c r="A554" s="43">
        <f>'Paste - Mentors'!A554</f>
        <v>4901711</v>
      </c>
      <c r="B554" s="3" t="str">
        <f>IFERROR(VLOOKUP(A554,'Paste - Mentors'!$A:$B,2,0),"")</f>
        <v>Reshma Somaroo</v>
      </c>
      <c r="C554" s="3" t="str">
        <f>IFERROR(VLOOKUP(A554,'Paste - Mentors'!$A:$D,4,0),"")</f>
        <v>Career Mentor</v>
      </c>
      <c r="D554" s="43" t="str">
        <f>IFERROR(VLOOKUP(A554,'Paste - Mentors'!$A:$F,6,0),"")</f>
        <v>FNB</v>
      </c>
      <c r="E554" s="43" t="str">
        <f>IFERROR(VLOOKUP(A554,'Paste - Mentors'!$A:$E,5,0),"")</f>
        <v>South Africa</v>
      </c>
      <c r="F554" s="43">
        <f>IF(A554="","",COUNTIFS('Paste - Relationships'!$A:$A,A554,'Paste - Relationships'!$AE:$AE,""))</f>
        <v>0</v>
      </c>
      <c r="G554" s="43" t="str">
        <f t="shared" si="8"/>
        <v>Available</v>
      </c>
      <c r="H554" s="43" t="str">
        <f>IF(A554="","",IF(COUNTIF('Programme Mentors'!$A:$A,A554)&gt;0,"Enrolled","—"))</f>
        <v>—</v>
      </c>
    </row>
    <row r="555" spans="1:8" ht="14.25" customHeight="1" x14ac:dyDescent="0.3">
      <c r="A555" s="9">
        <f>'Paste - Mentors'!A555</f>
        <v>4901886</v>
      </c>
      <c r="B555" s="4" t="str">
        <f>IFERROR(VLOOKUP(A555,'Paste - Mentors'!$A:$B,2,0),"")</f>
        <v>Varsha Lutchman</v>
      </c>
      <c r="C555" s="4" t="str">
        <f>IFERROR(VLOOKUP(A555,'Paste - Mentors'!$A:$D,4,0),"")</f>
        <v>Career Mentor</v>
      </c>
      <c r="D555" s="9" t="str">
        <f>IFERROR(VLOOKUP(A555,'Paste - Mentors'!$A:$F,6,0),"")</f>
        <v>FNB</v>
      </c>
      <c r="E555" s="9" t="str">
        <f>IFERROR(VLOOKUP(A555,'Paste - Mentors'!$A:$E,5,0),"")</f>
        <v>South Africa</v>
      </c>
      <c r="F555" s="9">
        <f>IF(A555="","",COUNTIFS('Paste - Relationships'!$A:$A,A555,'Paste - Relationships'!$AE:$AE,""))</f>
        <v>0</v>
      </c>
      <c r="G555" s="9" t="str">
        <f t="shared" si="8"/>
        <v>Available</v>
      </c>
      <c r="H555" s="9" t="str">
        <f>IF(A555="","",IF(COUNTIF('Programme Mentors'!$A:$A,A555)&gt;0,"Enrolled","—"))</f>
        <v>—</v>
      </c>
    </row>
    <row r="556" spans="1:8" ht="14.25" customHeight="1" x14ac:dyDescent="0.3">
      <c r="A556" s="43">
        <f>'Paste - Mentors'!A556</f>
        <v>4904958</v>
      </c>
      <c r="B556" s="3" t="str">
        <f>IFERROR(VLOOKUP(A556,'Paste - Mentors'!$A:$B,2,0),"")</f>
        <v>Thiroshan Naidoo</v>
      </c>
      <c r="C556" s="3" t="str">
        <f>IFERROR(VLOOKUP(A556,'Paste - Mentors'!$A:$D,4,0),"")</f>
        <v>Career Mentor</v>
      </c>
      <c r="D556" s="43" t="str">
        <f>IFERROR(VLOOKUP(A556,'Paste - Mentors'!$A:$F,6,0),"")</f>
        <v>RMB</v>
      </c>
      <c r="E556" s="43" t="str">
        <f>IFERROR(VLOOKUP(A556,'Paste - Mentors'!$A:$E,5,0),"")</f>
        <v>South Africa</v>
      </c>
      <c r="F556" s="43">
        <f>IF(A556="","",COUNTIFS('Paste - Relationships'!$A:$A,A556,'Paste - Relationships'!$AE:$AE,""))</f>
        <v>0</v>
      </c>
      <c r="G556" s="43" t="str">
        <f t="shared" si="8"/>
        <v>Available</v>
      </c>
      <c r="H556" s="43" t="str">
        <f>IF(A556="","",IF(COUNTIF('Programme Mentors'!$A:$A,A556)&gt;0,"Enrolled","—"))</f>
        <v>—</v>
      </c>
    </row>
    <row r="557" spans="1:8" ht="14.25" customHeight="1" x14ac:dyDescent="0.3">
      <c r="A557" s="9">
        <f>'Paste - Mentors'!A557</f>
        <v>4905849</v>
      </c>
      <c r="B557" s="4" t="str">
        <f>IFERROR(VLOOKUP(A557,'Paste - Mentors'!$A:$B,2,0),"")</f>
        <v>Tshepiso Matabane</v>
      </c>
      <c r="C557" s="4" t="str">
        <f>IFERROR(VLOOKUP(A557,'Paste - Mentors'!$A:$D,4,0),"")</f>
        <v>Career Mentor</v>
      </c>
      <c r="D557" s="9" t="str">
        <f>IFERROR(VLOOKUP(A557,'Paste - Mentors'!$A:$F,6,0),"")</f>
        <v>FNB</v>
      </c>
      <c r="E557" s="9" t="str">
        <f>IFERROR(VLOOKUP(A557,'Paste - Mentors'!$A:$E,5,0),"")</f>
        <v>South Africa</v>
      </c>
      <c r="F557" s="9">
        <f>IF(A557="","",COUNTIFS('Paste - Relationships'!$A:$A,A557,'Paste - Relationships'!$AE:$AE,""))</f>
        <v>0</v>
      </c>
      <c r="G557" s="9" t="str">
        <f t="shared" si="8"/>
        <v>Available</v>
      </c>
      <c r="H557" s="9" t="str">
        <f>IF(A557="","",IF(COUNTIF('Programme Mentors'!$A:$A,A557)&gt;0,"Enrolled","—"))</f>
        <v>—</v>
      </c>
    </row>
    <row r="558" spans="1:8" ht="14.25" customHeight="1" x14ac:dyDescent="0.3">
      <c r="A558" s="43">
        <f>'Paste - Mentors'!A558</f>
        <v>4907752</v>
      </c>
      <c r="B558" s="3" t="str">
        <f>IFERROR(VLOOKUP(A558,'Paste - Mentors'!$A:$B,2,0),"")</f>
        <v>Sophia Anoar</v>
      </c>
      <c r="C558" s="3" t="str">
        <f>IFERROR(VLOOKUP(A558,'Paste - Mentors'!$A:$D,4,0),"")</f>
        <v>Career Mentor</v>
      </c>
      <c r="D558" s="43" t="str">
        <f>IFERROR(VLOOKUP(A558,'Paste - Mentors'!$A:$F,6,0),"")</f>
        <v>FNB</v>
      </c>
      <c r="E558" s="43" t="str">
        <f>IFERROR(VLOOKUP(A558,'Paste - Mentors'!$A:$E,5,0),"")</f>
        <v>South Africa</v>
      </c>
      <c r="F558" s="43">
        <f>IF(A558="","",COUNTIFS('Paste - Relationships'!$A:$A,A558,'Paste - Relationships'!$AE:$AE,""))</f>
        <v>0</v>
      </c>
      <c r="G558" s="43" t="str">
        <f t="shared" si="8"/>
        <v>Available</v>
      </c>
      <c r="H558" s="43" t="str">
        <f>IF(A558="","",IF(COUNTIF('Programme Mentors'!$A:$A,A558)&gt;0,"Enrolled","—"))</f>
        <v>—</v>
      </c>
    </row>
    <row r="559" spans="1:8" ht="14.25" customHeight="1" x14ac:dyDescent="0.3">
      <c r="A559" s="9">
        <f>'Paste - Mentors'!A559</f>
        <v>4910036</v>
      </c>
      <c r="B559" s="4" t="str">
        <f>IFERROR(VLOOKUP(A559,'Paste - Mentors'!$A:$B,2,0),"")</f>
        <v>Kobus Ayres</v>
      </c>
      <c r="C559" s="4" t="str">
        <f>IFERROR(VLOOKUP(A559,'Paste - Mentors'!$A:$D,4,0),"")</f>
        <v>Career Mentor</v>
      </c>
      <c r="D559" s="9" t="str">
        <f>IFERROR(VLOOKUP(A559,'Paste - Mentors'!$A:$F,6,0),"")</f>
        <v>FNB</v>
      </c>
      <c r="E559" s="9" t="str">
        <f>IFERROR(VLOOKUP(A559,'Paste - Mentors'!$A:$E,5,0),"")</f>
        <v>South Africa</v>
      </c>
      <c r="F559" s="9">
        <f>IF(A559="","",COUNTIFS('Paste - Relationships'!$A:$A,A559,'Paste - Relationships'!$AE:$AE,""))</f>
        <v>0</v>
      </c>
      <c r="G559" s="9" t="str">
        <f t="shared" si="8"/>
        <v>Available</v>
      </c>
      <c r="H559" s="9" t="str">
        <f>IF(A559="","",IF(COUNTIF('Programme Mentors'!$A:$A,A559)&gt;0,"Enrolled","—"))</f>
        <v>—</v>
      </c>
    </row>
    <row r="560" spans="1:8" ht="14.25" customHeight="1" x14ac:dyDescent="0.3">
      <c r="A560" s="43">
        <f>'Paste - Mentors'!A560</f>
        <v>4910117</v>
      </c>
      <c r="B560" s="3" t="str">
        <f>IFERROR(VLOOKUP(A560,'Paste - Mentors'!$A:$B,2,0),"")</f>
        <v>Thapelo Modisagae</v>
      </c>
      <c r="C560" s="3" t="str">
        <f>IFERROR(VLOOKUP(A560,'Paste - Mentors'!$A:$D,4,0),"")</f>
        <v>Career Mentor</v>
      </c>
      <c r="D560" s="43" t="str">
        <f>IFERROR(VLOOKUP(A560,'Paste - Mentors'!$A:$F,6,0),"")</f>
        <v>FNB</v>
      </c>
      <c r="E560" s="43" t="str">
        <f>IFERROR(VLOOKUP(A560,'Paste - Mentors'!$A:$E,5,0),"")</f>
        <v>South Africa</v>
      </c>
      <c r="F560" s="43">
        <f>IF(A560="","",COUNTIFS('Paste - Relationships'!$A:$A,A560,'Paste - Relationships'!$AE:$AE,""))</f>
        <v>1</v>
      </c>
      <c r="G560" s="43" t="str">
        <f t="shared" si="8"/>
        <v>Has Capacity</v>
      </c>
      <c r="H560" s="43" t="str">
        <f>IF(A560="","",IF(COUNTIF('Programme Mentors'!$A:$A,A560)&gt;0,"Enrolled","—"))</f>
        <v>—</v>
      </c>
    </row>
    <row r="561" spans="1:8" ht="14.25" customHeight="1" x14ac:dyDescent="0.3">
      <c r="A561" s="9">
        <f>'Paste - Mentors'!A561</f>
        <v>4911148</v>
      </c>
      <c r="B561" s="4" t="str">
        <f>IFERROR(VLOOKUP(A561,'Paste - Mentors'!$A:$B,2,0),"")</f>
        <v>Puculwa Lucwaba</v>
      </c>
      <c r="C561" s="4" t="str">
        <f>IFERROR(VLOOKUP(A561,'Paste - Mentors'!$A:$D,4,0),"")</f>
        <v>Career Mentor
Leadership Mentor</v>
      </c>
      <c r="D561" s="9" t="str">
        <f>IFERROR(VLOOKUP(A561,'Paste - Mentors'!$A:$F,6,0),"")</f>
        <v>FNB</v>
      </c>
      <c r="E561" s="9" t="str">
        <f>IFERROR(VLOOKUP(A561,'Paste - Mentors'!$A:$E,5,0),"")</f>
        <v>South Africa</v>
      </c>
      <c r="F561" s="9">
        <f>IF(A561="","",COUNTIFS('Paste - Relationships'!$A:$A,A561,'Paste - Relationships'!$AE:$AE,""))</f>
        <v>0</v>
      </c>
      <c r="G561" s="9" t="str">
        <f t="shared" si="8"/>
        <v>Available</v>
      </c>
      <c r="H561" s="9" t="str">
        <f>IF(A561="","",IF(COUNTIF('Programme Mentors'!$A:$A,A561)&gt;0,"Enrolled","—"))</f>
        <v>—</v>
      </c>
    </row>
    <row r="562" spans="1:8" ht="33.75" customHeight="1" x14ac:dyDescent="0.3">
      <c r="A562" s="43">
        <f>'Paste - Mentors'!A562</f>
        <v>4911296</v>
      </c>
      <c r="B562" s="3" t="str">
        <f>IFERROR(VLOOKUP(A562,'Paste - Mentors'!$A:$B,2,0),"")</f>
        <v>Candice Lee Kondominas</v>
      </c>
      <c r="C562" s="3" t="str">
        <f>IFERROR(VLOOKUP(A562,'Paste - Mentors'!$A:$D,4,0),"")</f>
        <v>Career Mentor</v>
      </c>
      <c r="D562" s="43" t="str">
        <f>IFERROR(VLOOKUP(A562,'Paste - Mentors'!$A:$F,6,0),"")</f>
        <v>FNB</v>
      </c>
      <c r="E562" s="43" t="str">
        <f>IFERROR(VLOOKUP(A562,'Paste - Mentors'!$A:$E,5,0),"")</f>
        <v>South Africa</v>
      </c>
      <c r="F562" s="43">
        <f>IF(A562="","",COUNTIFS('Paste - Relationships'!$A:$A,A562,'Paste - Relationships'!$AE:$AE,""))</f>
        <v>0</v>
      </c>
      <c r="G562" s="43" t="str">
        <f t="shared" si="8"/>
        <v>Available</v>
      </c>
      <c r="H562" s="43" t="str">
        <f>IF(A562="","",IF(COUNTIF('Programme Mentors'!$A:$A,A562)&gt;0,"Enrolled","—"))</f>
        <v>—</v>
      </c>
    </row>
    <row r="563" spans="1:8" ht="14.25" customHeight="1" x14ac:dyDescent="0.3">
      <c r="A563" s="9">
        <f>'Paste - Mentors'!A563</f>
        <v>4913930</v>
      </c>
      <c r="B563" s="4" t="str">
        <f>IFERROR(VLOOKUP(A563,'Paste - Mentors'!$A:$B,2,0),"")</f>
        <v>Bheki Cele</v>
      </c>
      <c r="C563" s="4" t="str">
        <f>IFERROR(VLOOKUP(A563,'Paste - Mentors'!$A:$D,4,0),"")</f>
        <v>Career Mentor</v>
      </c>
      <c r="D563" s="9" t="str">
        <f>IFERROR(VLOOKUP(A563,'Paste - Mentors'!$A:$F,6,0),"")</f>
        <v>FNB</v>
      </c>
      <c r="E563" s="9" t="str">
        <f>IFERROR(VLOOKUP(A563,'Paste - Mentors'!$A:$E,5,0),"")</f>
        <v>South Africa</v>
      </c>
      <c r="F563" s="9">
        <f>IF(A563="","",COUNTIFS('Paste - Relationships'!$A:$A,A563,'Paste - Relationships'!$AE:$AE,""))</f>
        <v>0</v>
      </c>
      <c r="G563" s="9" t="str">
        <f t="shared" si="8"/>
        <v>Available</v>
      </c>
      <c r="H563" s="9" t="str">
        <f>IF(A563="","",IF(COUNTIF('Programme Mentors'!$A:$A,A563)&gt;0,"Enrolled","—"))</f>
        <v>—</v>
      </c>
    </row>
    <row r="564" spans="1:8" ht="14.25" customHeight="1" x14ac:dyDescent="0.3">
      <c r="A564" s="43">
        <f>'Paste - Mentors'!A564</f>
        <v>4919033</v>
      </c>
      <c r="B564" s="3" t="str">
        <f>IFERROR(VLOOKUP(A564,'Paste - Mentors'!$A:$B,2,0),"")</f>
        <v>Katleho Mokoena</v>
      </c>
      <c r="C564" s="3" t="str">
        <f>IFERROR(VLOOKUP(A564,'Paste - Mentors'!$A:$D,4,0),"")</f>
        <v>Career Mentor</v>
      </c>
      <c r="D564" s="43" t="str">
        <f>IFERROR(VLOOKUP(A564,'Paste - Mentors'!$A:$F,6,0),"")</f>
        <v>FNB</v>
      </c>
      <c r="E564" s="43" t="str">
        <f>IFERROR(VLOOKUP(A564,'Paste - Mentors'!$A:$E,5,0),"")</f>
        <v>South Africa</v>
      </c>
      <c r="F564" s="43">
        <f>IF(A564="","",COUNTIFS('Paste - Relationships'!$A:$A,A564,'Paste - Relationships'!$AE:$AE,""))</f>
        <v>0</v>
      </c>
      <c r="G564" s="43" t="str">
        <f t="shared" si="8"/>
        <v>Available</v>
      </c>
      <c r="H564" s="43" t="str">
        <f>IF(A564="","",IF(COUNTIF('Programme Mentors'!$A:$A,A564)&gt;0,"Enrolled","—"))</f>
        <v>—</v>
      </c>
    </row>
    <row r="565" spans="1:8" ht="14.25" customHeight="1" x14ac:dyDescent="0.3">
      <c r="A565" s="9">
        <f>'Paste - Mentors'!A565</f>
        <v>4919270</v>
      </c>
      <c r="B565" s="4" t="str">
        <f>IFERROR(VLOOKUP(A565,'Paste - Mentors'!$A:$B,2,0),"")</f>
        <v>Yanga Babana</v>
      </c>
      <c r="C565" s="4" t="str">
        <f>IFERROR(VLOOKUP(A565,'Paste - Mentors'!$A:$D,4,0),"")</f>
        <v>Career Mentor</v>
      </c>
      <c r="D565" s="9" t="str">
        <f>IFERROR(VLOOKUP(A565,'Paste - Mentors'!$A:$F,6,0),"")</f>
        <v>FNB</v>
      </c>
      <c r="E565" s="9" t="str">
        <f>IFERROR(VLOOKUP(A565,'Paste - Mentors'!$A:$E,5,0),"")</f>
        <v>South Africa</v>
      </c>
      <c r="F565" s="9">
        <f>IF(A565="","",COUNTIFS('Paste - Relationships'!$A:$A,A565,'Paste - Relationships'!$AE:$AE,""))</f>
        <v>0</v>
      </c>
      <c r="G565" s="9" t="str">
        <f t="shared" si="8"/>
        <v>Available</v>
      </c>
      <c r="H565" s="9" t="str">
        <f>IF(A565="","",IF(COUNTIF('Programme Mentors'!$A:$A,A565)&gt;0,"Enrolled","—"))</f>
        <v>—</v>
      </c>
    </row>
    <row r="566" spans="1:8" ht="14.25" customHeight="1" x14ac:dyDescent="0.3">
      <c r="A566" s="43">
        <f>'Paste - Mentors'!A566</f>
        <v>4920740</v>
      </c>
      <c r="B566" s="3" t="str">
        <f>IFERROR(VLOOKUP(A566,'Paste - Mentors'!$A:$B,2,0),"")</f>
        <v>Lenize Lottering</v>
      </c>
      <c r="C566" s="3" t="str">
        <f>IFERROR(VLOOKUP(A566,'Paste - Mentors'!$A:$D,4,0),"")</f>
        <v>Career Mentor</v>
      </c>
      <c r="D566" s="43" t="str">
        <f>IFERROR(VLOOKUP(A566,'Paste - Mentors'!$A:$F,6,0),"")</f>
        <v>FNB</v>
      </c>
      <c r="E566" s="43" t="str">
        <f>IFERROR(VLOOKUP(A566,'Paste - Mentors'!$A:$E,5,0),"")</f>
        <v>South Africa</v>
      </c>
      <c r="F566" s="43">
        <f>IF(A566="","",COUNTIFS('Paste - Relationships'!$A:$A,A566,'Paste - Relationships'!$AE:$AE,""))</f>
        <v>0</v>
      </c>
      <c r="G566" s="43" t="str">
        <f t="shared" si="8"/>
        <v>Available</v>
      </c>
      <c r="H566" s="43" t="str">
        <f>IF(A566="","",IF(COUNTIF('Programme Mentors'!$A:$A,A566)&gt;0,"Enrolled","—"))</f>
        <v>—</v>
      </c>
    </row>
    <row r="567" spans="1:8" ht="14.25" customHeight="1" x14ac:dyDescent="0.3">
      <c r="A567" s="9">
        <f>'Paste - Mentors'!A567</f>
        <v>4921151</v>
      </c>
      <c r="B567" s="4" t="str">
        <f>IFERROR(VLOOKUP(A567,'Paste - Mentors'!$A:$B,2,0),"")</f>
        <v>Nokwazi Mabaso</v>
      </c>
      <c r="C567" s="4" t="str">
        <f>IFERROR(VLOOKUP(A567,'Paste - Mentors'!$A:$D,4,0),"")</f>
        <v>Career Mentor</v>
      </c>
      <c r="D567" s="9" t="str">
        <f>IFERROR(VLOOKUP(A567,'Paste - Mentors'!$A:$F,6,0),"")</f>
        <v>FNB</v>
      </c>
      <c r="E567" s="9" t="str">
        <f>IFERROR(VLOOKUP(A567,'Paste - Mentors'!$A:$E,5,0),"")</f>
        <v>South Africa</v>
      </c>
      <c r="F567" s="9">
        <f>IF(A567="","",COUNTIFS('Paste - Relationships'!$A:$A,A567,'Paste - Relationships'!$AE:$AE,""))</f>
        <v>0</v>
      </c>
      <c r="G567" s="9" t="str">
        <f t="shared" si="8"/>
        <v>Available</v>
      </c>
      <c r="H567" s="9" t="str">
        <f>IF(A567="","",IF(COUNTIF('Programme Mentors'!$A:$A,A567)&gt;0,"Enrolled","—"))</f>
        <v>—</v>
      </c>
    </row>
    <row r="568" spans="1:8" ht="14.25" customHeight="1" x14ac:dyDescent="0.3">
      <c r="A568" s="43">
        <f>'Paste - Mentors'!A568</f>
        <v>4921852</v>
      </c>
      <c r="B568" s="3" t="str">
        <f>IFERROR(VLOOKUP(A568,'Paste - Mentors'!$A:$B,2,0),"")</f>
        <v>Amdutt Parthab</v>
      </c>
      <c r="C568" s="3" t="str">
        <f>IFERROR(VLOOKUP(A568,'Paste - Mentors'!$A:$D,4,0),"")</f>
        <v>Career Mentor</v>
      </c>
      <c r="D568" s="43" t="str">
        <f>IFERROR(VLOOKUP(A568,'Paste - Mentors'!$A:$F,6,0),"")</f>
        <v>FNB</v>
      </c>
      <c r="E568" s="43" t="str">
        <f>IFERROR(VLOOKUP(A568,'Paste - Mentors'!$A:$E,5,0),"")</f>
        <v>South Africa</v>
      </c>
      <c r="F568" s="43">
        <f>IF(A568="","",COUNTIFS('Paste - Relationships'!$A:$A,A568,'Paste - Relationships'!$AE:$AE,""))</f>
        <v>0</v>
      </c>
      <c r="G568" s="43" t="str">
        <f t="shared" si="8"/>
        <v>Available</v>
      </c>
      <c r="H568" s="43" t="str">
        <f>IF(A568="","",IF(COUNTIF('Programme Mentors'!$A:$A,A568)&gt;0,"Enrolled","—"))</f>
        <v>—</v>
      </c>
    </row>
    <row r="569" spans="1:8" ht="14.25" customHeight="1" x14ac:dyDescent="0.3">
      <c r="A569" s="9">
        <f>'Paste - Mentors'!A569</f>
        <v>4924460</v>
      </c>
      <c r="B569" s="4" t="str">
        <f>IFERROR(VLOOKUP(A569,'Paste - Mentors'!$A:$B,2,0),"")</f>
        <v>Marlene Bohmer</v>
      </c>
      <c r="C569" s="4" t="str">
        <f>IFERROR(VLOOKUP(A569,'Paste - Mentors'!$A:$D,4,0),"")</f>
        <v>Career Mentor</v>
      </c>
      <c r="D569" s="9" t="str">
        <f>IFERROR(VLOOKUP(A569,'Paste - Mentors'!$A:$F,6,0),"")</f>
        <v>FNB</v>
      </c>
      <c r="E569" s="9" t="str">
        <f>IFERROR(VLOOKUP(A569,'Paste - Mentors'!$A:$E,5,0),"")</f>
        <v>South Africa</v>
      </c>
      <c r="F569" s="9">
        <f>IF(A569="","",COUNTIFS('Paste - Relationships'!$A:$A,A569,'Paste - Relationships'!$AE:$AE,""))</f>
        <v>0</v>
      </c>
      <c r="G569" s="9" t="str">
        <f t="shared" si="8"/>
        <v>Available</v>
      </c>
      <c r="H569" s="9" t="str">
        <f>IF(A569="","",IF(COUNTIF('Programme Mentors'!$A:$A,A569)&gt;0,"Enrolled","—"))</f>
        <v>—</v>
      </c>
    </row>
    <row r="570" spans="1:8" ht="14.25" customHeight="1" x14ac:dyDescent="0.3">
      <c r="A570" s="43">
        <f>'Paste - Mentors'!A570</f>
        <v>4927060</v>
      </c>
      <c r="B570" s="3" t="str">
        <f>IFERROR(VLOOKUP(A570,'Paste - Mentors'!$A:$B,2,0),"")</f>
        <v>Xola Ntlangula</v>
      </c>
      <c r="C570" s="3" t="str">
        <f>IFERROR(VLOOKUP(A570,'Paste - Mentors'!$A:$D,4,0),"")</f>
        <v>Career Mentor
Leadership Mentor
Technical Mentor
Workplace  Buddy</v>
      </c>
      <c r="D570" s="43" t="str">
        <f>IFERROR(VLOOKUP(A570,'Paste - Mentors'!$A:$F,6,0),"")</f>
        <v>RMB</v>
      </c>
      <c r="E570" s="43" t="str">
        <f>IFERROR(VLOOKUP(A570,'Paste - Mentors'!$A:$E,5,0),"")</f>
        <v>South Africa</v>
      </c>
      <c r="F570" s="43">
        <f>IF(A570="","",COUNTIFS('Paste - Relationships'!$A:$A,A570,'Paste - Relationships'!$AE:$AE,""))</f>
        <v>1</v>
      </c>
      <c r="G570" s="43" t="str">
        <f t="shared" si="8"/>
        <v>Has Capacity</v>
      </c>
      <c r="H570" s="43" t="str">
        <f>IF(A570="","",IF(COUNTIF('Programme Mentors'!$A:$A,A570)&gt;0,"Enrolled","—"))</f>
        <v>—</v>
      </c>
    </row>
    <row r="571" spans="1:8" ht="79.5" customHeight="1" x14ac:dyDescent="0.3">
      <c r="A571" s="9">
        <f>'Paste - Mentors'!A571</f>
        <v>4928652</v>
      </c>
      <c r="B571" s="4" t="str">
        <f>IFERROR(VLOOKUP(A571,'Paste - Mentors'!$A:$B,2,0),"")</f>
        <v>Tshegofatso Phambami</v>
      </c>
      <c r="C571" s="4" t="str">
        <f>IFERROR(VLOOKUP(A571,'Paste - Mentors'!$A:$D,4,0),"")</f>
        <v>Career Mentor</v>
      </c>
      <c r="D571" s="9" t="str">
        <f>IFERROR(VLOOKUP(A571,'Paste - Mentors'!$A:$F,6,0),"")</f>
        <v>FNB</v>
      </c>
      <c r="E571" s="9" t="str">
        <f>IFERROR(VLOOKUP(A571,'Paste - Mentors'!$A:$E,5,0),"")</f>
        <v>South Africa</v>
      </c>
      <c r="F571" s="9">
        <f>IF(A571="","",COUNTIFS('Paste - Relationships'!$A:$A,A571,'Paste - Relationships'!$AE:$AE,""))</f>
        <v>0</v>
      </c>
      <c r="G571" s="9" t="str">
        <f t="shared" si="8"/>
        <v>Available</v>
      </c>
      <c r="H571" s="9" t="str">
        <f>IF(A571="","",IF(COUNTIF('Programme Mentors'!$A:$A,A571)&gt;0,"Enrolled","—"))</f>
        <v>—</v>
      </c>
    </row>
    <row r="572" spans="1:8" ht="14.25" customHeight="1" x14ac:dyDescent="0.3">
      <c r="A572" s="43">
        <f>'Paste - Mentors'!A572</f>
        <v>4931289</v>
      </c>
      <c r="B572" s="3" t="str">
        <f>IFERROR(VLOOKUP(A572,'Paste - Mentors'!$A:$B,2,0),"")</f>
        <v>Moreblessing Mupfumira</v>
      </c>
      <c r="C572" s="3" t="str">
        <f>IFERROR(VLOOKUP(A572,'Paste - Mentors'!$A:$D,4,0),"")</f>
        <v>Career Mentor
Technical Mentor
Workplace  Buddy</v>
      </c>
      <c r="D572" s="43" t="str">
        <f>IFERROR(VLOOKUP(A572,'Paste - Mentors'!$A:$F,6,0),"")</f>
        <v>FNB</v>
      </c>
      <c r="E572" s="43" t="str">
        <f>IFERROR(VLOOKUP(A572,'Paste - Mentors'!$A:$E,5,0),"")</f>
        <v>South Africa</v>
      </c>
      <c r="F572" s="43">
        <f>IF(A572="","",COUNTIFS('Paste - Relationships'!$A:$A,A572,'Paste - Relationships'!$AE:$AE,""))</f>
        <v>0</v>
      </c>
      <c r="G572" s="43" t="str">
        <f t="shared" si="8"/>
        <v>Available</v>
      </c>
      <c r="H572" s="43" t="str">
        <f>IF(A572="","",IF(COUNTIF('Programme Mentors'!$A:$A,A572)&gt;0,"Enrolled","—"))</f>
        <v>—</v>
      </c>
    </row>
    <row r="573" spans="1:8" ht="57" customHeight="1" x14ac:dyDescent="0.3">
      <c r="A573" s="9">
        <f>'Paste - Mentors'!A573</f>
        <v>4932684</v>
      </c>
      <c r="B573" s="4" t="str">
        <f>IFERROR(VLOOKUP(A573,'Paste - Mentors'!$A:$B,2,0),"")</f>
        <v>Ashlin Poonan</v>
      </c>
      <c r="C573" s="4" t="str">
        <f>IFERROR(VLOOKUP(A573,'Paste - Mentors'!$A:$D,4,0),"")</f>
        <v>Career Mentor</v>
      </c>
      <c r="D573" s="9" t="str">
        <f>IFERROR(VLOOKUP(A573,'Paste - Mentors'!$A:$F,6,0),"")</f>
        <v>RMB</v>
      </c>
      <c r="E573" s="9" t="str">
        <f>IFERROR(VLOOKUP(A573,'Paste - Mentors'!$A:$E,5,0),"")</f>
        <v>South Africa</v>
      </c>
      <c r="F573" s="9">
        <f>IF(A573="","",COUNTIFS('Paste - Relationships'!$A:$A,A573,'Paste - Relationships'!$AE:$AE,""))</f>
        <v>1</v>
      </c>
      <c r="G573" s="9" t="str">
        <f t="shared" si="8"/>
        <v>Has Capacity</v>
      </c>
      <c r="H573" s="9" t="str">
        <f>IF(A573="","",IF(COUNTIF('Programme Mentors'!$A:$A,A573)&gt;0,"Enrolled","—"))</f>
        <v>—</v>
      </c>
    </row>
    <row r="574" spans="1:8" ht="14.25" customHeight="1" x14ac:dyDescent="0.3">
      <c r="A574" s="43">
        <f>'Paste - Mentors'!A574</f>
        <v>4935993</v>
      </c>
      <c r="B574" s="3" t="str">
        <f>IFERROR(VLOOKUP(A574,'Paste - Mentors'!$A:$B,2,0),"")</f>
        <v>Tumi Mofokeng</v>
      </c>
      <c r="C574" s="3" t="str">
        <f>IFERROR(VLOOKUP(A574,'Paste - Mentors'!$A:$D,4,0),"")</f>
        <v>Career Mentor</v>
      </c>
      <c r="D574" s="43" t="str">
        <f>IFERROR(VLOOKUP(A574,'Paste - Mentors'!$A:$F,6,0),"")</f>
        <v>FNB</v>
      </c>
      <c r="E574" s="43" t="str">
        <f>IFERROR(VLOOKUP(A574,'Paste - Mentors'!$A:$E,5,0),"")</f>
        <v>South Africa</v>
      </c>
      <c r="F574" s="43">
        <f>IF(A574="","",COUNTIFS('Paste - Relationships'!$A:$A,A574,'Paste - Relationships'!$AE:$AE,""))</f>
        <v>0</v>
      </c>
      <c r="G574" s="43" t="str">
        <f t="shared" si="8"/>
        <v>Available</v>
      </c>
      <c r="H574" s="43" t="str">
        <f>IF(A574="","",IF(COUNTIF('Programme Mentors'!$A:$A,A574)&gt;0,"Enrolled","—"))</f>
        <v>—</v>
      </c>
    </row>
    <row r="575" spans="1:8" ht="14.25" customHeight="1" x14ac:dyDescent="0.3">
      <c r="A575" s="9">
        <f>'Paste - Mentors'!A575</f>
        <v>4936795</v>
      </c>
      <c r="B575" s="4" t="str">
        <f>IFERROR(VLOOKUP(A575,'Paste - Mentors'!$A:$B,2,0),"")</f>
        <v>Nonhlanhla Gumede Moloto</v>
      </c>
      <c r="C575" s="4" t="str">
        <f>IFERROR(VLOOKUP(A575,'Paste - Mentors'!$A:$D,4,0),"")</f>
        <v>Career Mentor</v>
      </c>
      <c r="D575" s="9" t="str">
        <f>IFERROR(VLOOKUP(A575,'Paste - Mentors'!$A:$F,6,0),"")</f>
        <v>FNB</v>
      </c>
      <c r="E575" s="9" t="str">
        <f>IFERROR(VLOOKUP(A575,'Paste - Mentors'!$A:$E,5,0),"")</f>
        <v>South Africa</v>
      </c>
      <c r="F575" s="9">
        <f>IF(A575="","",COUNTIFS('Paste - Relationships'!$A:$A,A575,'Paste - Relationships'!$AE:$AE,""))</f>
        <v>0</v>
      </c>
      <c r="G575" s="9" t="str">
        <f t="shared" si="8"/>
        <v>Available</v>
      </c>
      <c r="H575" s="9" t="str">
        <f>IF(A575="","",IF(COUNTIF('Programme Mentors'!$A:$A,A575)&gt;0,"Enrolled","—"))</f>
        <v>—</v>
      </c>
    </row>
    <row r="576" spans="1:8" ht="14.25" customHeight="1" x14ac:dyDescent="0.3">
      <c r="A576" s="43">
        <f>'Paste - Mentors'!A576</f>
        <v>4937627</v>
      </c>
      <c r="B576" s="3" t="str">
        <f>IFERROR(VLOOKUP(A576,'Paste - Mentors'!$A:$B,2,0),"")</f>
        <v>Kemsley Grantham</v>
      </c>
      <c r="C576" s="3" t="str">
        <f>IFERROR(VLOOKUP(A576,'Paste - Mentors'!$A:$D,4,0),"")</f>
        <v>Career Mentor</v>
      </c>
      <c r="D576" s="43" t="str">
        <f>IFERROR(VLOOKUP(A576,'Paste - Mentors'!$A:$F,6,0),"")</f>
        <v>FNB</v>
      </c>
      <c r="E576" s="43" t="str">
        <f>IFERROR(VLOOKUP(A576,'Paste - Mentors'!$A:$E,5,0),"")</f>
        <v>South Africa</v>
      </c>
      <c r="F576" s="43">
        <f>IF(A576="","",COUNTIFS('Paste - Relationships'!$A:$A,A576,'Paste - Relationships'!$AE:$AE,""))</f>
        <v>0</v>
      </c>
      <c r="G576" s="43" t="str">
        <f t="shared" si="8"/>
        <v>Available</v>
      </c>
      <c r="H576" s="43" t="str">
        <f>IF(A576="","",IF(COUNTIF('Programme Mentors'!$A:$A,A576)&gt;0,"Enrolled","—"))</f>
        <v>—</v>
      </c>
    </row>
    <row r="577" spans="1:8" ht="14.25" customHeight="1" x14ac:dyDescent="0.3">
      <c r="A577" s="9">
        <f>'Paste - Mentors'!A577</f>
        <v>4939514</v>
      </c>
      <c r="B577" s="4" t="str">
        <f>IFERROR(VLOOKUP(A577,'Paste - Mentors'!$A:$B,2,0),"")</f>
        <v>Mark Liao</v>
      </c>
      <c r="C577" s="4" t="str">
        <f>IFERROR(VLOOKUP(A577,'Paste - Mentors'!$A:$D,4,0),"")</f>
        <v>Career Mentor
Technical Mentor</v>
      </c>
      <c r="D577" s="9" t="str">
        <f>IFERROR(VLOOKUP(A577,'Paste - Mentors'!$A:$F,6,0),"")</f>
        <v>FNB</v>
      </c>
      <c r="E577" s="9" t="str">
        <f>IFERROR(VLOOKUP(A577,'Paste - Mentors'!$A:$E,5,0),"")</f>
        <v>South Africa</v>
      </c>
      <c r="F577" s="9">
        <f>IF(A577="","",COUNTIFS('Paste - Relationships'!$A:$A,A577,'Paste - Relationships'!$AE:$AE,""))</f>
        <v>0</v>
      </c>
      <c r="G577" s="9" t="str">
        <f t="shared" si="8"/>
        <v>Available</v>
      </c>
      <c r="H577" s="9" t="str">
        <f>IF(A577="","",IF(COUNTIF('Programme Mentors'!$A:$A,A577)&gt;0,"Enrolled","—"))</f>
        <v>—</v>
      </c>
    </row>
    <row r="578" spans="1:8" ht="33.75" customHeight="1" x14ac:dyDescent="0.3">
      <c r="A578" s="43">
        <f>'Paste - Mentors'!A578</f>
        <v>4942027</v>
      </c>
      <c r="B578" s="3" t="str">
        <f>IFERROR(VLOOKUP(A578,'Paste - Mentors'!$A:$B,2,0),"")</f>
        <v>Shantal Reddy</v>
      </c>
      <c r="C578" s="3" t="str">
        <f>IFERROR(VLOOKUP(A578,'Paste - Mentors'!$A:$D,4,0),"")</f>
        <v>Career Mentor</v>
      </c>
      <c r="D578" s="43" t="str">
        <f>IFERROR(VLOOKUP(A578,'Paste - Mentors'!$A:$F,6,0),"")</f>
        <v>FNB</v>
      </c>
      <c r="E578" s="43" t="str">
        <f>IFERROR(VLOOKUP(A578,'Paste - Mentors'!$A:$E,5,0),"")</f>
        <v>South Africa</v>
      </c>
      <c r="F578" s="43">
        <f>IF(A578="","",COUNTIFS('Paste - Relationships'!$A:$A,A578,'Paste - Relationships'!$AE:$AE,""))</f>
        <v>0</v>
      </c>
      <c r="G578" s="43" t="str">
        <f t="shared" si="8"/>
        <v>Available</v>
      </c>
      <c r="H578" s="43" t="str">
        <f>IF(A578="","",IF(COUNTIF('Programme Mentors'!$A:$A,A578)&gt;0,"Enrolled","—"))</f>
        <v>—</v>
      </c>
    </row>
    <row r="579" spans="1:8" ht="14.25" customHeight="1" x14ac:dyDescent="0.3">
      <c r="A579" s="9">
        <f>'Paste - Mentors'!A579</f>
        <v>4943384</v>
      </c>
      <c r="B579" s="4" t="str">
        <f>IFERROR(VLOOKUP(A579,'Paste - Mentors'!$A:$B,2,0),"")</f>
        <v>Kevin Smith</v>
      </c>
      <c r="C579" s="4" t="str">
        <f>IFERROR(VLOOKUP(A579,'Paste - Mentors'!$A:$D,4,0),"")</f>
        <v>Career Mentor</v>
      </c>
      <c r="D579" s="9" t="str">
        <f>IFERROR(VLOOKUP(A579,'Paste - Mentors'!$A:$F,6,0),"")</f>
        <v>FNB</v>
      </c>
      <c r="E579" s="9" t="str">
        <f>IFERROR(VLOOKUP(A579,'Paste - Mentors'!$A:$E,5,0),"")</f>
        <v>South Africa</v>
      </c>
      <c r="F579" s="9">
        <f>IF(A579="","",COUNTIFS('Paste - Relationships'!$A:$A,A579,'Paste - Relationships'!$AE:$AE,""))</f>
        <v>0</v>
      </c>
      <c r="G579" s="9" t="str">
        <f t="shared" si="8"/>
        <v>Available</v>
      </c>
      <c r="H579" s="9" t="str">
        <f>IF(A579="","",IF(COUNTIF('Programme Mentors'!$A:$A,A579)&gt;0,"Enrolled","—"))</f>
        <v>—</v>
      </c>
    </row>
    <row r="580" spans="1:8" ht="14.25" customHeight="1" x14ac:dyDescent="0.3">
      <c r="A580" s="43">
        <f>'Paste - Mentors'!A580</f>
        <v>4943899</v>
      </c>
      <c r="B580" s="3" t="str">
        <f>IFERROR(VLOOKUP(A580,'Paste - Mentors'!$A:$B,2,0),"")</f>
        <v>Tshepo Leroto</v>
      </c>
      <c r="C580" s="3" t="str">
        <f>IFERROR(VLOOKUP(A580,'Paste - Mentors'!$A:$D,4,0),"")</f>
        <v>Career Mentor</v>
      </c>
      <c r="D580" s="43" t="str">
        <f>IFERROR(VLOOKUP(A580,'Paste - Mentors'!$A:$F,6,0),"")</f>
        <v>FNB</v>
      </c>
      <c r="E580" s="43" t="str">
        <f>IFERROR(VLOOKUP(A580,'Paste - Mentors'!$A:$E,5,0),"")</f>
        <v>South Africa</v>
      </c>
      <c r="F580" s="43">
        <f>IF(A580="","",COUNTIFS('Paste - Relationships'!$A:$A,A580,'Paste - Relationships'!$AE:$AE,""))</f>
        <v>0</v>
      </c>
      <c r="G580" s="43" t="str">
        <f t="shared" ref="G580:G643" si="9">IF(A580="","",IF(F580&gt;=3,"At Capacity",IF(F580=0,"Available","Has Capacity")))</f>
        <v>Available</v>
      </c>
      <c r="H580" s="43" t="str">
        <f>IF(A580="","",IF(COUNTIF('Programme Mentors'!$A:$A,A580)&gt;0,"Enrolled","—"))</f>
        <v>—</v>
      </c>
    </row>
    <row r="581" spans="1:8" ht="14.25" customHeight="1" x14ac:dyDescent="0.3">
      <c r="A581" s="9">
        <f>'Paste - Mentors'!A581</f>
        <v>4944585</v>
      </c>
      <c r="B581" s="4" t="str">
        <f>IFERROR(VLOOKUP(A581,'Paste - Mentors'!$A:$B,2,0),"")</f>
        <v>Jennifer Crail</v>
      </c>
      <c r="C581" s="4" t="str">
        <f>IFERROR(VLOOKUP(A581,'Paste - Mentors'!$A:$D,4,0),"")</f>
        <v>Career Mentor</v>
      </c>
      <c r="D581" s="9" t="str">
        <f>IFERROR(VLOOKUP(A581,'Paste - Mentors'!$A:$F,6,0),"")</f>
        <v>FNB</v>
      </c>
      <c r="E581" s="9" t="str">
        <f>IFERROR(VLOOKUP(A581,'Paste - Mentors'!$A:$E,5,0),"")</f>
        <v>South Africa</v>
      </c>
      <c r="F581" s="9">
        <f>IF(A581="","",COUNTIFS('Paste - Relationships'!$A:$A,A581,'Paste - Relationships'!$AE:$AE,""))</f>
        <v>0</v>
      </c>
      <c r="G581" s="9" t="str">
        <f t="shared" si="9"/>
        <v>Available</v>
      </c>
      <c r="H581" s="9" t="str">
        <f>IF(A581="","",IF(COUNTIF('Programme Mentors'!$A:$A,A581)&gt;0,"Enrolled","—"))</f>
        <v>—</v>
      </c>
    </row>
    <row r="582" spans="1:8" ht="14.25" customHeight="1" x14ac:dyDescent="0.3">
      <c r="A582" s="43">
        <f>'Paste - Mentors'!A582</f>
        <v>4946669</v>
      </c>
      <c r="B582" s="3" t="str">
        <f>IFERROR(VLOOKUP(A582,'Paste - Mentors'!$A:$B,2,0),"")</f>
        <v>Nikki Singh</v>
      </c>
      <c r="C582" s="3" t="str">
        <f>IFERROR(VLOOKUP(A582,'Paste - Mentors'!$A:$D,4,0),"")</f>
        <v>Career Mentor
Workplace  Buddy</v>
      </c>
      <c r="D582" s="43" t="str">
        <f>IFERROR(VLOOKUP(A582,'Paste - Mentors'!$A:$F,6,0),"")</f>
        <v>RMB</v>
      </c>
      <c r="E582" s="43" t="str">
        <f>IFERROR(VLOOKUP(A582,'Paste - Mentors'!$A:$E,5,0),"")</f>
        <v>South Africa</v>
      </c>
      <c r="F582" s="43">
        <f>IF(A582="","",COUNTIFS('Paste - Relationships'!$A:$A,A582,'Paste - Relationships'!$AE:$AE,""))</f>
        <v>0</v>
      </c>
      <c r="G582" s="43" t="str">
        <f t="shared" si="9"/>
        <v>Available</v>
      </c>
      <c r="H582" s="43" t="str">
        <f>IF(A582="","",IF(COUNTIF('Programme Mentors'!$A:$A,A582)&gt;0,"Enrolled","—"))</f>
        <v>—</v>
      </c>
    </row>
    <row r="583" spans="1:8" ht="33.75" customHeight="1" x14ac:dyDescent="0.3">
      <c r="A583" s="9">
        <f>'Paste - Mentors'!A583</f>
        <v>4947444</v>
      </c>
      <c r="B583" s="4" t="str">
        <f>IFERROR(VLOOKUP(A583,'Paste - Mentors'!$A:$B,2,0),"")</f>
        <v>Tracy Eagles</v>
      </c>
      <c r="C583" s="4" t="str">
        <f>IFERROR(VLOOKUP(A583,'Paste - Mentors'!$A:$D,4,0),"")</f>
        <v>Career Mentor</v>
      </c>
      <c r="D583" s="9" t="str">
        <f>IFERROR(VLOOKUP(A583,'Paste - Mentors'!$A:$F,6,0),"")</f>
        <v>FNB</v>
      </c>
      <c r="E583" s="9" t="str">
        <f>IFERROR(VLOOKUP(A583,'Paste - Mentors'!$A:$E,5,0),"")</f>
        <v>Namibia</v>
      </c>
      <c r="F583" s="9">
        <f>IF(A583="","",COUNTIFS('Paste - Relationships'!$A:$A,A583,'Paste - Relationships'!$AE:$AE,""))</f>
        <v>0</v>
      </c>
      <c r="G583" s="9" t="str">
        <f t="shared" si="9"/>
        <v>Available</v>
      </c>
      <c r="H583" s="9" t="str">
        <f>IF(A583="","",IF(COUNTIF('Programme Mentors'!$A:$A,A583)&gt;0,"Enrolled","—"))</f>
        <v>—</v>
      </c>
    </row>
    <row r="584" spans="1:8" ht="14.25" customHeight="1" x14ac:dyDescent="0.3">
      <c r="A584" s="43">
        <f>'Paste - Mentors'!A584</f>
        <v>4948440</v>
      </c>
      <c r="B584" s="3" t="str">
        <f>IFERROR(VLOOKUP(A584,'Paste - Mentors'!$A:$B,2,0),"")</f>
        <v>Nevin Narraidu</v>
      </c>
      <c r="C584" s="3" t="str">
        <f>IFERROR(VLOOKUP(A584,'Paste - Mentors'!$A:$D,4,0),"")</f>
        <v>Career Mentor</v>
      </c>
      <c r="D584" s="43" t="str">
        <f>IFERROR(VLOOKUP(A584,'Paste - Mentors'!$A:$F,6,0),"")</f>
        <v>WesBank</v>
      </c>
      <c r="E584" s="43" t="str">
        <f>IFERROR(VLOOKUP(A584,'Paste - Mentors'!$A:$E,5,0),"")</f>
        <v>South Africa</v>
      </c>
      <c r="F584" s="43">
        <f>IF(A584="","",COUNTIFS('Paste - Relationships'!$A:$A,A584,'Paste - Relationships'!$AE:$AE,""))</f>
        <v>0</v>
      </c>
      <c r="G584" s="43" t="str">
        <f t="shared" si="9"/>
        <v>Available</v>
      </c>
      <c r="H584" s="43" t="str">
        <f>IF(A584="","",IF(COUNTIF('Programme Mentors'!$A:$A,A584)&gt;0,"Enrolled","—"))</f>
        <v>—</v>
      </c>
    </row>
    <row r="585" spans="1:8" ht="14.25" customHeight="1" x14ac:dyDescent="0.3">
      <c r="A585" s="9">
        <f>'Paste - Mentors'!A585</f>
        <v>4950119</v>
      </c>
      <c r="B585" s="4" t="str">
        <f>IFERROR(VLOOKUP(A585,'Paste - Mentors'!$A:$B,2,0),"")</f>
        <v>Wouter De Klerk</v>
      </c>
      <c r="C585" s="4" t="str">
        <f>IFERROR(VLOOKUP(A585,'Paste - Mentors'!$A:$D,4,0),"")</f>
        <v>Career Mentor</v>
      </c>
      <c r="D585" s="9" t="str">
        <f>IFERROR(VLOOKUP(A585,'Paste - Mentors'!$A:$F,6,0),"")</f>
        <v>WesBank</v>
      </c>
      <c r="E585" s="9" t="str">
        <f>IFERROR(VLOOKUP(A585,'Paste - Mentors'!$A:$E,5,0),"")</f>
        <v>South Africa</v>
      </c>
      <c r="F585" s="9">
        <f>IF(A585="","",COUNTIFS('Paste - Relationships'!$A:$A,A585,'Paste - Relationships'!$AE:$AE,""))</f>
        <v>1</v>
      </c>
      <c r="G585" s="9" t="str">
        <f t="shared" si="9"/>
        <v>Has Capacity</v>
      </c>
      <c r="H585" s="9" t="str">
        <f>IF(A585="","",IF(COUNTIF('Programme Mentors'!$A:$A,A585)&gt;0,"Enrolled","—"))</f>
        <v>—</v>
      </c>
    </row>
    <row r="586" spans="1:8" ht="14.25" customHeight="1" x14ac:dyDescent="0.3">
      <c r="A586" s="43">
        <f>'Paste - Mentors'!A586</f>
        <v>4952464</v>
      </c>
      <c r="B586" s="3" t="str">
        <f>IFERROR(VLOOKUP(A586,'Paste - Mentors'!$A:$B,2,0),"")</f>
        <v>Kim Pitout</v>
      </c>
      <c r="C586" s="3" t="str">
        <f>IFERROR(VLOOKUP(A586,'Paste - Mentors'!$A:$D,4,0),"")</f>
        <v>Career Mentor</v>
      </c>
      <c r="D586" s="43" t="str">
        <f>IFERROR(VLOOKUP(A586,'Paste - Mentors'!$A:$F,6,0),"")</f>
        <v>FNB</v>
      </c>
      <c r="E586" s="43" t="str">
        <f>IFERROR(VLOOKUP(A586,'Paste - Mentors'!$A:$E,5,0),"")</f>
        <v>South Africa</v>
      </c>
      <c r="F586" s="43">
        <f>IF(A586="","",COUNTIFS('Paste - Relationships'!$A:$A,A586,'Paste - Relationships'!$AE:$AE,""))</f>
        <v>0</v>
      </c>
      <c r="G586" s="43" t="str">
        <f t="shared" si="9"/>
        <v>Available</v>
      </c>
      <c r="H586" s="43" t="str">
        <f>IF(A586="","",IF(COUNTIF('Programme Mentors'!$A:$A,A586)&gt;0,"Enrolled","—"))</f>
        <v>—</v>
      </c>
    </row>
    <row r="587" spans="1:8" ht="14.25" customHeight="1" x14ac:dyDescent="0.3">
      <c r="A587" s="9">
        <f>'Paste - Mentors'!A587</f>
        <v>4953312</v>
      </c>
      <c r="B587" s="4" t="str">
        <f>IFERROR(VLOOKUP(A587,'Paste - Mentors'!$A:$B,2,0),"")</f>
        <v>Molebogeng Mphatoe</v>
      </c>
      <c r="C587" s="4" t="str">
        <f>IFERROR(VLOOKUP(A587,'Paste - Mentors'!$A:$D,4,0),"")</f>
        <v>Career Mentor</v>
      </c>
      <c r="D587" s="9" t="str">
        <f>IFERROR(VLOOKUP(A587,'Paste - Mentors'!$A:$F,6,0),"")</f>
        <v>FNB</v>
      </c>
      <c r="E587" s="9" t="str">
        <f>IFERROR(VLOOKUP(A587,'Paste - Mentors'!$A:$E,5,0),"")</f>
        <v>South Africa</v>
      </c>
      <c r="F587" s="9">
        <f>IF(A587="","",COUNTIFS('Paste - Relationships'!$A:$A,A587,'Paste - Relationships'!$AE:$AE,""))</f>
        <v>0</v>
      </c>
      <c r="G587" s="9" t="str">
        <f t="shared" si="9"/>
        <v>Available</v>
      </c>
      <c r="H587" s="9" t="str">
        <f>IF(A587="","",IF(COUNTIF('Programme Mentors'!$A:$A,A587)&gt;0,"Enrolled","—"))</f>
        <v>—</v>
      </c>
    </row>
    <row r="588" spans="1:8" ht="14.25" customHeight="1" x14ac:dyDescent="0.3">
      <c r="A588" s="43">
        <f>'Paste - Mentors'!A588</f>
        <v>4955943</v>
      </c>
      <c r="B588" s="3" t="str">
        <f>IFERROR(VLOOKUP(A588,'Paste - Mentors'!$A:$B,2,0),"")</f>
        <v>Pearl Manakana</v>
      </c>
      <c r="C588" s="3" t="str">
        <f>IFERROR(VLOOKUP(A588,'Paste - Mentors'!$A:$D,4,0),"")</f>
        <v>Career Mentor</v>
      </c>
      <c r="D588" s="43" t="str">
        <f>IFERROR(VLOOKUP(A588,'Paste - Mentors'!$A:$F,6,0),"")</f>
        <v>FNB</v>
      </c>
      <c r="E588" s="43" t="str">
        <f>IFERROR(VLOOKUP(A588,'Paste - Mentors'!$A:$E,5,0),"")</f>
        <v>South Africa</v>
      </c>
      <c r="F588" s="43">
        <f>IF(A588="","",COUNTIFS('Paste - Relationships'!$A:$A,A588,'Paste - Relationships'!$AE:$AE,""))</f>
        <v>0</v>
      </c>
      <c r="G588" s="43" t="str">
        <f t="shared" si="9"/>
        <v>Available</v>
      </c>
      <c r="H588" s="43" t="str">
        <f>IF(A588="","",IF(COUNTIF('Programme Mentors'!$A:$A,A588)&gt;0,"Enrolled","—"))</f>
        <v>—</v>
      </c>
    </row>
    <row r="589" spans="1:8" ht="14.25" customHeight="1" x14ac:dyDescent="0.3">
      <c r="A589" s="9">
        <f>'Paste - Mentors'!A589</f>
        <v>4960351</v>
      </c>
      <c r="B589" s="4" t="str">
        <f>IFERROR(VLOOKUP(A589,'Paste - Mentors'!$A:$B,2,0),"")</f>
        <v>Yasmin Kadwa</v>
      </c>
      <c r="C589" s="4" t="str">
        <f>IFERROR(VLOOKUP(A589,'Paste - Mentors'!$A:$D,4,0),"")</f>
        <v>Career Mentor</v>
      </c>
      <c r="D589" s="9" t="str">
        <f>IFERROR(VLOOKUP(A589,'Paste - Mentors'!$A:$F,6,0),"")</f>
        <v>FNB</v>
      </c>
      <c r="E589" s="9" t="str">
        <f>IFERROR(VLOOKUP(A589,'Paste - Mentors'!$A:$E,5,0),"")</f>
        <v>South Africa</v>
      </c>
      <c r="F589" s="9">
        <f>IF(A589="","",COUNTIFS('Paste - Relationships'!$A:$A,A589,'Paste - Relationships'!$AE:$AE,""))</f>
        <v>1</v>
      </c>
      <c r="G589" s="9" t="str">
        <f t="shared" si="9"/>
        <v>Has Capacity</v>
      </c>
      <c r="H589" s="9" t="str">
        <f>IF(A589="","",IF(COUNTIF('Programme Mentors'!$A:$A,A589)&gt;0,"Enrolled","—"))</f>
        <v>—</v>
      </c>
    </row>
    <row r="590" spans="1:8" ht="14.25" customHeight="1" x14ac:dyDescent="0.3">
      <c r="A590" s="43">
        <f>'Paste - Mentors'!A590</f>
        <v>4961153</v>
      </c>
      <c r="B590" s="3" t="str">
        <f>IFERROR(VLOOKUP(A590,'Paste - Mentors'!$A:$B,2,0),"")</f>
        <v>Lebogang Selepe</v>
      </c>
      <c r="C590" s="3" t="str">
        <f>IFERROR(VLOOKUP(A590,'Paste - Mentors'!$A:$D,4,0),"")</f>
        <v>Career Mentor</v>
      </c>
      <c r="D590" s="43" t="str">
        <f>IFERROR(VLOOKUP(A590,'Paste - Mentors'!$A:$F,6,0),"")</f>
        <v>FNB</v>
      </c>
      <c r="E590" s="43" t="str">
        <f>IFERROR(VLOOKUP(A590,'Paste - Mentors'!$A:$E,5,0),"")</f>
        <v>South Africa</v>
      </c>
      <c r="F590" s="43">
        <f>IF(A590="","",COUNTIFS('Paste - Relationships'!$A:$A,A590,'Paste - Relationships'!$AE:$AE,""))</f>
        <v>0</v>
      </c>
      <c r="G590" s="43" t="str">
        <f t="shared" si="9"/>
        <v>Available</v>
      </c>
      <c r="H590" s="43" t="str">
        <f>IF(A590="","",IF(COUNTIF('Programme Mentors'!$A:$A,A590)&gt;0,"Enrolled","—"))</f>
        <v>—</v>
      </c>
    </row>
    <row r="591" spans="1:8" ht="14.25" customHeight="1" x14ac:dyDescent="0.3">
      <c r="A591" s="9">
        <f>'Paste - Mentors'!A591</f>
        <v>4963105</v>
      </c>
      <c r="B591" s="4" t="str">
        <f>IFERROR(VLOOKUP(A591,'Paste - Mentors'!$A:$B,2,0),"")</f>
        <v>Itumeleng Kunene</v>
      </c>
      <c r="C591" s="4" t="str">
        <f>IFERROR(VLOOKUP(A591,'Paste - Mentors'!$A:$D,4,0),"")</f>
        <v>Career Mentor</v>
      </c>
      <c r="D591" s="9" t="str">
        <f>IFERROR(VLOOKUP(A591,'Paste - Mentors'!$A:$F,6,0),"")</f>
        <v>FNB</v>
      </c>
      <c r="E591" s="9" t="str">
        <f>IFERROR(VLOOKUP(A591,'Paste - Mentors'!$A:$E,5,0),"")</f>
        <v>South Africa</v>
      </c>
      <c r="F591" s="9">
        <f>IF(A591="","",COUNTIFS('Paste - Relationships'!$A:$A,A591,'Paste - Relationships'!$AE:$AE,""))</f>
        <v>0</v>
      </c>
      <c r="G591" s="9" t="str">
        <f t="shared" si="9"/>
        <v>Available</v>
      </c>
      <c r="H591" s="9" t="str">
        <f>IF(A591="","",IF(COUNTIF('Programme Mentors'!$A:$A,A591)&gt;0,"Enrolled","—"))</f>
        <v>—</v>
      </c>
    </row>
    <row r="592" spans="1:8" ht="14.25" customHeight="1" x14ac:dyDescent="0.3">
      <c r="A592" s="43">
        <f>'Paste - Mentors'!A592</f>
        <v>4963873</v>
      </c>
      <c r="B592" s="3" t="str">
        <f>IFERROR(VLOOKUP(A592,'Paste - Mentors'!$A:$B,2,0),"")</f>
        <v>Nthabiseng Phetla</v>
      </c>
      <c r="C592" s="3" t="str">
        <f>IFERROR(VLOOKUP(A592,'Paste - Mentors'!$A:$D,4,0),"")</f>
        <v>Career Mentor</v>
      </c>
      <c r="D592" s="43" t="str">
        <f>IFERROR(VLOOKUP(A592,'Paste - Mentors'!$A:$F,6,0),"")</f>
        <v>FNB</v>
      </c>
      <c r="E592" s="43" t="str">
        <f>IFERROR(VLOOKUP(A592,'Paste - Mentors'!$A:$E,5,0),"")</f>
        <v>South Africa</v>
      </c>
      <c r="F592" s="43">
        <f>IF(A592="","",COUNTIFS('Paste - Relationships'!$A:$A,A592,'Paste - Relationships'!$AE:$AE,""))</f>
        <v>0</v>
      </c>
      <c r="G592" s="43" t="str">
        <f t="shared" si="9"/>
        <v>Available</v>
      </c>
      <c r="H592" s="43" t="str">
        <f>IF(A592="","",IF(COUNTIF('Programme Mentors'!$A:$A,A592)&gt;0,"Enrolled","—"))</f>
        <v>—</v>
      </c>
    </row>
    <row r="593" spans="1:8" ht="14.25" customHeight="1" x14ac:dyDescent="0.3">
      <c r="A593" s="9">
        <f>'Paste - Mentors'!A593</f>
        <v>4965175</v>
      </c>
      <c r="B593" s="4" t="str">
        <f>IFERROR(VLOOKUP(A593,'Paste - Mentors'!$A:$B,2,0),"")</f>
        <v>Sergio De Sousa</v>
      </c>
      <c r="C593" s="4" t="str">
        <f>IFERROR(VLOOKUP(A593,'Paste - Mentors'!$A:$D,4,0),"")</f>
        <v>Career Mentor</v>
      </c>
      <c r="D593" s="9" t="str">
        <f>IFERROR(VLOOKUP(A593,'Paste - Mentors'!$A:$F,6,0),"")</f>
        <v>FNB</v>
      </c>
      <c r="E593" s="9" t="str">
        <f>IFERROR(VLOOKUP(A593,'Paste - Mentors'!$A:$E,5,0),"")</f>
        <v>Namibia</v>
      </c>
      <c r="F593" s="9">
        <f>IF(A593="","",COUNTIFS('Paste - Relationships'!$A:$A,A593,'Paste - Relationships'!$AE:$AE,""))</f>
        <v>1</v>
      </c>
      <c r="G593" s="9" t="str">
        <f t="shared" si="9"/>
        <v>Has Capacity</v>
      </c>
      <c r="H593" s="9" t="str">
        <f>IF(A593="","",IF(COUNTIF('Programme Mentors'!$A:$A,A593)&gt;0,"Enrolled","—"))</f>
        <v>—</v>
      </c>
    </row>
    <row r="594" spans="1:8" ht="14.25" customHeight="1" x14ac:dyDescent="0.3">
      <c r="A594" s="43">
        <f>'Paste - Mentors'!A594</f>
        <v>4966724</v>
      </c>
      <c r="B594" s="3" t="str">
        <f>IFERROR(VLOOKUP(A594,'Paste - Mentors'!$A:$B,2,0),"")</f>
        <v>Tian Bester</v>
      </c>
      <c r="C594" s="3" t="str">
        <f>IFERROR(VLOOKUP(A594,'Paste - Mentors'!$A:$D,4,0),"")</f>
        <v>Career Mentor</v>
      </c>
      <c r="D594" s="43" t="str">
        <f>IFERROR(VLOOKUP(A594,'Paste - Mentors'!$A:$F,6,0),"")</f>
        <v>FNB</v>
      </c>
      <c r="E594" s="43" t="str">
        <f>IFERROR(VLOOKUP(A594,'Paste - Mentors'!$A:$E,5,0),"")</f>
        <v>South Africa</v>
      </c>
      <c r="F594" s="43">
        <f>IF(A594="","",COUNTIFS('Paste - Relationships'!$A:$A,A594,'Paste - Relationships'!$AE:$AE,""))</f>
        <v>0</v>
      </c>
      <c r="G594" s="43" t="str">
        <f t="shared" si="9"/>
        <v>Available</v>
      </c>
      <c r="H594" s="43" t="str">
        <f>IF(A594="","",IF(COUNTIF('Programme Mentors'!$A:$A,A594)&gt;0,"Enrolled","—"))</f>
        <v>—</v>
      </c>
    </row>
    <row r="595" spans="1:8" ht="14.25" customHeight="1" x14ac:dyDescent="0.3">
      <c r="A595" s="9">
        <f>'Paste - Mentors'!A595</f>
        <v>4967305</v>
      </c>
      <c r="B595" s="4" t="str">
        <f>IFERROR(VLOOKUP(A595,'Paste - Mentors'!$A:$B,2,0),"")</f>
        <v>Pontso Mohlotsane</v>
      </c>
      <c r="C595" s="4" t="str">
        <f>IFERROR(VLOOKUP(A595,'Paste - Mentors'!$A:$D,4,0),"")</f>
        <v>Career Mentor</v>
      </c>
      <c r="D595" s="9" t="str">
        <f>IFERROR(VLOOKUP(A595,'Paste - Mentors'!$A:$F,6,0),"")</f>
        <v>FNB</v>
      </c>
      <c r="E595" s="9" t="str">
        <f>IFERROR(VLOOKUP(A595,'Paste - Mentors'!$A:$E,5,0),"")</f>
        <v>South Africa</v>
      </c>
      <c r="F595" s="9">
        <f>IF(A595="","",COUNTIFS('Paste - Relationships'!$A:$A,A595,'Paste - Relationships'!$AE:$AE,""))</f>
        <v>1</v>
      </c>
      <c r="G595" s="9" t="str">
        <f t="shared" si="9"/>
        <v>Has Capacity</v>
      </c>
      <c r="H595" s="9" t="str">
        <f>IF(A595="","",IF(COUNTIF('Programme Mentors'!$A:$A,A595)&gt;0,"Enrolled","—"))</f>
        <v>—</v>
      </c>
    </row>
    <row r="596" spans="1:8" ht="14.25" customHeight="1" x14ac:dyDescent="0.3">
      <c r="A596" s="43">
        <f>'Paste - Mentors'!A596</f>
        <v>4970497</v>
      </c>
      <c r="B596" s="3" t="str">
        <f>IFERROR(VLOOKUP(A596,'Paste - Mentors'!$A:$B,2,0),"")</f>
        <v>Nthabiseng Motshabi</v>
      </c>
      <c r="C596" s="3">
        <f>IFERROR(VLOOKUP(A596,'Paste - Mentors'!$A:$D,4,0),"")</f>
        <v>0</v>
      </c>
      <c r="D596" s="43" t="str">
        <f>IFERROR(VLOOKUP(A596,'Paste - Mentors'!$A:$F,6,0),"")</f>
        <v>FNB</v>
      </c>
      <c r="E596" s="43" t="str">
        <f>IFERROR(VLOOKUP(A596,'Paste - Mentors'!$A:$E,5,0),"")</f>
        <v>South Africa</v>
      </c>
      <c r="F596" s="43">
        <f>IF(A596="","",COUNTIFS('Paste - Relationships'!$A:$A,A596,'Paste - Relationships'!$AE:$AE,""))</f>
        <v>0</v>
      </c>
      <c r="G596" s="43" t="str">
        <f t="shared" si="9"/>
        <v>Available</v>
      </c>
      <c r="H596" s="43" t="str">
        <f>IF(A596="","",IF(COUNTIF('Programme Mentors'!$A:$A,A596)&gt;0,"Enrolled","—"))</f>
        <v>—</v>
      </c>
    </row>
    <row r="597" spans="1:8" ht="14.25" customHeight="1" x14ac:dyDescent="0.3">
      <c r="A597" s="9">
        <f>'Paste - Mentors'!A597</f>
        <v>4974298</v>
      </c>
      <c r="B597" s="4" t="str">
        <f>IFERROR(VLOOKUP(A597,'Paste - Mentors'!$A:$B,2,0),"")</f>
        <v>Mzwandile Maawu</v>
      </c>
      <c r="C597" s="4" t="str">
        <f>IFERROR(VLOOKUP(A597,'Paste - Mentors'!$A:$D,4,0),"")</f>
        <v>Career Mentor</v>
      </c>
      <c r="D597" s="9" t="str">
        <f>IFERROR(VLOOKUP(A597,'Paste - Mentors'!$A:$F,6,0),"")</f>
        <v>FNB</v>
      </c>
      <c r="E597" s="9" t="str">
        <f>IFERROR(VLOOKUP(A597,'Paste - Mentors'!$A:$E,5,0),"")</f>
        <v>South Africa</v>
      </c>
      <c r="F597" s="9">
        <f>IF(A597="","",COUNTIFS('Paste - Relationships'!$A:$A,A597,'Paste - Relationships'!$AE:$AE,""))</f>
        <v>0</v>
      </c>
      <c r="G597" s="9" t="str">
        <f t="shared" si="9"/>
        <v>Available</v>
      </c>
      <c r="H597" s="9" t="str">
        <f>IF(A597="","",IF(COUNTIF('Programme Mentors'!$A:$A,A597)&gt;0,"Enrolled","—"))</f>
        <v>—</v>
      </c>
    </row>
    <row r="598" spans="1:8" ht="14.25" customHeight="1" x14ac:dyDescent="0.3">
      <c r="A598" s="43">
        <f>'Paste - Mentors'!A598</f>
        <v>4975278</v>
      </c>
      <c r="B598" s="3" t="str">
        <f>IFERROR(VLOOKUP(A598,'Paste - Mentors'!$A:$B,2,0),"")</f>
        <v>Mashudu Matsila</v>
      </c>
      <c r="C598" s="3" t="str">
        <f>IFERROR(VLOOKUP(A598,'Paste - Mentors'!$A:$D,4,0),"")</f>
        <v>Career Mentor</v>
      </c>
      <c r="D598" s="43" t="str">
        <f>IFERROR(VLOOKUP(A598,'Paste - Mentors'!$A:$F,6,0),"")</f>
        <v>FNB</v>
      </c>
      <c r="E598" s="43" t="str">
        <f>IFERROR(VLOOKUP(A598,'Paste - Mentors'!$A:$E,5,0),"")</f>
        <v>South Africa</v>
      </c>
      <c r="F598" s="43">
        <f>IF(A598="","",COUNTIFS('Paste - Relationships'!$A:$A,A598,'Paste - Relationships'!$AE:$AE,""))</f>
        <v>2</v>
      </c>
      <c r="G598" s="43" t="str">
        <f t="shared" si="9"/>
        <v>Has Capacity</v>
      </c>
      <c r="H598" s="43" t="str">
        <f>IF(A598="","",IF(COUNTIF('Programme Mentors'!$A:$A,A598)&gt;0,"Enrolled","—"))</f>
        <v>—</v>
      </c>
    </row>
    <row r="599" spans="1:8" ht="14.25" customHeight="1" x14ac:dyDescent="0.3">
      <c r="A599" s="9">
        <f>'Paste - Mentors'!A599</f>
        <v>4983394</v>
      </c>
      <c r="B599" s="4" t="str">
        <f>IFERROR(VLOOKUP(A599,'Paste - Mentors'!$A:$B,2,0),"")</f>
        <v>Lindelwe Mbugua</v>
      </c>
      <c r="C599" s="4" t="str">
        <f>IFERROR(VLOOKUP(A599,'Paste - Mentors'!$A:$D,4,0),"")</f>
        <v>Career Mentor
Workplace  Buddy</v>
      </c>
      <c r="D599" s="9" t="str">
        <f>IFERROR(VLOOKUP(A599,'Paste - Mentors'!$A:$F,6,0),"")</f>
        <v>RMB</v>
      </c>
      <c r="E599" s="9" t="str">
        <f>IFERROR(VLOOKUP(A599,'Paste - Mentors'!$A:$E,5,0),"")</f>
        <v>South Africa</v>
      </c>
      <c r="F599" s="9">
        <f>IF(A599="","",COUNTIFS('Paste - Relationships'!$A:$A,A599,'Paste - Relationships'!$AE:$AE,""))</f>
        <v>0</v>
      </c>
      <c r="G599" s="9" t="str">
        <f t="shared" si="9"/>
        <v>Available</v>
      </c>
      <c r="H599" s="9" t="str">
        <f>IF(A599="","",IF(COUNTIF('Programme Mentors'!$A:$A,A599)&gt;0,"Enrolled","—"))</f>
        <v>—</v>
      </c>
    </row>
    <row r="600" spans="1:8" ht="33.75" customHeight="1" x14ac:dyDescent="0.3">
      <c r="A600" s="43">
        <f>'Paste - Mentors'!A600</f>
        <v>4991583</v>
      </c>
      <c r="B600" s="3" t="str">
        <f>IFERROR(VLOOKUP(A600,'Paste - Mentors'!$A:$B,2,0),"")</f>
        <v>Thandiwe Mkalipi</v>
      </c>
      <c r="C600" s="3" t="str">
        <f>IFERROR(VLOOKUP(A600,'Paste - Mentors'!$A:$D,4,0),"")</f>
        <v>Career Mentor</v>
      </c>
      <c r="D600" s="43" t="str">
        <f>IFERROR(VLOOKUP(A600,'Paste - Mentors'!$A:$F,6,0),"")</f>
        <v>FNB</v>
      </c>
      <c r="E600" s="43" t="str">
        <f>IFERROR(VLOOKUP(A600,'Paste - Mentors'!$A:$E,5,0),"")</f>
        <v>South Africa</v>
      </c>
      <c r="F600" s="43">
        <f>IF(A600="","",COUNTIFS('Paste - Relationships'!$A:$A,A600,'Paste - Relationships'!$AE:$AE,""))</f>
        <v>1</v>
      </c>
      <c r="G600" s="43" t="str">
        <f t="shared" si="9"/>
        <v>Has Capacity</v>
      </c>
      <c r="H600" s="43" t="str">
        <f>IF(A600="","",IF(COUNTIF('Programme Mentors'!$A:$A,A600)&gt;0,"Enrolled","—"))</f>
        <v>—</v>
      </c>
    </row>
    <row r="601" spans="1:8" ht="14.25" customHeight="1" x14ac:dyDescent="0.3">
      <c r="A601" s="9">
        <f>'Paste - Mentors'!A601</f>
        <v>4991656</v>
      </c>
      <c r="B601" s="4" t="str">
        <f>IFERROR(VLOOKUP(A601,'Paste - Mentors'!$A:$B,2,0),"")</f>
        <v>Andani Negota</v>
      </c>
      <c r="C601" s="4" t="str">
        <f>IFERROR(VLOOKUP(A601,'Paste - Mentors'!$A:$D,4,0),"")</f>
        <v>Career Mentor</v>
      </c>
      <c r="D601" s="9" t="str">
        <f>IFERROR(VLOOKUP(A601,'Paste - Mentors'!$A:$F,6,0),"")</f>
        <v>FNB</v>
      </c>
      <c r="E601" s="9" t="str">
        <f>IFERROR(VLOOKUP(A601,'Paste - Mentors'!$A:$E,5,0),"")</f>
        <v>South Africa</v>
      </c>
      <c r="F601" s="9">
        <f>IF(A601="","",COUNTIFS('Paste - Relationships'!$A:$A,A601,'Paste - Relationships'!$AE:$AE,""))</f>
        <v>0</v>
      </c>
      <c r="G601" s="9" t="str">
        <f t="shared" si="9"/>
        <v>Available</v>
      </c>
      <c r="H601" s="9" t="str">
        <f>IF(A601="","",IF(COUNTIF('Programme Mentors'!$A:$A,A601)&gt;0,"Enrolled","—"))</f>
        <v>—</v>
      </c>
    </row>
    <row r="602" spans="1:8" ht="14.25" customHeight="1" x14ac:dyDescent="0.3">
      <c r="A602" s="43">
        <f>'Paste - Mentors'!A602</f>
        <v>4994868</v>
      </c>
      <c r="B602" s="3" t="str">
        <f>IFERROR(VLOOKUP(A602,'Paste - Mentors'!$A:$B,2,0),"")</f>
        <v>Kavilan Rajagopaul Pillay</v>
      </c>
      <c r="C602" s="3" t="str">
        <f>IFERROR(VLOOKUP(A602,'Paste - Mentors'!$A:$D,4,0),"")</f>
        <v>Career Mentor
Technical Mentor
Transition Mentor
Workplace  Buddy</v>
      </c>
      <c r="D602" s="43" t="str">
        <f>IFERROR(VLOOKUP(A602,'Paste - Mentors'!$A:$F,6,0),"")</f>
        <v>FNB</v>
      </c>
      <c r="E602" s="43" t="str">
        <f>IFERROR(VLOOKUP(A602,'Paste - Mentors'!$A:$E,5,0),"")</f>
        <v>South Africa</v>
      </c>
      <c r="F602" s="43">
        <f>IF(A602="","",COUNTIFS('Paste - Relationships'!$A:$A,A602,'Paste - Relationships'!$AE:$AE,""))</f>
        <v>2</v>
      </c>
      <c r="G602" s="43" t="str">
        <f t="shared" si="9"/>
        <v>Has Capacity</v>
      </c>
      <c r="H602" s="43" t="str">
        <f>IF(A602="","",IF(COUNTIF('Programme Mentors'!$A:$A,A602)&gt;0,"Enrolled","—"))</f>
        <v>—</v>
      </c>
    </row>
    <row r="603" spans="1:8" ht="79.5" customHeight="1" x14ac:dyDescent="0.3">
      <c r="A603" s="9">
        <f>'Paste - Mentors'!A603</f>
        <v>4995058</v>
      </c>
      <c r="B603" s="4" t="str">
        <f>IFERROR(VLOOKUP(A603,'Paste - Mentors'!$A:$B,2,0),"")</f>
        <v>Korsten Bezuidenhout</v>
      </c>
      <c r="C603" s="4" t="str">
        <f>IFERROR(VLOOKUP(A603,'Paste - Mentors'!$A:$D,4,0),"")</f>
        <v>Career Mentor</v>
      </c>
      <c r="D603" s="9" t="str">
        <f>IFERROR(VLOOKUP(A603,'Paste - Mentors'!$A:$F,6,0),"")</f>
        <v>FNB</v>
      </c>
      <c r="E603" s="9" t="str">
        <f>IFERROR(VLOOKUP(A603,'Paste - Mentors'!$A:$E,5,0),"")</f>
        <v>South Africa</v>
      </c>
      <c r="F603" s="9">
        <f>IF(A603="","",COUNTIFS('Paste - Relationships'!$A:$A,A603,'Paste - Relationships'!$AE:$AE,""))</f>
        <v>0</v>
      </c>
      <c r="G603" s="9" t="str">
        <f t="shared" si="9"/>
        <v>Available</v>
      </c>
      <c r="H603" s="9" t="str">
        <f>IF(A603="","",IF(COUNTIF('Programme Mentors'!$A:$A,A603)&gt;0,"Enrolled","—"))</f>
        <v>—</v>
      </c>
    </row>
    <row r="604" spans="1:8" ht="14.25" customHeight="1" x14ac:dyDescent="0.3">
      <c r="A604" s="43">
        <f>'Paste - Mentors'!A604</f>
        <v>4998332</v>
      </c>
      <c r="B604" s="3" t="str">
        <f>IFERROR(VLOOKUP(A604,'Paste - Mentors'!$A:$B,2,0),"")</f>
        <v>Thabo Ngubane</v>
      </c>
      <c r="C604" s="3" t="str">
        <f>IFERROR(VLOOKUP(A604,'Paste - Mentors'!$A:$D,4,0),"")</f>
        <v>Career Mentor</v>
      </c>
      <c r="D604" s="43" t="str">
        <f>IFERROR(VLOOKUP(A604,'Paste - Mentors'!$A:$F,6,0),"")</f>
        <v>FNB</v>
      </c>
      <c r="E604" s="43" t="str">
        <f>IFERROR(VLOOKUP(A604,'Paste - Mentors'!$A:$E,5,0),"")</f>
        <v>South Africa</v>
      </c>
      <c r="F604" s="43">
        <f>IF(A604="","",COUNTIFS('Paste - Relationships'!$A:$A,A604,'Paste - Relationships'!$AE:$AE,""))</f>
        <v>0</v>
      </c>
      <c r="G604" s="43" t="str">
        <f t="shared" si="9"/>
        <v>Available</v>
      </c>
      <c r="H604" s="43" t="str">
        <f>IF(A604="","",IF(COUNTIF('Programme Mentors'!$A:$A,A604)&gt;0,"Enrolled","—"))</f>
        <v>—</v>
      </c>
    </row>
    <row r="605" spans="1:8" ht="14.25" customHeight="1" x14ac:dyDescent="0.3">
      <c r="A605" s="9">
        <f>'Paste - Mentors'!A605</f>
        <v>5001439</v>
      </c>
      <c r="B605" s="4" t="str">
        <f>IFERROR(VLOOKUP(A605,'Paste - Mentors'!$A:$B,2,0),"")</f>
        <v>Mitesh Makan</v>
      </c>
      <c r="C605" s="4" t="str">
        <f>IFERROR(VLOOKUP(A605,'Paste - Mentors'!$A:$D,4,0),"")</f>
        <v>Career Mentor</v>
      </c>
      <c r="D605" s="9" t="str">
        <f>IFERROR(VLOOKUP(A605,'Paste - Mentors'!$A:$F,6,0),"")</f>
        <v>FNB</v>
      </c>
      <c r="E605" s="9" t="str">
        <f>IFERROR(VLOOKUP(A605,'Paste - Mentors'!$A:$E,5,0),"")</f>
        <v>South Africa</v>
      </c>
      <c r="F605" s="9">
        <f>IF(A605="","",COUNTIFS('Paste - Relationships'!$A:$A,A605,'Paste - Relationships'!$AE:$AE,""))</f>
        <v>1</v>
      </c>
      <c r="G605" s="9" t="str">
        <f t="shared" si="9"/>
        <v>Has Capacity</v>
      </c>
      <c r="H605" s="9" t="str">
        <f>IF(A605="","",IF(COUNTIF('Programme Mentors'!$A:$A,A605)&gt;0,"Enrolled","—"))</f>
        <v>—</v>
      </c>
    </row>
    <row r="606" spans="1:8" ht="14.25" customHeight="1" x14ac:dyDescent="0.3">
      <c r="A606" s="43">
        <f>'Paste - Mentors'!A606</f>
        <v>5004918</v>
      </c>
      <c r="B606" s="3" t="str">
        <f>IFERROR(VLOOKUP(A606,'Paste - Mentors'!$A:$B,2,0),"")</f>
        <v>Kuda Mukoki</v>
      </c>
      <c r="C606" s="3" t="str">
        <f>IFERROR(VLOOKUP(A606,'Paste - Mentors'!$A:$D,4,0),"")</f>
        <v>Career Mentor</v>
      </c>
      <c r="D606" s="43" t="str">
        <f>IFERROR(VLOOKUP(A606,'Paste - Mentors'!$A:$F,6,0),"")</f>
        <v>FNB</v>
      </c>
      <c r="E606" s="43" t="str">
        <f>IFERROR(VLOOKUP(A606,'Paste - Mentors'!$A:$E,5,0),"")</f>
        <v>South Africa</v>
      </c>
      <c r="F606" s="43">
        <f>IF(A606="","",COUNTIFS('Paste - Relationships'!$A:$A,A606,'Paste - Relationships'!$AE:$AE,""))</f>
        <v>1</v>
      </c>
      <c r="G606" s="43" t="str">
        <f t="shared" si="9"/>
        <v>Has Capacity</v>
      </c>
      <c r="H606" s="43" t="str">
        <f>IF(A606="","",IF(COUNTIF('Programme Mentors'!$A:$A,A606)&gt;0,"Enrolled","—"))</f>
        <v>—</v>
      </c>
    </row>
    <row r="607" spans="1:8" ht="14.25" customHeight="1" x14ac:dyDescent="0.3">
      <c r="A607" s="9">
        <f>'Paste - Mentors'!A607</f>
        <v>5008832</v>
      </c>
      <c r="B607" s="4" t="str">
        <f>IFERROR(VLOOKUP(A607,'Paste - Mentors'!$A:$B,2,0),"")</f>
        <v>Yuvika Singh</v>
      </c>
      <c r="C607" s="4" t="str">
        <f>IFERROR(VLOOKUP(A607,'Paste - Mentors'!$A:$D,4,0),"")</f>
        <v>Career Mentor</v>
      </c>
      <c r="D607" s="9" t="str">
        <f>IFERROR(VLOOKUP(A607,'Paste - Mentors'!$A:$F,6,0),"")</f>
        <v>FNB</v>
      </c>
      <c r="E607" s="9" t="str">
        <f>IFERROR(VLOOKUP(A607,'Paste - Mentors'!$A:$E,5,0),"")</f>
        <v>South Africa</v>
      </c>
      <c r="F607" s="9">
        <f>IF(A607="","",COUNTIFS('Paste - Relationships'!$A:$A,A607,'Paste - Relationships'!$AE:$AE,""))</f>
        <v>0</v>
      </c>
      <c r="G607" s="9" t="str">
        <f t="shared" si="9"/>
        <v>Available</v>
      </c>
      <c r="H607" s="9" t="str">
        <f>IF(A607="","",IF(COUNTIF('Programme Mentors'!$A:$A,A607)&gt;0,"Enrolled","—"))</f>
        <v>—</v>
      </c>
    </row>
    <row r="608" spans="1:8" ht="14.25" customHeight="1" x14ac:dyDescent="0.3">
      <c r="A608" s="43">
        <f>'Paste - Mentors'!A608</f>
        <v>5012457</v>
      </c>
      <c r="B608" s="3" t="str">
        <f>IFERROR(VLOOKUP(A608,'Paste - Mentors'!$A:$B,2,0),"")</f>
        <v>Tejal Daya</v>
      </c>
      <c r="C608" s="3" t="str">
        <f>IFERROR(VLOOKUP(A608,'Paste - Mentors'!$A:$D,4,0),"")</f>
        <v>Career Mentor</v>
      </c>
      <c r="D608" s="43" t="str">
        <f>IFERROR(VLOOKUP(A608,'Paste - Mentors'!$A:$F,6,0),"")</f>
        <v>FNB</v>
      </c>
      <c r="E608" s="43" t="str">
        <f>IFERROR(VLOOKUP(A608,'Paste - Mentors'!$A:$E,5,0),"")</f>
        <v>South Africa</v>
      </c>
      <c r="F608" s="43">
        <f>IF(A608="","",COUNTIFS('Paste - Relationships'!$A:$A,A608,'Paste - Relationships'!$AE:$AE,""))</f>
        <v>0</v>
      </c>
      <c r="G608" s="43" t="str">
        <f t="shared" si="9"/>
        <v>Available</v>
      </c>
      <c r="H608" s="43" t="str">
        <f>IF(A608="","",IF(COUNTIF('Programme Mentors'!$A:$A,A608)&gt;0,"Enrolled","—"))</f>
        <v>—</v>
      </c>
    </row>
    <row r="609" spans="1:8" ht="14.25" customHeight="1" x14ac:dyDescent="0.3">
      <c r="A609" s="9">
        <f>'Paste - Mentors'!A609</f>
        <v>5013569</v>
      </c>
      <c r="B609" s="4" t="str">
        <f>IFERROR(VLOOKUP(A609,'Paste - Mentors'!$A:$B,2,0),"")</f>
        <v>Tanya Weitz</v>
      </c>
      <c r="C609" s="4" t="str">
        <f>IFERROR(VLOOKUP(A609,'Paste - Mentors'!$A:$D,4,0),"")</f>
        <v>Career Mentor
Leadership Mentor
Workplace  Buddy</v>
      </c>
      <c r="D609" s="9" t="str">
        <f>IFERROR(VLOOKUP(A609,'Paste - Mentors'!$A:$F,6,0),"")</f>
        <v>FNB</v>
      </c>
      <c r="E609" s="9" t="str">
        <f>IFERROR(VLOOKUP(A609,'Paste - Mentors'!$A:$E,5,0),"")</f>
        <v>South Africa</v>
      </c>
      <c r="F609" s="9">
        <f>IF(A609="","",COUNTIFS('Paste - Relationships'!$A:$A,A609,'Paste - Relationships'!$AE:$AE,""))</f>
        <v>0</v>
      </c>
      <c r="G609" s="9" t="str">
        <f t="shared" si="9"/>
        <v>Available</v>
      </c>
      <c r="H609" s="9" t="str">
        <f>IF(A609="","",IF(COUNTIF('Programme Mentors'!$A:$A,A609)&gt;0,"Enrolled","—"))</f>
        <v>—</v>
      </c>
    </row>
    <row r="610" spans="1:8" ht="57" customHeight="1" x14ac:dyDescent="0.3">
      <c r="A610" s="43">
        <f>'Paste - Mentors'!A610</f>
        <v>5017629</v>
      </c>
      <c r="B610" s="3" t="str">
        <f>IFERROR(VLOOKUP(A610,'Paste - Mentors'!$A:$B,2,0),"")</f>
        <v>Nelisa Shiba</v>
      </c>
      <c r="C610" s="3" t="str">
        <f>IFERROR(VLOOKUP(A610,'Paste - Mentors'!$A:$D,4,0),"")</f>
        <v>Career Mentor</v>
      </c>
      <c r="D610" s="43" t="str">
        <f>IFERROR(VLOOKUP(A610,'Paste - Mentors'!$A:$F,6,0),"")</f>
        <v>FNB</v>
      </c>
      <c r="E610" s="43" t="str">
        <f>IFERROR(VLOOKUP(A610,'Paste - Mentors'!$A:$E,5,0),"")</f>
        <v>South Africa</v>
      </c>
      <c r="F610" s="43">
        <f>IF(A610="","",COUNTIFS('Paste - Relationships'!$A:$A,A610,'Paste - Relationships'!$AE:$AE,""))</f>
        <v>0</v>
      </c>
      <c r="G610" s="43" t="str">
        <f t="shared" si="9"/>
        <v>Available</v>
      </c>
      <c r="H610" s="43" t="str">
        <f>IF(A610="","",IF(COUNTIF('Programme Mentors'!$A:$A,A610)&gt;0,"Enrolled","—"))</f>
        <v>—</v>
      </c>
    </row>
    <row r="611" spans="1:8" ht="14.25" customHeight="1" x14ac:dyDescent="0.3">
      <c r="A611" s="9">
        <f>'Paste - Mentors'!A611</f>
        <v>5018692</v>
      </c>
      <c r="B611" s="4" t="str">
        <f>IFERROR(VLOOKUP(A611,'Paste - Mentors'!$A:$B,2,0),"")</f>
        <v>Pehrusha Nair</v>
      </c>
      <c r="C611" s="4" t="str">
        <f>IFERROR(VLOOKUP(A611,'Paste - Mentors'!$A:$D,4,0),"")</f>
        <v>Career Mentor</v>
      </c>
      <c r="D611" s="9" t="str">
        <f>IFERROR(VLOOKUP(A611,'Paste - Mentors'!$A:$F,6,0),"")</f>
        <v>FNB</v>
      </c>
      <c r="E611" s="9" t="str">
        <f>IFERROR(VLOOKUP(A611,'Paste - Mentors'!$A:$E,5,0),"")</f>
        <v>South Africa</v>
      </c>
      <c r="F611" s="9">
        <f>IF(A611="","",COUNTIFS('Paste - Relationships'!$A:$A,A611,'Paste - Relationships'!$AE:$AE,""))</f>
        <v>0</v>
      </c>
      <c r="G611" s="9" t="str">
        <f t="shared" si="9"/>
        <v>Available</v>
      </c>
      <c r="H611" s="9" t="str">
        <f>IF(A611="","",IF(COUNTIF('Programme Mentors'!$A:$A,A611)&gt;0,"Enrolled","—"))</f>
        <v>—</v>
      </c>
    </row>
    <row r="612" spans="1:8" ht="14.25" customHeight="1" x14ac:dyDescent="0.3">
      <c r="A612" s="43">
        <f>'Paste - Mentors'!A612</f>
        <v>5020964</v>
      </c>
      <c r="B612" s="3" t="str">
        <f>IFERROR(VLOOKUP(A612,'Paste - Mentors'!$A:$B,2,0),"")</f>
        <v>Ashley Saffy</v>
      </c>
      <c r="C612" s="3" t="str">
        <f>IFERROR(VLOOKUP(A612,'Paste - Mentors'!$A:$D,4,0),"")</f>
        <v>Career Mentor
Leadership Mentor</v>
      </c>
      <c r="D612" s="43" t="str">
        <f>IFERROR(VLOOKUP(A612,'Paste - Mentors'!$A:$F,6,0),"")</f>
        <v>FNB</v>
      </c>
      <c r="E612" s="43" t="str">
        <f>IFERROR(VLOOKUP(A612,'Paste - Mentors'!$A:$E,5,0),"")</f>
        <v>South Africa</v>
      </c>
      <c r="F612" s="43">
        <f>IF(A612="","",COUNTIFS('Paste - Relationships'!$A:$A,A612,'Paste - Relationships'!$AE:$AE,""))</f>
        <v>0</v>
      </c>
      <c r="G612" s="43" t="str">
        <f t="shared" si="9"/>
        <v>Available</v>
      </c>
      <c r="H612" s="43" t="str">
        <f>IF(A612="","",IF(COUNTIF('Programme Mentors'!$A:$A,A612)&gt;0,"Enrolled","—"))</f>
        <v>—</v>
      </c>
    </row>
    <row r="613" spans="1:8" ht="33.75" customHeight="1" x14ac:dyDescent="0.3">
      <c r="A613" s="9">
        <f>'Paste - Mentors'!A613</f>
        <v>5022290</v>
      </c>
      <c r="B613" s="4" t="str">
        <f>IFERROR(VLOOKUP(A613,'Paste - Mentors'!$A:$B,2,0),"")</f>
        <v>Lesego Sefolo</v>
      </c>
      <c r="C613" s="4" t="str">
        <f>IFERROR(VLOOKUP(A613,'Paste - Mentors'!$A:$D,4,0),"")</f>
        <v>Career Mentor</v>
      </c>
      <c r="D613" s="9" t="str">
        <f>IFERROR(VLOOKUP(A613,'Paste - Mentors'!$A:$F,6,0),"")</f>
        <v>FNB</v>
      </c>
      <c r="E613" s="9" t="str">
        <f>IFERROR(VLOOKUP(A613,'Paste - Mentors'!$A:$E,5,0),"")</f>
        <v>South Africa</v>
      </c>
      <c r="F613" s="9">
        <f>IF(A613="","",COUNTIFS('Paste - Relationships'!$A:$A,A613,'Paste - Relationships'!$AE:$AE,""))</f>
        <v>0</v>
      </c>
      <c r="G613" s="9" t="str">
        <f t="shared" si="9"/>
        <v>Available</v>
      </c>
      <c r="H613" s="9" t="str">
        <f>IF(A613="","",IF(COUNTIF('Programme Mentors'!$A:$A,A613)&gt;0,"Enrolled","—"))</f>
        <v>—</v>
      </c>
    </row>
    <row r="614" spans="1:8" ht="14.25" customHeight="1" x14ac:dyDescent="0.3">
      <c r="A614" s="43">
        <f>'Paste - Mentors'!A614</f>
        <v>5027535</v>
      </c>
      <c r="B614" s="3" t="str">
        <f>IFERROR(VLOOKUP(A614,'Paste - Mentors'!$A:$B,2,0),"")</f>
        <v>Kofi Acheampong-Boateng</v>
      </c>
      <c r="C614" s="3" t="str">
        <f>IFERROR(VLOOKUP(A614,'Paste - Mentors'!$A:$D,4,0),"")</f>
        <v>Career Mentor</v>
      </c>
      <c r="D614" s="43" t="str">
        <f>IFERROR(VLOOKUP(A614,'Paste - Mentors'!$A:$F,6,0),"")</f>
        <v>FNB</v>
      </c>
      <c r="E614" s="43" t="str">
        <f>IFERROR(VLOOKUP(A614,'Paste - Mentors'!$A:$E,5,0),"")</f>
        <v>South Africa</v>
      </c>
      <c r="F614" s="43">
        <f>IF(A614="","",COUNTIFS('Paste - Relationships'!$A:$A,A614,'Paste - Relationships'!$AE:$AE,""))</f>
        <v>0</v>
      </c>
      <c r="G614" s="43" t="str">
        <f t="shared" si="9"/>
        <v>Available</v>
      </c>
      <c r="H614" s="43" t="str">
        <f>IF(A614="","",IF(COUNTIF('Programme Mentors'!$A:$A,A614)&gt;0,"Enrolled","—"))</f>
        <v>—</v>
      </c>
    </row>
    <row r="615" spans="1:8" ht="14.25" customHeight="1" x14ac:dyDescent="0.3">
      <c r="A615" s="9">
        <f>'Paste - Mentors'!A615</f>
        <v>5029775</v>
      </c>
      <c r="B615" s="4" t="str">
        <f>IFERROR(VLOOKUP(A615,'Paste - Mentors'!$A:$B,2,0),"")</f>
        <v>Robyn Potgieter</v>
      </c>
      <c r="C615" s="4" t="str">
        <f>IFERROR(VLOOKUP(A615,'Paste - Mentors'!$A:$D,4,0),"")</f>
        <v>Z2-Programme Mentor (HC Managed)</v>
      </c>
      <c r="D615" s="9" t="str">
        <f>IFERROR(VLOOKUP(A615,'Paste - Mentors'!$A:$F,6,0),"")</f>
        <v>RMB</v>
      </c>
      <c r="E615" s="9" t="str">
        <f>IFERROR(VLOOKUP(A615,'Paste - Mentors'!$A:$E,5,0),"")</f>
        <v>South Africa</v>
      </c>
      <c r="F615" s="9">
        <f>IF(A615="","",COUNTIFS('Paste - Relationships'!$A:$A,A615,'Paste - Relationships'!$AE:$AE,""))</f>
        <v>0</v>
      </c>
      <c r="G615" s="9" t="str">
        <f t="shared" si="9"/>
        <v>Available</v>
      </c>
      <c r="H615" s="9" t="str">
        <f>IF(A615="","",IF(COUNTIF('Programme Mentors'!$A:$A,A615)&gt;0,"Enrolled","—"))</f>
        <v>—</v>
      </c>
    </row>
    <row r="616" spans="1:8" ht="14.25" customHeight="1" x14ac:dyDescent="0.3">
      <c r="A616" s="43">
        <f>'Paste - Mentors'!A616</f>
        <v>5030374</v>
      </c>
      <c r="B616" s="3" t="str">
        <f>IFERROR(VLOOKUP(A616,'Paste - Mentors'!$A:$B,2,0),"")</f>
        <v>Ookame Maruping</v>
      </c>
      <c r="C616" s="3" t="str">
        <f>IFERROR(VLOOKUP(A616,'Paste - Mentors'!$A:$D,4,0),"")</f>
        <v>Career Mentor
Leadership Mentor
Z2-Programme Mentor (HC Managed)</v>
      </c>
      <c r="D616" s="43" t="str">
        <f>IFERROR(VLOOKUP(A616,'Paste - Mentors'!$A:$F,6,0),"")</f>
        <v>RMB</v>
      </c>
      <c r="E616" s="43" t="str">
        <f>IFERROR(VLOOKUP(A616,'Paste - Mentors'!$A:$E,5,0),"")</f>
        <v>South Africa</v>
      </c>
      <c r="F616" s="43">
        <f>IF(A616="","",COUNTIFS('Paste - Relationships'!$A:$A,A616,'Paste - Relationships'!$AE:$AE,""))</f>
        <v>0</v>
      </c>
      <c r="G616" s="43" t="str">
        <f t="shared" si="9"/>
        <v>Available</v>
      </c>
      <c r="H616" s="43" t="str">
        <f>IF(A616="","",IF(COUNTIF('Programme Mentors'!$A:$A,A616)&gt;0,"Enrolled","—"))</f>
        <v>—</v>
      </c>
    </row>
    <row r="617" spans="1:8" ht="57" customHeight="1" x14ac:dyDescent="0.3">
      <c r="A617" s="9">
        <f>'Paste - Mentors'!A617</f>
        <v>5030722</v>
      </c>
      <c r="B617" s="4" t="str">
        <f>IFERROR(VLOOKUP(A617,'Paste - Mentors'!$A:$B,2,0),"")</f>
        <v>Ben Van Der Merwe</v>
      </c>
      <c r="C617" s="4" t="str">
        <f>IFERROR(VLOOKUP(A617,'Paste - Mentors'!$A:$D,4,0),"")</f>
        <v>Career Mentor</v>
      </c>
      <c r="D617" s="9" t="str">
        <f>IFERROR(VLOOKUP(A617,'Paste - Mentors'!$A:$F,6,0),"")</f>
        <v>FNB</v>
      </c>
      <c r="E617" s="9" t="str">
        <f>IFERROR(VLOOKUP(A617,'Paste - Mentors'!$A:$E,5,0),"")</f>
        <v>South Africa</v>
      </c>
      <c r="F617" s="9">
        <f>IF(A617="","",COUNTIFS('Paste - Relationships'!$A:$A,A617,'Paste - Relationships'!$AE:$AE,""))</f>
        <v>0</v>
      </c>
      <c r="G617" s="9" t="str">
        <f t="shared" si="9"/>
        <v>Available</v>
      </c>
      <c r="H617" s="9" t="str">
        <f>IF(A617="","",IF(COUNTIF('Programme Mentors'!$A:$A,A617)&gt;0,"Enrolled","—"))</f>
        <v>—</v>
      </c>
    </row>
    <row r="618" spans="1:8" ht="14.25" customHeight="1" x14ac:dyDescent="0.3">
      <c r="A618" s="43">
        <f>'Paste - Mentors'!A618</f>
        <v>5036445</v>
      </c>
      <c r="B618" s="3" t="str">
        <f>IFERROR(VLOOKUP(A618,'Paste - Mentors'!$A:$B,2,0),"")</f>
        <v>Thabo Seroto</v>
      </c>
      <c r="C618" s="3" t="str">
        <f>IFERROR(VLOOKUP(A618,'Paste - Mentors'!$A:$D,4,0),"")</f>
        <v>Career Mentor</v>
      </c>
      <c r="D618" s="43" t="str">
        <f>IFERROR(VLOOKUP(A618,'Paste - Mentors'!$A:$F,6,0),"")</f>
        <v>FNB</v>
      </c>
      <c r="E618" s="43" t="str">
        <f>IFERROR(VLOOKUP(A618,'Paste - Mentors'!$A:$E,5,0),"")</f>
        <v>South Africa</v>
      </c>
      <c r="F618" s="43">
        <f>IF(A618="","",COUNTIFS('Paste - Relationships'!$A:$A,A618,'Paste - Relationships'!$AE:$AE,""))</f>
        <v>0</v>
      </c>
      <c r="G618" s="43" t="str">
        <f t="shared" si="9"/>
        <v>Available</v>
      </c>
      <c r="H618" s="43" t="str">
        <f>IF(A618="","",IF(COUNTIF('Programme Mentors'!$A:$A,A618)&gt;0,"Enrolled","—"))</f>
        <v>—</v>
      </c>
    </row>
    <row r="619" spans="1:8" ht="14.25" customHeight="1" x14ac:dyDescent="0.3">
      <c r="A619" s="9">
        <f>'Paste - Mentors'!A619</f>
        <v>5036976</v>
      </c>
      <c r="B619" s="4" t="str">
        <f>IFERROR(VLOOKUP(A619,'Paste - Mentors'!$A:$B,2,0),"")</f>
        <v>Ozzie Maluleka</v>
      </c>
      <c r="C619" s="4" t="str">
        <f>IFERROR(VLOOKUP(A619,'Paste - Mentors'!$A:$D,4,0),"")</f>
        <v>Career Mentor</v>
      </c>
      <c r="D619" s="9" t="str">
        <f>IFERROR(VLOOKUP(A619,'Paste - Mentors'!$A:$F,6,0),"")</f>
        <v>FNB</v>
      </c>
      <c r="E619" s="9" t="str">
        <f>IFERROR(VLOOKUP(A619,'Paste - Mentors'!$A:$E,5,0),"")</f>
        <v>South Africa</v>
      </c>
      <c r="F619" s="9">
        <f>IF(A619="","",COUNTIFS('Paste - Relationships'!$A:$A,A619,'Paste - Relationships'!$AE:$AE,""))</f>
        <v>0</v>
      </c>
      <c r="G619" s="9" t="str">
        <f t="shared" si="9"/>
        <v>Available</v>
      </c>
      <c r="H619" s="9" t="str">
        <f>IF(A619="","",IF(COUNTIF('Programme Mentors'!$A:$A,A619)&gt;0,"Enrolled","—"))</f>
        <v>—</v>
      </c>
    </row>
    <row r="620" spans="1:8" ht="14.25" customHeight="1" x14ac:dyDescent="0.3">
      <c r="A620" s="43">
        <f>'Paste - Mentors'!A620</f>
        <v>5041260</v>
      </c>
      <c r="B620" s="3" t="str">
        <f>IFERROR(VLOOKUP(A620,'Paste - Mentors'!$A:$B,2,0),"")</f>
        <v>Vuyiswa Khutswa</v>
      </c>
      <c r="C620" s="3" t="str">
        <f>IFERROR(VLOOKUP(A620,'Paste - Mentors'!$A:$D,4,0),"")</f>
        <v>Career Mentor</v>
      </c>
      <c r="D620" s="43" t="str">
        <f>IFERROR(VLOOKUP(A620,'Paste - Mentors'!$A:$F,6,0),"")</f>
        <v>FNB</v>
      </c>
      <c r="E620" s="43" t="str">
        <f>IFERROR(VLOOKUP(A620,'Paste - Mentors'!$A:$E,5,0),"")</f>
        <v>South Africa</v>
      </c>
      <c r="F620" s="43">
        <f>IF(A620="","",COUNTIFS('Paste - Relationships'!$A:$A,A620,'Paste - Relationships'!$AE:$AE,""))</f>
        <v>0</v>
      </c>
      <c r="G620" s="43" t="str">
        <f t="shared" si="9"/>
        <v>Available</v>
      </c>
      <c r="H620" s="43" t="str">
        <f>IF(A620="","",IF(COUNTIF('Programme Mentors'!$A:$A,A620)&gt;0,"Enrolled","—"))</f>
        <v>—</v>
      </c>
    </row>
    <row r="621" spans="1:8" ht="14.25" customHeight="1" x14ac:dyDescent="0.3">
      <c r="A621" s="9">
        <f>'Paste - Mentors'!A621</f>
        <v>5043050</v>
      </c>
      <c r="B621" s="4" t="str">
        <f>IFERROR(VLOOKUP(A621,'Paste - Mentors'!$A:$B,2,0),"")</f>
        <v>Lawrence Owen</v>
      </c>
      <c r="C621" s="4" t="str">
        <f>IFERROR(VLOOKUP(A621,'Paste - Mentors'!$A:$D,4,0),"")</f>
        <v>Career Mentor</v>
      </c>
      <c r="D621" s="9" t="str">
        <f>IFERROR(VLOOKUP(A621,'Paste - Mentors'!$A:$F,6,0),"")</f>
        <v>FNB</v>
      </c>
      <c r="E621" s="9" t="str">
        <f>IFERROR(VLOOKUP(A621,'Paste - Mentors'!$A:$E,5,0),"")</f>
        <v>South Africa</v>
      </c>
      <c r="F621" s="9">
        <f>IF(A621="","",COUNTIFS('Paste - Relationships'!$A:$A,A621,'Paste - Relationships'!$AE:$AE,""))</f>
        <v>0</v>
      </c>
      <c r="G621" s="9" t="str">
        <f t="shared" si="9"/>
        <v>Available</v>
      </c>
      <c r="H621" s="9" t="str">
        <f>IF(A621="","",IF(COUNTIF('Programme Mentors'!$A:$A,A621)&gt;0,"Enrolled","—"))</f>
        <v>—</v>
      </c>
    </row>
    <row r="622" spans="1:8" ht="14.25" customHeight="1" x14ac:dyDescent="0.3">
      <c r="A622" s="43">
        <f>'Paste - Mentors'!A622</f>
        <v>5043174</v>
      </c>
      <c r="B622" s="3" t="str">
        <f>IFERROR(VLOOKUP(A622,'Paste - Mentors'!$A:$B,2,0),"")</f>
        <v>Versalia David</v>
      </c>
      <c r="C622" s="3" t="str">
        <f>IFERROR(VLOOKUP(A622,'Paste - Mentors'!$A:$D,4,0),"")</f>
        <v>Career Mentor</v>
      </c>
      <c r="D622" s="43" t="str">
        <f>IFERROR(VLOOKUP(A622,'Paste - Mentors'!$A:$F,6,0),"")</f>
        <v>FNB</v>
      </c>
      <c r="E622" s="43" t="str">
        <f>IFERROR(VLOOKUP(A622,'Paste - Mentors'!$A:$E,5,0),"")</f>
        <v>South Africa</v>
      </c>
      <c r="F622" s="43">
        <f>IF(A622="","",COUNTIFS('Paste - Relationships'!$A:$A,A622,'Paste - Relationships'!$AE:$AE,""))</f>
        <v>0</v>
      </c>
      <c r="G622" s="43" t="str">
        <f t="shared" si="9"/>
        <v>Available</v>
      </c>
      <c r="H622" s="43" t="str">
        <f>IF(A622="","",IF(COUNTIF('Programme Mentors'!$A:$A,A622)&gt;0,"Enrolled","—"))</f>
        <v>—</v>
      </c>
    </row>
    <row r="623" spans="1:8" ht="14.25" customHeight="1" x14ac:dyDescent="0.3">
      <c r="A623" s="9">
        <f>'Paste - Mentors'!A623</f>
        <v>5053625</v>
      </c>
      <c r="B623" s="4" t="str">
        <f>IFERROR(VLOOKUP(A623,'Paste - Mentors'!$A:$B,2,0),"")</f>
        <v>Khombisile Dumakude</v>
      </c>
      <c r="C623" s="4" t="str">
        <f>IFERROR(VLOOKUP(A623,'Paste - Mentors'!$A:$D,4,0),"")</f>
        <v>Career Mentor</v>
      </c>
      <c r="D623" s="9" t="str">
        <f>IFERROR(VLOOKUP(A623,'Paste - Mentors'!$A:$F,6,0),"")</f>
        <v>FNB</v>
      </c>
      <c r="E623" s="9" t="str">
        <f>IFERROR(VLOOKUP(A623,'Paste - Mentors'!$A:$E,5,0),"")</f>
        <v>South Africa</v>
      </c>
      <c r="F623" s="9">
        <f>IF(A623="","",COUNTIFS('Paste - Relationships'!$A:$A,A623,'Paste - Relationships'!$AE:$AE,""))</f>
        <v>1</v>
      </c>
      <c r="G623" s="9" t="str">
        <f t="shared" si="9"/>
        <v>Has Capacity</v>
      </c>
      <c r="H623" s="9" t="str">
        <f>IF(A623="","",IF(COUNTIF('Programme Mentors'!$A:$A,A623)&gt;0,"Enrolled","—"))</f>
        <v>—</v>
      </c>
    </row>
    <row r="624" spans="1:8" ht="14.25" customHeight="1" x14ac:dyDescent="0.3">
      <c r="A624" s="43">
        <f>'Paste - Mentors'!A624</f>
        <v>5056837</v>
      </c>
      <c r="B624" s="3" t="str">
        <f>IFERROR(VLOOKUP(A624,'Paste - Mentors'!$A:$B,2,0),"")</f>
        <v>Tshepho Rasemphe</v>
      </c>
      <c r="C624" s="3" t="str">
        <f>IFERROR(VLOOKUP(A624,'Paste - Mentors'!$A:$D,4,0),"")</f>
        <v>Career Mentor</v>
      </c>
      <c r="D624" s="43" t="str">
        <f>IFERROR(VLOOKUP(A624,'Paste - Mentors'!$A:$F,6,0),"")</f>
        <v>WesBank</v>
      </c>
      <c r="E624" s="43" t="str">
        <f>IFERROR(VLOOKUP(A624,'Paste - Mentors'!$A:$E,5,0),"")</f>
        <v>South Africa</v>
      </c>
      <c r="F624" s="43">
        <f>IF(A624="","",COUNTIFS('Paste - Relationships'!$A:$A,A624,'Paste - Relationships'!$AE:$AE,""))</f>
        <v>0</v>
      </c>
      <c r="G624" s="43" t="str">
        <f t="shared" si="9"/>
        <v>Available</v>
      </c>
      <c r="H624" s="43" t="str">
        <f>IF(A624="","",IF(COUNTIF('Programme Mentors'!$A:$A,A624)&gt;0,"Enrolled","—"))</f>
        <v>—</v>
      </c>
    </row>
    <row r="625" spans="1:8" ht="14.25" customHeight="1" x14ac:dyDescent="0.3">
      <c r="A625" s="9">
        <f>'Paste - Mentors'!A625</f>
        <v>5057019</v>
      </c>
      <c r="B625" s="4" t="str">
        <f>IFERROR(VLOOKUP(A625,'Paste - Mentors'!$A:$B,2,0),"")</f>
        <v>Lufuno Raluombe</v>
      </c>
      <c r="C625" s="4" t="str">
        <f>IFERROR(VLOOKUP(A625,'Paste - Mentors'!$A:$D,4,0),"")</f>
        <v>Career Mentor</v>
      </c>
      <c r="D625" s="9" t="str">
        <f>IFERROR(VLOOKUP(A625,'Paste - Mentors'!$A:$F,6,0),"")</f>
        <v>FNB</v>
      </c>
      <c r="E625" s="9" t="str">
        <f>IFERROR(VLOOKUP(A625,'Paste - Mentors'!$A:$E,5,0),"")</f>
        <v>South Africa</v>
      </c>
      <c r="F625" s="9">
        <f>IF(A625="","",COUNTIFS('Paste - Relationships'!$A:$A,A625,'Paste - Relationships'!$AE:$AE,""))</f>
        <v>0</v>
      </c>
      <c r="G625" s="9" t="str">
        <f t="shared" si="9"/>
        <v>Available</v>
      </c>
      <c r="H625" s="9" t="str">
        <f>IF(A625="","",IF(COUNTIF('Programme Mentors'!$A:$A,A625)&gt;0,"Enrolled","—"))</f>
        <v>—</v>
      </c>
    </row>
    <row r="626" spans="1:8" ht="14.25" customHeight="1" x14ac:dyDescent="0.3">
      <c r="A626" s="43">
        <f>'Paste - Mentors'!A626</f>
        <v>5060761</v>
      </c>
      <c r="B626" s="3" t="str">
        <f>IFERROR(VLOOKUP(A626,'Paste - Mentors'!$A:$B,2,0),"")</f>
        <v>Thembinkosi Mahola</v>
      </c>
      <c r="C626" s="3" t="str">
        <f>IFERROR(VLOOKUP(A626,'Paste - Mentors'!$A:$D,4,0),"")</f>
        <v>Career Mentor</v>
      </c>
      <c r="D626" s="43" t="str">
        <f>IFERROR(VLOOKUP(A626,'Paste - Mentors'!$A:$F,6,0),"")</f>
        <v>FNB</v>
      </c>
      <c r="E626" s="43" t="str">
        <f>IFERROR(VLOOKUP(A626,'Paste - Mentors'!$A:$E,5,0),"")</f>
        <v>South Africa</v>
      </c>
      <c r="F626" s="43">
        <f>IF(A626="","",COUNTIFS('Paste - Relationships'!$A:$A,A626,'Paste - Relationships'!$AE:$AE,""))</f>
        <v>0</v>
      </c>
      <c r="G626" s="43" t="str">
        <f t="shared" si="9"/>
        <v>Available</v>
      </c>
      <c r="H626" s="43" t="str">
        <f>IF(A626="","",IF(COUNTIF('Programme Mentors'!$A:$A,A626)&gt;0,"Enrolled","—"))</f>
        <v>—</v>
      </c>
    </row>
    <row r="627" spans="1:8" ht="14.25" customHeight="1" x14ac:dyDescent="0.3">
      <c r="A627" s="9">
        <f>'Paste - Mentors'!A627</f>
        <v>5061040</v>
      </c>
      <c r="B627" s="4" t="str">
        <f>IFERROR(VLOOKUP(A627,'Paste - Mentors'!$A:$B,2,0),"")</f>
        <v>Zanele Nyoka</v>
      </c>
      <c r="C627" s="4" t="str">
        <f>IFERROR(VLOOKUP(A627,'Paste - Mentors'!$A:$D,4,0),"")</f>
        <v>Career Mentor
Leadership Mentor</v>
      </c>
      <c r="D627" s="9" t="str">
        <f>IFERROR(VLOOKUP(A627,'Paste - Mentors'!$A:$F,6,0),"")</f>
        <v>RMB</v>
      </c>
      <c r="E627" s="9" t="str">
        <f>IFERROR(VLOOKUP(A627,'Paste - Mentors'!$A:$E,5,0),"")</f>
        <v>South Africa</v>
      </c>
      <c r="F627" s="9">
        <f>IF(A627="","",COUNTIFS('Paste - Relationships'!$A:$A,A627,'Paste - Relationships'!$AE:$AE,""))</f>
        <v>0</v>
      </c>
      <c r="G627" s="9" t="str">
        <f t="shared" si="9"/>
        <v>Available</v>
      </c>
      <c r="H627" s="9" t="str">
        <f>IF(A627="","",IF(COUNTIF('Programme Mentors'!$A:$A,A627)&gt;0,"Enrolled","—"))</f>
        <v>—</v>
      </c>
    </row>
    <row r="628" spans="1:8" ht="33.75" customHeight="1" x14ac:dyDescent="0.3">
      <c r="A628" s="43">
        <f>'Paste - Mentors'!A628</f>
        <v>5061725</v>
      </c>
      <c r="B628" s="3" t="str">
        <f>IFERROR(VLOOKUP(A628,'Paste - Mentors'!$A:$B,2,0),"")</f>
        <v>Nenad Misic</v>
      </c>
      <c r="C628" s="3" t="str">
        <f>IFERROR(VLOOKUP(A628,'Paste - Mentors'!$A:$D,4,0),"")</f>
        <v>Career Mentor
Leadership Mentor</v>
      </c>
      <c r="D628" s="43" t="str">
        <f>IFERROR(VLOOKUP(A628,'Paste - Mentors'!$A:$F,6,0),"")</f>
        <v>FirstRand Corporate Centre</v>
      </c>
      <c r="E628" s="43" t="str">
        <f>IFERROR(VLOOKUP(A628,'Paste - Mentors'!$A:$E,5,0),"")</f>
        <v>South Africa</v>
      </c>
      <c r="F628" s="43">
        <f>IF(A628="","",COUNTIFS('Paste - Relationships'!$A:$A,A628,'Paste - Relationships'!$AE:$AE,""))</f>
        <v>0</v>
      </c>
      <c r="G628" s="43" t="str">
        <f t="shared" si="9"/>
        <v>Available</v>
      </c>
      <c r="H628" s="43" t="str">
        <f>IF(A628="","",IF(COUNTIF('Programme Mentors'!$A:$A,A628)&gt;0,"Enrolled","—"))</f>
        <v>—</v>
      </c>
    </row>
    <row r="629" spans="1:8" ht="33.75" customHeight="1" x14ac:dyDescent="0.3">
      <c r="A629" s="9">
        <f>'Paste - Mentors'!A629</f>
        <v>5062667</v>
      </c>
      <c r="B629" s="4" t="str">
        <f>IFERROR(VLOOKUP(A629,'Paste - Mentors'!$A:$B,2,0),"")</f>
        <v>Smangele Cunningham</v>
      </c>
      <c r="C629" s="4" t="str">
        <f>IFERROR(VLOOKUP(A629,'Paste - Mentors'!$A:$D,4,0),"")</f>
        <v>Career Mentor</v>
      </c>
      <c r="D629" s="9" t="str">
        <f>IFERROR(VLOOKUP(A629,'Paste - Mentors'!$A:$F,6,0),"")</f>
        <v>FNB</v>
      </c>
      <c r="E629" s="9" t="str">
        <f>IFERROR(VLOOKUP(A629,'Paste - Mentors'!$A:$E,5,0),"")</f>
        <v>South Africa</v>
      </c>
      <c r="F629" s="9">
        <f>IF(A629="","",COUNTIFS('Paste - Relationships'!$A:$A,A629,'Paste - Relationships'!$AE:$AE,""))</f>
        <v>1</v>
      </c>
      <c r="G629" s="9" t="str">
        <f t="shared" si="9"/>
        <v>Has Capacity</v>
      </c>
      <c r="H629" s="9" t="str">
        <f>IF(A629="","",IF(COUNTIF('Programme Mentors'!$A:$A,A629)&gt;0,"Enrolled","—"))</f>
        <v>—</v>
      </c>
    </row>
    <row r="630" spans="1:8" ht="14.25" customHeight="1" x14ac:dyDescent="0.3">
      <c r="A630" s="43">
        <f>'Paste - Mentors'!A630</f>
        <v>5065267</v>
      </c>
      <c r="B630" s="3" t="str">
        <f>IFERROR(VLOOKUP(A630,'Paste - Mentors'!$A:$B,2,0),"")</f>
        <v>Pratiksha Husrath Bridglall</v>
      </c>
      <c r="C630" s="3" t="str">
        <f>IFERROR(VLOOKUP(A630,'Paste - Mentors'!$A:$D,4,0),"")</f>
        <v>Career Mentor
Leadership Mentor
Technical Mentor
Z2-Programme Mentor (HC Managed)</v>
      </c>
      <c r="D630" s="43" t="str">
        <f>IFERROR(VLOOKUP(A630,'Paste - Mentors'!$A:$F,6,0),"")</f>
        <v>FNB</v>
      </c>
      <c r="E630" s="43" t="str">
        <f>IFERROR(VLOOKUP(A630,'Paste - Mentors'!$A:$E,5,0),"")</f>
        <v>South Africa</v>
      </c>
      <c r="F630" s="43">
        <f>IF(A630="","",COUNTIFS('Paste - Relationships'!$A:$A,A630,'Paste - Relationships'!$AE:$AE,""))</f>
        <v>0</v>
      </c>
      <c r="G630" s="43" t="str">
        <f t="shared" si="9"/>
        <v>Available</v>
      </c>
      <c r="H630" s="43" t="str">
        <f>IF(A630="","",IF(COUNTIF('Programme Mentors'!$A:$A,A630)&gt;0,"Enrolled","—"))</f>
        <v>—</v>
      </c>
    </row>
    <row r="631" spans="1:8" ht="79.5" customHeight="1" x14ac:dyDescent="0.3">
      <c r="A631" s="9">
        <f>'Paste - Mentors'!A631</f>
        <v>5066964</v>
      </c>
      <c r="B631" s="4" t="str">
        <f>IFERROR(VLOOKUP(A631,'Paste - Mentors'!$A:$B,2,0),"")</f>
        <v>Malose Mashitisho</v>
      </c>
      <c r="C631" s="4" t="str">
        <f>IFERROR(VLOOKUP(A631,'Paste - Mentors'!$A:$D,4,0),"")</f>
        <v>Leadership Mentor
Technical Mentor</v>
      </c>
      <c r="D631" s="9" t="str">
        <f>IFERROR(VLOOKUP(A631,'Paste - Mentors'!$A:$F,6,0),"")</f>
        <v>FNB</v>
      </c>
      <c r="E631" s="9" t="str">
        <f>IFERROR(VLOOKUP(A631,'Paste - Mentors'!$A:$E,5,0),"")</f>
        <v>South Africa</v>
      </c>
      <c r="F631" s="9">
        <f>IF(A631="","",COUNTIFS('Paste - Relationships'!$A:$A,A631,'Paste - Relationships'!$AE:$AE,""))</f>
        <v>0</v>
      </c>
      <c r="G631" s="9" t="str">
        <f t="shared" si="9"/>
        <v>Available</v>
      </c>
      <c r="H631" s="9" t="str">
        <f>IF(A631="","",IF(COUNTIF('Programme Mentors'!$A:$A,A631)&gt;0,"Enrolled","—"))</f>
        <v>—</v>
      </c>
    </row>
    <row r="632" spans="1:8" ht="33.75" customHeight="1" x14ac:dyDescent="0.3">
      <c r="A632" s="43">
        <f>'Paste - Mentors'!A632</f>
        <v>5068649</v>
      </c>
      <c r="B632" s="3" t="str">
        <f>IFERROR(VLOOKUP(A632,'Paste - Mentors'!$A:$B,2,0),"")</f>
        <v>Luke Adriaanse</v>
      </c>
      <c r="C632" s="3" t="str">
        <f>IFERROR(VLOOKUP(A632,'Paste - Mentors'!$A:$D,4,0),"")</f>
        <v>Career Mentor</v>
      </c>
      <c r="D632" s="43" t="str">
        <f>IFERROR(VLOOKUP(A632,'Paste - Mentors'!$A:$F,6,0),"")</f>
        <v>FNB</v>
      </c>
      <c r="E632" s="43" t="str">
        <f>IFERROR(VLOOKUP(A632,'Paste - Mentors'!$A:$E,5,0),"")</f>
        <v>South Africa</v>
      </c>
      <c r="F632" s="43">
        <f>IF(A632="","",COUNTIFS('Paste - Relationships'!$A:$A,A632,'Paste - Relationships'!$AE:$AE,""))</f>
        <v>0</v>
      </c>
      <c r="G632" s="43" t="str">
        <f t="shared" si="9"/>
        <v>Available</v>
      </c>
      <c r="H632" s="43" t="str">
        <f>IF(A632="","",IF(COUNTIF('Programme Mentors'!$A:$A,A632)&gt;0,"Enrolled","—"))</f>
        <v>—</v>
      </c>
    </row>
    <row r="633" spans="1:8" ht="14.25" customHeight="1" x14ac:dyDescent="0.3">
      <c r="A633" s="9">
        <f>'Paste - Mentors'!A633</f>
        <v>5068924</v>
      </c>
      <c r="B633" s="4" t="str">
        <f>IFERROR(VLOOKUP(A633,'Paste - Mentors'!$A:$B,2,0),"")</f>
        <v>Kearn Parker</v>
      </c>
      <c r="C633" s="4" t="str">
        <f>IFERROR(VLOOKUP(A633,'Paste - Mentors'!$A:$D,4,0),"")</f>
        <v>Career Mentor</v>
      </c>
      <c r="D633" s="9" t="str">
        <f>IFERROR(VLOOKUP(A633,'Paste - Mentors'!$A:$F,6,0),"")</f>
        <v>FirstRand Corporate Centre</v>
      </c>
      <c r="E633" s="9" t="str">
        <f>IFERROR(VLOOKUP(A633,'Paste - Mentors'!$A:$E,5,0),"")</f>
        <v>South Africa</v>
      </c>
      <c r="F633" s="9">
        <f>IF(A633="","",COUNTIFS('Paste - Relationships'!$A:$A,A633,'Paste - Relationships'!$AE:$AE,""))</f>
        <v>0</v>
      </c>
      <c r="G633" s="9" t="str">
        <f t="shared" si="9"/>
        <v>Available</v>
      </c>
      <c r="H633" s="9" t="str">
        <f>IF(A633="","",IF(COUNTIF('Programme Mentors'!$A:$A,A633)&gt;0,"Enrolled","—"))</f>
        <v>—</v>
      </c>
    </row>
    <row r="634" spans="1:8" ht="33.75" customHeight="1" x14ac:dyDescent="0.3">
      <c r="A634" s="43">
        <f>'Paste - Mentors'!A634</f>
        <v>5069939</v>
      </c>
      <c r="B634" s="3" t="str">
        <f>IFERROR(VLOOKUP(A634,'Paste - Mentors'!$A:$B,2,0),"")</f>
        <v>Vulindlela Pietersen</v>
      </c>
      <c r="C634" s="3" t="str">
        <f>IFERROR(VLOOKUP(A634,'Paste - Mentors'!$A:$D,4,0),"")</f>
        <v>Career Mentor</v>
      </c>
      <c r="D634" s="43" t="str">
        <f>IFERROR(VLOOKUP(A634,'Paste - Mentors'!$A:$F,6,0),"")</f>
        <v>FNB</v>
      </c>
      <c r="E634" s="43" t="str">
        <f>IFERROR(VLOOKUP(A634,'Paste - Mentors'!$A:$E,5,0),"")</f>
        <v>South Africa</v>
      </c>
      <c r="F634" s="43">
        <f>IF(A634="","",COUNTIFS('Paste - Relationships'!$A:$A,A634,'Paste - Relationships'!$AE:$AE,""))</f>
        <v>0</v>
      </c>
      <c r="G634" s="43" t="str">
        <f t="shared" si="9"/>
        <v>Available</v>
      </c>
      <c r="H634" s="43" t="str">
        <f>IF(A634="","",IF(COUNTIF('Programme Mentors'!$A:$A,A634)&gt;0,"Enrolled","—"))</f>
        <v>—</v>
      </c>
    </row>
    <row r="635" spans="1:8" ht="14.25" customHeight="1" x14ac:dyDescent="0.3">
      <c r="A635" s="9">
        <f>'Paste - Mentors'!A635</f>
        <v>5070244</v>
      </c>
      <c r="B635" s="4" t="str">
        <f>IFERROR(VLOOKUP(A635,'Paste - Mentors'!$A:$B,2,0),"")</f>
        <v>Precious Khechane</v>
      </c>
      <c r="C635" s="4" t="str">
        <f>IFERROR(VLOOKUP(A635,'Paste - Mentors'!$A:$D,4,0),"")</f>
        <v>Career Mentor</v>
      </c>
      <c r="D635" s="9" t="str">
        <f>IFERROR(VLOOKUP(A635,'Paste - Mentors'!$A:$F,6,0),"")</f>
        <v>FNB</v>
      </c>
      <c r="E635" s="9" t="str">
        <f>IFERROR(VLOOKUP(A635,'Paste - Mentors'!$A:$E,5,0),"")</f>
        <v>South Africa</v>
      </c>
      <c r="F635" s="9">
        <f>IF(A635="","",COUNTIFS('Paste - Relationships'!$A:$A,A635,'Paste - Relationships'!$AE:$AE,""))</f>
        <v>0</v>
      </c>
      <c r="G635" s="9" t="str">
        <f t="shared" si="9"/>
        <v>Available</v>
      </c>
      <c r="H635" s="9" t="str">
        <f>IF(A635="","",IF(COUNTIF('Programme Mentors'!$A:$A,A635)&gt;0,"Enrolled","—"))</f>
        <v>—</v>
      </c>
    </row>
    <row r="636" spans="1:8" ht="14.25" customHeight="1" x14ac:dyDescent="0.3">
      <c r="A636" s="43">
        <f>'Paste - Mentors'!A636</f>
        <v>5071151</v>
      </c>
      <c r="B636" s="3" t="str">
        <f>IFERROR(VLOOKUP(A636,'Paste - Mentors'!$A:$B,2,0),"")</f>
        <v>Namisile Zama</v>
      </c>
      <c r="C636" s="3" t="str">
        <f>IFERROR(VLOOKUP(A636,'Paste - Mentors'!$A:$D,4,0),"")</f>
        <v>Career Mentor</v>
      </c>
      <c r="D636" s="43" t="str">
        <f>IFERROR(VLOOKUP(A636,'Paste - Mentors'!$A:$F,6,0),"")</f>
        <v>FNB</v>
      </c>
      <c r="E636" s="43" t="str">
        <f>IFERROR(VLOOKUP(A636,'Paste - Mentors'!$A:$E,5,0),"")</f>
        <v>South Africa</v>
      </c>
      <c r="F636" s="43">
        <f>IF(A636="","",COUNTIFS('Paste - Relationships'!$A:$A,A636,'Paste - Relationships'!$AE:$AE,""))</f>
        <v>0</v>
      </c>
      <c r="G636" s="43" t="str">
        <f t="shared" si="9"/>
        <v>Available</v>
      </c>
      <c r="H636" s="43" t="str">
        <f>IF(A636="","",IF(COUNTIF('Programme Mentors'!$A:$A,A636)&gt;0,"Enrolled","—"))</f>
        <v>—</v>
      </c>
    </row>
    <row r="637" spans="1:8" ht="14.25" customHeight="1" x14ac:dyDescent="0.3">
      <c r="A637" s="9">
        <f>'Paste - Mentors'!A637</f>
        <v>5072638</v>
      </c>
      <c r="B637" s="4" t="str">
        <f>IFERROR(VLOOKUP(A637,'Paste - Mentors'!$A:$B,2,0),"")</f>
        <v>Sinazo Ndzawombi</v>
      </c>
      <c r="C637" s="4" t="str">
        <f>IFERROR(VLOOKUP(A637,'Paste - Mentors'!$A:$D,4,0),"")</f>
        <v>Technical Mentor
Workplace  Buddy</v>
      </c>
      <c r="D637" s="9" t="str">
        <f>IFERROR(VLOOKUP(A637,'Paste - Mentors'!$A:$F,6,0),"")</f>
        <v>FNB</v>
      </c>
      <c r="E637" s="9" t="str">
        <f>IFERROR(VLOOKUP(A637,'Paste - Mentors'!$A:$E,5,0),"")</f>
        <v>South Africa</v>
      </c>
      <c r="F637" s="9">
        <f>IF(A637="","",COUNTIFS('Paste - Relationships'!$A:$A,A637,'Paste - Relationships'!$AE:$AE,""))</f>
        <v>1</v>
      </c>
      <c r="G637" s="9" t="str">
        <f t="shared" si="9"/>
        <v>Has Capacity</v>
      </c>
      <c r="H637" s="9" t="str">
        <f>IF(A637="","",IF(COUNTIF('Programme Mentors'!$A:$A,A637)&gt;0,"Enrolled","—"))</f>
        <v>—</v>
      </c>
    </row>
    <row r="638" spans="1:8" ht="33.75" customHeight="1" x14ac:dyDescent="0.3">
      <c r="A638" s="43">
        <f>'Paste - Mentors'!A638</f>
        <v>5074258</v>
      </c>
      <c r="B638" s="3" t="str">
        <f>IFERROR(VLOOKUP(A638,'Paste - Mentors'!$A:$B,2,0),"")</f>
        <v>Stacy Jeannes</v>
      </c>
      <c r="C638" s="3" t="str">
        <f>IFERROR(VLOOKUP(A638,'Paste - Mentors'!$A:$D,4,0),"")</f>
        <v>Career Mentor
Leadership Mentor
Technical Mentor
Transition Mentor</v>
      </c>
      <c r="D638" s="43" t="str">
        <f>IFERROR(VLOOKUP(A638,'Paste - Mentors'!$A:$F,6,0),"")</f>
        <v>FNB</v>
      </c>
      <c r="E638" s="43" t="str">
        <f>IFERROR(VLOOKUP(A638,'Paste - Mentors'!$A:$E,5,0),"")</f>
        <v>South Africa</v>
      </c>
      <c r="F638" s="43">
        <f>IF(A638="","",COUNTIFS('Paste - Relationships'!$A:$A,A638,'Paste - Relationships'!$AE:$AE,""))</f>
        <v>1</v>
      </c>
      <c r="G638" s="43" t="str">
        <f t="shared" si="9"/>
        <v>Has Capacity</v>
      </c>
      <c r="H638" s="43" t="str">
        <f>IF(A638="","",IF(COUNTIF('Programme Mentors'!$A:$A,A638)&gt;0,"Enrolled","—"))</f>
        <v>—</v>
      </c>
    </row>
    <row r="639" spans="1:8" ht="79.5" customHeight="1" x14ac:dyDescent="0.3">
      <c r="A639" s="9">
        <f>'Paste - Mentors'!A639</f>
        <v>5076234</v>
      </c>
      <c r="B639" s="4" t="str">
        <f>IFERROR(VLOOKUP(A639,'Paste - Mentors'!$A:$B,2,0),"")</f>
        <v>Tsami Motaung</v>
      </c>
      <c r="C639" s="4" t="str">
        <f>IFERROR(VLOOKUP(A639,'Paste - Mentors'!$A:$D,4,0),"")</f>
        <v>Career Mentor</v>
      </c>
      <c r="D639" s="9" t="str">
        <f>IFERROR(VLOOKUP(A639,'Paste - Mentors'!$A:$F,6,0),"")</f>
        <v>FNB</v>
      </c>
      <c r="E639" s="9" t="str">
        <f>IFERROR(VLOOKUP(A639,'Paste - Mentors'!$A:$E,5,0),"")</f>
        <v>South Africa</v>
      </c>
      <c r="F639" s="9">
        <f>IF(A639="","",COUNTIFS('Paste - Relationships'!$A:$A,A639,'Paste - Relationships'!$AE:$AE,""))</f>
        <v>0</v>
      </c>
      <c r="G639" s="9" t="str">
        <f t="shared" si="9"/>
        <v>Available</v>
      </c>
      <c r="H639" s="9" t="str">
        <f>IF(A639="","",IF(COUNTIF('Programme Mentors'!$A:$A,A639)&gt;0,"Enrolled","—"))</f>
        <v>—</v>
      </c>
    </row>
    <row r="640" spans="1:8" ht="14.25" customHeight="1" x14ac:dyDescent="0.3">
      <c r="A640" s="43">
        <f>'Paste - Mentors'!A640</f>
        <v>5079888</v>
      </c>
      <c r="B640" s="3" t="str">
        <f>IFERROR(VLOOKUP(A640,'Paste - Mentors'!$A:$B,2,0),"")</f>
        <v>Tricia Nkopodi</v>
      </c>
      <c r="C640" s="3" t="str">
        <f>IFERROR(VLOOKUP(A640,'Paste - Mentors'!$A:$D,4,0),"")</f>
        <v>Career Mentor</v>
      </c>
      <c r="D640" s="43" t="str">
        <f>IFERROR(VLOOKUP(A640,'Paste - Mentors'!$A:$F,6,0),"")</f>
        <v>FNB</v>
      </c>
      <c r="E640" s="43" t="str">
        <f>IFERROR(VLOOKUP(A640,'Paste - Mentors'!$A:$E,5,0),"")</f>
        <v>South Africa</v>
      </c>
      <c r="F640" s="43">
        <f>IF(A640="","",COUNTIFS('Paste - Relationships'!$A:$A,A640,'Paste - Relationships'!$AE:$AE,""))</f>
        <v>0</v>
      </c>
      <c r="G640" s="43" t="str">
        <f t="shared" si="9"/>
        <v>Available</v>
      </c>
      <c r="H640" s="43" t="str">
        <f>IF(A640="","",IF(COUNTIF('Programme Mentors'!$A:$A,A640)&gt;0,"Enrolled","—"))</f>
        <v>—</v>
      </c>
    </row>
    <row r="641" spans="1:8" ht="14.25" customHeight="1" x14ac:dyDescent="0.3">
      <c r="A641" s="9">
        <f>'Paste - Mentors'!A641</f>
        <v>5080096</v>
      </c>
      <c r="B641" s="4" t="str">
        <f>IFERROR(VLOOKUP(A641,'Paste - Mentors'!$A:$B,2,0),"")</f>
        <v>Asha Rampershad</v>
      </c>
      <c r="C641" s="4" t="str">
        <f>IFERROR(VLOOKUP(A641,'Paste - Mentors'!$A:$D,4,0),"")</f>
        <v>Technical Mentor</v>
      </c>
      <c r="D641" s="9" t="str">
        <f>IFERROR(VLOOKUP(A641,'Paste - Mentors'!$A:$F,6,0),"")</f>
        <v>FNB</v>
      </c>
      <c r="E641" s="9" t="str">
        <f>IFERROR(VLOOKUP(A641,'Paste - Mentors'!$A:$E,5,0),"")</f>
        <v>South Africa</v>
      </c>
      <c r="F641" s="9">
        <f>IF(A641="","",COUNTIFS('Paste - Relationships'!$A:$A,A641,'Paste - Relationships'!$AE:$AE,""))</f>
        <v>0</v>
      </c>
      <c r="G641" s="9" t="str">
        <f t="shared" si="9"/>
        <v>Available</v>
      </c>
      <c r="H641" s="9" t="str">
        <f>IF(A641="","",IF(COUNTIF('Programme Mentors'!$A:$A,A641)&gt;0,"Enrolled","—"))</f>
        <v>—</v>
      </c>
    </row>
    <row r="642" spans="1:8" ht="14.25" customHeight="1" x14ac:dyDescent="0.3">
      <c r="A642" s="43">
        <f>'Paste - Mentors'!A642</f>
        <v>5084474</v>
      </c>
      <c r="B642" s="3" t="str">
        <f>IFERROR(VLOOKUP(A642,'Paste - Mentors'!$A:$B,2,0),"")</f>
        <v>Chris Goudis</v>
      </c>
      <c r="C642" s="3" t="str">
        <f>IFERROR(VLOOKUP(A642,'Paste - Mentors'!$A:$D,4,0),"")</f>
        <v>Career Mentor</v>
      </c>
      <c r="D642" s="43" t="str">
        <f>IFERROR(VLOOKUP(A642,'Paste - Mentors'!$A:$F,6,0),"")</f>
        <v>FNB</v>
      </c>
      <c r="E642" s="43" t="str">
        <f>IFERROR(VLOOKUP(A642,'Paste - Mentors'!$A:$E,5,0),"")</f>
        <v>South Africa</v>
      </c>
      <c r="F642" s="43">
        <f>IF(A642="","",COUNTIFS('Paste - Relationships'!$A:$A,A642,'Paste - Relationships'!$AE:$AE,""))</f>
        <v>0</v>
      </c>
      <c r="G642" s="43" t="str">
        <f t="shared" si="9"/>
        <v>Available</v>
      </c>
      <c r="H642" s="43" t="str">
        <f>IF(A642="","",IF(COUNTIF('Programme Mentors'!$A:$A,A642)&gt;0,"Enrolled","—"))</f>
        <v>—</v>
      </c>
    </row>
    <row r="643" spans="1:8" ht="14.25" customHeight="1" x14ac:dyDescent="0.3">
      <c r="A643" s="9">
        <f>'Paste - Mentors'!A643</f>
        <v>5084725</v>
      </c>
      <c r="B643" s="4" t="str">
        <f>IFERROR(VLOOKUP(A643,'Paste - Mentors'!$A:$B,2,0),"")</f>
        <v>Manuel Motabatshindi</v>
      </c>
      <c r="C643" s="4" t="str">
        <f>IFERROR(VLOOKUP(A643,'Paste - Mentors'!$A:$D,4,0),"")</f>
        <v>Career Mentor</v>
      </c>
      <c r="D643" s="9" t="str">
        <f>IFERROR(VLOOKUP(A643,'Paste - Mentors'!$A:$F,6,0),"")</f>
        <v>FNB</v>
      </c>
      <c r="E643" s="9" t="str">
        <f>IFERROR(VLOOKUP(A643,'Paste - Mentors'!$A:$E,5,0),"")</f>
        <v>South Africa</v>
      </c>
      <c r="F643" s="9">
        <f>IF(A643="","",COUNTIFS('Paste - Relationships'!$A:$A,A643,'Paste - Relationships'!$AE:$AE,""))</f>
        <v>0</v>
      </c>
      <c r="G643" s="9" t="str">
        <f t="shared" si="9"/>
        <v>Available</v>
      </c>
      <c r="H643" s="9" t="str">
        <f>IF(A643="","",IF(COUNTIF('Programme Mentors'!$A:$A,A643)&gt;0,"Enrolled","—"))</f>
        <v>—</v>
      </c>
    </row>
    <row r="644" spans="1:8" ht="14.25" customHeight="1" x14ac:dyDescent="0.3">
      <c r="A644" s="43">
        <f>'Paste - Mentors'!A644</f>
        <v>5086027</v>
      </c>
      <c r="B644" s="3" t="str">
        <f>IFERROR(VLOOKUP(A644,'Paste - Mentors'!$A:$B,2,0),"")</f>
        <v>Desire Molapo</v>
      </c>
      <c r="C644" s="3" t="str">
        <f>IFERROR(VLOOKUP(A644,'Paste - Mentors'!$A:$D,4,0),"")</f>
        <v>Career Mentor</v>
      </c>
      <c r="D644" s="43" t="str">
        <f>IFERROR(VLOOKUP(A644,'Paste - Mentors'!$A:$F,6,0),"")</f>
        <v>FNB</v>
      </c>
      <c r="E644" s="43" t="str">
        <f>IFERROR(VLOOKUP(A644,'Paste - Mentors'!$A:$E,5,0),"")</f>
        <v>South Africa</v>
      </c>
      <c r="F644" s="43">
        <f>IF(A644="","",COUNTIFS('Paste - Relationships'!$A:$A,A644,'Paste - Relationships'!$AE:$AE,""))</f>
        <v>0</v>
      </c>
      <c r="G644" s="43" t="str">
        <f t="shared" ref="G644:G707" si="10">IF(A644="","",IF(F644&gt;=3,"At Capacity",IF(F644=0,"Available","Has Capacity")))</f>
        <v>Available</v>
      </c>
      <c r="H644" s="43" t="str">
        <f>IF(A644="","",IF(COUNTIF('Programme Mentors'!$A:$A,A644)&gt;0,"Enrolled","—"))</f>
        <v>—</v>
      </c>
    </row>
    <row r="645" spans="1:8" ht="14.25" customHeight="1" x14ac:dyDescent="0.3">
      <c r="A645" s="9">
        <f>'Paste - Mentors'!A645</f>
        <v>5087112</v>
      </c>
      <c r="B645" s="4" t="str">
        <f>IFERROR(VLOOKUP(A645,'Paste - Mentors'!$A:$B,2,0),"")</f>
        <v>Betty Moabelo</v>
      </c>
      <c r="C645" s="4" t="str">
        <f>IFERROR(VLOOKUP(A645,'Paste - Mentors'!$A:$D,4,0),"")</f>
        <v>Career Mentor</v>
      </c>
      <c r="D645" s="9" t="str">
        <f>IFERROR(VLOOKUP(A645,'Paste - Mentors'!$A:$F,6,0),"")</f>
        <v>FNB</v>
      </c>
      <c r="E645" s="9" t="str">
        <f>IFERROR(VLOOKUP(A645,'Paste - Mentors'!$A:$E,5,0),"")</f>
        <v>South Africa</v>
      </c>
      <c r="F645" s="9">
        <f>IF(A645="","",COUNTIFS('Paste - Relationships'!$A:$A,A645,'Paste - Relationships'!$AE:$AE,""))</f>
        <v>0</v>
      </c>
      <c r="G645" s="9" t="str">
        <f t="shared" si="10"/>
        <v>Available</v>
      </c>
      <c r="H645" s="9" t="str">
        <f>IF(A645="","",IF(COUNTIF('Programme Mentors'!$A:$A,A645)&gt;0,"Enrolled","—"))</f>
        <v>—</v>
      </c>
    </row>
    <row r="646" spans="1:8" ht="14.25" customHeight="1" x14ac:dyDescent="0.3">
      <c r="A646" s="43">
        <f>'Paste - Mentors'!A646</f>
        <v>5089875</v>
      </c>
      <c r="B646" s="3" t="str">
        <f>IFERROR(VLOOKUP(A646,'Paste - Mentors'!$A:$B,2,0),"")</f>
        <v>Jean Welsh</v>
      </c>
      <c r="C646" s="3" t="str">
        <f>IFERROR(VLOOKUP(A646,'Paste - Mentors'!$A:$D,4,0),"")</f>
        <v>Career Mentor</v>
      </c>
      <c r="D646" s="43" t="str">
        <f>IFERROR(VLOOKUP(A646,'Paste - Mentors'!$A:$F,6,0),"")</f>
        <v>FNB</v>
      </c>
      <c r="E646" s="43" t="str">
        <f>IFERROR(VLOOKUP(A646,'Paste - Mentors'!$A:$E,5,0),"")</f>
        <v>South Africa</v>
      </c>
      <c r="F646" s="43">
        <f>IF(A646="","",COUNTIFS('Paste - Relationships'!$A:$A,A646,'Paste - Relationships'!$AE:$AE,""))</f>
        <v>0</v>
      </c>
      <c r="G646" s="43" t="str">
        <f t="shared" si="10"/>
        <v>Available</v>
      </c>
      <c r="H646" s="43" t="str">
        <f>IF(A646="","",IF(COUNTIF('Programme Mentors'!$A:$A,A646)&gt;0,"Enrolled","—"))</f>
        <v>—</v>
      </c>
    </row>
    <row r="647" spans="1:8" ht="14.25" customHeight="1" x14ac:dyDescent="0.3">
      <c r="A647" s="9">
        <f>'Paste - Mentors'!A647</f>
        <v>5090598</v>
      </c>
      <c r="B647" s="4" t="str">
        <f>IFERROR(VLOOKUP(A647,'Paste - Mentors'!$A:$B,2,0),"")</f>
        <v>Dario Neto</v>
      </c>
      <c r="C647" s="4" t="str">
        <f>IFERROR(VLOOKUP(A647,'Paste - Mentors'!$A:$D,4,0),"")</f>
        <v>Career Mentor</v>
      </c>
      <c r="D647" s="9" t="str">
        <f>IFERROR(VLOOKUP(A647,'Paste - Mentors'!$A:$F,6,0),"")</f>
        <v>FNB</v>
      </c>
      <c r="E647" s="9" t="str">
        <f>IFERROR(VLOOKUP(A647,'Paste - Mentors'!$A:$E,5,0),"")</f>
        <v>South Africa</v>
      </c>
      <c r="F647" s="9">
        <f>IF(A647="","",COUNTIFS('Paste - Relationships'!$A:$A,A647,'Paste - Relationships'!$AE:$AE,""))</f>
        <v>0</v>
      </c>
      <c r="G647" s="9" t="str">
        <f t="shared" si="10"/>
        <v>Available</v>
      </c>
      <c r="H647" s="9" t="str">
        <f>IF(A647="","",IF(COUNTIF('Programme Mentors'!$A:$A,A647)&gt;0,"Enrolled","—"))</f>
        <v>—</v>
      </c>
    </row>
    <row r="648" spans="1:8" ht="14.25" customHeight="1" x14ac:dyDescent="0.3">
      <c r="A648" s="43">
        <f>'Paste - Mentors'!A648</f>
        <v>5091136</v>
      </c>
      <c r="B648" s="3" t="str">
        <f>IFERROR(VLOOKUP(A648,'Paste - Mentors'!$A:$B,2,0),"")</f>
        <v>Bilqees Higgins</v>
      </c>
      <c r="C648" s="3" t="str">
        <f>IFERROR(VLOOKUP(A648,'Paste - Mentors'!$A:$D,4,0),"")</f>
        <v>Career Mentor</v>
      </c>
      <c r="D648" s="43" t="str">
        <f>IFERROR(VLOOKUP(A648,'Paste - Mentors'!$A:$F,6,0),"")</f>
        <v>FNB</v>
      </c>
      <c r="E648" s="43" t="str">
        <f>IFERROR(VLOOKUP(A648,'Paste - Mentors'!$A:$E,5,0),"")</f>
        <v>South Africa</v>
      </c>
      <c r="F648" s="43">
        <f>IF(A648="","",COUNTIFS('Paste - Relationships'!$A:$A,A648,'Paste - Relationships'!$AE:$AE,""))</f>
        <v>0</v>
      </c>
      <c r="G648" s="43" t="str">
        <f t="shared" si="10"/>
        <v>Available</v>
      </c>
      <c r="H648" s="43" t="str">
        <f>IF(A648="","",IF(COUNTIF('Programme Mentors'!$A:$A,A648)&gt;0,"Enrolled","—"))</f>
        <v>—</v>
      </c>
    </row>
    <row r="649" spans="1:8" ht="14.25" customHeight="1" x14ac:dyDescent="0.3">
      <c r="A649" s="9">
        <f>'Paste - Mentors'!A649</f>
        <v>5092620</v>
      </c>
      <c r="B649" s="4" t="str">
        <f>IFERROR(VLOOKUP(A649,'Paste - Mentors'!$A:$B,2,0),"")</f>
        <v>Moagi Mokgatlhe</v>
      </c>
      <c r="C649" s="4" t="str">
        <f>IFERROR(VLOOKUP(A649,'Paste - Mentors'!$A:$D,4,0),"")</f>
        <v>Career Mentor</v>
      </c>
      <c r="D649" s="9" t="str">
        <f>IFERROR(VLOOKUP(A649,'Paste - Mentors'!$A:$F,6,0),"")</f>
        <v>FNB</v>
      </c>
      <c r="E649" s="9" t="str">
        <f>IFERROR(VLOOKUP(A649,'Paste - Mentors'!$A:$E,5,0),"")</f>
        <v>South Africa</v>
      </c>
      <c r="F649" s="9">
        <f>IF(A649="","",COUNTIFS('Paste - Relationships'!$A:$A,A649,'Paste - Relationships'!$AE:$AE,""))</f>
        <v>0</v>
      </c>
      <c r="G649" s="9" t="str">
        <f t="shared" si="10"/>
        <v>Available</v>
      </c>
      <c r="H649" s="9" t="str">
        <f>IF(A649="","",IF(COUNTIF('Programme Mentors'!$A:$A,A649)&gt;0,"Enrolled","—"))</f>
        <v>—</v>
      </c>
    </row>
    <row r="650" spans="1:8" ht="14.25" customHeight="1" x14ac:dyDescent="0.3">
      <c r="A650" s="43">
        <f>'Paste - Mentors'!A650</f>
        <v>5093120</v>
      </c>
      <c r="B650" s="3" t="str">
        <f>IFERROR(VLOOKUP(A650,'Paste - Mentors'!$A:$B,2,0),"")</f>
        <v>Carla Pretorius</v>
      </c>
      <c r="C650" s="3" t="str">
        <f>IFERROR(VLOOKUP(A650,'Paste - Mentors'!$A:$D,4,0),"")</f>
        <v>Career Mentor</v>
      </c>
      <c r="D650" s="43" t="str">
        <f>IFERROR(VLOOKUP(A650,'Paste - Mentors'!$A:$F,6,0),"")</f>
        <v>FNB</v>
      </c>
      <c r="E650" s="43" t="str">
        <f>IFERROR(VLOOKUP(A650,'Paste - Mentors'!$A:$E,5,0),"")</f>
        <v>South Africa</v>
      </c>
      <c r="F650" s="43">
        <f>IF(A650="","",COUNTIFS('Paste - Relationships'!$A:$A,A650,'Paste - Relationships'!$AE:$AE,""))</f>
        <v>0</v>
      </c>
      <c r="G650" s="43" t="str">
        <f t="shared" si="10"/>
        <v>Available</v>
      </c>
      <c r="H650" s="43" t="str">
        <f>IF(A650="","",IF(COUNTIF('Programme Mentors'!$A:$A,A650)&gt;0,"Enrolled","—"))</f>
        <v>—</v>
      </c>
    </row>
    <row r="651" spans="1:8" ht="14.25" customHeight="1" x14ac:dyDescent="0.3">
      <c r="A651" s="9">
        <f>'Paste - Mentors'!A651</f>
        <v>5093155</v>
      </c>
      <c r="B651" s="4" t="str">
        <f>IFERROR(VLOOKUP(A651,'Paste - Mentors'!$A:$B,2,0),"")</f>
        <v>Maria Madisa</v>
      </c>
      <c r="C651" s="4" t="str">
        <f>IFERROR(VLOOKUP(A651,'Paste - Mentors'!$A:$D,4,0),"")</f>
        <v>Career Mentor
Workplace  Buddy</v>
      </c>
      <c r="D651" s="9" t="str">
        <f>IFERROR(VLOOKUP(A651,'Paste - Mentors'!$A:$F,6,0),"")</f>
        <v>FNB</v>
      </c>
      <c r="E651" s="9" t="str">
        <f>IFERROR(VLOOKUP(A651,'Paste - Mentors'!$A:$E,5,0),"")</f>
        <v>South Africa</v>
      </c>
      <c r="F651" s="9">
        <f>IF(A651="","",COUNTIFS('Paste - Relationships'!$A:$A,A651,'Paste - Relationships'!$AE:$AE,""))</f>
        <v>0</v>
      </c>
      <c r="G651" s="9" t="str">
        <f t="shared" si="10"/>
        <v>Available</v>
      </c>
      <c r="H651" s="9" t="str">
        <f>IF(A651="","",IF(COUNTIF('Programme Mentors'!$A:$A,A651)&gt;0,"Enrolled","—"))</f>
        <v>—</v>
      </c>
    </row>
    <row r="652" spans="1:8" ht="33.75" customHeight="1" x14ac:dyDescent="0.3">
      <c r="A652" s="43">
        <f>'Paste - Mentors'!A652</f>
        <v>5093171</v>
      </c>
      <c r="B652" s="3" t="str">
        <f>IFERROR(VLOOKUP(A652,'Paste - Mentors'!$A:$B,2,0),"")</f>
        <v>Mustapha Matentji</v>
      </c>
      <c r="C652" s="3">
        <f>IFERROR(VLOOKUP(A652,'Paste - Mentors'!$A:$D,4,0),"")</f>
        <v>0</v>
      </c>
      <c r="D652" s="43" t="str">
        <f>IFERROR(VLOOKUP(A652,'Paste - Mentors'!$A:$F,6,0),"")</f>
        <v>RMB</v>
      </c>
      <c r="E652" s="43" t="str">
        <f>IFERROR(VLOOKUP(A652,'Paste - Mentors'!$A:$E,5,0),"")</f>
        <v>South Africa</v>
      </c>
      <c r="F652" s="43">
        <f>IF(A652="","",COUNTIFS('Paste - Relationships'!$A:$A,A652,'Paste - Relationships'!$AE:$AE,""))</f>
        <v>0</v>
      </c>
      <c r="G652" s="43" t="str">
        <f t="shared" si="10"/>
        <v>Available</v>
      </c>
      <c r="H652" s="43" t="str">
        <f>IF(A652="","",IF(COUNTIF('Programme Mentors'!$A:$A,A652)&gt;0,"Enrolled","—"))</f>
        <v>—</v>
      </c>
    </row>
    <row r="653" spans="1:8" ht="14.25" customHeight="1" x14ac:dyDescent="0.3">
      <c r="A653" s="9">
        <f>'Paste - Mentors'!A653</f>
        <v>5096979</v>
      </c>
      <c r="B653" s="4" t="str">
        <f>IFERROR(VLOOKUP(A653,'Paste - Mentors'!$A:$B,2,0),"")</f>
        <v>Noelle Moore-Nel</v>
      </c>
      <c r="C653" s="4" t="str">
        <f>IFERROR(VLOOKUP(A653,'Paste - Mentors'!$A:$D,4,0),"")</f>
        <v>Career Mentor</v>
      </c>
      <c r="D653" s="9" t="str">
        <f>IFERROR(VLOOKUP(A653,'Paste - Mentors'!$A:$F,6,0),"")</f>
        <v>FirstRand Corporate Centre</v>
      </c>
      <c r="E653" s="9" t="str">
        <f>IFERROR(VLOOKUP(A653,'Paste - Mentors'!$A:$E,5,0),"")</f>
        <v>South Africa</v>
      </c>
      <c r="F653" s="9">
        <f>IF(A653="","",COUNTIFS('Paste - Relationships'!$A:$A,A653,'Paste - Relationships'!$AE:$AE,""))</f>
        <v>0</v>
      </c>
      <c r="G653" s="9" t="str">
        <f t="shared" si="10"/>
        <v>Available</v>
      </c>
      <c r="H653" s="9" t="str">
        <f>IF(A653="","",IF(COUNTIF('Programme Mentors'!$A:$A,A653)&gt;0,"Enrolled","—"))</f>
        <v>—</v>
      </c>
    </row>
    <row r="654" spans="1:8" ht="33.75" customHeight="1" x14ac:dyDescent="0.3">
      <c r="A654" s="43">
        <f>'Paste - Mentors'!A654</f>
        <v>5097096</v>
      </c>
      <c r="B654" s="3" t="str">
        <f>IFERROR(VLOOKUP(A654,'Paste - Mentors'!$A:$B,2,0),"")</f>
        <v>Bridget Nkhumeleni</v>
      </c>
      <c r="C654" s="3" t="str">
        <f>IFERROR(VLOOKUP(A654,'Paste - Mentors'!$A:$D,4,0),"")</f>
        <v>Career Mentor</v>
      </c>
      <c r="D654" s="43" t="str">
        <f>IFERROR(VLOOKUP(A654,'Paste - Mentors'!$A:$F,6,0),"")</f>
        <v>FNB</v>
      </c>
      <c r="E654" s="43" t="str">
        <f>IFERROR(VLOOKUP(A654,'Paste - Mentors'!$A:$E,5,0),"")</f>
        <v>South Africa</v>
      </c>
      <c r="F654" s="43">
        <f>IF(A654="","",COUNTIFS('Paste - Relationships'!$A:$A,A654,'Paste - Relationships'!$AE:$AE,""))</f>
        <v>0</v>
      </c>
      <c r="G654" s="43" t="str">
        <f t="shared" si="10"/>
        <v>Available</v>
      </c>
      <c r="H654" s="43" t="str">
        <f>IF(A654="","",IF(COUNTIF('Programme Mentors'!$A:$A,A654)&gt;0,"Enrolled","—"))</f>
        <v>—</v>
      </c>
    </row>
    <row r="655" spans="1:8" ht="14.25" customHeight="1" x14ac:dyDescent="0.3">
      <c r="A655" s="9">
        <f>'Paste - Mentors'!A655</f>
        <v>5100305</v>
      </c>
      <c r="B655" s="4" t="str">
        <f>IFERROR(VLOOKUP(A655,'Paste - Mentors'!$A:$B,2,0),"")</f>
        <v>Dohann Neethling</v>
      </c>
      <c r="C655" s="4" t="str">
        <f>IFERROR(VLOOKUP(A655,'Paste - Mentors'!$A:$D,4,0),"")</f>
        <v>Career Mentor</v>
      </c>
      <c r="D655" s="9" t="str">
        <f>IFERROR(VLOOKUP(A655,'Paste - Mentors'!$A:$F,6,0),"")</f>
        <v>FNB</v>
      </c>
      <c r="E655" s="9" t="str">
        <f>IFERROR(VLOOKUP(A655,'Paste - Mentors'!$A:$E,5,0),"")</f>
        <v>South Africa</v>
      </c>
      <c r="F655" s="9">
        <f>IF(A655="","",COUNTIFS('Paste - Relationships'!$A:$A,A655,'Paste - Relationships'!$AE:$AE,""))</f>
        <v>0</v>
      </c>
      <c r="G655" s="9" t="str">
        <f t="shared" si="10"/>
        <v>Available</v>
      </c>
      <c r="H655" s="9" t="str">
        <f>IF(A655="","",IF(COUNTIF('Programme Mentors'!$A:$A,A655)&gt;0,"Enrolled","—"))</f>
        <v>—</v>
      </c>
    </row>
    <row r="656" spans="1:8" ht="14.25" customHeight="1" x14ac:dyDescent="0.3">
      <c r="A656" s="43">
        <f>'Paste - Mentors'!A656</f>
        <v>5101042</v>
      </c>
      <c r="B656" s="3" t="str">
        <f>IFERROR(VLOOKUP(A656,'Paste - Mentors'!$A:$B,2,0),"")</f>
        <v>Keren Scheepers</v>
      </c>
      <c r="C656" s="3" t="str">
        <f>IFERROR(VLOOKUP(A656,'Paste - Mentors'!$A:$D,4,0),"")</f>
        <v>Career Mentor</v>
      </c>
      <c r="D656" s="43" t="str">
        <f>IFERROR(VLOOKUP(A656,'Paste - Mentors'!$A:$F,6,0),"")</f>
        <v>FNB</v>
      </c>
      <c r="E656" s="43" t="str">
        <f>IFERROR(VLOOKUP(A656,'Paste - Mentors'!$A:$E,5,0),"")</f>
        <v>South Africa</v>
      </c>
      <c r="F656" s="43">
        <f>IF(A656="","",COUNTIFS('Paste - Relationships'!$A:$A,A656,'Paste - Relationships'!$AE:$AE,""))</f>
        <v>0</v>
      </c>
      <c r="G656" s="43" t="str">
        <f t="shared" si="10"/>
        <v>Available</v>
      </c>
      <c r="H656" s="43" t="str">
        <f>IF(A656="","",IF(COUNTIF('Programme Mentors'!$A:$A,A656)&gt;0,"Enrolled","—"))</f>
        <v>—</v>
      </c>
    </row>
    <row r="657" spans="1:8" ht="14.25" customHeight="1" x14ac:dyDescent="0.3">
      <c r="A657" s="9">
        <f>'Paste - Mentors'!A657</f>
        <v>5102758</v>
      </c>
      <c r="B657" s="4" t="str">
        <f>IFERROR(VLOOKUP(A657,'Paste - Mentors'!$A:$B,2,0),"")</f>
        <v>Nangula Kauluma</v>
      </c>
      <c r="C657" s="4" t="str">
        <f>IFERROR(VLOOKUP(A657,'Paste - Mentors'!$A:$D,4,0),"")</f>
        <v>Career Mentor</v>
      </c>
      <c r="D657" s="9" t="str">
        <f>IFERROR(VLOOKUP(A657,'Paste - Mentors'!$A:$F,6,0),"")</f>
        <v>FNB</v>
      </c>
      <c r="E657" s="9" t="str">
        <f>IFERROR(VLOOKUP(A657,'Paste - Mentors'!$A:$E,5,0),"")</f>
        <v>South Africa</v>
      </c>
      <c r="F657" s="9">
        <f>IF(A657="","",COUNTIFS('Paste - Relationships'!$A:$A,A657,'Paste - Relationships'!$AE:$AE,""))</f>
        <v>0</v>
      </c>
      <c r="G657" s="9" t="str">
        <f t="shared" si="10"/>
        <v>Available</v>
      </c>
      <c r="H657" s="9" t="str">
        <f>IF(A657="","",IF(COUNTIF('Programme Mentors'!$A:$A,A657)&gt;0,"Enrolled","—"))</f>
        <v>—</v>
      </c>
    </row>
    <row r="658" spans="1:8" ht="14.25" customHeight="1" x14ac:dyDescent="0.3">
      <c r="A658" s="43">
        <f>'Paste - Mentors'!A658</f>
        <v>5107547</v>
      </c>
      <c r="B658" s="3" t="str">
        <f>IFERROR(VLOOKUP(A658,'Paste - Mentors'!$A:$B,2,0),"")</f>
        <v>Nolu Hlwatika</v>
      </c>
      <c r="C658" s="3" t="str">
        <f>IFERROR(VLOOKUP(A658,'Paste - Mentors'!$A:$D,4,0),"")</f>
        <v>Career Mentor</v>
      </c>
      <c r="D658" s="43" t="str">
        <f>IFERROR(VLOOKUP(A658,'Paste - Mentors'!$A:$F,6,0),"")</f>
        <v>FNB</v>
      </c>
      <c r="E658" s="43" t="str">
        <f>IFERROR(VLOOKUP(A658,'Paste - Mentors'!$A:$E,5,0),"")</f>
        <v>South Africa</v>
      </c>
      <c r="F658" s="43">
        <f>IF(A658="","",COUNTIFS('Paste - Relationships'!$A:$A,A658,'Paste - Relationships'!$AE:$AE,""))</f>
        <v>1</v>
      </c>
      <c r="G658" s="43" t="str">
        <f t="shared" si="10"/>
        <v>Has Capacity</v>
      </c>
      <c r="H658" s="43" t="str">
        <f>IF(A658="","",IF(COUNTIF('Programme Mentors'!$A:$A,A658)&gt;0,"Enrolled","—"))</f>
        <v>—</v>
      </c>
    </row>
    <row r="659" spans="1:8" ht="14.25" customHeight="1" x14ac:dyDescent="0.3">
      <c r="A659" s="9">
        <f>'Paste - Mentors'!A659</f>
        <v>5108136</v>
      </c>
      <c r="B659" s="4" t="str">
        <f>IFERROR(VLOOKUP(A659,'Paste - Mentors'!$A:$B,2,0),"")</f>
        <v>Mawande Ngcai</v>
      </c>
      <c r="C659" s="4" t="str">
        <f>IFERROR(VLOOKUP(A659,'Paste - Mentors'!$A:$D,4,0),"")</f>
        <v>Technical Mentor</v>
      </c>
      <c r="D659" s="9" t="str">
        <f>IFERROR(VLOOKUP(A659,'Paste - Mentors'!$A:$F,6,0),"")</f>
        <v>FNB</v>
      </c>
      <c r="E659" s="9" t="str">
        <f>IFERROR(VLOOKUP(A659,'Paste - Mentors'!$A:$E,5,0),"")</f>
        <v>South Africa</v>
      </c>
      <c r="F659" s="9">
        <f>IF(A659="","",COUNTIFS('Paste - Relationships'!$A:$A,A659,'Paste - Relationships'!$AE:$AE,""))</f>
        <v>0</v>
      </c>
      <c r="G659" s="9" t="str">
        <f t="shared" si="10"/>
        <v>Available</v>
      </c>
      <c r="H659" s="9" t="str">
        <f>IF(A659="","",IF(COUNTIF('Programme Mentors'!$A:$A,A659)&gt;0,"Enrolled","—"))</f>
        <v>—</v>
      </c>
    </row>
    <row r="660" spans="1:8" ht="14.25" customHeight="1" x14ac:dyDescent="0.3">
      <c r="A660" s="43">
        <f>'Paste - Mentors'!A660</f>
        <v>5112575</v>
      </c>
      <c r="B660" s="3" t="str">
        <f>IFERROR(VLOOKUP(A660,'Paste - Mentors'!$A:$B,2,0),"")</f>
        <v>Jurgens Van Rooyen</v>
      </c>
      <c r="C660" s="3" t="str">
        <f>IFERROR(VLOOKUP(A660,'Paste - Mentors'!$A:$D,4,0),"")</f>
        <v>Career Mentor</v>
      </c>
      <c r="D660" s="43" t="str">
        <f>IFERROR(VLOOKUP(A660,'Paste - Mentors'!$A:$F,6,0),"")</f>
        <v>RMB</v>
      </c>
      <c r="E660" s="43" t="str">
        <f>IFERROR(VLOOKUP(A660,'Paste - Mentors'!$A:$E,5,0),"")</f>
        <v>South Africa</v>
      </c>
      <c r="F660" s="43">
        <f>IF(A660="","",COUNTIFS('Paste - Relationships'!$A:$A,A660,'Paste - Relationships'!$AE:$AE,""))</f>
        <v>1</v>
      </c>
      <c r="G660" s="43" t="str">
        <f t="shared" si="10"/>
        <v>Has Capacity</v>
      </c>
      <c r="H660" s="43" t="str">
        <f>IF(A660="","",IF(COUNTIF('Programme Mentors'!$A:$A,A660)&gt;0,"Enrolled","—"))</f>
        <v>—</v>
      </c>
    </row>
    <row r="661" spans="1:8" ht="14.25" customHeight="1" x14ac:dyDescent="0.3">
      <c r="A661" s="9">
        <f>'Paste - Mentors'!A661</f>
        <v>5115345</v>
      </c>
      <c r="B661" s="4" t="str">
        <f>IFERROR(VLOOKUP(A661,'Paste - Mentors'!$A:$B,2,0),"")</f>
        <v>Phelela Ngcongolo</v>
      </c>
      <c r="C661" s="4" t="str">
        <f>IFERROR(VLOOKUP(A661,'Paste - Mentors'!$A:$D,4,0),"")</f>
        <v>Career Mentor
Transition Mentor</v>
      </c>
      <c r="D661" s="9" t="str">
        <f>IFERROR(VLOOKUP(A661,'Paste - Mentors'!$A:$F,6,0),"")</f>
        <v>FNB</v>
      </c>
      <c r="E661" s="9" t="str">
        <f>IFERROR(VLOOKUP(A661,'Paste - Mentors'!$A:$E,5,0),"")</f>
        <v>South Africa</v>
      </c>
      <c r="F661" s="9">
        <f>IF(A661="","",COUNTIFS('Paste - Relationships'!$A:$A,A661,'Paste - Relationships'!$AE:$AE,""))</f>
        <v>0</v>
      </c>
      <c r="G661" s="9" t="str">
        <f t="shared" si="10"/>
        <v>Available</v>
      </c>
      <c r="H661" s="9" t="str">
        <f>IF(A661="","",IF(COUNTIF('Programme Mentors'!$A:$A,A661)&gt;0,"Enrolled","—"))</f>
        <v>—</v>
      </c>
    </row>
    <row r="662" spans="1:8" ht="33.75" customHeight="1" x14ac:dyDescent="0.3">
      <c r="A662" s="43">
        <f>'Paste - Mentors'!A662</f>
        <v>5116716</v>
      </c>
      <c r="B662" s="3" t="str">
        <f>IFERROR(VLOOKUP(A662,'Paste - Mentors'!$A:$B,2,0),"")</f>
        <v>Paul Van Tonder</v>
      </c>
      <c r="C662" s="3" t="str">
        <f>IFERROR(VLOOKUP(A662,'Paste - Mentors'!$A:$D,4,0),"")</f>
        <v>Career Mentor</v>
      </c>
      <c r="D662" s="43" t="str">
        <f>IFERROR(VLOOKUP(A662,'Paste - Mentors'!$A:$F,6,0),"")</f>
        <v>FNB</v>
      </c>
      <c r="E662" s="43" t="str">
        <f>IFERROR(VLOOKUP(A662,'Paste - Mentors'!$A:$E,5,0),"")</f>
        <v>South Africa</v>
      </c>
      <c r="F662" s="43">
        <f>IF(A662="","",COUNTIFS('Paste - Relationships'!$A:$A,A662,'Paste - Relationships'!$AE:$AE,""))</f>
        <v>0</v>
      </c>
      <c r="G662" s="43" t="str">
        <f t="shared" si="10"/>
        <v>Available</v>
      </c>
      <c r="H662" s="43" t="str">
        <f>IF(A662="","",IF(COUNTIF('Programme Mentors'!$A:$A,A662)&gt;0,"Enrolled","—"))</f>
        <v>—</v>
      </c>
    </row>
    <row r="663" spans="1:8" ht="14.25" customHeight="1" x14ac:dyDescent="0.3">
      <c r="A663" s="9">
        <f>'Paste - Mentors'!A663</f>
        <v>5118875</v>
      </c>
      <c r="B663" s="4" t="str">
        <f>IFERROR(VLOOKUP(A663,'Paste - Mentors'!$A:$B,2,0),"")</f>
        <v>Engelberth Djami</v>
      </c>
      <c r="C663" s="4" t="str">
        <f>IFERROR(VLOOKUP(A663,'Paste - Mentors'!$A:$D,4,0),"")</f>
        <v>Career Mentor
Leadership Mentor
Technical Mentor</v>
      </c>
      <c r="D663" s="9" t="str">
        <f>IFERROR(VLOOKUP(A663,'Paste - Mentors'!$A:$F,6,0),"")</f>
        <v>FNB</v>
      </c>
      <c r="E663" s="9" t="str">
        <f>IFERROR(VLOOKUP(A663,'Paste - Mentors'!$A:$E,5,0),"")</f>
        <v>Namibia</v>
      </c>
      <c r="F663" s="9">
        <f>IF(A663="","",COUNTIFS('Paste - Relationships'!$A:$A,A663,'Paste - Relationships'!$AE:$AE,""))</f>
        <v>1</v>
      </c>
      <c r="G663" s="9" t="str">
        <f t="shared" si="10"/>
        <v>Has Capacity</v>
      </c>
      <c r="H663" s="9" t="str">
        <f>IF(A663="","",IF(COUNTIF('Programme Mentors'!$A:$A,A663)&gt;0,"Enrolled","—"))</f>
        <v>—</v>
      </c>
    </row>
    <row r="664" spans="1:8" ht="57" customHeight="1" x14ac:dyDescent="0.3">
      <c r="A664" s="43">
        <f>'Paste - Mentors'!A664</f>
        <v>5118905</v>
      </c>
      <c r="B664" s="3" t="str">
        <f>IFERROR(VLOOKUP(A664,'Paste - Mentors'!$A:$B,2,0),"")</f>
        <v>Ushana Chetty</v>
      </c>
      <c r="C664" s="3" t="str">
        <f>IFERROR(VLOOKUP(A664,'Paste - Mentors'!$A:$D,4,0),"")</f>
        <v>Career Mentor</v>
      </c>
      <c r="D664" s="43" t="str">
        <f>IFERROR(VLOOKUP(A664,'Paste - Mentors'!$A:$F,6,0),"")</f>
        <v>FirstRand Corporate Centre</v>
      </c>
      <c r="E664" s="43" t="str">
        <f>IFERROR(VLOOKUP(A664,'Paste - Mentors'!$A:$E,5,0),"")</f>
        <v>South Africa</v>
      </c>
      <c r="F664" s="43">
        <f>IF(A664="","",COUNTIFS('Paste - Relationships'!$A:$A,A664,'Paste - Relationships'!$AE:$AE,""))</f>
        <v>0</v>
      </c>
      <c r="G664" s="43" t="str">
        <f t="shared" si="10"/>
        <v>Available</v>
      </c>
      <c r="H664" s="43" t="str">
        <f>IF(A664="","",IF(COUNTIF('Programme Mentors'!$A:$A,A664)&gt;0,"Enrolled","—"))</f>
        <v>—</v>
      </c>
    </row>
    <row r="665" spans="1:8" ht="33.75" customHeight="1" x14ac:dyDescent="0.3">
      <c r="A665" s="9">
        <f>'Paste - Mentors'!A665</f>
        <v>5119545</v>
      </c>
      <c r="B665" s="4" t="str">
        <f>IFERROR(VLOOKUP(A665,'Paste - Mentors'!$A:$B,2,0),"")</f>
        <v>Zakhele Mkhatshwa</v>
      </c>
      <c r="C665" s="4" t="str">
        <f>IFERROR(VLOOKUP(A665,'Paste - Mentors'!$A:$D,4,0),"")</f>
        <v>Career Mentor</v>
      </c>
      <c r="D665" s="9" t="str">
        <f>IFERROR(VLOOKUP(A665,'Paste - Mentors'!$A:$F,6,0),"")</f>
        <v>FNB</v>
      </c>
      <c r="E665" s="9" t="str">
        <f>IFERROR(VLOOKUP(A665,'Paste - Mentors'!$A:$E,5,0),"")</f>
        <v>South Africa</v>
      </c>
      <c r="F665" s="9">
        <f>IF(A665="","",COUNTIFS('Paste - Relationships'!$A:$A,A665,'Paste - Relationships'!$AE:$AE,""))</f>
        <v>0</v>
      </c>
      <c r="G665" s="9" t="str">
        <f t="shared" si="10"/>
        <v>Available</v>
      </c>
      <c r="H665" s="9" t="str">
        <f>IF(A665="","",IF(COUNTIF('Programme Mentors'!$A:$A,A665)&gt;0,"Enrolled","—"))</f>
        <v>—</v>
      </c>
    </row>
    <row r="666" spans="1:8" ht="14.25" customHeight="1" x14ac:dyDescent="0.3">
      <c r="A666" s="43">
        <f>'Paste - Mentors'!A666</f>
        <v>5124891</v>
      </c>
      <c r="B666" s="3" t="str">
        <f>IFERROR(VLOOKUP(A666,'Paste - Mentors'!$A:$B,2,0),"")</f>
        <v>Precious Tshegofatso Boshielo</v>
      </c>
      <c r="C666" s="3" t="str">
        <f>IFERROR(VLOOKUP(A666,'Paste - Mentors'!$A:$D,4,0),"")</f>
        <v>Career Mentor</v>
      </c>
      <c r="D666" s="43" t="str">
        <f>IFERROR(VLOOKUP(A666,'Paste - Mentors'!$A:$F,6,0),"")</f>
        <v>FNB</v>
      </c>
      <c r="E666" s="43" t="str">
        <f>IFERROR(VLOOKUP(A666,'Paste - Mentors'!$A:$E,5,0),"")</f>
        <v>South Africa</v>
      </c>
      <c r="F666" s="43">
        <f>IF(A666="","",COUNTIFS('Paste - Relationships'!$A:$A,A666,'Paste - Relationships'!$AE:$AE,""))</f>
        <v>0</v>
      </c>
      <c r="G666" s="43" t="str">
        <f t="shared" si="10"/>
        <v>Available</v>
      </c>
      <c r="H666" s="43" t="str">
        <f>IF(A666="","",IF(COUNTIF('Programme Mentors'!$A:$A,A666)&gt;0,"Enrolled","—"))</f>
        <v>—</v>
      </c>
    </row>
    <row r="667" spans="1:8" ht="14.25" customHeight="1" x14ac:dyDescent="0.3">
      <c r="A667" s="9">
        <f>'Paste - Mentors'!A667</f>
        <v>5126703</v>
      </c>
      <c r="B667" s="4" t="str">
        <f>IFERROR(VLOOKUP(A667,'Paste - Mentors'!$A:$B,2,0),"")</f>
        <v>Mbali Modjela</v>
      </c>
      <c r="C667" s="4" t="str">
        <f>IFERROR(VLOOKUP(A667,'Paste - Mentors'!$A:$D,4,0),"")</f>
        <v>Career Mentor</v>
      </c>
      <c r="D667" s="9" t="str">
        <f>IFERROR(VLOOKUP(A667,'Paste - Mentors'!$A:$F,6,0),"")</f>
        <v>FNB</v>
      </c>
      <c r="E667" s="9" t="str">
        <f>IFERROR(VLOOKUP(A667,'Paste - Mentors'!$A:$E,5,0),"")</f>
        <v>South Africa</v>
      </c>
      <c r="F667" s="9">
        <f>IF(A667="","",COUNTIFS('Paste - Relationships'!$A:$A,A667,'Paste - Relationships'!$AE:$AE,""))</f>
        <v>0</v>
      </c>
      <c r="G667" s="9" t="str">
        <f t="shared" si="10"/>
        <v>Available</v>
      </c>
      <c r="H667" s="9" t="str">
        <f>IF(A667="","",IF(COUNTIF('Programme Mentors'!$A:$A,A667)&gt;0,"Enrolled","—"))</f>
        <v>—</v>
      </c>
    </row>
    <row r="668" spans="1:8" ht="14.25" customHeight="1" x14ac:dyDescent="0.3">
      <c r="A668" s="43">
        <f>'Paste - Mentors'!A668</f>
        <v>5129192</v>
      </c>
      <c r="B668" s="3" t="str">
        <f>IFERROR(VLOOKUP(A668,'Paste - Mentors'!$A:$B,2,0),"")</f>
        <v>Percival Peterson</v>
      </c>
      <c r="C668" s="3" t="str">
        <f>IFERROR(VLOOKUP(A668,'Paste - Mentors'!$A:$D,4,0),"")</f>
        <v>Career Mentor</v>
      </c>
      <c r="D668" s="43" t="str">
        <f>IFERROR(VLOOKUP(A668,'Paste - Mentors'!$A:$F,6,0),"")</f>
        <v>FNB</v>
      </c>
      <c r="E668" s="43" t="str">
        <f>IFERROR(VLOOKUP(A668,'Paste - Mentors'!$A:$E,5,0),"")</f>
        <v>South Africa</v>
      </c>
      <c r="F668" s="43">
        <f>IF(A668="","",COUNTIFS('Paste - Relationships'!$A:$A,A668,'Paste - Relationships'!$AE:$AE,""))</f>
        <v>0</v>
      </c>
      <c r="G668" s="43" t="str">
        <f t="shared" si="10"/>
        <v>Available</v>
      </c>
      <c r="H668" s="43" t="str">
        <f>IF(A668="","",IF(COUNTIF('Programme Mentors'!$A:$A,A668)&gt;0,"Enrolled","—"))</f>
        <v>—</v>
      </c>
    </row>
    <row r="669" spans="1:8" ht="14.25" customHeight="1" x14ac:dyDescent="0.3">
      <c r="A669" s="9">
        <f>'Paste - Mentors'!A669</f>
        <v>5130409</v>
      </c>
      <c r="B669" s="4" t="str">
        <f>IFERROR(VLOOKUP(A669,'Paste - Mentors'!$A:$B,2,0),"")</f>
        <v>Tsaone Maseng</v>
      </c>
      <c r="C669" s="4" t="str">
        <f>IFERROR(VLOOKUP(A669,'Paste - Mentors'!$A:$D,4,0),"")</f>
        <v>Career Mentor</v>
      </c>
      <c r="D669" s="9" t="str">
        <f>IFERROR(VLOOKUP(A669,'Paste - Mentors'!$A:$F,6,0),"")</f>
        <v>FNB</v>
      </c>
      <c r="E669" s="9" t="str">
        <f>IFERROR(VLOOKUP(A669,'Paste - Mentors'!$A:$E,5,0),"")</f>
        <v>South Africa</v>
      </c>
      <c r="F669" s="9">
        <f>IF(A669="","",COUNTIFS('Paste - Relationships'!$A:$A,A669,'Paste - Relationships'!$AE:$AE,""))</f>
        <v>0</v>
      </c>
      <c r="G669" s="9" t="str">
        <f t="shared" si="10"/>
        <v>Available</v>
      </c>
      <c r="H669" s="9" t="str">
        <f>IF(A669="","",IF(COUNTIF('Programme Mentors'!$A:$A,A669)&gt;0,"Enrolled","—"))</f>
        <v>—</v>
      </c>
    </row>
    <row r="670" spans="1:8" ht="14.25" customHeight="1" x14ac:dyDescent="0.3">
      <c r="A670" s="43">
        <f>'Paste - Mentors'!A670</f>
        <v>5130778</v>
      </c>
      <c r="B670" s="3" t="str">
        <f>IFERROR(VLOOKUP(A670,'Paste - Mentors'!$A:$B,2,0),"")</f>
        <v>Santelle Naicker</v>
      </c>
      <c r="C670" s="3" t="str">
        <f>IFERROR(VLOOKUP(A670,'Paste - Mentors'!$A:$D,4,0),"")</f>
        <v>Career Mentor
Leadership Mentor</v>
      </c>
      <c r="D670" s="43" t="str">
        <f>IFERROR(VLOOKUP(A670,'Paste - Mentors'!$A:$F,6,0),"")</f>
        <v>RMB</v>
      </c>
      <c r="E670" s="43" t="str">
        <f>IFERROR(VLOOKUP(A670,'Paste - Mentors'!$A:$E,5,0),"")</f>
        <v>South Africa</v>
      </c>
      <c r="F670" s="43">
        <f>IF(A670="","",COUNTIFS('Paste - Relationships'!$A:$A,A670,'Paste - Relationships'!$AE:$AE,""))</f>
        <v>0</v>
      </c>
      <c r="G670" s="43" t="str">
        <f t="shared" si="10"/>
        <v>Available</v>
      </c>
      <c r="H670" s="43" t="str">
        <f>IF(A670="","",IF(COUNTIF('Programme Mentors'!$A:$A,A670)&gt;0,"Enrolled","—"))</f>
        <v>—</v>
      </c>
    </row>
    <row r="671" spans="1:8" ht="33.75" customHeight="1" x14ac:dyDescent="0.3">
      <c r="A671" s="9">
        <f>'Paste - Mentors'!A671</f>
        <v>5134005</v>
      </c>
      <c r="B671" s="4" t="str">
        <f>IFERROR(VLOOKUP(A671,'Paste - Mentors'!$A:$B,2,0),"")</f>
        <v>Kumari Padiachy</v>
      </c>
      <c r="C671" s="4" t="str">
        <f>IFERROR(VLOOKUP(A671,'Paste - Mentors'!$A:$D,4,0),"")</f>
        <v>Career Mentor</v>
      </c>
      <c r="D671" s="9" t="str">
        <f>IFERROR(VLOOKUP(A671,'Paste - Mentors'!$A:$F,6,0),"")</f>
        <v>FNB</v>
      </c>
      <c r="E671" s="9" t="str">
        <f>IFERROR(VLOOKUP(A671,'Paste - Mentors'!$A:$E,5,0),"")</f>
        <v>South Africa</v>
      </c>
      <c r="F671" s="9">
        <f>IF(A671="","",COUNTIFS('Paste - Relationships'!$A:$A,A671,'Paste - Relationships'!$AE:$AE,""))</f>
        <v>0</v>
      </c>
      <c r="G671" s="9" t="str">
        <f t="shared" si="10"/>
        <v>Available</v>
      </c>
      <c r="H671" s="9" t="str">
        <f>IF(A671="","",IF(COUNTIF('Programme Mentors'!$A:$A,A671)&gt;0,"Enrolled","—"))</f>
        <v>—</v>
      </c>
    </row>
    <row r="672" spans="1:8" ht="14.25" customHeight="1" x14ac:dyDescent="0.3">
      <c r="A672" s="43">
        <f>'Paste - Mentors'!A672</f>
        <v>5134358</v>
      </c>
      <c r="B672" s="3" t="str">
        <f>IFERROR(VLOOKUP(A672,'Paste - Mentors'!$A:$B,2,0),"")</f>
        <v>Nicole Dooling</v>
      </c>
      <c r="C672" s="3" t="str">
        <f>IFERROR(VLOOKUP(A672,'Paste - Mentors'!$A:$D,4,0),"")</f>
        <v>Career Mentor</v>
      </c>
      <c r="D672" s="43" t="str">
        <f>IFERROR(VLOOKUP(A672,'Paste - Mentors'!$A:$F,6,0),"")</f>
        <v>FNB</v>
      </c>
      <c r="E672" s="43" t="str">
        <f>IFERROR(VLOOKUP(A672,'Paste - Mentors'!$A:$E,5,0),"")</f>
        <v>South Africa</v>
      </c>
      <c r="F672" s="43">
        <f>IF(A672="","",COUNTIFS('Paste - Relationships'!$A:$A,A672,'Paste - Relationships'!$AE:$AE,""))</f>
        <v>1</v>
      </c>
      <c r="G672" s="43" t="str">
        <f t="shared" si="10"/>
        <v>Has Capacity</v>
      </c>
      <c r="H672" s="43" t="str">
        <f>IF(A672="","",IF(COUNTIF('Programme Mentors'!$A:$A,A672)&gt;0,"Enrolled","—"))</f>
        <v>—</v>
      </c>
    </row>
    <row r="673" spans="1:8" ht="14.25" customHeight="1" x14ac:dyDescent="0.3">
      <c r="A673" s="9">
        <f>'Paste - Mentors'!A673</f>
        <v>5136628</v>
      </c>
      <c r="B673" s="4" t="str">
        <f>IFERROR(VLOOKUP(A673,'Paste - Mentors'!$A:$B,2,0),"")</f>
        <v>Mayuri Ravjee</v>
      </c>
      <c r="C673" s="4" t="str">
        <f>IFERROR(VLOOKUP(A673,'Paste - Mentors'!$A:$D,4,0),"")</f>
        <v>Z2-Programme Mentor (HC Managed)</v>
      </c>
      <c r="D673" s="9" t="str">
        <f>IFERROR(VLOOKUP(A673,'Paste - Mentors'!$A:$F,6,0),"")</f>
        <v>RMB</v>
      </c>
      <c r="E673" s="9" t="str">
        <f>IFERROR(VLOOKUP(A673,'Paste - Mentors'!$A:$E,5,0),"")</f>
        <v>South Africa</v>
      </c>
      <c r="F673" s="9">
        <f>IF(A673="","",COUNTIFS('Paste - Relationships'!$A:$A,A673,'Paste - Relationships'!$AE:$AE,""))</f>
        <v>0</v>
      </c>
      <c r="G673" s="9" t="str">
        <f t="shared" si="10"/>
        <v>Available</v>
      </c>
      <c r="H673" s="9" t="str">
        <f>IF(A673="","",IF(COUNTIF('Programme Mentors'!$A:$A,A673)&gt;0,"Enrolled","—"))</f>
        <v>—</v>
      </c>
    </row>
    <row r="674" spans="1:8" ht="14.25" customHeight="1" x14ac:dyDescent="0.3">
      <c r="A674" s="43">
        <f>'Paste - Mentors'!A674</f>
        <v>5137225</v>
      </c>
      <c r="B674" s="3" t="str">
        <f>IFERROR(VLOOKUP(A674,'Paste - Mentors'!$A:$B,2,0),"")</f>
        <v>Radeefa Breda</v>
      </c>
      <c r="C674" s="3" t="str">
        <f>IFERROR(VLOOKUP(A674,'Paste - Mentors'!$A:$D,4,0),"")</f>
        <v>Career Mentor</v>
      </c>
      <c r="D674" s="43" t="str">
        <f>IFERROR(VLOOKUP(A674,'Paste - Mentors'!$A:$F,6,0),"")</f>
        <v>FNB</v>
      </c>
      <c r="E674" s="43" t="str">
        <f>IFERROR(VLOOKUP(A674,'Paste - Mentors'!$A:$E,5,0),"")</f>
        <v>South Africa</v>
      </c>
      <c r="F674" s="43">
        <f>IF(A674="","",COUNTIFS('Paste - Relationships'!$A:$A,A674,'Paste - Relationships'!$AE:$AE,""))</f>
        <v>0</v>
      </c>
      <c r="G674" s="43" t="str">
        <f t="shared" si="10"/>
        <v>Available</v>
      </c>
      <c r="H674" s="43" t="str">
        <f>IF(A674="","",IF(COUNTIF('Programme Mentors'!$A:$A,A674)&gt;0,"Enrolled","—"))</f>
        <v>—</v>
      </c>
    </row>
    <row r="675" spans="1:8" ht="14.25" customHeight="1" x14ac:dyDescent="0.3">
      <c r="A675" s="9">
        <f>'Paste - Mentors'!A675</f>
        <v>5140005</v>
      </c>
      <c r="B675" s="4" t="str">
        <f>IFERROR(VLOOKUP(A675,'Paste - Mentors'!$A:$B,2,0),"")</f>
        <v>Tammy Bolon</v>
      </c>
      <c r="C675" s="4" t="str">
        <f>IFERROR(VLOOKUP(A675,'Paste - Mentors'!$A:$D,4,0),"")</f>
        <v>Career Mentor</v>
      </c>
      <c r="D675" s="9" t="str">
        <f>IFERROR(VLOOKUP(A675,'Paste - Mentors'!$A:$F,6,0),"")</f>
        <v>FNB</v>
      </c>
      <c r="E675" s="9" t="str">
        <f>IFERROR(VLOOKUP(A675,'Paste - Mentors'!$A:$E,5,0),"")</f>
        <v>South Africa</v>
      </c>
      <c r="F675" s="9">
        <f>IF(A675="","",COUNTIFS('Paste - Relationships'!$A:$A,A675,'Paste - Relationships'!$AE:$AE,""))</f>
        <v>0</v>
      </c>
      <c r="G675" s="9" t="str">
        <f t="shared" si="10"/>
        <v>Available</v>
      </c>
      <c r="H675" s="9" t="str">
        <f>IF(A675="","",IF(COUNTIF('Programme Mentors'!$A:$A,A675)&gt;0,"Enrolled","—"))</f>
        <v>—</v>
      </c>
    </row>
    <row r="676" spans="1:8" ht="14.25" customHeight="1" x14ac:dyDescent="0.3">
      <c r="A676" s="43">
        <f>'Paste - Mentors'!A676</f>
        <v>5141532</v>
      </c>
      <c r="B676" s="3" t="str">
        <f>IFERROR(VLOOKUP(A676,'Paste - Mentors'!$A:$B,2,0),"")</f>
        <v>Vidhatha Maharajh</v>
      </c>
      <c r="C676" s="3" t="str">
        <f>IFERROR(VLOOKUP(A676,'Paste - Mentors'!$A:$D,4,0),"")</f>
        <v>Career Mentor
Leadership Mentor</v>
      </c>
      <c r="D676" s="43" t="str">
        <f>IFERROR(VLOOKUP(A676,'Paste - Mentors'!$A:$F,6,0),"")</f>
        <v>FNB</v>
      </c>
      <c r="E676" s="43" t="str">
        <f>IFERROR(VLOOKUP(A676,'Paste - Mentors'!$A:$E,5,0),"")</f>
        <v>South Africa</v>
      </c>
      <c r="F676" s="43">
        <f>IF(A676="","",COUNTIFS('Paste - Relationships'!$A:$A,A676,'Paste - Relationships'!$AE:$AE,""))</f>
        <v>0</v>
      </c>
      <c r="G676" s="43" t="str">
        <f t="shared" si="10"/>
        <v>Available</v>
      </c>
      <c r="H676" s="43" t="str">
        <f>IF(A676="","",IF(COUNTIF('Programme Mentors'!$A:$A,A676)&gt;0,"Enrolled","—"))</f>
        <v>—</v>
      </c>
    </row>
    <row r="677" spans="1:8" ht="33.75" customHeight="1" x14ac:dyDescent="0.3">
      <c r="A677" s="9">
        <f>'Paste - Mentors'!A677</f>
        <v>5142407</v>
      </c>
      <c r="B677" s="4" t="str">
        <f>IFERROR(VLOOKUP(A677,'Paste - Mentors'!$A:$B,2,0),"")</f>
        <v>Frans Qhinebe</v>
      </c>
      <c r="C677" s="4" t="str">
        <f>IFERROR(VLOOKUP(A677,'Paste - Mentors'!$A:$D,4,0),"")</f>
        <v>Career Mentor</v>
      </c>
      <c r="D677" s="9" t="str">
        <f>IFERROR(VLOOKUP(A677,'Paste - Mentors'!$A:$F,6,0),"")</f>
        <v>FNB</v>
      </c>
      <c r="E677" s="9" t="str">
        <f>IFERROR(VLOOKUP(A677,'Paste - Mentors'!$A:$E,5,0),"")</f>
        <v>South Africa</v>
      </c>
      <c r="F677" s="9">
        <f>IF(A677="","",COUNTIFS('Paste - Relationships'!$A:$A,A677,'Paste - Relationships'!$AE:$AE,""))</f>
        <v>0</v>
      </c>
      <c r="G677" s="9" t="str">
        <f t="shared" si="10"/>
        <v>Available</v>
      </c>
      <c r="H677" s="9" t="str">
        <f>IF(A677="","",IF(COUNTIF('Programme Mentors'!$A:$A,A677)&gt;0,"Enrolled","—"))</f>
        <v>—</v>
      </c>
    </row>
    <row r="678" spans="1:8" ht="14.25" customHeight="1" x14ac:dyDescent="0.3">
      <c r="A678" s="43">
        <f>'Paste - Mentors'!A678</f>
        <v>5149487</v>
      </c>
      <c r="B678" s="3" t="str">
        <f>IFERROR(VLOOKUP(A678,'Paste - Mentors'!$A:$B,2,0),"")</f>
        <v>Motshedisi Makoea</v>
      </c>
      <c r="C678" s="3" t="str">
        <f>IFERROR(VLOOKUP(A678,'Paste - Mentors'!$A:$D,4,0),"")</f>
        <v>Career Mentor</v>
      </c>
      <c r="D678" s="43" t="str">
        <f>IFERROR(VLOOKUP(A678,'Paste - Mentors'!$A:$F,6,0),"")</f>
        <v>FNB</v>
      </c>
      <c r="E678" s="43" t="str">
        <f>IFERROR(VLOOKUP(A678,'Paste - Mentors'!$A:$E,5,0),"")</f>
        <v>South Africa</v>
      </c>
      <c r="F678" s="43">
        <f>IF(A678="","",COUNTIFS('Paste - Relationships'!$A:$A,A678,'Paste - Relationships'!$AE:$AE,""))</f>
        <v>0</v>
      </c>
      <c r="G678" s="43" t="str">
        <f t="shared" si="10"/>
        <v>Available</v>
      </c>
      <c r="H678" s="43" t="str">
        <f>IF(A678="","",IF(COUNTIF('Programme Mentors'!$A:$A,A678)&gt;0,"Enrolled","—"))</f>
        <v>—</v>
      </c>
    </row>
    <row r="679" spans="1:8" ht="14.25" customHeight="1" x14ac:dyDescent="0.3">
      <c r="A679" s="9">
        <f>'Paste - Mentors'!A679</f>
        <v>5149584</v>
      </c>
      <c r="B679" s="4" t="str">
        <f>IFERROR(VLOOKUP(A679,'Paste - Mentors'!$A:$B,2,0),"")</f>
        <v>Nadira Umraw</v>
      </c>
      <c r="C679" s="4" t="str">
        <f>IFERROR(VLOOKUP(A679,'Paste - Mentors'!$A:$D,4,0),"")</f>
        <v>Career Mentor</v>
      </c>
      <c r="D679" s="9" t="str">
        <f>IFERROR(VLOOKUP(A679,'Paste - Mentors'!$A:$F,6,0),"")</f>
        <v>FNB</v>
      </c>
      <c r="E679" s="9" t="str">
        <f>IFERROR(VLOOKUP(A679,'Paste - Mentors'!$A:$E,5,0),"")</f>
        <v>South Africa</v>
      </c>
      <c r="F679" s="9">
        <f>IF(A679="","",COUNTIFS('Paste - Relationships'!$A:$A,A679,'Paste - Relationships'!$AE:$AE,""))</f>
        <v>0</v>
      </c>
      <c r="G679" s="9" t="str">
        <f t="shared" si="10"/>
        <v>Available</v>
      </c>
      <c r="H679" s="9" t="str">
        <f>IF(A679="","",IF(COUNTIF('Programme Mentors'!$A:$A,A679)&gt;0,"Enrolled","—"))</f>
        <v>—</v>
      </c>
    </row>
    <row r="680" spans="1:8" ht="14.25" customHeight="1" x14ac:dyDescent="0.3">
      <c r="A680" s="43">
        <f>'Paste - Mentors'!A680</f>
        <v>5150175</v>
      </c>
      <c r="B680" s="3" t="str">
        <f>IFERROR(VLOOKUP(A680,'Paste - Mentors'!$A:$B,2,0),"")</f>
        <v>Andre Olivier</v>
      </c>
      <c r="C680" s="3" t="str">
        <f>IFERROR(VLOOKUP(A680,'Paste - Mentors'!$A:$D,4,0),"")</f>
        <v>Technical Mentor</v>
      </c>
      <c r="D680" s="43" t="str">
        <f>IFERROR(VLOOKUP(A680,'Paste - Mentors'!$A:$F,6,0),"")</f>
        <v>FNB</v>
      </c>
      <c r="E680" s="43" t="str">
        <f>IFERROR(VLOOKUP(A680,'Paste - Mentors'!$A:$E,5,0),"")</f>
        <v>South Africa</v>
      </c>
      <c r="F680" s="43">
        <f>IF(A680="","",COUNTIFS('Paste - Relationships'!$A:$A,A680,'Paste - Relationships'!$AE:$AE,""))</f>
        <v>2</v>
      </c>
      <c r="G680" s="43" t="str">
        <f t="shared" si="10"/>
        <v>Has Capacity</v>
      </c>
      <c r="H680" s="43" t="str">
        <f>IF(A680="","",IF(COUNTIF('Programme Mentors'!$A:$A,A680)&gt;0,"Enrolled","—"))</f>
        <v>—</v>
      </c>
    </row>
    <row r="681" spans="1:8" ht="14.25" customHeight="1" x14ac:dyDescent="0.3">
      <c r="A681" s="9">
        <f>'Paste - Mentors'!A681</f>
        <v>5151058</v>
      </c>
      <c r="B681" s="4" t="str">
        <f>IFERROR(VLOOKUP(A681,'Paste - Mentors'!$A:$B,2,0),"")</f>
        <v>Zukisani Dyasi</v>
      </c>
      <c r="C681" s="4" t="str">
        <f>IFERROR(VLOOKUP(A681,'Paste - Mentors'!$A:$D,4,0),"")</f>
        <v>Technical Mentor
Workplace  Buddy</v>
      </c>
      <c r="D681" s="9" t="str">
        <f>IFERROR(VLOOKUP(A681,'Paste - Mentors'!$A:$F,6,0),"")</f>
        <v>RMB</v>
      </c>
      <c r="E681" s="9" t="str">
        <f>IFERROR(VLOOKUP(A681,'Paste - Mentors'!$A:$E,5,0),"")</f>
        <v>South Africa</v>
      </c>
      <c r="F681" s="9">
        <f>IF(A681="","",COUNTIFS('Paste - Relationships'!$A:$A,A681,'Paste - Relationships'!$AE:$AE,""))</f>
        <v>0</v>
      </c>
      <c r="G681" s="9" t="str">
        <f t="shared" si="10"/>
        <v>Available</v>
      </c>
      <c r="H681" s="9" t="str">
        <f>IF(A681="","",IF(COUNTIF('Programme Mentors'!$A:$A,A681)&gt;0,"Enrolled","—"))</f>
        <v>—</v>
      </c>
    </row>
    <row r="682" spans="1:8" ht="33.75" customHeight="1" x14ac:dyDescent="0.3">
      <c r="A682" s="43">
        <f>'Paste - Mentors'!A682</f>
        <v>5152305</v>
      </c>
      <c r="B682" s="3" t="str">
        <f>IFERROR(VLOOKUP(A682,'Paste - Mentors'!$A:$B,2,0),"")</f>
        <v>Michelle Girdharilall</v>
      </c>
      <c r="C682" s="3" t="str">
        <f>IFERROR(VLOOKUP(A682,'Paste - Mentors'!$A:$D,4,0),"")</f>
        <v>Career Mentor</v>
      </c>
      <c r="D682" s="43" t="str">
        <f>IFERROR(VLOOKUP(A682,'Paste - Mentors'!$A:$F,6,0),"")</f>
        <v>FNB</v>
      </c>
      <c r="E682" s="43" t="str">
        <f>IFERROR(VLOOKUP(A682,'Paste - Mentors'!$A:$E,5,0),"")</f>
        <v>South Africa</v>
      </c>
      <c r="F682" s="43">
        <f>IF(A682="","",COUNTIFS('Paste - Relationships'!$A:$A,A682,'Paste - Relationships'!$AE:$AE,""))</f>
        <v>0</v>
      </c>
      <c r="G682" s="43" t="str">
        <f t="shared" si="10"/>
        <v>Available</v>
      </c>
      <c r="H682" s="43" t="str">
        <f>IF(A682="","",IF(COUNTIF('Programme Mentors'!$A:$A,A682)&gt;0,"Enrolled","—"))</f>
        <v>—</v>
      </c>
    </row>
    <row r="683" spans="1:8" ht="14.25" customHeight="1" x14ac:dyDescent="0.3">
      <c r="A683" s="9">
        <f>'Paste - Mentors'!A683</f>
        <v>5154375</v>
      </c>
      <c r="B683" s="4" t="str">
        <f>IFERROR(VLOOKUP(A683,'Paste - Mentors'!$A:$B,2,0),"")</f>
        <v>Leeresha Dehaloo</v>
      </c>
      <c r="C683" s="4" t="str">
        <f>IFERROR(VLOOKUP(A683,'Paste - Mentors'!$A:$D,4,0),"")</f>
        <v>Leadership Mentor
Technical Mentor
Workplace  Buddy</v>
      </c>
      <c r="D683" s="9" t="str">
        <f>IFERROR(VLOOKUP(A683,'Paste - Mentors'!$A:$F,6,0),"")</f>
        <v>FNB</v>
      </c>
      <c r="E683" s="9" t="str">
        <f>IFERROR(VLOOKUP(A683,'Paste - Mentors'!$A:$E,5,0),"")</f>
        <v>South Africa</v>
      </c>
      <c r="F683" s="9">
        <f>IF(A683="","",COUNTIFS('Paste - Relationships'!$A:$A,A683,'Paste - Relationships'!$AE:$AE,""))</f>
        <v>0</v>
      </c>
      <c r="G683" s="9" t="str">
        <f t="shared" si="10"/>
        <v>Available</v>
      </c>
      <c r="H683" s="9" t="str">
        <f>IF(A683="","",IF(COUNTIF('Programme Mentors'!$A:$A,A683)&gt;0,"Enrolled","—"))</f>
        <v>—</v>
      </c>
    </row>
    <row r="684" spans="1:8" ht="57" customHeight="1" x14ac:dyDescent="0.3">
      <c r="A684" s="43">
        <f>'Paste - Mentors'!A684</f>
        <v>5156270</v>
      </c>
      <c r="B684" s="3" t="str">
        <f>IFERROR(VLOOKUP(A684,'Paste - Mentors'!$A:$B,2,0),"")</f>
        <v>Kevin Myers</v>
      </c>
      <c r="C684" s="3" t="str">
        <f>IFERROR(VLOOKUP(A684,'Paste - Mentors'!$A:$D,4,0),"")</f>
        <v>Career Mentor
Technical Mentor
Z2-Programme Mentor (HC Managed)</v>
      </c>
      <c r="D684" s="43" t="str">
        <f>IFERROR(VLOOKUP(A684,'Paste - Mentors'!$A:$F,6,0),"")</f>
        <v>FNB</v>
      </c>
      <c r="E684" s="43" t="str">
        <f>IFERROR(VLOOKUP(A684,'Paste - Mentors'!$A:$E,5,0),"")</f>
        <v>South Africa</v>
      </c>
      <c r="F684" s="43">
        <f>IF(A684="","",COUNTIFS('Paste - Relationships'!$A:$A,A684,'Paste - Relationships'!$AE:$AE,""))</f>
        <v>0</v>
      </c>
      <c r="G684" s="43" t="str">
        <f t="shared" si="10"/>
        <v>Available</v>
      </c>
      <c r="H684" s="43" t="str">
        <f>IF(A684="","",IF(COUNTIF('Programme Mentors'!$A:$A,A684)&gt;0,"Enrolled","—"))</f>
        <v>—</v>
      </c>
    </row>
    <row r="685" spans="1:8" ht="57" customHeight="1" x14ac:dyDescent="0.3">
      <c r="A685" s="9">
        <f>'Paste - Mentors'!A685</f>
        <v>5159903</v>
      </c>
      <c r="B685" s="4" t="str">
        <f>IFERROR(VLOOKUP(A685,'Paste - Mentors'!$A:$B,2,0),"")</f>
        <v>Alcinda Moezelaar</v>
      </c>
      <c r="C685" s="4" t="str">
        <f>IFERROR(VLOOKUP(A685,'Paste - Mentors'!$A:$D,4,0),"")</f>
        <v>Career Mentor
Leadership Mentor</v>
      </c>
      <c r="D685" s="9" t="str">
        <f>IFERROR(VLOOKUP(A685,'Paste - Mentors'!$A:$F,6,0),"")</f>
        <v>RMB</v>
      </c>
      <c r="E685" s="9" t="str">
        <f>IFERROR(VLOOKUP(A685,'Paste - Mentors'!$A:$E,5,0),"")</f>
        <v>South Africa</v>
      </c>
      <c r="F685" s="9">
        <f>IF(A685="","",COUNTIFS('Paste - Relationships'!$A:$A,A685,'Paste - Relationships'!$AE:$AE,""))</f>
        <v>1</v>
      </c>
      <c r="G685" s="9" t="str">
        <f t="shared" si="10"/>
        <v>Has Capacity</v>
      </c>
      <c r="H685" s="9" t="str">
        <f>IF(A685="","",IF(COUNTIF('Programme Mentors'!$A:$A,A685)&gt;0,"Enrolled","—"))</f>
        <v>—</v>
      </c>
    </row>
    <row r="686" spans="1:8" ht="33.75" customHeight="1" x14ac:dyDescent="0.3">
      <c r="A686" s="43">
        <f>'Paste - Mentors'!A686</f>
        <v>5161533</v>
      </c>
      <c r="B686" s="3" t="str">
        <f>IFERROR(VLOOKUP(A686,'Paste - Mentors'!$A:$B,2,0),"")</f>
        <v>Sifiso Nkosi</v>
      </c>
      <c r="C686" s="3" t="str">
        <f>IFERROR(VLOOKUP(A686,'Paste - Mentors'!$A:$D,4,0),"")</f>
        <v>Career Mentor</v>
      </c>
      <c r="D686" s="43" t="str">
        <f>IFERROR(VLOOKUP(A686,'Paste - Mentors'!$A:$F,6,0),"")</f>
        <v>FNB</v>
      </c>
      <c r="E686" s="43" t="str">
        <f>IFERROR(VLOOKUP(A686,'Paste - Mentors'!$A:$E,5,0),"")</f>
        <v>South Africa</v>
      </c>
      <c r="F686" s="43">
        <f>IF(A686="","",COUNTIFS('Paste - Relationships'!$A:$A,A686,'Paste - Relationships'!$AE:$AE,""))</f>
        <v>0</v>
      </c>
      <c r="G686" s="43" t="str">
        <f t="shared" si="10"/>
        <v>Available</v>
      </c>
      <c r="H686" s="43" t="str">
        <f>IF(A686="","",IF(COUNTIF('Programme Mentors'!$A:$A,A686)&gt;0,"Enrolled","—"))</f>
        <v>—</v>
      </c>
    </row>
    <row r="687" spans="1:8" ht="14.25" customHeight="1" x14ac:dyDescent="0.3">
      <c r="A687" s="9">
        <f>'Paste - Mentors'!A687</f>
        <v>5163536</v>
      </c>
      <c r="B687" s="4" t="str">
        <f>IFERROR(VLOOKUP(A687,'Paste - Mentors'!$A:$B,2,0),"")</f>
        <v>Denis Nhatumbo</v>
      </c>
      <c r="C687" s="4" t="str">
        <f>IFERROR(VLOOKUP(A687,'Paste - Mentors'!$A:$D,4,0),"")</f>
        <v>Career Mentor
Technical Mentor</v>
      </c>
      <c r="D687" s="9" t="str">
        <f>IFERROR(VLOOKUP(A687,'Paste - Mentors'!$A:$F,6,0),"")</f>
        <v>FNB</v>
      </c>
      <c r="E687" s="9" t="str">
        <f>IFERROR(VLOOKUP(A687,'Paste - Mentors'!$A:$E,5,0),"")</f>
        <v>South Africa</v>
      </c>
      <c r="F687" s="9">
        <f>IF(A687="","",COUNTIFS('Paste - Relationships'!$A:$A,A687,'Paste - Relationships'!$AE:$AE,""))</f>
        <v>1</v>
      </c>
      <c r="G687" s="9" t="str">
        <f t="shared" si="10"/>
        <v>Has Capacity</v>
      </c>
      <c r="H687" s="9" t="str">
        <f>IF(A687="","",IF(COUNTIF('Programme Mentors'!$A:$A,A687)&gt;0,"Enrolled","—"))</f>
        <v>—</v>
      </c>
    </row>
    <row r="688" spans="1:8" ht="33.75" customHeight="1" x14ac:dyDescent="0.3">
      <c r="A688" s="43">
        <f>'Paste - Mentors'!A688</f>
        <v>5164621</v>
      </c>
      <c r="B688" s="3" t="str">
        <f>IFERROR(VLOOKUP(A688,'Paste - Mentors'!$A:$B,2,0),"")</f>
        <v>Banele Kumalo</v>
      </c>
      <c r="C688" s="3" t="str">
        <f>IFERROR(VLOOKUP(A688,'Paste - Mentors'!$A:$D,4,0),"")</f>
        <v>Career Mentor</v>
      </c>
      <c r="D688" s="43" t="str">
        <f>IFERROR(VLOOKUP(A688,'Paste - Mentors'!$A:$F,6,0),"")</f>
        <v>FNB</v>
      </c>
      <c r="E688" s="43" t="str">
        <f>IFERROR(VLOOKUP(A688,'Paste - Mentors'!$A:$E,5,0),"")</f>
        <v>South Africa</v>
      </c>
      <c r="F688" s="43">
        <f>IF(A688="","",COUNTIFS('Paste - Relationships'!$A:$A,A688,'Paste - Relationships'!$AE:$AE,""))</f>
        <v>0</v>
      </c>
      <c r="G688" s="43" t="str">
        <f t="shared" si="10"/>
        <v>Available</v>
      </c>
      <c r="H688" s="43" t="str">
        <f>IF(A688="","",IF(COUNTIF('Programme Mentors'!$A:$A,A688)&gt;0,"Enrolled","—"))</f>
        <v>—</v>
      </c>
    </row>
    <row r="689" spans="1:8" ht="14.25" customHeight="1" x14ac:dyDescent="0.3">
      <c r="A689" s="9">
        <f>'Paste - Mentors'!A689</f>
        <v>5166268</v>
      </c>
      <c r="B689" s="4" t="str">
        <f>IFERROR(VLOOKUP(A689,'Paste - Mentors'!$A:$B,2,0),"")</f>
        <v>Anele Mkhize</v>
      </c>
      <c r="C689" s="4" t="str">
        <f>IFERROR(VLOOKUP(A689,'Paste - Mentors'!$A:$D,4,0),"")</f>
        <v>Career Mentor</v>
      </c>
      <c r="D689" s="9" t="str">
        <f>IFERROR(VLOOKUP(A689,'Paste - Mentors'!$A:$F,6,0),"")</f>
        <v>WesBank</v>
      </c>
      <c r="E689" s="9" t="str">
        <f>IFERROR(VLOOKUP(A689,'Paste - Mentors'!$A:$E,5,0),"")</f>
        <v>South Africa</v>
      </c>
      <c r="F689" s="9">
        <f>IF(A689="","",COUNTIFS('Paste - Relationships'!$A:$A,A689,'Paste - Relationships'!$AE:$AE,""))</f>
        <v>0</v>
      </c>
      <c r="G689" s="9" t="str">
        <f t="shared" si="10"/>
        <v>Available</v>
      </c>
      <c r="H689" s="9" t="str">
        <f>IF(A689="","",IF(COUNTIF('Programme Mentors'!$A:$A,A689)&gt;0,"Enrolled","—"))</f>
        <v>—</v>
      </c>
    </row>
    <row r="690" spans="1:8" ht="14.25" customHeight="1" x14ac:dyDescent="0.3">
      <c r="A690" s="43">
        <f>'Paste - Mentors'!A690</f>
        <v>5167663</v>
      </c>
      <c r="B690" s="3" t="str">
        <f>IFERROR(VLOOKUP(A690,'Paste - Mentors'!$A:$B,2,0),"")</f>
        <v>Tshepo Mokoena</v>
      </c>
      <c r="C690" s="3" t="str">
        <f>IFERROR(VLOOKUP(A690,'Paste - Mentors'!$A:$D,4,0),"")</f>
        <v>Career Mentor</v>
      </c>
      <c r="D690" s="43" t="str">
        <f>IFERROR(VLOOKUP(A690,'Paste - Mentors'!$A:$F,6,0),"")</f>
        <v>FNB</v>
      </c>
      <c r="E690" s="43" t="str">
        <f>IFERROR(VLOOKUP(A690,'Paste - Mentors'!$A:$E,5,0),"")</f>
        <v>South Africa</v>
      </c>
      <c r="F690" s="43">
        <f>IF(A690="","",COUNTIFS('Paste - Relationships'!$A:$A,A690,'Paste - Relationships'!$AE:$AE,""))</f>
        <v>0</v>
      </c>
      <c r="G690" s="43" t="str">
        <f t="shared" si="10"/>
        <v>Available</v>
      </c>
      <c r="H690" s="43" t="str">
        <f>IF(A690="","",IF(COUNTIF('Programme Mentors'!$A:$A,A690)&gt;0,"Enrolled","—"))</f>
        <v>—</v>
      </c>
    </row>
    <row r="691" spans="1:8" ht="14.25" customHeight="1" x14ac:dyDescent="0.3">
      <c r="A691" s="9">
        <f>'Paste - Mentors'!A691</f>
        <v>5171164</v>
      </c>
      <c r="B691" s="4" t="str">
        <f>IFERROR(VLOOKUP(A691,'Paste - Mentors'!$A:$B,2,0),"")</f>
        <v>Shanice Sunderpersadh</v>
      </c>
      <c r="C691" s="4" t="str">
        <f>IFERROR(VLOOKUP(A691,'Paste - Mentors'!$A:$D,4,0),"")</f>
        <v>Career Mentor
Leadership Mentor
Technical Mentor</v>
      </c>
      <c r="D691" s="9" t="str">
        <f>IFERROR(VLOOKUP(A691,'Paste - Mentors'!$A:$F,6,0),"")</f>
        <v>FNB</v>
      </c>
      <c r="E691" s="9" t="str">
        <f>IFERROR(VLOOKUP(A691,'Paste - Mentors'!$A:$E,5,0),"")</f>
        <v>South Africa</v>
      </c>
      <c r="F691" s="9">
        <f>IF(A691="","",COUNTIFS('Paste - Relationships'!$A:$A,A691,'Paste - Relationships'!$AE:$AE,""))</f>
        <v>1</v>
      </c>
      <c r="G691" s="9" t="str">
        <f t="shared" si="10"/>
        <v>Has Capacity</v>
      </c>
      <c r="H691" s="9" t="str">
        <f>IF(A691="","",IF(COUNTIF('Programme Mentors'!$A:$A,A691)&gt;0,"Enrolled","—"))</f>
        <v>—</v>
      </c>
    </row>
    <row r="692" spans="1:8" ht="57" customHeight="1" x14ac:dyDescent="0.3">
      <c r="A692" s="43">
        <f>'Paste - Mentors'!A692</f>
        <v>5172349</v>
      </c>
      <c r="B692" s="3" t="str">
        <f>IFERROR(VLOOKUP(A692,'Paste - Mentors'!$A:$B,2,0),"")</f>
        <v>Darshika Sewraj</v>
      </c>
      <c r="C692" s="3" t="str">
        <f>IFERROR(VLOOKUP(A692,'Paste - Mentors'!$A:$D,4,0),"")</f>
        <v>Career Mentor</v>
      </c>
      <c r="D692" s="43" t="str">
        <f>IFERROR(VLOOKUP(A692,'Paste - Mentors'!$A:$F,6,0),"")</f>
        <v>FNB</v>
      </c>
      <c r="E692" s="43" t="str">
        <f>IFERROR(VLOOKUP(A692,'Paste - Mentors'!$A:$E,5,0),"")</f>
        <v>South Africa</v>
      </c>
      <c r="F692" s="43">
        <f>IF(A692="","",COUNTIFS('Paste - Relationships'!$A:$A,A692,'Paste - Relationships'!$AE:$AE,""))</f>
        <v>0</v>
      </c>
      <c r="G692" s="43" t="str">
        <f t="shared" si="10"/>
        <v>Available</v>
      </c>
      <c r="H692" s="43" t="str">
        <f>IF(A692="","",IF(COUNTIF('Programme Mentors'!$A:$A,A692)&gt;0,"Enrolled","—"))</f>
        <v>—</v>
      </c>
    </row>
    <row r="693" spans="1:8" ht="14.25" customHeight="1" x14ac:dyDescent="0.3">
      <c r="A693" s="9">
        <f>'Paste - Mentors'!A693</f>
        <v>5178819</v>
      </c>
      <c r="B693" s="4" t="str">
        <f>IFERROR(VLOOKUP(A693,'Paste - Mentors'!$A:$B,2,0),"")</f>
        <v>Thabang Hatane</v>
      </c>
      <c r="C693" s="4" t="str">
        <f>IFERROR(VLOOKUP(A693,'Paste - Mentors'!$A:$D,4,0),"")</f>
        <v>Career Mentor</v>
      </c>
      <c r="D693" s="9" t="str">
        <f>IFERROR(VLOOKUP(A693,'Paste - Mentors'!$A:$F,6,0),"")</f>
        <v>FNB</v>
      </c>
      <c r="E693" s="9" t="str">
        <f>IFERROR(VLOOKUP(A693,'Paste - Mentors'!$A:$E,5,0),"")</f>
        <v>South Africa</v>
      </c>
      <c r="F693" s="9">
        <f>IF(A693="","",COUNTIFS('Paste - Relationships'!$A:$A,A693,'Paste - Relationships'!$AE:$AE,""))</f>
        <v>0</v>
      </c>
      <c r="G693" s="9" t="str">
        <f t="shared" si="10"/>
        <v>Available</v>
      </c>
      <c r="H693" s="9" t="str">
        <f>IF(A693="","",IF(COUNTIF('Programme Mentors'!$A:$A,A693)&gt;0,"Enrolled","—"))</f>
        <v>—</v>
      </c>
    </row>
    <row r="694" spans="1:8" ht="14.25" customHeight="1" x14ac:dyDescent="0.3">
      <c r="A694" s="43">
        <f>'Paste - Mentors'!A694</f>
        <v>5179386</v>
      </c>
      <c r="B694" s="3" t="str">
        <f>IFERROR(VLOOKUP(A694,'Paste - Mentors'!$A:$B,2,0),"")</f>
        <v>Kellan Govender</v>
      </c>
      <c r="C694" s="3" t="str">
        <f>IFERROR(VLOOKUP(A694,'Paste - Mentors'!$A:$D,4,0),"")</f>
        <v>Technical Mentor</v>
      </c>
      <c r="D694" s="43" t="str">
        <f>IFERROR(VLOOKUP(A694,'Paste - Mentors'!$A:$F,6,0),"")</f>
        <v>FNB</v>
      </c>
      <c r="E694" s="43" t="str">
        <f>IFERROR(VLOOKUP(A694,'Paste - Mentors'!$A:$E,5,0),"")</f>
        <v>South Africa</v>
      </c>
      <c r="F694" s="43">
        <f>IF(A694="","",COUNTIFS('Paste - Relationships'!$A:$A,A694,'Paste - Relationships'!$AE:$AE,""))</f>
        <v>0</v>
      </c>
      <c r="G694" s="43" t="str">
        <f t="shared" si="10"/>
        <v>Available</v>
      </c>
      <c r="H694" s="43" t="str">
        <f>IF(A694="","",IF(COUNTIF('Programme Mentors'!$A:$A,A694)&gt;0,"Enrolled","—"))</f>
        <v>—</v>
      </c>
    </row>
    <row r="695" spans="1:8" ht="14.25" customHeight="1" x14ac:dyDescent="0.3">
      <c r="A695" s="9">
        <f>'Paste - Mentors'!A695</f>
        <v>5179890</v>
      </c>
      <c r="B695" s="4" t="str">
        <f>IFERROR(VLOOKUP(A695,'Paste - Mentors'!$A:$B,2,0),"")</f>
        <v>Melva Bugana</v>
      </c>
      <c r="C695" s="4" t="str">
        <f>IFERROR(VLOOKUP(A695,'Paste - Mentors'!$A:$D,4,0),"")</f>
        <v>Career Mentor</v>
      </c>
      <c r="D695" s="9" t="str">
        <f>IFERROR(VLOOKUP(A695,'Paste - Mentors'!$A:$F,6,0),"")</f>
        <v>FNB</v>
      </c>
      <c r="E695" s="9" t="str">
        <f>IFERROR(VLOOKUP(A695,'Paste - Mentors'!$A:$E,5,0),"")</f>
        <v>South Africa</v>
      </c>
      <c r="F695" s="9">
        <f>IF(A695="","",COUNTIFS('Paste - Relationships'!$A:$A,A695,'Paste - Relationships'!$AE:$AE,""))</f>
        <v>0</v>
      </c>
      <c r="G695" s="9" t="str">
        <f t="shared" si="10"/>
        <v>Available</v>
      </c>
      <c r="H695" s="9" t="str">
        <f>IF(A695="","",IF(COUNTIF('Programme Mentors'!$A:$A,A695)&gt;0,"Enrolled","—"))</f>
        <v>—</v>
      </c>
    </row>
    <row r="696" spans="1:8" ht="14.25" customHeight="1" x14ac:dyDescent="0.3">
      <c r="A696" s="43">
        <f>'Paste - Mentors'!A696</f>
        <v>5180015</v>
      </c>
      <c r="B696" s="3" t="str">
        <f>IFERROR(VLOOKUP(A696,'Paste - Mentors'!$A:$B,2,0),"")</f>
        <v>Jennifer Dutton</v>
      </c>
      <c r="C696" s="3" t="str">
        <f>IFERROR(VLOOKUP(A696,'Paste - Mentors'!$A:$D,4,0),"")</f>
        <v>Career Mentor</v>
      </c>
      <c r="D696" s="43" t="str">
        <f>IFERROR(VLOOKUP(A696,'Paste - Mentors'!$A:$F,6,0),"")</f>
        <v>FNB</v>
      </c>
      <c r="E696" s="43" t="str">
        <f>IFERROR(VLOOKUP(A696,'Paste - Mentors'!$A:$E,5,0),"")</f>
        <v>South Africa</v>
      </c>
      <c r="F696" s="43">
        <f>IF(A696="","",COUNTIFS('Paste - Relationships'!$A:$A,A696,'Paste - Relationships'!$AE:$AE,""))</f>
        <v>0</v>
      </c>
      <c r="G696" s="43" t="str">
        <f t="shared" si="10"/>
        <v>Available</v>
      </c>
      <c r="H696" s="43" t="str">
        <f>IF(A696="","",IF(COUNTIF('Programme Mentors'!$A:$A,A696)&gt;0,"Enrolled","—"))</f>
        <v>—</v>
      </c>
    </row>
    <row r="697" spans="1:8" ht="14.25" customHeight="1" x14ac:dyDescent="0.3">
      <c r="A697" s="9">
        <f>'Paste - Mentors'!A697</f>
        <v>5180082</v>
      </c>
      <c r="B697" s="4" t="str">
        <f>IFERROR(VLOOKUP(A697,'Paste - Mentors'!$A:$B,2,0),"")</f>
        <v>Rashida Rawat</v>
      </c>
      <c r="C697" s="4" t="str">
        <f>IFERROR(VLOOKUP(A697,'Paste - Mentors'!$A:$D,4,0),"")</f>
        <v>Career Mentor</v>
      </c>
      <c r="D697" s="9" t="str">
        <f>IFERROR(VLOOKUP(A697,'Paste - Mentors'!$A:$F,6,0),"")</f>
        <v>FNB</v>
      </c>
      <c r="E697" s="9" t="str">
        <f>IFERROR(VLOOKUP(A697,'Paste - Mentors'!$A:$E,5,0),"")</f>
        <v>South Africa</v>
      </c>
      <c r="F697" s="9">
        <f>IF(A697="","",COUNTIFS('Paste - Relationships'!$A:$A,A697,'Paste - Relationships'!$AE:$AE,""))</f>
        <v>0</v>
      </c>
      <c r="G697" s="9" t="str">
        <f t="shared" si="10"/>
        <v>Available</v>
      </c>
      <c r="H697" s="9" t="str">
        <f>IF(A697="","",IF(COUNTIF('Programme Mentors'!$A:$A,A697)&gt;0,"Enrolled","—"))</f>
        <v>—</v>
      </c>
    </row>
    <row r="698" spans="1:8" ht="14.25" customHeight="1" x14ac:dyDescent="0.3">
      <c r="A698" s="43">
        <f>'Paste - Mentors'!A698</f>
        <v>5180163</v>
      </c>
      <c r="B698" s="3" t="str">
        <f>IFERROR(VLOOKUP(A698,'Paste - Mentors'!$A:$B,2,0),"")</f>
        <v>Geraldine Parker</v>
      </c>
      <c r="C698" s="3" t="str">
        <f>IFERROR(VLOOKUP(A698,'Paste - Mentors'!$A:$D,4,0),"")</f>
        <v>Technical Mentor</v>
      </c>
      <c r="D698" s="43" t="str">
        <f>IFERROR(VLOOKUP(A698,'Paste - Mentors'!$A:$F,6,0),"")</f>
        <v>FNB</v>
      </c>
      <c r="E698" s="43" t="str">
        <f>IFERROR(VLOOKUP(A698,'Paste - Mentors'!$A:$E,5,0),"")</f>
        <v>South Africa</v>
      </c>
      <c r="F698" s="43">
        <f>IF(A698="","",COUNTIFS('Paste - Relationships'!$A:$A,A698,'Paste - Relationships'!$AE:$AE,""))</f>
        <v>0</v>
      </c>
      <c r="G698" s="43" t="str">
        <f t="shared" si="10"/>
        <v>Available</v>
      </c>
      <c r="H698" s="43" t="str">
        <f>IF(A698="","",IF(COUNTIF('Programme Mentors'!$A:$A,A698)&gt;0,"Enrolled","—"))</f>
        <v>—</v>
      </c>
    </row>
    <row r="699" spans="1:8" ht="14.25" customHeight="1" x14ac:dyDescent="0.3">
      <c r="A699" s="9">
        <f>'Paste - Mentors'!A699</f>
        <v>5181704</v>
      </c>
      <c r="B699" s="4" t="str">
        <f>IFERROR(VLOOKUP(A699,'Paste - Mentors'!$A:$B,2,0),"")</f>
        <v>Lihle Nkala</v>
      </c>
      <c r="C699" s="4" t="str">
        <f>IFERROR(VLOOKUP(A699,'Paste - Mentors'!$A:$D,4,0),"")</f>
        <v>Career Mentor</v>
      </c>
      <c r="D699" s="9" t="str">
        <f>IFERROR(VLOOKUP(A699,'Paste - Mentors'!$A:$F,6,0),"")</f>
        <v>FNB</v>
      </c>
      <c r="E699" s="9" t="str">
        <f>IFERROR(VLOOKUP(A699,'Paste - Mentors'!$A:$E,5,0),"")</f>
        <v>South Africa</v>
      </c>
      <c r="F699" s="9">
        <f>IF(A699="","",COUNTIFS('Paste - Relationships'!$A:$A,A699,'Paste - Relationships'!$AE:$AE,""))</f>
        <v>0</v>
      </c>
      <c r="G699" s="9" t="str">
        <f t="shared" si="10"/>
        <v>Available</v>
      </c>
      <c r="H699" s="9" t="str">
        <f>IF(A699="","",IF(COUNTIF('Programme Mentors'!$A:$A,A699)&gt;0,"Enrolled","—"))</f>
        <v>—</v>
      </c>
    </row>
    <row r="700" spans="1:8" ht="14.25" customHeight="1" x14ac:dyDescent="0.3">
      <c r="A700" s="43">
        <f>'Paste - Mentors'!A700</f>
        <v>5182840</v>
      </c>
      <c r="B700" s="3" t="str">
        <f>IFERROR(VLOOKUP(A700,'Paste - Mentors'!$A:$B,2,0),"")</f>
        <v>Laylaa Mahomed</v>
      </c>
      <c r="C700" s="3" t="str">
        <f>IFERROR(VLOOKUP(A700,'Paste - Mentors'!$A:$D,4,0),"")</f>
        <v>Career Mentor</v>
      </c>
      <c r="D700" s="43" t="str">
        <f>IFERROR(VLOOKUP(A700,'Paste - Mentors'!$A:$F,6,0),"")</f>
        <v>FNB</v>
      </c>
      <c r="E700" s="43" t="str">
        <f>IFERROR(VLOOKUP(A700,'Paste - Mentors'!$A:$E,5,0),"")</f>
        <v>South Africa</v>
      </c>
      <c r="F700" s="43">
        <f>IF(A700="","",COUNTIFS('Paste - Relationships'!$A:$A,A700,'Paste - Relationships'!$AE:$AE,""))</f>
        <v>0</v>
      </c>
      <c r="G700" s="43" t="str">
        <f t="shared" si="10"/>
        <v>Available</v>
      </c>
      <c r="H700" s="43" t="str">
        <f>IF(A700="","",IF(COUNTIF('Programme Mentors'!$A:$A,A700)&gt;0,"Enrolled","—"))</f>
        <v>—</v>
      </c>
    </row>
    <row r="701" spans="1:8" ht="14.25" customHeight="1" x14ac:dyDescent="0.3">
      <c r="A701" s="9">
        <f>'Paste - Mentors'!A701</f>
        <v>5182859</v>
      </c>
      <c r="B701" s="4" t="str">
        <f>IFERROR(VLOOKUP(A701,'Paste - Mentors'!$A:$B,2,0),"")</f>
        <v>Sudeshni Gounden</v>
      </c>
      <c r="C701" s="4" t="str">
        <f>IFERROR(VLOOKUP(A701,'Paste - Mentors'!$A:$D,4,0),"")</f>
        <v>Career Mentor</v>
      </c>
      <c r="D701" s="9" t="str">
        <f>IFERROR(VLOOKUP(A701,'Paste - Mentors'!$A:$F,6,0),"")</f>
        <v>FirstRand Corporate Centre</v>
      </c>
      <c r="E701" s="9" t="str">
        <f>IFERROR(VLOOKUP(A701,'Paste - Mentors'!$A:$E,5,0),"")</f>
        <v>South Africa</v>
      </c>
      <c r="F701" s="9">
        <f>IF(A701="","",COUNTIFS('Paste - Relationships'!$A:$A,A701,'Paste - Relationships'!$AE:$AE,""))</f>
        <v>0</v>
      </c>
      <c r="G701" s="9" t="str">
        <f t="shared" si="10"/>
        <v>Available</v>
      </c>
      <c r="H701" s="9" t="str">
        <f>IF(A701="","",IF(COUNTIF('Programme Mentors'!$A:$A,A701)&gt;0,"Enrolled","—"))</f>
        <v>—</v>
      </c>
    </row>
    <row r="702" spans="1:8" ht="33.75" customHeight="1" x14ac:dyDescent="0.3">
      <c r="A702" s="43">
        <f>'Paste - Mentors'!A702</f>
        <v>5184851</v>
      </c>
      <c r="B702" s="3" t="str">
        <f>IFERROR(VLOOKUP(A702,'Paste - Mentors'!$A:$B,2,0),"")</f>
        <v>Annanda Basson</v>
      </c>
      <c r="C702" s="3" t="str">
        <f>IFERROR(VLOOKUP(A702,'Paste - Mentors'!$A:$D,4,0),"")</f>
        <v>Career Mentor
Technical Mentor</v>
      </c>
      <c r="D702" s="43" t="str">
        <f>IFERROR(VLOOKUP(A702,'Paste - Mentors'!$A:$F,6,0),"")</f>
        <v>RMB</v>
      </c>
      <c r="E702" s="43" t="str">
        <f>IFERROR(VLOOKUP(A702,'Paste - Mentors'!$A:$E,5,0),"")</f>
        <v>South Africa</v>
      </c>
      <c r="F702" s="43">
        <f>IF(A702="","",COUNTIFS('Paste - Relationships'!$A:$A,A702,'Paste - Relationships'!$AE:$AE,""))</f>
        <v>1</v>
      </c>
      <c r="G702" s="43" t="str">
        <f t="shared" si="10"/>
        <v>Has Capacity</v>
      </c>
      <c r="H702" s="43" t="str">
        <f>IF(A702="","",IF(COUNTIF('Programme Mentors'!$A:$A,A702)&gt;0,"Enrolled","—"))</f>
        <v>—</v>
      </c>
    </row>
    <row r="703" spans="1:8" ht="33.75" customHeight="1" x14ac:dyDescent="0.3">
      <c r="A703" s="9">
        <f>'Paste - Mentors'!A703</f>
        <v>5186838</v>
      </c>
      <c r="B703" s="4" t="str">
        <f>IFERROR(VLOOKUP(A703,'Paste - Mentors'!$A:$B,2,0),"")</f>
        <v>Tsholofelo Mathye</v>
      </c>
      <c r="C703" s="4" t="str">
        <f>IFERROR(VLOOKUP(A703,'Paste - Mentors'!$A:$D,4,0),"")</f>
        <v>Career Mentor
Leadership Mentor
Workplace  Buddy</v>
      </c>
      <c r="D703" s="9" t="str">
        <f>IFERROR(VLOOKUP(A703,'Paste - Mentors'!$A:$F,6,0),"")</f>
        <v>FNB</v>
      </c>
      <c r="E703" s="9" t="str">
        <f>IFERROR(VLOOKUP(A703,'Paste - Mentors'!$A:$E,5,0),"")</f>
        <v>South Africa</v>
      </c>
      <c r="F703" s="9">
        <f>IF(A703="","",COUNTIFS('Paste - Relationships'!$A:$A,A703,'Paste - Relationships'!$AE:$AE,""))</f>
        <v>0</v>
      </c>
      <c r="G703" s="9" t="str">
        <f t="shared" si="10"/>
        <v>Available</v>
      </c>
      <c r="H703" s="9" t="str">
        <f>IF(A703="","",IF(COUNTIF('Programme Mentors'!$A:$A,A703)&gt;0,"Enrolled","—"))</f>
        <v>—</v>
      </c>
    </row>
    <row r="704" spans="1:8" ht="57" customHeight="1" x14ac:dyDescent="0.3">
      <c r="A704" s="43">
        <f>'Paste - Mentors'!A704</f>
        <v>5188180</v>
      </c>
      <c r="B704" s="3" t="str">
        <f>IFERROR(VLOOKUP(A704,'Paste - Mentors'!$A:$B,2,0),"")</f>
        <v>Siphamandla Mkhwanazi</v>
      </c>
      <c r="C704" s="3" t="str">
        <f>IFERROR(VLOOKUP(A704,'Paste - Mentors'!$A:$D,4,0),"")</f>
        <v>Career Mentor</v>
      </c>
      <c r="D704" s="43" t="str">
        <f>IFERROR(VLOOKUP(A704,'Paste - Mentors'!$A:$F,6,0),"")</f>
        <v>FNB</v>
      </c>
      <c r="E704" s="43" t="str">
        <f>IFERROR(VLOOKUP(A704,'Paste - Mentors'!$A:$E,5,0),"")</f>
        <v>South Africa</v>
      </c>
      <c r="F704" s="43">
        <f>IF(A704="","",COUNTIFS('Paste - Relationships'!$A:$A,A704,'Paste - Relationships'!$AE:$AE,""))</f>
        <v>0</v>
      </c>
      <c r="G704" s="43" t="str">
        <f t="shared" si="10"/>
        <v>Available</v>
      </c>
      <c r="H704" s="43" t="str">
        <f>IF(A704="","",IF(COUNTIF('Programme Mentors'!$A:$A,A704)&gt;0,"Enrolled","—"))</f>
        <v>—</v>
      </c>
    </row>
    <row r="705" spans="1:8" ht="14.25" customHeight="1" x14ac:dyDescent="0.3">
      <c r="A705" s="9">
        <f>'Paste - Mentors'!A705</f>
        <v>5189306</v>
      </c>
      <c r="B705" s="4" t="str">
        <f>IFERROR(VLOOKUP(A705,'Paste - Mentors'!$A:$B,2,0),"")</f>
        <v>Andries Jordaan</v>
      </c>
      <c r="C705" s="4" t="str">
        <f>IFERROR(VLOOKUP(A705,'Paste - Mentors'!$A:$D,4,0),"")</f>
        <v>Career Mentor</v>
      </c>
      <c r="D705" s="9" t="str">
        <f>IFERROR(VLOOKUP(A705,'Paste - Mentors'!$A:$F,6,0),"")</f>
        <v>FNB</v>
      </c>
      <c r="E705" s="9" t="str">
        <f>IFERROR(VLOOKUP(A705,'Paste - Mentors'!$A:$E,5,0),"")</f>
        <v>South Africa</v>
      </c>
      <c r="F705" s="9">
        <f>IF(A705="","",COUNTIFS('Paste - Relationships'!$A:$A,A705,'Paste - Relationships'!$AE:$AE,""))</f>
        <v>0</v>
      </c>
      <c r="G705" s="9" t="str">
        <f t="shared" si="10"/>
        <v>Available</v>
      </c>
      <c r="H705" s="9" t="str">
        <f>IF(A705="","",IF(COUNTIF('Programme Mentors'!$A:$A,A705)&gt;0,"Enrolled","—"))</f>
        <v>—</v>
      </c>
    </row>
    <row r="706" spans="1:8" ht="14.25" customHeight="1" x14ac:dyDescent="0.3">
      <c r="A706" s="43">
        <f>'Paste - Mentors'!A706</f>
        <v>5189365</v>
      </c>
      <c r="B706" s="3" t="str">
        <f>IFERROR(VLOOKUP(A706,'Paste - Mentors'!$A:$B,2,0),"")</f>
        <v>Shaun Caromba</v>
      </c>
      <c r="C706" s="3" t="str">
        <f>IFERROR(VLOOKUP(A706,'Paste - Mentors'!$A:$D,4,0),"")</f>
        <v>Career Mentor</v>
      </c>
      <c r="D706" s="43" t="str">
        <f>IFERROR(VLOOKUP(A706,'Paste - Mentors'!$A:$F,6,0),"")</f>
        <v>FNB</v>
      </c>
      <c r="E706" s="43" t="str">
        <f>IFERROR(VLOOKUP(A706,'Paste - Mentors'!$A:$E,5,0),"")</f>
        <v>South Africa</v>
      </c>
      <c r="F706" s="43">
        <f>IF(A706="","",COUNTIFS('Paste - Relationships'!$A:$A,A706,'Paste - Relationships'!$AE:$AE,""))</f>
        <v>1</v>
      </c>
      <c r="G706" s="43" t="str">
        <f t="shared" si="10"/>
        <v>Has Capacity</v>
      </c>
      <c r="H706" s="43" t="str">
        <f>IF(A706="","",IF(COUNTIF('Programme Mentors'!$A:$A,A706)&gt;0,"Enrolled","—"))</f>
        <v>—</v>
      </c>
    </row>
    <row r="707" spans="1:8" ht="14.25" customHeight="1" x14ac:dyDescent="0.3">
      <c r="A707" s="9">
        <f>'Paste - Mentors'!A707</f>
        <v>5189543</v>
      </c>
      <c r="B707" s="4" t="str">
        <f>IFERROR(VLOOKUP(A707,'Paste - Mentors'!$A:$B,2,0),"")</f>
        <v>Nolwazi Ndlovu</v>
      </c>
      <c r="C707" s="4" t="str">
        <f>IFERROR(VLOOKUP(A707,'Paste - Mentors'!$A:$D,4,0),"")</f>
        <v>Career Mentor</v>
      </c>
      <c r="D707" s="9" t="str">
        <f>IFERROR(VLOOKUP(A707,'Paste - Mentors'!$A:$F,6,0),"")</f>
        <v>FNB</v>
      </c>
      <c r="E707" s="9" t="str">
        <f>IFERROR(VLOOKUP(A707,'Paste - Mentors'!$A:$E,5,0),"")</f>
        <v>South Africa</v>
      </c>
      <c r="F707" s="9">
        <f>IF(A707="","",COUNTIFS('Paste - Relationships'!$A:$A,A707,'Paste - Relationships'!$AE:$AE,""))</f>
        <v>0</v>
      </c>
      <c r="G707" s="9" t="str">
        <f t="shared" si="10"/>
        <v>Available</v>
      </c>
      <c r="H707" s="9" t="str">
        <f>IF(A707="","",IF(COUNTIF('Programme Mentors'!$A:$A,A707)&gt;0,"Enrolled","—"))</f>
        <v>—</v>
      </c>
    </row>
    <row r="708" spans="1:8" ht="14.25" customHeight="1" x14ac:dyDescent="0.3">
      <c r="A708" s="43">
        <f>'Paste - Mentors'!A708</f>
        <v>5191297</v>
      </c>
      <c r="B708" s="3" t="str">
        <f>IFERROR(VLOOKUP(A708,'Paste - Mentors'!$A:$B,2,0),"")</f>
        <v>Cherise Coetzee-stein</v>
      </c>
      <c r="C708" s="3" t="str">
        <f>IFERROR(VLOOKUP(A708,'Paste - Mentors'!$A:$D,4,0),"")</f>
        <v>Career Mentor</v>
      </c>
      <c r="D708" s="43" t="str">
        <f>IFERROR(VLOOKUP(A708,'Paste - Mentors'!$A:$F,6,0),"")</f>
        <v>FNB</v>
      </c>
      <c r="E708" s="43" t="str">
        <f>IFERROR(VLOOKUP(A708,'Paste - Mentors'!$A:$E,5,0),"")</f>
        <v>South Africa</v>
      </c>
      <c r="F708" s="43">
        <f>IF(A708="","",COUNTIFS('Paste - Relationships'!$A:$A,A708,'Paste - Relationships'!$AE:$AE,""))</f>
        <v>0</v>
      </c>
      <c r="G708" s="43" t="str">
        <f t="shared" ref="G708:G771" si="11">IF(A708="","",IF(F708&gt;=3,"At Capacity",IF(F708=0,"Available","Has Capacity")))</f>
        <v>Available</v>
      </c>
      <c r="H708" s="43" t="str">
        <f>IF(A708="","",IF(COUNTIF('Programme Mentors'!$A:$A,A708)&gt;0,"Enrolled","—"))</f>
        <v>—</v>
      </c>
    </row>
    <row r="709" spans="1:8" ht="14.25" customHeight="1" x14ac:dyDescent="0.3">
      <c r="A709" s="9">
        <f>'Paste - Mentors'!A709</f>
        <v>5201918</v>
      </c>
      <c r="B709" s="4" t="str">
        <f>IFERROR(VLOOKUP(A709,'Paste - Mentors'!$A:$B,2,0),"")</f>
        <v>Fatima Kasoojee</v>
      </c>
      <c r="C709" s="4" t="str">
        <f>IFERROR(VLOOKUP(A709,'Paste - Mentors'!$A:$D,4,0),"")</f>
        <v>Career Mentor</v>
      </c>
      <c r="D709" s="9" t="str">
        <f>IFERROR(VLOOKUP(A709,'Paste - Mentors'!$A:$F,6,0),"")</f>
        <v>FNB</v>
      </c>
      <c r="E709" s="9" t="str">
        <f>IFERROR(VLOOKUP(A709,'Paste - Mentors'!$A:$E,5,0),"")</f>
        <v>South Africa</v>
      </c>
      <c r="F709" s="9">
        <f>IF(A709="","",COUNTIFS('Paste - Relationships'!$A:$A,A709,'Paste - Relationships'!$AE:$AE,""))</f>
        <v>1</v>
      </c>
      <c r="G709" s="9" t="str">
        <f t="shared" si="11"/>
        <v>Has Capacity</v>
      </c>
      <c r="H709" s="9" t="str">
        <f>IF(A709="","",IF(COUNTIF('Programme Mentors'!$A:$A,A709)&gt;0,"Enrolled","—"))</f>
        <v>—</v>
      </c>
    </row>
    <row r="710" spans="1:8" ht="14.25" customHeight="1" x14ac:dyDescent="0.3">
      <c r="A710" s="43">
        <f>'Paste - Mentors'!A710</f>
        <v>5202175</v>
      </c>
      <c r="B710" s="3" t="str">
        <f>IFERROR(VLOOKUP(A710,'Paste - Mentors'!$A:$B,2,0),"")</f>
        <v>Claire Carson</v>
      </c>
      <c r="C710" s="3">
        <f>IFERROR(VLOOKUP(A710,'Paste - Mentors'!$A:$D,4,0),"")</f>
        <v>0</v>
      </c>
      <c r="D710" s="43" t="str">
        <f>IFERROR(VLOOKUP(A710,'Paste - Mentors'!$A:$F,6,0),"")</f>
        <v>RMB</v>
      </c>
      <c r="E710" s="43" t="str">
        <f>IFERROR(VLOOKUP(A710,'Paste - Mentors'!$A:$E,5,0),"")</f>
        <v>South Africa</v>
      </c>
      <c r="F710" s="43">
        <f>IF(A710="","",COUNTIFS('Paste - Relationships'!$A:$A,A710,'Paste - Relationships'!$AE:$AE,""))</f>
        <v>0</v>
      </c>
      <c r="G710" s="43" t="str">
        <f t="shared" si="11"/>
        <v>Available</v>
      </c>
      <c r="H710" s="43" t="str">
        <f>IF(A710="","",IF(COUNTIF('Programme Mentors'!$A:$A,A710)&gt;0,"Enrolled","—"))</f>
        <v>—</v>
      </c>
    </row>
    <row r="711" spans="1:8" ht="14.25" customHeight="1" x14ac:dyDescent="0.3">
      <c r="A711" s="9">
        <f>'Paste - Mentors'!A711</f>
        <v>5209137</v>
      </c>
      <c r="B711" s="4" t="str">
        <f>IFERROR(VLOOKUP(A711,'Paste - Mentors'!$A:$B,2,0),"")</f>
        <v>Olivia Randriamady</v>
      </c>
      <c r="C711" s="4" t="str">
        <f>IFERROR(VLOOKUP(A711,'Paste - Mentors'!$A:$D,4,0),"")</f>
        <v>Career Mentor</v>
      </c>
      <c r="D711" s="9" t="str">
        <f>IFERROR(VLOOKUP(A711,'Paste - Mentors'!$A:$F,6,0),"")</f>
        <v>WesBank</v>
      </c>
      <c r="E711" s="9" t="str">
        <f>IFERROR(VLOOKUP(A711,'Paste - Mentors'!$A:$E,5,0),"")</f>
        <v>South Africa</v>
      </c>
      <c r="F711" s="9">
        <f>IF(A711="","",COUNTIFS('Paste - Relationships'!$A:$A,A711,'Paste - Relationships'!$AE:$AE,""))</f>
        <v>0</v>
      </c>
      <c r="G711" s="9" t="str">
        <f t="shared" si="11"/>
        <v>Available</v>
      </c>
      <c r="H711" s="9" t="str">
        <f>IF(A711="","",IF(COUNTIF('Programme Mentors'!$A:$A,A711)&gt;0,"Enrolled","—"))</f>
        <v>—</v>
      </c>
    </row>
    <row r="712" spans="1:8" ht="14.25" customHeight="1" x14ac:dyDescent="0.3">
      <c r="A712" s="43">
        <f>'Paste - Mentors'!A712</f>
        <v>5216788</v>
      </c>
      <c r="B712" s="3" t="str">
        <f>IFERROR(VLOOKUP(A712,'Paste - Mentors'!$A:$B,2,0),"")</f>
        <v>Wanda Ndabambi</v>
      </c>
      <c r="C712" s="3" t="str">
        <f>IFERROR(VLOOKUP(A712,'Paste - Mentors'!$A:$D,4,0),"")</f>
        <v>Career Mentor</v>
      </c>
      <c r="D712" s="43" t="str">
        <f>IFERROR(VLOOKUP(A712,'Paste - Mentors'!$A:$F,6,0),"")</f>
        <v>FNB</v>
      </c>
      <c r="E712" s="43" t="str">
        <f>IFERROR(VLOOKUP(A712,'Paste - Mentors'!$A:$E,5,0),"")</f>
        <v>South Africa</v>
      </c>
      <c r="F712" s="43">
        <f>IF(A712="","",COUNTIFS('Paste - Relationships'!$A:$A,A712,'Paste - Relationships'!$AE:$AE,""))</f>
        <v>0</v>
      </c>
      <c r="G712" s="43" t="str">
        <f t="shared" si="11"/>
        <v>Available</v>
      </c>
      <c r="H712" s="43" t="str">
        <f>IF(A712="","",IF(COUNTIF('Programme Mentors'!$A:$A,A712)&gt;0,"Enrolled","—"))</f>
        <v>—</v>
      </c>
    </row>
    <row r="713" spans="1:8" ht="14.25" customHeight="1" x14ac:dyDescent="0.3">
      <c r="A713" s="9">
        <f>'Paste - Mentors'!A713</f>
        <v>5218209</v>
      </c>
      <c r="B713" s="4" t="str">
        <f>IFERROR(VLOOKUP(A713,'Paste - Mentors'!$A:$B,2,0),"")</f>
        <v>Unathi Ndyaluvane</v>
      </c>
      <c r="C713" s="4" t="str">
        <f>IFERROR(VLOOKUP(A713,'Paste - Mentors'!$A:$D,4,0),"")</f>
        <v>Career Mentor
Technical Mentor
Workplace  Buddy</v>
      </c>
      <c r="D713" s="9" t="str">
        <f>IFERROR(VLOOKUP(A713,'Paste - Mentors'!$A:$F,6,0),"")</f>
        <v>RMB</v>
      </c>
      <c r="E713" s="9" t="str">
        <f>IFERROR(VLOOKUP(A713,'Paste - Mentors'!$A:$E,5,0),"")</f>
        <v>South Africa</v>
      </c>
      <c r="F713" s="9">
        <f>IF(A713="","",COUNTIFS('Paste - Relationships'!$A:$A,A713,'Paste - Relationships'!$AE:$AE,""))</f>
        <v>0</v>
      </c>
      <c r="G713" s="9" t="str">
        <f t="shared" si="11"/>
        <v>Available</v>
      </c>
      <c r="H713" s="9" t="str">
        <f>IF(A713="","",IF(COUNTIF('Programme Mentors'!$A:$A,A713)&gt;0,"Enrolled","—"))</f>
        <v>—</v>
      </c>
    </row>
    <row r="714" spans="1:8" ht="57" customHeight="1" x14ac:dyDescent="0.3">
      <c r="A714" s="43">
        <f>'Paste - Mentors'!A714</f>
        <v>5218233</v>
      </c>
      <c r="B714" s="3" t="str">
        <f>IFERROR(VLOOKUP(A714,'Paste - Mentors'!$A:$B,2,0),"")</f>
        <v>Melissa Delie</v>
      </c>
      <c r="C714" s="3" t="str">
        <f>IFERROR(VLOOKUP(A714,'Paste - Mentors'!$A:$D,4,0),"")</f>
        <v>Career Mentor</v>
      </c>
      <c r="D714" s="43" t="str">
        <f>IFERROR(VLOOKUP(A714,'Paste - Mentors'!$A:$F,6,0),"")</f>
        <v>FirstRand Corporate Centre</v>
      </c>
      <c r="E714" s="43" t="str">
        <f>IFERROR(VLOOKUP(A714,'Paste - Mentors'!$A:$E,5,0),"")</f>
        <v>South Africa</v>
      </c>
      <c r="F714" s="43">
        <f>IF(A714="","",COUNTIFS('Paste - Relationships'!$A:$A,A714,'Paste - Relationships'!$AE:$AE,""))</f>
        <v>1</v>
      </c>
      <c r="G714" s="43" t="str">
        <f t="shared" si="11"/>
        <v>Has Capacity</v>
      </c>
      <c r="H714" s="43" t="str">
        <f>IF(A714="","",IF(COUNTIF('Programme Mentors'!$A:$A,A714)&gt;0,"Enrolled","—"))</f>
        <v>—</v>
      </c>
    </row>
    <row r="715" spans="1:8" ht="33.75" customHeight="1" x14ac:dyDescent="0.3">
      <c r="A715" s="9">
        <f>'Paste - Mentors'!A715</f>
        <v>5219604</v>
      </c>
      <c r="B715" s="4" t="str">
        <f>IFERROR(VLOOKUP(A715,'Paste - Mentors'!$A:$B,2,0),"")</f>
        <v>Tebogo Mashigo</v>
      </c>
      <c r="C715" s="4" t="str">
        <f>IFERROR(VLOOKUP(A715,'Paste - Mentors'!$A:$D,4,0),"")</f>
        <v>Technical Mentor</v>
      </c>
      <c r="D715" s="9" t="str">
        <f>IFERROR(VLOOKUP(A715,'Paste - Mentors'!$A:$F,6,0),"")</f>
        <v>FNB</v>
      </c>
      <c r="E715" s="9" t="str">
        <f>IFERROR(VLOOKUP(A715,'Paste - Mentors'!$A:$E,5,0),"")</f>
        <v>South Africa</v>
      </c>
      <c r="F715" s="9">
        <f>IF(A715="","",COUNTIFS('Paste - Relationships'!$A:$A,A715,'Paste - Relationships'!$AE:$AE,""))</f>
        <v>0</v>
      </c>
      <c r="G715" s="9" t="str">
        <f t="shared" si="11"/>
        <v>Available</v>
      </c>
      <c r="H715" s="9" t="str">
        <f>IF(A715="","",IF(COUNTIF('Programme Mentors'!$A:$A,A715)&gt;0,"Enrolled","—"))</f>
        <v>—</v>
      </c>
    </row>
    <row r="716" spans="1:8" ht="14.25" customHeight="1" x14ac:dyDescent="0.3">
      <c r="A716" s="43">
        <f>'Paste - Mentors'!A716</f>
        <v>5225310</v>
      </c>
      <c r="B716" s="3" t="str">
        <f>IFERROR(VLOOKUP(A716,'Paste - Mentors'!$A:$B,2,0),"")</f>
        <v>Ragel Shivute</v>
      </c>
      <c r="C716" s="3" t="str">
        <f>IFERROR(VLOOKUP(A716,'Paste - Mentors'!$A:$D,4,0),"")</f>
        <v>Career Mentor
Leadership Mentor
Transition Mentor
Workplace  Buddy</v>
      </c>
      <c r="D716" s="43" t="str">
        <f>IFERROR(VLOOKUP(A716,'Paste - Mentors'!$A:$F,6,0),"")</f>
        <v>FNB</v>
      </c>
      <c r="E716" s="43" t="str">
        <f>IFERROR(VLOOKUP(A716,'Paste - Mentors'!$A:$E,5,0),"")</f>
        <v>Namibia</v>
      </c>
      <c r="F716" s="43">
        <f>IF(A716="","",COUNTIFS('Paste - Relationships'!$A:$A,A716,'Paste - Relationships'!$AE:$AE,""))</f>
        <v>0</v>
      </c>
      <c r="G716" s="43" t="str">
        <f t="shared" si="11"/>
        <v>Available</v>
      </c>
      <c r="H716" s="43" t="str">
        <f>IF(A716="","",IF(COUNTIF('Programme Mentors'!$A:$A,A716)&gt;0,"Enrolled","—"))</f>
        <v>—</v>
      </c>
    </row>
    <row r="717" spans="1:8" ht="79.5" customHeight="1" x14ac:dyDescent="0.3">
      <c r="A717" s="9">
        <f>'Paste - Mentors'!A717</f>
        <v>5230160</v>
      </c>
      <c r="B717" s="4" t="str">
        <f>IFERROR(VLOOKUP(A717,'Paste - Mentors'!$A:$B,2,0),"")</f>
        <v>Gaylene Walters</v>
      </c>
      <c r="C717" s="4" t="str">
        <f>IFERROR(VLOOKUP(A717,'Paste - Mentors'!$A:$D,4,0),"")</f>
        <v>Career Mentor</v>
      </c>
      <c r="D717" s="9" t="str">
        <f>IFERROR(VLOOKUP(A717,'Paste - Mentors'!$A:$F,6,0),"")</f>
        <v>FNB</v>
      </c>
      <c r="E717" s="9" t="str">
        <f>IFERROR(VLOOKUP(A717,'Paste - Mentors'!$A:$E,5,0),"")</f>
        <v>South Africa</v>
      </c>
      <c r="F717" s="9">
        <f>IF(A717="","",COUNTIFS('Paste - Relationships'!$A:$A,A717,'Paste - Relationships'!$AE:$AE,""))</f>
        <v>0</v>
      </c>
      <c r="G717" s="9" t="str">
        <f t="shared" si="11"/>
        <v>Available</v>
      </c>
      <c r="H717" s="9" t="str">
        <f>IF(A717="","",IF(COUNTIF('Programme Mentors'!$A:$A,A717)&gt;0,"Enrolled","—"))</f>
        <v>—</v>
      </c>
    </row>
    <row r="718" spans="1:8" ht="14.25" customHeight="1" x14ac:dyDescent="0.3">
      <c r="A718" s="43">
        <f>'Paste - Mentors'!A718</f>
        <v>5231302</v>
      </c>
      <c r="B718" s="3" t="str">
        <f>IFERROR(VLOOKUP(A718,'Paste - Mentors'!$A:$B,2,0),"")</f>
        <v>Sihle Kwaaiman</v>
      </c>
      <c r="C718" s="3" t="str">
        <f>IFERROR(VLOOKUP(A718,'Paste - Mentors'!$A:$D,4,0),"")</f>
        <v>Career Mentor</v>
      </c>
      <c r="D718" s="43" t="str">
        <f>IFERROR(VLOOKUP(A718,'Paste - Mentors'!$A:$F,6,0),"")</f>
        <v>FNB</v>
      </c>
      <c r="E718" s="43" t="str">
        <f>IFERROR(VLOOKUP(A718,'Paste - Mentors'!$A:$E,5,0),"")</f>
        <v>South Africa</v>
      </c>
      <c r="F718" s="43">
        <f>IF(A718="","",COUNTIFS('Paste - Relationships'!$A:$A,A718,'Paste - Relationships'!$AE:$AE,""))</f>
        <v>0</v>
      </c>
      <c r="G718" s="43" t="str">
        <f t="shared" si="11"/>
        <v>Available</v>
      </c>
      <c r="H718" s="43" t="str">
        <f>IF(A718="","",IF(COUNTIF('Programme Mentors'!$A:$A,A718)&gt;0,"Enrolled","—"))</f>
        <v>—</v>
      </c>
    </row>
    <row r="719" spans="1:8" ht="14.25" customHeight="1" x14ac:dyDescent="0.3">
      <c r="A719" s="9">
        <f>'Paste - Mentors'!A719</f>
        <v>5231345</v>
      </c>
      <c r="B719" s="4" t="str">
        <f>IFERROR(VLOOKUP(A719,'Paste - Mentors'!$A:$B,2,0),"")</f>
        <v>Tracy Johnson</v>
      </c>
      <c r="C719" s="4" t="str">
        <f>IFERROR(VLOOKUP(A719,'Paste - Mentors'!$A:$D,4,0),"")</f>
        <v>Career Mentor</v>
      </c>
      <c r="D719" s="9" t="str">
        <f>IFERROR(VLOOKUP(A719,'Paste - Mentors'!$A:$F,6,0),"")</f>
        <v>FNB</v>
      </c>
      <c r="E719" s="9" t="str">
        <f>IFERROR(VLOOKUP(A719,'Paste - Mentors'!$A:$E,5,0),"")</f>
        <v>South Africa</v>
      </c>
      <c r="F719" s="9">
        <f>IF(A719="","",COUNTIFS('Paste - Relationships'!$A:$A,A719,'Paste - Relationships'!$AE:$AE,""))</f>
        <v>0</v>
      </c>
      <c r="G719" s="9" t="str">
        <f t="shared" si="11"/>
        <v>Available</v>
      </c>
      <c r="H719" s="9" t="str">
        <f>IF(A719="","",IF(COUNTIF('Programme Mentors'!$A:$A,A719)&gt;0,"Enrolled","—"))</f>
        <v>—</v>
      </c>
    </row>
    <row r="720" spans="1:8" ht="14.25" customHeight="1" x14ac:dyDescent="0.3">
      <c r="A720" s="43">
        <f>'Paste - Mentors'!A720</f>
        <v>5234735</v>
      </c>
      <c r="B720" s="3" t="str">
        <f>IFERROR(VLOOKUP(A720,'Paste - Mentors'!$A:$B,2,0),"")</f>
        <v>Bronwin Londt</v>
      </c>
      <c r="C720" s="3" t="str">
        <f>IFERROR(VLOOKUP(A720,'Paste - Mentors'!$A:$D,4,0),"")</f>
        <v>Career Mentor
Transition Mentor
Workplace  Buddy</v>
      </c>
      <c r="D720" s="43" t="str">
        <f>IFERROR(VLOOKUP(A720,'Paste - Mentors'!$A:$F,6,0),"")</f>
        <v>FNB</v>
      </c>
      <c r="E720" s="43" t="str">
        <f>IFERROR(VLOOKUP(A720,'Paste - Mentors'!$A:$E,5,0),"")</f>
        <v>South Africa</v>
      </c>
      <c r="F720" s="43">
        <f>IF(A720="","",COUNTIFS('Paste - Relationships'!$A:$A,A720,'Paste - Relationships'!$AE:$AE,""))</f>
        <v>0</v>
      </c>
      <c r="G720" s="43" t="str">
        <f t="shared" si="11"/>
        <v>Available</v>
      </c>
      <c r="H720" s="43" t="str">
        <f>IF(A720="","",IF(COUNTIF('Programme Mentors'!$A:$A,A720)&gt;0,"Enrolled","—"))</f>
        <v>—</v>
      </c>
    </row>
    <row r="721" spans="1:8" ht="57" customHeight="1" x14ac:dyDescent="0.3">
      <c r="A721" s="9">
        <f>'Paste - Mentors'!A721</f>
        <v>5235049</v>
      </c>
      <c r="B721" s="4" t="str">
        <f>IFERROR(VLOOKUP(A721,'Paste - Mentors'!$A:$B,2,0),"")</f>
        <v>Rialivhuwa Mudau</v>
      </c>
      <c r="C721" s="4" t="str">
        <f>IFERROR(VLOOKUP(A721,'Paste - Mentors'!$A:$D,4,0),"")</f>
        <v>Career Mentor</v>
      </c>
      <c r="D721" s="9" t="str">
        <f>IFERROR(VLOOKUP(A721,'Paste - Mentors'!$A:$F,6,0),"")</f>
        <v>FNB</v>
      </c>
      <c r="E721" s="9" t="str">
        <f>IFERROR(VLOOKUP(A721,'Paste - Mentors'!$A:$E,5,0),"")</f>
        <v>South Africa</v>
      </c>
      <c r="F721" s="9">
        <f>IF(A721="","",COUNTIFS('Paste - Relationships'!$A:$A,A721,'Paste - Relationships'!$AE:$AE,""))</f>
        <v>1</v>
      </c>
      <c r="G721" s="9" t="str">
        <f t="shared" si="11"/>
        <v>Has Capacity</v>
      </c>
      <c r="H721" s="9" t="str">
        <f>IF(A721="","",IF(COUNTIF('Programme Mentors'!$A:$A,A721)&gt;0,"Enrolled","—"))</f>
        <v>—</v>
      </c>
    </row>
    <row r="722" spans="1:8" ht="14.25" customHeight="1" x14ac:dyDescent="0.3">
      <c r="A722" s="43">
        <f>'Paste - Mentors'!A722</f>
        <v>5235103</v>
      </c>
      <c r="B722" s="3" t="str">
        <f>IFERROR(VLOOKUP(A722,'Paste - Mentors'!$A:$B,2,0),"")</f>
        <v>Nomgqibelo Msimango</v>
      </c>
      <c r="C722" s="3" t="str">
        <f>IFERROR(VLOOKUP(A722,'Paste - Mentors'!$A:$D,4,0),"")</f>
        <v>Career Mentor</v>
      </c>
      <c r="D722" s="43" t="str">
        <f>IFERROR(VLOOKUP(A722,'Paste - Mentors'!$A:$F,6,0),"")</f>
        <v>FNB</v>
      </c>
      <c r="E722" s="43" t="str">
        <f>IFERROR(VLOOKUP(A722,'Paste - Mentors'!$A:$E,5,0),"")</f>
        <v>South Africa</v>
      </c>
      <c r="F722" s="43">
        <f>IF(A722="","",COUNTIFS('Paste - Relationships'!$A:$A,A722,'Paste - Relationships'!$AE:$AE,""))</f>
        <v>0</v>
      </c>
      <c r="G722" s="43" t="str">
        <f t="shared" si="11"/>
        <v>Available</v>
      </c>
      <c r="H722" s="43" t="str">
        <f>IF(A722="","",IF(COUNTIF('Programme Mentors'!$A:$A,A722)&gt;0,"Enrolled","—"))</f>
        <v>—</v>
      </c>
    </row>
    <row r="723" spans="1:8" ht="14.25" customHeight="1" x14ac:dyDescent="0.3">
      <c r="A723" s="9">
        <f>'Paste - Mentors'!A723</f>
        <v>5238722</v>
      </c>
      <c r="B723" s="4" t="str">
        <f>IFERROR(VLOOKUP(A723,'Paste - Mentors'!$A:$B,2,0),"")</f>
        <v>Wesley Francis</v>
      </c>
      <c r="C723" s="4" t="str">
        <f>IFERROR(VLOOKUP(A723,'Paste - Mentors'!$A:$D,4,0),"")</f>
        <v>Career Mentor</v>
      </c>
      <c r="D723" s="9" t="str">
        <f>IFERROR(VLOOKUP(A723,'Paste - Mentors'!$A:$F,6,0),"")</f>
        <v>FNB</v>
      </c>
      <c r="E723" s="9" t="str">
        <f>IFERROR(VLOOKUP(A723,'Paste - Mentors'!$A:$E,5,0),"")</f>
        <v>South Africa</v>
      </c>
      <c r="F723" s="9">
        <f>IF(A723="","",COUNTIFS('Paste - Relationships'!$A:$A,A723,'Paste - Relationships'!$AE:$AE,""))</f>
        <v>0</v>
      </c>
      <c r="G723" s="9" t="str">
        <f t="shared" si="11"/>
        <v>Available</v>
      </c>
      <c r="H723" s="9" t="str">
        <f>IF(A723="","",IF(COUNTIF('Programme Mentors'!$A:$A,A723)&gt;0,"Enrolled","—"))</f>
        <v>—</v>
      </c>
    </row>
    <row r="724" spans="1:8" ht="14.25" customHeight="1" x14ac:dyDescent="0.3">
      <c r="A724" s="43">
        <f>'Paste - Mentors'!A724</f>
        <v>5240301</v>
      </c>
      <c r="B724" s="3" t="str">
        <f>IFERROR(VLOOKUP(A724,'Paste - Mentors'!$A:$B,2,0),"")</f>
        <v>Majdah Mathews</v>
      </c>
      <c r="C724" s="3" t="str">
        <f>IFERROR(VLOOKUP(A724,'Paste - Mentors'!$A:$D,4,0),"")</f>
        <v>Career Mentor</v>
      </c>
      <c r="D724" s="43" t="str">
        <f>IFERROR(VLOOKUP(A724,'Paste - Mentors'!$A:$F,6,0),"")</f>
        <v>FNB</v>
      </c>
      <c r="E724" s="43" t="str">
        <f>IFERROR(VLOOKUP(A724,'Paste - Mentors'!$A:$E,5,0),"")</f>
        <v>South Africa</v>
      </c>
      <c r="F724" s="43">
        <f>IF(A724="","",COUNTIFS('Paste - Relationships'!$A:$A,A724,'Paste - Relationships'!$AE:$AE,""))</f>
        <v>0</v>
      </c>
      <c r="G724" s="43" t="str">
        <f t="shared" si="11"/>
        <v>Available</v>
      </c>
      <c r="H724" s="43" t="str">
        <f>IF(A724="","",IF(COUNTIF('Programme Mentors'!$A:$A,A724)&gt;0,"Enrolled","—"))</f>
        <v>—</v>
      </c>
    </row>
    <row r="725" spans="1:8" ht="14.25" customHeight="1" x14ac:dyDescent="0.3">
      <c r="A725" s="9">
        <f>'Paste - Mentors'!A725</f>
        <v>5241340</v>
      </c>
      <c r="B725" s="4" t="str">
        <f>IFERROR(VLOOKUP(A725,'Paste - Mentors'!$A:$B,2,0),"")</f>
        <v>Ruben Smith</v>
      </c>
      <c r="C725" s="4" t="str">
        <f>IFERROR(VLOOKUP(A725,'Paste - Mentors'!$A:$D,4,0),"")</f>
        <v>Career Mentor</v>
      </c>
      <c r="D725" s="9" t="str">
        <f>IFERROR(VLOOKUP(A725,'Paste - Mentors'!$A:$F,6,0),"")</f>
        <v>FNB</v>
      </c>
      <c r="E725" s="9" t="str">
        <f>IFERROR(VLOOKUP(A725,'Paste - Mentors'!$A:$E,5,0),"")</f>
        <v>South Africa</v>
      </c>
      <c r="F725" s="9">
        <f>IF(A725="","",COUNTIFS('Paste - Relationships'!$A:$A,A725,'Paste - Relationships'!$AE:$AE,""))</f>
        <v>0</v>
      </c>
      <c r="G725" s="9" t="str">
        <f t="shared" si="11"/>
        <v>Available</v>
      </c>
      <c r="H725" s="9" t="str">
        <f>IF(A725="","",IF(COUNTIF('Programme Mentors'!$A:$A,A725)&gt;0,"Enrolled","—"))</f>
        <v>—</v>
      </c>
    </row>
    <row r="726" spans="1:8" ht="14.25" customHeight="1" x14ac:dyDescent="0.3">
      <c r="A726" s="43">
        <f>'Paste - Mentors'!A726</f>
        <v>5242118</v>
      </c>
      <c r="B726" s="3" t="str">
        <f>IFERROR(VLOOKUP(A726,'Paste - Mentors'!$A:$B,2,0),"")</f>
        <v>Asanda Grimis</v>
      </c>
      <c r="C726" s="3" t="str">
        <f>IFERROR(VLOOKUP(A726,'Paste - Mentors'!$A:$D,4,0),"")</f>
        <v>Career Mentor</v>
      </c>
      <c r="D726" s="43" t="str">
        <f>IFERROR(VLOOKUP(A726,'Paste - Mentors'!$A:$F,6,0),"")</f>
        <v>FNB</v>
      </c>
      <c r="E726" s="43" t="str">
        <f>IFERROR(VLOOKUP(A726,'Paste - Mentors'!$A:$E,5,0),"")</f>
        <v>South Africa</v>
      </c>
      <c r="F726" s="43">
        <f>IF(A726="","",COUNTIFS('Paste - Relationships'!$A:$A,A726,'Paste - Relationships'!$AE:$AE,""))</f>
        <v>0</v>
      </c>
      <c r="G726" s="43" t="str">
        <f t="shared" si="11"/>
        <v>Available</v>
      </c>
      <c r="H726" s="43" t="str">
        <f>IF(A726="","",IF(COUNTIF('Programme Mentors'!$A:$A,A726)&gt;0,"Enrolled","—"))</f>
        <v>—</v>
      </c>
    </row>
    <row r="727" spans="1:8" ht="14.25" customHeight="1" x14ac:dyDescent="0.3">
      <c r="A727" s="9">
        <f>'Paste - Mentors'!A727</f>
        <v>5242444</v>
      </c>
      <c r="B727" s="4" t="str">
        <f>IFERROR(VLOOKUP(A727,'Paste - Mentors'!$A:$B,2,0),"")</f>
        <v>Afreen Kumandan</v>
      </c>
      <c r="C727" s="4" t="str">
        <f>IFERROR(VLOOKUP(A727,'Paste - Mentors'!$A:$D,4,0),"")</f>
        <v>Career Mentor</v>
      </c>
      <c r="D727" s="9" t="str">
        <f>IFERROR(VLOOKUP(A727,'Paste - Mentors'!$A:$F,6,0),"")</f>
        <v>FNB</v>
      </c>
      <c r="E727" s="9" t="str">
        <f>IFERROR(VLOOKUP(A727,'Paste - Mentors'!$A:$E,5,0),"")</f>
        <v>South Africa</v>
      </c>
      <c r="F727" s="9">
        <f>IF(A727="","",COUNTIFS('Paste - Relationships'!$A:$A,A727,'Paste - Relationships'!$AE:$AE,""))</f>
        <v>0</v>
      </c>
      <c r="G727" s="9" t="str">
        <f t="shared" si="11"/>
        <v>Available</v>
      </c>
      <c r="H727" s="9" t="str">
        <f>IF(A727="","",IF(COUNTIF('Programme Mentors'!$A:$A,A727)&gt;0,"Enrolled","—"))</f>
        <v>—</v>
      </c>
    </row>
    <row r="728" spans="1:8" ht="14.25" customHeight="1" x14ac:dyDescent="0.3">
      <c r="A728" s="43">
        <f>'Paste - Mentors'!A728</f>
        <v>5244005</v>
      </c>
      <c r="B728" s="3" t="str">
        <f>IFERROR(VLOOKUP(A728,'Paste - Mentors'!$A:$B,2,0),"")</f>
        <v>Gavyn Letley</v>
      </c>
      <c r="C728" s="3" t="str">
        <f>IFERROR(VLOOKUP(A728,'Paste - Mentors'!$A:$D,4,0),"")</f>
        <v>Career Mentor</v>
      </c>
      <c r="D728" s="43" t="str">
        <f>IFERROR(VLOOKUP(A728,'Paste - Mentors'!$A:$F,6,0),"")</f>
        <v>FNB</v>
      </c>
      <c r="E728" s="43" t="str">
        <f>IFERROR(VLOOKUP(A728,'Paste - Mentors'!$A:$E,5,0),"")</f>
        <v>South Africa</v>
      </c>
      <c r="F728" s="43">
        <f>IF(A728="","",COUNTIFS('Paste - Relationships'!$A:$A,A728,'Paste - Relationships'!$AE:$AE,""))</f>
        <v>0</v>
      </c>
      <c r="G728" s="43" t="str">
        <f t="shared" si="11"/>
        <v>Available</v>
      </c>
      <c r="H728" s="43" t="str">
        <f>IF(A728="","",IF(COUNTIF('Programme Mentors'!$A:$A,A728)&gt;0,"Enrolled","—"))</f>
        <v>—</v>
      </c>
    </row>
    <row r="729" spans="1:8" ht="14.25" customHeight="1" x14ac:dyDescent="0.3">
      <c r="A729" s="9">
        <f>'Paste - Mentors'!A729</f>
        <v>5244552</v>
      </c>
      <c r="B729" s="4" t="str">
        <f>IFERROR(VLOOKUP(A729,'Paste - Mentors'!$A:$B,2,0),"")</f>
        <v>Loren Johnson</v>
      </c>
      <c r="C729" s="4" t="str">
        <f>IFERROR(VLOOKUP(A729,'Paste - Mentors'!$A:$D,4,0),"")</f>
        <v>Career Mentor
Leadership Mentor
Technical Mentor
Workplace  Buddy</v>
      </c>
      <c r="D729" s="9" t="str">
        <f>IFERROR(VLOOKUP(A729,'Paste - Mentors'!$A:$F,6,0),"")</f>
        <v>FNB</v>
      </c>
      <c r="E729" s="9" t="str">
        <f>IFERROR(VLOOKUP(A729,'Paste - Mentors'!$A:$E,5,0),"")</f>
        <v>South Africa</v>
      </c>
      <c r="F729" s="9">
        <f>IF(A729="","",COUNTIFS('Paste - Relationships'!$A:$A,A729,'Paste - Relationships'!$AE:$AE,""))</f>
        <v>0</v>
      </c>
      <c r="G729" s="9" t="str">
        <f t="shared" si="11"/>
        <v>Available</v>
      </c>
      <c r="H729" s="9" t="str">
        <f>IF(A729="","",IF(COUNTIF('Programme Mentors'!$A:$A,A729)&gt;0,"Enrolled","—"))</f>
        <v>—</v>
      </c>
    </row>
    <row r="730" spans="1:8" ht="79.5" customHeight="1" x14ac:dyDescent="0.3">
      <c r="A730" s="43">
        <f>'Paste - Mentors'!A730</f>
        <v>5244676</v>
      </c>
      <c r="B730" s="3" t="str">
        <f>IFERROR(VLOOKUP(A730,'Paste - Mentors'!$A:$B,2,0),"")</f>
        <v>Denver Wayne Daniels</v>
      </c>
      <c r="C730" s="3" t="str">
        <f>IFERROR(VLOOKUP(A730,'Paste - Mentors'!$A:$D,4,0),"")</f>
        <v>Career Mentor</v>
      </c>
      <c r="D730" s="43" t="str">
        <f>IFERROR(VLOOKUP(A730,'Paste - Mentors'!$A:$F,6,0),"")</f>
        <v>FNB</v>
      </c>
      <c r="E730" s="43" t="str">
        <f>IFERROR(VLOOKUP(A730,'Paste - Mentors'!$A:$E,5,0),"")</f>
        <v>South Africa</v>
      </c>
      <c r="F730" s="43">
        <f>IF(A730="","",COUNTIFS('Paste - Relationships'!$A:$A,A730,'Paste - Relationships'!$AE:$AE,""))</f>
        <v>0</v>
      </c>
      <c r="G730" s="43" t="str">
        <f t="shared" si="11"/>
        <v>Available</v>
      </c>
      <c r="H730" s="43" t="str">
        <f>IF(A730="","",IF(COUNTIF('Programme Mentors'!$A:$A,A730)&gt;0,"Enrolled","—"))</f>
        <v>—</v>
      </c>
    </row>
    <row r="731" spans="1:8" ht="14.25" customHeight="1" x14ac:dyDescent="0.3">
      <c r="A731" s="9">
        <f>'Paste - Mentors'!A731</f>
        <v>5246091</v>
      </c>
      <c r="B731" s="4" t="str">
        <f>IFERROR(VLOOKUP(A731,'Paste - Mentors'!$A:$B,2,0),"")</f>
        <v>Elne Jacobs</v>
      </c>
      <c r="C731" s="4" t="str">
        <f>IFERROR(VLOOKUP(A731,'Paste - Mentors'!$A:$D,4,0),"")</f>
        <v>Career Mentor
Leadership Mentor</v>
      </c>
      <c r="D731" s="9" t="str">
        <f>IFERROR(VLOOKUP(A731,'Paste - Mentors'!$A:$F,6,0),"")</f>
        <v>FNB</v>
      </c>
      <c r="E731" s="9" t="str">
        <f>IFERROR(VLOOKUP(A731,'Paste - Mentors'!$A:$E,5,0),"")</f>
        <v>South Africa</v>
      </c>
      <c r="F731" s="9">
        <f>IF(A731="","",COUNTIFS('Paste - Relationships'!$A:$A,A731,'Paste - Relationships'!$AE:$AE,""))</f>
        <v>0</v>
      </c>
      <c r="G731" s="9" t="str">
        <f t="shared" si="11"/>
        <v>Available</v>
      </c>
      <c r="H731" s="9" t="str">
        <f>IF(A731="","",IF(COUNTIF('Programme Mentors'!$A:$A,A731)&gt;0,"Enrolled","—"))</f>
        <v>—</v>
      </c>
    </row>
    <row r="732" spans="1:8" ht="33.75" customHeight="1" x14ac:dyDescent="0.3">
      <c r="A732" s="43">
        <f>'Paste - Mentors'!A732</f>
        <v>5246229</v>
      </c>
      <c r="B732" s="3" t="str">
        <f>IFERROR(VLOOKUP(A732,'Paste - Mentors'!$A:$B,2,0),"")</f>
        <v>Hermann Schutzler</v>
      </c>
      <c r="C732" s="3" t="str">
        <f>IFERROR(VLOOKUP(A732,'Paste - Mentors'!$A:$D,4,0),"")</f>
        <v>Career Mentor</v>
      </c>
      <c r="D732" s="43" t="str">
        <f>IFERROR(VLOOKUP(A732,'Paste - Mentors'!$A:$F,6,0),"")</f>
        <v>FNB</v>
      </c>
      <c r="E732" s="43" t="str">
        <f>IFERROR(VLOOKUP(A732,'Paste - Mentors'!$A:$E,5,0),"")</f>
        <v>South Africa</v>
      </c>
      <c r="F732" s="43">
        <f>IF(A732="","",COUNTIFS('Paste - Relationships'!$A:$A,A732,'Paste - Relationships'!$AE:$AE,""))</f>
        <v>0</v>
      </c>
      <c r="G732" s="43" t="str">
        <f t="shared" si="11"/>
        <v>Available</v>
      </c>
      <c r="H732" s="43" t="str">
        <f>IF(A732="","",IF(COUNTIF('Programme Mentors'!$A:$A,A732)&gt;0,"Enrolled","—"))</f>
        <v>—</v>
      </c>
    </row>
    <row r="733" spans="1:8" ht="14.25" customHeight="1" x14ac:dyDescent="0.3">
      <c r="A733" s="9">
        <f>'Paste - Mentors'!A733</f>
        <v>5247861</v>
      </c>
      <c r="B733" s="4" t="str">
        <f>IFERROR(VLOOKUP(A733,'Paste - Mentors'!$A:$B,2,0),"")</f>
        <v>Amanda Ramba</v>
      </c>
      <c r="C733" s="4" t="str">
        <f>IFERROR(VLOOKUP(A733,'Paste - Mentors'!$A:$D,4,0),"")</f>
        <v>Career Mentor</v>
      </c>
      <c r="D733" s="9" t="str">
        <f>IFERROR(VLOOKUP(A733,'Paste - Mentors'!$A:$F,6,0),"")</f>
        <v>FNB</v>
      </c>
      <c r="E733" s="9" t="str">
        <f>IFERROR(VLOOKUP(A733,'Paste - Mentors'!$A:$E,5,0),"")</f>
        <v>South Africa</v>
      </c>
      <c r="F733" s="9">
        <f>IF(A733="","",COUNTIFS('Paste - Relationships'!$A:$A,A733,'Paste - Relationships'!$AE:$AE,""))</f>
        <v>0</v>
      </c>
      <c r="G733" s="9" t="str">
        <f t="shared" si="11"/>
        <v>Available</v>
      </c>
      <c r="H733" s="9" t="str">
        <f>IF(A733="","",IF(COUNTIF('Programme Mentors'!$A:$A,A733)&gt;0,"Enrolled","—"))</f>
        <v>—</v>
      </c>
    </row>
    <row r="734" spans="1:8" ht="14.25" customHeight="1" x14ac:dyDescent="0.3">
      <c r="A734" s="43">
        <f>'Paste - Mentors'!A734</f>
        <v>5248469</v>
      </c>
      <c r="B734" s="3" t="str">
        <f>IFERROR(VLOOKUP(A734,'Paste - Mentors'!$A:$B,2,0),"")</f>
        <v>Eptisaam Morris-Norman</v>
      </c>
      <c r="C734" s="3" t="str">
        <f>IFERROR(VLOOKUP(A734,'Paste - Mentors'!$A:$D,4,0),"")</f>
        <v>Career Mentor</v>
      </c>
      <c r="D734" s="43" t="str">
        <f>IFERROR(VLOOKUP(A734,'Paste - Mentors'!$A:$F,6,0),"")</f>
        <v>FNB</v>
      </c>
      <c r="E734" s="43" t="str">
        <f>IFERROR(VLOOKUP(A734,'Paste - Mentors'!$A:$E,5,0),"")</f>
        <v>South Africa</v>
      </c>
      <c r="F734" s="43">
        <f>IF(A734="","",COUNTIFS('Paste - Relationships'!$A:$A,A734,'Paste - Relationships'!$AE:$AE,""))</f>
        <v>0</v>
      </c>
      <c r="G734" s="43" t="str">
        <f t="shared" si="11"/>
        <v>Available</v>
      </c>
      <c r="H734" s="43" t="str">
        <f>IF(A734="","",IF(COUNTIF('Programme Mentors'!$A:$A,A734)&gt;0,"Enrolled","—"))</f>
        <v>—</v>
      </c>
    </row>
    <row r="735" spans="1:8" ht="14.25" customHeight="1" x14ac:dyDescent="0.3">
      <c r="A735" s="9">
        <f>'Paste - Mentors'!A735</f>
        <v>5248698</v>
      </c>
      <c r="B735" s="4" t="str">
        <f>IFERROR(VLOOKUP(A735,'Paste - Mentors'!$A:$B,2,0),"")</f>
        <v>Megan Petersen</v>
      </c>
      <c r="C735" s="4" t="str">
        <f>IFERROR(VLOOKUP(A735,'Paste - Mentors'!$A:$D,4,0),"")</f>
        <v>Career Mentor</v>
      </c>
      <c r="D735" s="9" t="str">
        <f>IFERROR(VLOOKUP(A735,'Paste - Mentors'!$A:$F,6,0),"")</f>
        <v>FNB</v>
      </c>
      <c r="E735" s="9" t="str">
        <f>IFERROR(VLOOKUP(A735,'Paste - Mentors'!$A:$E,5,0),"")</f>
        <v>South Africa</v>
      </c>
      <c r="F735" s="9">
        <f>IF(A735="","",COUNTIFS('Paste - Relationships'!$A:$A,A735,'Paste - Relationships'!$AE:$AE,""))</f>
        <v>0</v>
      </c>
      <c r="G735" s="9" t="str">
        <f t="shared" si="11"/>
        <v>Available</v>
      </c>
      <c r="H735" s="9" t="str">
        <f>IF(A735="","",IF(COUNTIF('Programme Mentors'!$A:$A,A735)&gt;0,"Enrolled","—"))</f>
        <v>—</v>
      </c>
    </row>
    <row r="736" spans="1:8" ht="14.25" customHeight="1" x14ac:dyDescent="0.3">
      <c r="A736" s="43">
        <f>'Paste - Mentors'!A736</f>
        <v>5249627</v>
      </c>
      <c r="B736" s="3" t="str">
        <f>IFERROR(VLOOKUP(A736,'Paste - Mentors'!$A:$B,2,0),"")</f>
        <v>Zulyga Patel</v>
      </c>
      <c r="C736" s="3" t="str">
        <f>IFERROR(VLOOKUP(A736,'Paste - Mentors'!$A:$D,4,0),"")</f>
        <v>Career Mentor</v>
      </c>
      <c r="D736" s="43" t="str">
        <f>IFERROR(VLOOKUP(A736,'Paste - Mentors'!$A:$F,6,0),"")</f>
        <v>FNB</v>
      </c>
      <c r="E736" s="43" t="str">
        <f>IFERROR(VLOOKUP(A736,'Paste - Mentors'!$A:$E,5,0),"")</f>
        <v>South Africa</v>
      </c>
      <c r="F736" s="43">
        <f>IF(A736="","",COUNTIFS('Paste - Relationships'!$A:$A,A736,'Paste - Relationships'!$AE:$AE,""))</f>
        <v>0</v>
      </c>
      <c r="G736" s="43" t="str">
        <f t="shared" si="11"/>
        <v>Available</v>
      </c>
      <c r="H736" s="43" t="str">
        <f>IF(A736="","",IF(COUNTIF('Programme Mentors'!$A:$A,A736)&gt;0,"Enrolled","—"))</f>
        <v>—</v>
      </c>
    </row>
    <row r="737" spans="1:8" ht="14.25" customHeight="1" x14ac:dyDescent="0.3">
      <c r="A737" s="9">
        <f>'Paste - Mentors'!A737</f>
        <v>5249996</v>
      </c>
      <c r="B737" s="4" t="str">
        <f>IFERROR(VLOOKUP(A737,'Paste - Mentors'!$A:$B,2,0),"")</f>
        <v>Masood Titus</v>
      </c>
      <c r="C737" s="4" t="str">
        <f>IFERROR(VLOOKUP(A737,'Paste - Mentors'!$A:$D,4,0),"")</f>
        <v>Career Mentor</v>
      </c>
      <c r="D737" s="9" t="str">
        <f>IFERROR(VLOOKUP(A737,'Paste - Mentors'!$A:$F,6,0),"")</f>
        <v>FNB</v>
      </c>
      <c r="E737" s="9" t="str">
        <f>IFERROR(VLOOKUP(A737,'Paste - Mentors'!$A:$E,5,0),"")</f>
        <v>South Africa</v>
      </c>
      <c r="F737" s="9">
        <f>IF(A737="","",COUNTIFS('Paste - Relationships'!$A:$A,A737,'Paste - Relationships'!$AE:$AE,""))</f>
        <v>0</v>
      </c>
      <c r="G737" s="9" t="str">
        <f t="shared" si="11"/>
        <v>Available</v>
      </c>
      <c r="H737" s="9" t="str">
        <f>IF(A737="","",IF(COUNTIF('Programme Mentors'!$A:$A,A737)&gt;0,"Enrolled","—"))</f>
        <v>—</v>
      </c>
    </row>
    <row r="738" spans="1:8" ht="14.25" customHeight="1" x14ac:dyDescent="0.3">
      <c r="A738" s="43">
        <f>'Paste - Mentors'!A738</f>
        <v>5250587</v>
      </c>
      <c r="B738" s="3" t="str">
        <f>IFERROR(VLOOKUP(A738,'Paste - Mentors'!$A:$B,2,0),"")</f>
        <v>Rida Lutta</v>
      </c>
      <c r="C738" s="3" t="str">
        <f>IFERROR(VLOOKUP(A738,'Paste - Mentors'!$A:$D,4,0),"")</f>
        <v>Career Mentor</v>
      </c>
      <c r="D738" s="43" t="str">
        <f>IFERROR(VLOOKUP(A738,'Paste - Mentors'!$A:$F,6,0),"")</f>
        <v>FNB</v>
      </c>
      <c r="E738" s="43" t="str">
        <f>IFERROR(VLOOKUP(A738,'Paste - Mentors'!$A:$E,5,0),"")</f>
        <v>South Africa</v>
      </c>
      <c r="F738" s="43">
        <f>IF(A738="","",COUNTIFS('Paste - Relationships'!$A:$A,A738,'Paste - Relationships'!$AE:$AE,""))</f>
        <v>0</v>
      </c>
      <c r="G738" s="43" t="str">
        <f t="shared" si="11"/>
        <v>Available</v>
      </c>
      <c r="H738" s="43" t="str">
        <f>IF(A738="","",IF(COUNTIF('Programme Mentors'!$A:$A,A738)&gt;0,"Enrolled","—"))</f>
        <v>—</v>
      </c>
    </row>
    <row r="739" spans="1:8" ht="14.25" customHeight="1" x14ac:dyDescent="0.3">
      <c r="A739" s="9">
        <f>'Paste - Mentors'!A739</f>
        <v>5251109</v>
      </c>
      <c r="B739" s="4" t="str">
        <f>IFERROR(VLOOKUP(A739,'Paste - Mentors'!$A:$B,2,0),"")</f>
        <v>Fiona Ssemanda</v>
      </c>
      <c r="C739" s="4" t="str">
        <f>IFERROR(VLOOKUP(A739,'Paste - Mentors'!$A:$D,4,0),"")</f>
        <v>Leadership Mentor</v>
      </c>
      <c r="D739" s="9" t="str">
        <f>IFERROR(VLOOKUP(A739,'Paste - Mentors'!$A:$F,6,0),"")</f>
        <v>FNB</v>
      </c>
      <c r="E739" s="9" t="str">
        <f>IFERROR(VLOOKUP(A739,'Paste - Mentors'!$A:$E,5,0),"")</f>
        <v>South Africa</v>
      </c>
      <c r="F739" s="9">
        <f>IF(A739="","",COUNTIFS('Paste - Relationships'!$A:$A,A739,'Paste - Relationships'!$AE:$AE,""))</f>
        <v>0</v>
      </c>
      <c r="G739" s="9" t="str">
        <f t="shared" si="11"/>
        <v>Available</v>
      </c>
      <c r="H739" s="9" t="str">
        <f>IF(A739="","",IF(COUNTIF('Programme Mentors'!$A:$A,A739)&gt;0,"Enrolled","—"))</f>
        <v>—</v>
      </c>
    </row>
    <row r="740" spans="1:8" ht="14.25" customHeight="1" x14ac:dyDescent="0.3">
      <c r="A740" s="43">
        <f>'Paste - Mentors'!A740</f>
        <v>5251346</v>
      </c>
      <c r="B740" s="3" t="str">
        <f>IFERROR(VLOOKUP(A740,'Paste - Mentors'!$A:$B,2,0),"")</f>
        <v>Janine Wray</v>
      </c>
      <c r="C740" s="3" t="str">
        <f>IFERROR(VLOOKUP(A740,'Paste - Mentors'!$A:$D,4,0),"")</f>
        <v>Career Mentor</v>
      </c>
      <c r="D740" s="43" t="str">
        <f>IFERROR(VLOOKUP(A740,'Paste - Mentors'!$A:$F,6,0),"")</f>
        <v>FNB</v>
      </c>
      <c r="E740" s="43" t="str">
        <f>IFERROR(VLOOKUP(A740,'Paste - Mentors'!$A:$E,5,0),"")</f>
        <v>South Africa</v>
      </c>
      <c r="F740" s="43">
        <f>IF(A740="","",COUNTIFS('Paste - Relationships'!$A:$A,A740,'Paste - Relationships'!$AE:$AE,""))</f>
        <v>0</v>
      </c>
      <c r="G740" s="43" t="str">
        <f t="shared" si="11"/>
        <v>Available</v>
      </c>
      <c r="H740" s="43" t="str">
        <f>IF(A740="","",IF(COUNTIF('Programme Mentors'!$A:$A,A740)&gt;0,"Enrolled","—"))</f>
        <v>—</v>
      </c>
    </row>
    <row r="741" spans="1:8" ht="14.25" customHeight="1" x14ac:dyDescent="0.3">
      <c r="A741" s="9">
        <f>'Paste - Mentors'!A741</f>
        <v>5251443</v>
      </c>
      <c r="B741" s="4" t="str">
        <f>IFERROR(VLOOKUP(A741,'Paste - Mentors'!$A:$B,2,0),"")</f>
        <v>Nicki Hill</v>
      </c>
      <c r="C741" s="4" t="str">
        <f>IFERROR(VLOOKUP(A741,'Paste - Mentors'!$A:$D,4,0),"")</f>
        <v>Career Mentor</v>
      </c>
      <c r="D741" s="9" t="str">
        <f>IFERROR(VLOOKUP(A741,'Paste - Mentors'!$A:$F,6,0),"")</f>
        <v>FNB</v>
      </c>
      <c r="E741" s="9" t="str">
        <f>IFERROR(VLOOKUP(A741,'Paste - Mentors'!$A:$E,5,0),"")</f>
        <v>South Africa</v>
      </c>
      <c r="F741" s="9">
        <f>IF(A741="","",COUNTIFS('Paste - Relationships'!$A:$A,A741,'Paste - Relationships'!$AE:$AE,""))</f>
        <v>1</v>
      </c>
      <c r="G741" s="9" t="str">
        <f t="shared" si="11"/>
        <v>Has Capacity</v>
      </c>
      <c r="H741" s="9" t="str">
        <f>IF(A741="","",IF(COUNTIF('Programme Mentors'!$A:$A,A741)&gt;0,"Enrolled","—"))</f>
        <v>—</v>
      </c>
    </row>
    <row r="742" spans="1:8" ht="14.25" customHeight="1" x14ac:dyDescent="0.3">
      <c r="A742" s="43">
        <f>'Paste - Mentors'!A742</f>
        <v>5253160</v>
      </c>
      <c r="B742" s="3" t="str">
        <f>IFERROR(VLOOKUP(A742,'Paste - Mentors'!$A:$B,2,0),"")</f>
        <v>Methuen Fowkes</v>
      </c>
      <c r="C742" s="3" t="str">
        <f>IFERROR(VLOOKUP(A742,'Paste - Mentors'!$A:$D,4,0),"")</f>
        <v>Technical Mentor
Workplace  Buddy</v>
      </c>
      <c r="D742" s="43" t="str">
        <f>IFERROR(VLOOKUP(A742,'Paste - Mentors'!$A:$F,6,0),"")</f>
        <v>FNB</v>
      </c>
      <c r="E742" s="43" t="str">
        <f>IFERROR(VLOOKUP(A742,'Paste - Mentors'!$A:$E,5,0),"")</f>
        <v>South Africa</v>
      </c>
      <c r="F742" s="43">
        <f>IF(A742="","",COUNTIFS('Paste - Relationships'!$A:$A,A742,'Paste - Relationships'!$AE:$AE,""))</f>
        <v>0</v>
      </c>
      <c r="G742" s="43" t="str">
        <f t="shared" si="11"/>
        <v>Available</v>
      </c>
      <c r="H742" s="43" t="str">
        <f>IF(A742="","",IF(COUNTIF('Programme Mentors'!$A:$A,A742)&gt;0,"Enrolled","—"))</f>
        <v>—</v>
      </c>
    </row>
    <row r="743" spans="1:8" ht="33.75" customHeight="1" x14ac:dyDescent="0.3">
      <c r="A743" s="9">
        <f>'Paste - Mentors'!A743</f>
        <v>5256224</v>
      </c>
      <c r="B743" s="4" t="str">
        <f>IFERROR(VLOOKUP(A743,'Paste - Mentors'!$A:$B,2,0),"")</f>
        <v>Zithulele Mjiako</v>
      </c>
      <c r="C743" s="4" t="str">
        <f>IFERROR(VLOOKUP(A743,'Paste - Mentors'!$A:$D,4,0),"")</f>
        <v>Career Mentor</v>
      </c>
      <c r="D743" s="9" t="str">
        <f>IFERROR(VLOOKUP(A743,'Paste - Mentors'!$A:$F,6,0),"")</f>
        <v>FNB</v>
      </c>
      <c r="E743" s="9" t="str">
        <f>IFERROR(VLOOKUP(A743,'Paste - Mentors'!$A:$E,5,0),"")</f>
        <v>South Africa</v>
      </c>
      <c r="F743" s="9">
        <f>IF(A743="","",COUNTIFS('Paste - Relationships'!$A:$A,A743,'Paste - Relationships'!$AE:$AE,""))</f>
        <v>0</v>
      </c>
      <c r="G743" s="9" t="str">
        <f t="shared" si="11"/>
        <v>Available</v>
      </c>
      <c r="H743" s="9" t="str">
        <f>IF(A743="","",IF(COUNTIF('Programme Mentors'!$A:$A,A743)&gt;0,"Enrolled","—"))</f>
        <v>—</v>
      </c>
    </row>
    <row r="744" spans="1:8" ht="14.25" customHeight="1" x14ac:dyDescent="0.3">
      <c r="A744" s="43">
        <f>'Paste - Mentors'!A744</f>
        <v>5256984</v>
      </c>
      <c r="B744" s="3" t="str">
        <f>IFERROR(VLOOKUP(A744,'Paste - Mentors'!$A:$B,2,0),"")</f>
        <v>Thomas Tonga</v>
      </c>
      <c r="C744" s="3" t="str">
        <f>IFERROR(VLOOKUP(A744,'Paste - Mentors'!$A:$D,4,0),"")</f>
        <v>Career Mentor</v>
      </c>
      <c r="D744" s="43" t="str">
        <f>IFERROR(VLOOKUP(A744,'Paste - Mentors'!$A:$F,6,0),"")</f>
        <v>FNB</v>
      </c>
      <c r="E744" s="43" t="str">
        <f>IFERROR(VLOOKUP(A744,'Paste - Mentors'!$A:$E,5,0),"")</f>
        <v>South Africa</v>
      </c>
      <c r="F744" s="43">
        <f>IF(A744="","",COUNTIFS('Paste - Relationships'!$A:$A,A744,'Paste - Relationships'!$AE:$AE,""))</f>
        <v>0</v>
      </c>
      <c r="G744" s="43" t="str">
        <f t="shared" si="11"/>
        <v>Available</v>
      </c>
      <c r="H744" s="43" t="str">
        <f>IF(A744="","",IF(COUNTIF('Programme Mentors'!$A:$A,A744)&gt;0,"Enrolled","—"))</f>
        <v>—</v>
      </c>
    </row>
    <row r="745" spans="1:8" ht="14.25" customHeight="1" x14ac:dyDescent="0.3">
      <c r="A745" s="9">
        <f>'Paste - Mentors'!A745</f>
        <v>5258219</v>
      </c>
      <c r="B745" s="4" t="str">
        <f>IFERROR(VLOOKUP(A745,'Paste - Mentors'!$A:$B,2,0),"")</f>
        <v>Umphile Moroe</v>
      </c>
      <c r="C745" s="4" t="str">
        <f>IFERROR(VLOOKUP(A745,'Paste - Mentors'!$A:$D,4,0),"")</f>
        <v>Career Mentor</v>
      </c>
      <c r="D745" s="9" t="str">
        <f>IFERROR(VLOOKUP(A745,'Paste - Mentors'!$A:$F,6,0),"")</f>
        <v>FNB</v>
      </c>
      <c r="E745" s="9" t="str">
        <f>IFERROR(VLOOKUP(A745,'Paste - Mentors'!$A:$E,5,0),"")</f>
        <v>South Africa</v>
      </c>
      <c r="F745" s="9">
        <f>IF(A745="","",COUNTIFS('Paste - Relationships'!$A:$A,A745,'Paste - Relationships'!$AE:$AE,""))</f>
        <v>1</v>
      </c>
      <c r="G745" s="9" t="str">
        <f t="shared" si="11"/>
        <v>Has Capacity</v>
      </c>
      <c r="H745" s="9" t="str">
        <f>IF(A745="","",IF(COUNTIF('Programme Mentors'!$A:$A,A745)&gt;0,"Enrolled","—"))</f>
        <v>—</v>
      </c>
    </row>
    <row r="746" spans="1:8" ht="14.25" customHeight="1" x14ac:dyDescent="0.3">
      <c r="A746" s="43">
        <f>'Paste - Mentors'!A746</f>
        <v>5258626</v>
      </c>
      <c r="B746" s="3" t="str">
        <f>IFERROR(VLOOKUP(A746,'Paste - Mentors'!$A:$B,2,0),"")</f>
        <v>Karabo Mohlala</v>
      </c>
      <c r="C746" s="3">
        <f>IFERROR(VLOOKUP(A746,'Paste - Mentors'!$A:$D,4,0),"")</f>
        <v>0</v>
      </c>
      <c r="D746" s="43" t="str">
        <f>IFERROR(VLOOKUP(A746,'Paste - Mentors'!$A:$F,6,0),"")</f>
        <v>FNB</v>
      </c>
      <c r="E746" s="43" t="str">
        <f>IFERROR(VLOOKUP(A746,'Paste - Mentors'!$A:$E,5,0),"")</f>
        <v>South Africa</v>
      </c>
      <c r="F746" s="43">
        <f>IF(A746="","",COUNTIFS('Paste - Relationships'!$A:$A,A746,'Paste - Relationships'!$AE:$AE,""))</f>
        <v>0</v>
      </c>
      <c r="G746" s="43" t="str">
        <f t="shared" si="11"/>
        <v>Available</v>
      </c>
      <c r="H746" s="43" t="str">
        <f>IF(A746="","",IF(COUNTIF('Programme Mentors'!$A:$A,A746)&gt;0,"Enrolled","—"))</f>
        <v>—</v>
      </c>
    </row>
    <row r="747" spans="1:8" ht="14.25" customHeight="1" x14ac:dyDescent="0.3">
      <c r="A747" s="9">
        <f>'Paste - Mentors'!A747</f>
        <v>5262690</v>
      </c>
      <c r="B747" s="4" t="str">
        <f>IFERROR(VLOOKUP(A747,'Paste - Mentors'!$A:$B,2,0),"")</f>
        <v>Ridwaan Eshak</v>
      </c>
      <c r="C747" s="4" t="str">
        <f>IFERROR(VLOOKUP(A747,'Paste - Mentors'!$A:$D,4,0),"")</f>
        <v>Career Mentor</v>
      </c>
      <c r="D747" s="9" t="str">
        <f>IFERROR(VLOOKUP(A747,'Paste - Mentors'!$A:$F,6,0),"")</f>
        <v>FNB</v>
      </c>
      <c r="E747" s="9" t="str">
        <f>IFERROR(VLOOKUP(A747,'Paste - Mentors'!$A:$E,5,0),"")</f>
        <v>South Africa</v>
      </c>
      <c r="F747" s="9">
        <f>IF(A747="","",COUNTIFS('Paste - Relationships'!$A:$A,A747,'Paste - Relationships'!$AE:$AE,""))</f>
        <v>0</v>
      </c>
      <c r="G747" s="9" t="str">
        <f t="shared" si="11"/>
        <v>Available</v>
      </c>
      <c r="H747" s="9" t="str">
        <f>IF(A747="","",IF(COUNTIF('Programme Mentors'!$A:$A,A747)&gt;0,"Enrolled","—"))</f>
        <v>—</v>
      </c>
    </row>
    <row r="748" spans="1:8" ht="14.25" customHeight="1" x14ac:dyDescent="0.3">
      <c r="A748" s="43">
        <f>'Paste - Mentors'!A748</f>
        <v>5263026</v>
      </c>
      <c r="B748" s="3" t="str">
        <f>IFERROR(VLOOKUP(A748,'Paste - Mentors'!$A:$B,2,0),"")</f>
        <v>Thabang Mashilo</v>
      </c>
      <c r="C748" s="3" t="str">
        <f>IFERROR(VLOOKUP(A748,'Paste - Mentors'!$A:$D,4,0),"")</f>
        <v>Career Mentor</v>
      </c>
      <c r="D748" s="43" t="str">
        <f>IFERROR(VLOOKUP(A748,'Paste - Mentors'!$A:$F,6,0),"")</f>
        <v>FNB</v>
      </c>
      <c r="E748" s="43" t="str">
        <f>IFERROR(VLOOKUP(A748,'Paste - Mentors'!$A:$E,5,0),"")</f>
        <v>South Africa</v>
      </c>
      <c r="F748" s="43">
        <f>IF(A748="","",COUNTIFS('Paste - Relationships'!$A:$A,A748,'Paste - Relationships'!$AE:$AE,""))</f>
        <v>0</v>
      </c>
      <c r="G748" s="43" t="str">
        <f t="shared" si="11"/>
        <v>Available</v>
      </c>
      <c r="H748" s="43" t="str">
        <f>IF(A748="","",IF(COUNTIF('Programme Mentors'!$A:$A,A748)&gt;0,"Enrolled","—"))</f>
        <v>—</v>
      </c>
    </row>
    <row r="749" spans="1:8" ht="14.25" customHeight="1" x14ac:dyDescent="0.3">
      <c r="A749" s="9">
        <f>'Paste - Mentors'!A749</f>
        <v>5264405</v>
      </c>
      <c r="B749" s="4" t="str">
        <f>IFERROR(VLOOKUP(A749,'Paste - Mentors'!$A:$B,2,0),"")</f>
        <v>Arthur Halahala</v>
      </c>
      <c r="C749" s="4" t="str">
        <f>IFERROR(VLOOKUP(A749,'Paste - Mentors'!$A:$D,4,0),"")</f>
        <v>Career Mentor</v>
      </c>
      <c r="D749" s="9" t="str">
        <f>IFERROR(VLOOKUP(A749,'Paste - Mentors'!$A:$F,6,0),"")</f>
        <v>FNB</v>
      </c>
      <c r="E749" s="9" t="str">
        <f>IFERROR(VLOOKUP(A749,'Paste - Mentors'!$A:$E,5,0),"")</f>
        <v>South Africa</v>
      </c>
      <c r="F749" s="9">
        <f>IF(A749="","",COUNTIFS('Paste - Relationships'!$A:$A,A749,'Paste - Relationships'!$AE:$AE,""))</f>
        <v>0</v>
      </c>
      <c r="G749" s="9" t="str">
        <f t="shared" si="11"/>
        <v>Available</v>
      </c>
      <c r="H749" s="9" t="str">
        <f>IF(A749="","",IF(COUNTIF('Programme Mentors'!$A:$A,A749)&gt;0,"Enrolled","—"))</f>
        <v>—</v>
      </c>
    </row>
    <row r="750" spans="1:8" ht="14.25" customHeight="1" x14ac:dyDescent="0.3">
      <c r="A750" s="43">
        <f>'Paste - Mentors'!A750</f>
        <v>5264944</v>
      </c>
      <c r="B750" s="3" t="str">
        <f>IFERROR(VLOOKUP(A750,'Paste - Mentors'!$A:$B,2,0),"")</f>
        <v>Morena Mohlodi</v>
      </c>
      <c r="C750" s="3" t="str">
        <f>IFERROR(VLOOKUP(A750,'Paste - Mentors'!$A:$D,4,0),"")</f>
        <v>Career Mentor</v>
      </c>
      <c r="D750" s="43" t="str">
        <f>IFERROR(VLOOKUP(A750,'Paste - Mentors'!$A:$F,6,0),"")</f>
        <v>FNB</v>
      </c>
      <c r="E750" s="43" t="str">
        <f>IFERROR(VLOOKUP(A750,'Paste - Mentors'!$A:$E,5,0),"")</f>
        <v>South Africa</v>
      </c>
      <c r="F750" s="43">
        <f>IF(A750="","",COUNTIFS('Paste - Relationships'!$A:$A,A750,'Paste - Relationships'!$AE:$AE,""))</f>
        <v>0</v>
      </c>
      <c r="G750" s="43" t="str">
        <f t="shared" si="11"/>
        <v>Available</v>
      </c>
      <c r="H750" s="43" t="str">
        <f>IF(A750="","",IF(COUNTIF('Programme Mentors'!$A:$A,A750)&gt;0,"Enrolled","—"))</f>
        <v>—</v>
      </c>
    </row>
    <row r="751" spans="1:8" ht="14.25" customHeight="1" x14ac:dyDescent="0.3">
      <c r="A751" s="9">
        <f>'Paste - Mentors'!A751</f>
        <v>5266106</v>
      </c>
      <c r="B751" s="4" t="str">
        <f>IFERROR(VLOOKUP(A751,'Paste - Mentors'!$A:$B,2,0),"")</f>
        <v>Alison Felix-Lodewyk</v>
      </c>
      <c r="C751" s="4" t="str">
        <f>IFERROR(VLOOKUP(A751,'Paste - Mentors'!$A:$D,4,0),"")</f>
        <v>Career Mentor</v>
      </c>
      <c r="D751" s="9" t="str">
        <f>IFERROR(VLOOKUP(A751,'Paste - Mentors'!$A:$F,6,0),"")</f>
        <v>FNB</v>
      </c>
      <c r="E751" s="9" t="str">
        <f>IFERROR(VLOOKUP(A751,'Paste - Mentors'!$A:$E,5,0),"")</f>
        <v>South Africa</v>
      </c>
      <c r="F751" s="9">
        <f>IF(A751="","",COUNTIFS('Paste - Relationships'!$A:$A,A751,'Paste - Relationships'!$AE:$AE,""))</f>
        <v>0</v>
      </c>
      <c r="G751" s="9" t="str">
        <f t="shared" si="11"/>
        <v>Available</v>
      </c>
      <c r="H751" s="9" t="str">
        <f>IF(A751="","",IF(COUNTIF('Programme Mentors'!$A:$A,A751)&gt;0,"Enrolled","—"))</f>
        <v>—</v>
      </c>
    </row>
    <row r="752" spans="1:8" ht="14.25" customHeight="1" x14ac:dyDescent="0.3">
      <c r="A752" s="43">
        <f>'Paste - Mentors'!A752</f>
        <v>5266270</v>
      </c>
      <c r="B752" s="3" t="str">
        <f>IFERROR(VLOOKUP(A752,'Paste - Mentors'!$A:$B,2,0),"")</f>
        <v>Herman Moolman</v>
      </c>
      <c r="C752" s="3" t="str">
        <f>IFERROR(VLOOKUP(A752,'Paste - Mentors'!$A:$D,4,0),"")</f>
        <v>Leadership Mentor
Transition Mentor
Workplace  Buddy</v>
      </c>
      <c r="D752" s="43" t="str">
        <f>IFERROR(VLOOKUP(A752,'Paste - Mentors'!$A:$F,6,0),"")</f>
        <v>FNB</v>
      </c>
      <c r="E752" s="43" t="str">
        <f>IFERROR(VLOOKUP(A752,'Paste - Mentors'!$A:$E,5,0),"")</f>
        <v>South Africa</v>
      </c>
      <c r="F752" s="43">
        <f>IF(A752="","",COUNTIFS('Paste - Relationships'!$A:$A,A752,'Paste - Relationships'!$AE:$AE,""))</f>
        <v>0</v>
      </c>
      <c r="G752" s="43" t="str">
        <f t="shared" si="11"/>
        <v>Available</v>
      </c>
      <c r="H752" s="43" t="str">
        <f>IF(A752="","",IF(COUNTIF('Programme Mentors'!$A:$A,A752)&gt;0,"Enrolled","—"))</f>
        <v>—</v>
      </c>
    </row>
    <row r="753" spans="1:8" ht="57" customHeight="1" x14ac:dyDescent="0.3">
      <c r="A753" s="9">
        <f>'Paste - Mentors'!A753</f>
        <v>5266513</v>
      </c>
      <c r="B753" s="4" t="str">
        <f>IFERROR(VLOOKUP(A753,'Paste - Mentors'!$A:$B,2,0),"")</f>
        <v>Thobeka Zulu</v>
      </c>
      <c r="C753" s="4" t="str">
        <f>IFERROR(VLOOKUP(A753,'Paste - Mentors'!$A:$D,4,0),"")</f>
        <v>Career Mentor</v>
      </c>
      <c r="D753" s="9" t="str">
        <f>IFERROR(VLOOKUP(A753,'Paste - Mentors'!$A:$F,6,0),"")</f>
        <v>FNB</v>
      </c>
      <c r="E753" s="9" t="str">
        <f>IFERROR(VLOOKUP(A753,'Paste - Mentors'!$A:$E,5,0),"")</f>
        <v>South Africa</v>
      </c>
      <c r="F753" s="9">
        <f>IF(A753="","",COUNTIFS('Paste - Relationships'!$A:$A,A753,'Paste - Relationships'!$AE:$AE,""))</f>
        <v>0</v>
      </c>
      <c r="G753" s="9" t="str">
        <f t="shared" si="11"/>
        <v>Available</v>
      </c>
      <c r="H753" s="9" t="str">
        <f>IF(A753="","",IF(COUNTIF('Programme Mentors'!$A:$A,A753)&gt;0,"Enrolled","—"))</f>
        <v>—</v>
      </c>
    </row>
    <row r="754" spans="1:8" ht="14.25" customHeight="1" x14ac:dyDescent="0.3">
      <c r="A754" s="43">
        <f>'Paste - Mentors'!A754</f>
        <v>5267986</v>
      </c>
      <c r="B754" s="3" t="str">
        <f>IFERROR(VLOOKUP(A754,'Paste - Mentors'!$A:$B,2,0),"")</f>
        <v>Senzo Manzini</v>
      </c>
      <c r="C754" s="3" t="str">
        <f>IFERROR(VLOOKUP(A754,'Paste - Mentors'!$A:$D,4,0),"")</f>
        <v>Z2-Programme Mentor (HC Managed)</v>
      </c>
      <c r="D754" s="43" t="str">
        <f>IFERROR(VLOOKUP(A754,'Paste - Mentors'!$A:$F,6,0),"")</f>
        <v>RMB</v>
      </c>
      <c r="E754" s="43" t="str">
        <f>IFERROR(VLOOKUP(A754,'Paste - Mentors'!$A:$E,5,0),"")</f>
        <v>South Africa</v>
      </c>
      <c r="F754" s="43">
        <f>IF(A754="","",COUNTIFS('Paste - Relationships'!$A:$A,A754,'Paste - Relationships'!$AE:$AE,""))</f>
        <v>0</v>
      </c>
      <c r="G754" s="43" t="str">
        <f t="shared" si="11"/>
        <v>Available</v>
      </c>
      <c r="H754" s="43" t="str">
        <f>IF(A754="","",IF(COUNTIF('Programme Mentors'!$A:$A,A754)&gt;0,"Enrolled","—"))</f>
        <v>—</v>
      </c>
    </row>
    <row r="755" spans="1:8" ht="14.25" customHeight="1" x14ac:dyDescent="0.3">
      <c r="A755" s="9">
        <f>'Paste - Mentors'!A755</f>
        <v>5273323</v>
      </c>
      <c r="B755" s="4" t="str">
        <f>IFERROR(VLOOKUP(A755,'Paste - Mentors'!$A:$B,2,0),"")</f>
        <v>Tania Peters</v>
      </c>
      <c r="C755" s="4" t="str">
        <f>IFERROR(VLOOKUP(A755,'Paste - Mentors'!$A:$D,4,0),"")</f>
        <v>Career Mentor</v>
      </c>
      <c r="D755" s="9" t="str">
        <f>IFERROR(VLOOKUP(A755,'Paste - Mentors'!$A:$F,6,0),"")</f>
        <v>FNB</v>
      </c>
      <c r="E755" s="9" t="str">
        <f>IFERROR(VLOOKUP(A755,'Paste - Mentors'!$A:$E,5,0),"")</f>
        <v>South Africa</v>
      </c>
      <c r="F755" s="9">
        <f>IF(A755="","",COUNTIFS('Paste - Relationships'!$A:$A,A755,'Paste - Relationships'!$AE:$AE,""))</f>
        <v>0</v>
      </c>
      <c r="G755" s="9" t="str">
        <f t="shared" si="11"/>
        <v>Available</v>
      </c>
      <c r="H755" s="9" t="str">
        <f>IF(A755="","",IF(COUNTIF('Programme Mentors'!$A:$A,A755)&gt;0,"Enrolled","—"))</f>
        <v>—</v>
      </c>
    </row>
    <row r="756" spans="1:8" ht="14.25" customHeight="1" x14ac:dyDescent="0.3">
      <c r="A756" s="43">
        <f>'Paste - Mentors'!A756</f>
        <v>5275032</v>
      </c>
      <c r="B756" s="3" t="str">
        <f>IFERROR(VLOOKUP(A756,'Paste - Mentors'!$A:$B,2,0),"")</f>
        <v>Mumbi Odame</v>
      </c>
      <c r="C756" s="3" t="str">
        <f>IFERROR(VLOOKUP(A756,'Paste - Mentors'!$A:$D,4,0),"")</f>
        <v>Career Mentor
Technical Mentor
Transition Mentor</v>
      </c>
      <c r="D756" s="43" t="str">
        <f>IFERROR(VLOOKUP(A756,'Paste - Mentors'!$A:$F,6,0),"")</f>
        <v>RMB</v>
      </c>
      <c r="E756" s="43" t="str">
        <f>IFERROR(VLOOKUP(A756,'Paste - Mentors'!$A:$E,5,0),"")</f>
        <v>South Africa</v>
      </c>
      <c r="F756" s="43">
        <f>IF(A756="","",COUNTIFS('Paste - Relationships'!$A:$A,A756,'Paste - Relationships'!$AE:$AE,""))</f>
        <v>0</v>
      </c>
      <c r="G756" s="43" t="str">
        <f t="shared" si="11"/>
        <v>Available</v>
      </c>
      <c r="H756" s="43" t="str">
        <f>IF(A756="","",IF(COUNTIF('Programme Mentors'!$A:$A,A756)&gt;0,"Enrolled","—"))</f>
        <v>—</v>
      </c>
    </row>
    <row r="757" spans="1:8" ht="57" customHeight="1" x14ac:dyDescent="0.3">
      <c r="A757" s="9">
        <f>'Paste - Mentors'!A757</f>
        <v>5277264</v>
      </c>
      <c r="B757" s="4" t="str">
        <f>IFERROR(VLOOKUP(A757,'Paste - Mentors'!$A:$B,2,0),"")</f>
        <v>Thabo Mahlaba</v>
      </c>
      <c r="C757" s="4" t="str">
        <f>IFERROR(VLOOKUP(A757,'Paste - Mentors'!$A:$D,4,0),"")</f>
        <v>Career Mentor</v>
      </c>
      <c r="D757" s="9" t="str">
        <f>IFERROR(VLOOKUP(A757,'Paste - Mentors'!$A:$F,6,0),"")</f>
        <v>FNB</v>
      </c>
      <c r="E757" s="9" t="str">
        <f>IFERROR(VLOOKUP(A757,'Paste - Mentors'!$A:$E,5,0),"")</f>
        <v>South Africa</v>
      </c>
      <c r="F757" s="9">
        <f>IF(A757="","",COUNTIFS('Paste - Relationships'!$A:$A,A757,'Paste - Relationships'!$AE:$AE,""))</f>
        <v>0</v>
      </c>
      <c r="G757" s="9" t="str">
        <f t="shared" si="11"/>
        <v>Available</v>
      </c>
      <c r="H757" s="9" t="str">
        <f>IF(A757="","",IF(COUNTIF('Programme Mentors'!$A:$A,A757)&gt;0,"Enrolled","—"))</f>
        <v>—</v>
      </c>
    </row>
    <row r="758" spans="1:8" ht="14.25" customHeight="1" x14ac:dyDescent="0.3">
      <c r="A758" s="43">
        <f>'Paste - Mentors'!A758</f>
        <v>5280486</v>
      </c>
      <c r="B758" s="3" t="str">
        <f>IFERROR(VLOOKUP(A758,'Paste - Mentors'!$A:$B,2,0),"")</f>
        <v>Sibongile Rakgosi</v>
      </c>
      <c r="C758" s="3" t="str">
        <f>IFERROR(VLOOKUP(A758,'Paste - Mentors'!$A:$D,4,0),"")</f>
        <v>Career Mentor</v>
      </c>
      <c r="D758" s="43" t="str">
        <f>IFERROR(VLOOKUP(A758,'Paste - Mentors'!$A:$F,6,0),"")</f>
        <v>FNB</v>
      </c>
      <c r="E758" s="43" t="str">
        <f>IFERROR(VLOOKUP(A758,'Paste - Mentors'!$A:$E,5,0),"")</f>
        <v>South Africa</v>
      </c>
      <c r="F758" s="43">
        <f>IF(A758="","",COUNTIFS('Paste - Relationships'!$A:$A,A758,'Paste - Relationships'!$AE:$AE,""))</f>
        <v>0</v>
      </c>
      <c r="G758" s="43" t="str">
        <f t="shared" si="11"/>
        <v>Available</v>
      </c>
      <c r="H758" s="43" t="str">
        <f>IF(A758="","",IF(COUNTIF('Programme Mentors'!$A:$A,A758)&gt;0,"Enrolled","—"))</f>
        <v>—</v>
      </c>
    </row>
    <row r="759" spans="1:8" ht="14.25" customHeight="1" x14ac:dyDescent="0.3">
      <c r="A759" s="9">
        <f>'Paste - Mentors'!A759</f>
        <v>5283345</v>
      </c>
      <c r="B759" s="4" t="str">
        <f>IFERROR(VLOOKUP(A759,'Paste - Mentors'!$A:$B,2,0),"")</f>
        <v>Busang Kgomo</v>
      </c>
      <c r="C759" s="4" t="str">
        <f>IFERROR(VLOOKUP(A759,'Paste - Mentors'!$A:$D,4,0),"")</f>
        <v>Career Mentor
Leadership Mentor
Technical Mentor
Workplace  Buddy</v>
      </c>
      <c r="D759" s="9" t="str">
        <f>IFERROR(VLOOKUP(A759,'Paste - Mentors'!$A:$F,6,0),"")</f>
        <v>FNB</v>
      </c>
      <c r="E759" s="9" t="str">
        <f>IFERROR(VLOOKUP(A759,'Paste - Mentors'!$A:$E,5,0),"")</f>
        <v>South Africa</v>
      </c>
      <c r="F759" s="9">
        <f>IF(A759="","",COUNTIFS('Paste - Relationships'!$A:$A,A759,'Paste - Relationships'!$AE:$AE,""))</f>
        <v>0</v>
      </c>
      <c r="G759" s="9" t="str">
        <f t="shared" si="11"/>
        <v>Available</v>
      </c>
      <c r="H759" s="9" t="str">
        <f>IF(A759="","",IF(COUNTIF('Programme Mentors'!$A:$A,A759)&gt;0,"Enrolled","—"))</f>
        <v>—</v>
      </c>
    </row>
    <row r="760" spans="1:8" ht="79.5" customHeight="1" x14ac:dyDescent="0.3">
      <c r="A760" s="43">
        <f>'Paste - Mentors'!A760</f>
        <v>5283957</v>
      </c>
      <c r="B760" s="3" t="str">
        <f>IFERROR(VLOOKUP(A760,'Paste - Mentors'!$A:$B,2,0),"")</f>
        <v>Simni Letuka</v>
      </c>
      <c r="C760" s="3" t="str">
        <f>IFERROR(VLOOKUP(A760,'Paste - Mentors'!$A:$D,4,0),"")</f>
        <v>Career Mentor
Leadership Mentor
Workplace  Buddy</v>
      </c>
      <c r="D760" s="43" t="str">
        <f>IFERROR(VLOOKUP(A760,'Paste - Mentors'!$A:$F,6,0),"")</f>
        <v>FNB</v>
      </c>
      <c r="E760" s="43" t="str">
        <f>IFERROR(VLOOKUP(A760,'Paste - Mentors'!$A:$E,5,0),"")</f>
        <v>South Africa</v>
      </c>
      <c r="F760" s="43">
        <f>IF(A760="","",COUNTIFS('Paste - Relationships'!$A:$A,A760,'Paste - Relationships'!$AE:$AE,""))</f>
        <v>0</v>
      </c>
      <c r="G760" s="43" t="str">
        <f t="shared" si="11"/>
        <v>Available</v>
      </c>
      <c r="H760" s="43" t="str">
        <f>IF(A760="","",IF(COUNTIF('Programme Mentors'!$A:$A,A760)&gt;0,"Enrolled","—"))</f>
        <v>—</v>
      </c>
    </row>
    <row r="761" spans="1:8" ht="57" customHeight="1" x14ac:dyDescent="0.3">
      <c r="A761" s="9">
        <f>'Paste - Mentors'!A761</f>
        <v>5285739</v>
      </c>
      <c r="B761" s="4" t="str">
        <f>IFERROR(VLOOKUP(A761,'Paste - Mentors'!$A:$B,2,0),"")</f>
        <v>Sam Mekwa</v>
      </c>
      <c r="C761" s="4" t="str">
        <f>IFERROR(VLOOKUP(A761,'Paste - Mentors'!$A:$D,4,0),"")</f>
        <v>Career Mentor
Leadership Mentor
Transition Mentor
Workplace  Buddy</v>
      </c>
      <c r="D761" s="9" t="str">
        <f>IFERROR(VLOOKUP(A761,'Paste - Mentors'!$A:$F,6,0),"")</f>
        <v>FNB</v>
      </c>
      <c r="E761" s="9" t="str">
        <f>IFERROR(VLOOKUP(A761,'Paste - Mentors'!$A:$E,5,0),"")</f>
        <v>South Africa</v>
      </c>
      <c r="F761" s="9">
        <f>IF(A761="","",COUNTIFS('Paste - Relationships'!$A:$A,A761,'Paste - Relationships'!$AE:$AE,""))</f>
        <v>0</v>
      </c>
      <c r="G761" s="9" t="str">
        <f t="shared" si="11"/>
        <v>Available</v>
      </c>
      <c r="H761" s="9" t="str">
        <f>IF(A761="","",IF(COUNTIF('Programme Mentors'!$A:$A,A761)&gt;0,"Enrolled","—"))</f>
        <v>—</v>
      </c>
    </row>
    <row r="762" spans="1:8" ht="79.5" customHeight="1" x14ac:dyDescent="0.3">
      <c r="A762" s="43">
        <f>'Paste - Mentors'!A762</f>
        <v>5290678</v>
      </c>
      <c r="B762" s="3" t="str">
        <f>IFERROR(VLOOKUP(A762,'Paste - Mentors'!$A:$B,2,0),"")</f>
        <v>Nelly Mvelase</v>
      </c>
      <c r="C762" s="3" t="str">
        <f>IFERROR(VLOOKUP(A762,'Paste - Mentors'!$A:$D,4,0),"")</f>
        <v>Career Mentor</v>
      </c>
      <c r="D762" s="43" t="str">
        <f>IFERROR(VLOOKUP(A762,'Paste - Mentors'!$A:$F,6,0),"")</f>
        <v>FNB</v>
      </c>
      <c r="E762" s="43" t="str">
        <f>IFERROR(VLOOKUP(A762,'Paste - Mentors'!$A:$E,5,0),"")</f>
        <v>South Africa</v>
      </c>
      <c r="F762" s="43">
        <f>IF(A762="","",COUNTIFS('Paste - Relationships'!$A:$A,A762,'Paste - Relationships'!$AE:$AE,""))</f>
        <v>0</v>
      </c>
      <c r="G762" s="43" t="str">
        <f t="shared" si="11"/>
        <v>Available</v>
      </c>
      <c r="H762" s="43" t="str">
        <f>IF(A762="","",IF(COUNTIF('Programme Mentors'!$A:$A,A762)&gt;0,"Enrolled","—"))</f>
        <v>—</v>
      </c>
    </row>
    <row r="763" spans="1:8" ht="14.25" customHeight="1" x14ac:dyDescent="0.3">
      <c r="A763" s="9">
        <f>'Paste - Mentors'!A763</f>
        <v>5293197</v>
      </c>
      <c r="B763" s="4" t="str">
        <f>IFERROR(VLOOKUP(A763,'Paste - Mentors'!$A:$B,2,0),"")</f>
        <v>Ryan Jacobs</v>
      </c>
      <c r="C763" s="4" t="str">
        <f>IFERROR(VLOOKUP(A763,'Paste - Mentors'!$A:$D,4,0),"")</f>
        <v>Career Mentor</v>
      </c>
      <c r="D763" s="9" t="str">
        <f>IFERROR(VLOOKUP(A763,'Paste - Mentors'!$A:$F,6,0),"")</f>
        <v>WesBank</v>
      </c>
      <c r="E763" s="9" t="str">
        <f>IFERROR(VLOOKUP(A763,'Paste - Mentors'!$A:$E,5,0),"")</f>
        <v>South Africa</v>
      </c>
      <c r="F763" s="9">
        <f>IF(A763="","",COUNTIFS('Paste - Relationships'!$A:$A,A763,'Paste - Relationships'!$AE:$AE,""))</f>
        <v>0</v>
      </c>
      <c r="G763" s="9" t="str">
        <f t="shared" si="11"/>
        <v>Available</v>
      </c>
      <c r="H763" s="9" t="str">
        <f>IF(A763="","",IF(COUNTIF('Programme Mentors'!$A:$A,A763)&gt;0,"Enrolled","—"))</f>
        <v>—</v>
      </c>
    </row>
    <row r="764" spans="1:8" ht="14.25" customHeight="1" x14ac:dyDescent="0.3">
      <c r="A764" s="43">
        <f>'Paste - Mentors'!A764</f>
        <v>5295181</v>
      </c>
      <c r="B764" s="3" t="str">
        <f>IFERROR(VLOOKUP(A764,'Paste - Mentors'!$A:$B,2,0),"")</f>
        <v>Mohammed Sakildien</v>
      </c>
      <c r="C764" s="3" t="str">
        <f>IFERROR(VLOOKUP(A764,'Paste - Mentors'!$A:$D,4,0),"")</f>
        <v>Career Mentor</v>
      </c>
      <c r="D764" s="43" t="str">
        <f>IFERROR(VLOOKUP(A764,'Paste - Mentors'!$A:$F,6,0),"")</f>
        <v>FNB</v>
      </c>
      <c r="E764" s="43" t="str">
        <f>IFERROR(VLOOKUP(A764,'Paste - Mentors'!$A:$E,5,0),"")</f>
        <v>South Africa</v>
      </c>
      <c r="F764" s="43">
        <f>IF(A764="","",COUNTIFS('Paste - Relationships'!$A:$A,A764,'Paste - Relationships'!$AE:$AE,""))</f>
        <v>0</v>
      </c>
      <c r="G764" s="43" t="str">
        <f t="shared" si="11"/>
        <v>Available</v>
      </c>
      <c r="H764" s="43" t="str">
        <f>IF(A764="","",IF(COUNTIF('Programme Mentors'!$A:$A,A764)&gt;0,"Enrolled","—"))</f>
        <v>—</v>
      </c>
    </row>
    <row r="765" spans="1:8" ht="14.25" customHeight="1" x14ac:dyDescent="0.3">
      <c r="A765" s="9">
        <f>'Paste - Mentors'!A765</f>
        <v>5300002</v>
      </c>
      <c r="B765" s="4" t="str">
        <f>IFERROR(VLOOKUP(A765,'Paste - Mentors'!$A:$B,2,0),"")</f>
        <v>Kholofelo Mogodi</v>
      </c>
      <c r="C765" s="4" t="str">
        <f>IFERROR(VLOOKUP(A765,'Paste - Mentors'!$A:$D,4,0),"")</f>
        <v>Career Mentor</v>
      </c>
      <c r="D765" s="9" t="str">
        <f>IFERROR(VLOOKUP(A765,'Paste - Mentors'!$A:$F,6,0),"")</f>
        <v>FNB</v>
      </c>
      <c r="E765" s="9" t="str">
        <f>IFERROR(VLOOKUP(A765,'Paste - Mentors'!$A:$E,5,0),"")</f>
        <v>South Africa</v>
      </c>
      <c r="F765" s="9">
        <f>IF(A765="","",COUNTIFS('Paste - Relationships'!$A:$A,A765,'Paste - Relationships'!$AE:$AE,""))</f>
        <v>0</v>
      </c>
      <c r="G765" s="9" t="str">
        <f t="shared" si="11"/>
        <v>Available</v>
      </c>
      <c r="H765" s="9" t="str">
        <f>IF(A765="","",IF(COUNTIF('Programme Mentors'!$A:$A,A765)&gt;0,"Enrolled","—"))</f>
        <v>—</v>
      </c>
    </row>
    <row r="766" spans="1:8" ht="14.25" customHeight="1" x14ac:dyDescent="0.3">
      <c r="A766" s="43">
        <f>'Paste - Mentors'!A766</f>
        <v>5307619</v>
      </c>
      <c r="B766" s="3" t="str">
        <f>IFERROR(VLOOKUP(A766,'Paste - Mentors'!$A:$B,2,0),"")</f>
        <v>Lyndon Collins</v>
      </c>
      <c r="C766" s="3" t="str">
        <f>IFERROR(VLOOKUP(A766,'Paste - Mentors'!$A:$D,4,0),"")</f>
        <v>Career Mentor</v>
      </c>
      <c r="D766" s="43" t="str">
        <f>IFERROR(VLOOKUP(A766,'Paste - Mentors'!$A:$F,6,0),"")</f>
        <v>FNB</v>
      </c>
      <c r="E766" s="43" t="str">
        <f>IFERROR(VLOOKUP(A766,'Paste - Mentors'!$A:$E,5,0),"")</f>
        <v>South Africa</v>
      </c>
      <c r="F766" s="43">
        <f>IF(A766="","",COUNTIFS('Paste - Relationships'!$A:$A,A766,'Paste - Relationships'!$AE:$AE,""))</f>
        <v>0</v>
      </c>
      <c r="G766" s="43" t="str">
        <f t="shared" si="11"/>
        <v>Available</v>
      </c>
      <c r="H766" s="43" t="str">
        <f>IF(A766="","",IF(COUNTIF('Programme Mentors'!$A:$A,A766)&gt;0,"Enrolled","—"))</f>
        <v>—</v>
      </c>
    </row>
    <row r="767" spans="1:8" ht="14.25" customHeight="1" x14ac:dyDescent="0.3">
      <c r="A767" s="9">
        <f>'Paste - Mentors'!A767</f>
        <v>5308046</v>
      </c>
      <c r="B767" s="4" t="str">
        <f>IFERROR(VLOOKUP(A767,'Paste - Mentors'!$A:$B,2,0),"")</f>
        <v>Sunitha Govender</v>
      </c>
      <c r="C767" s="4" t="str">
        <f>IFERROR(VLOOKUP(A767,'Paste - Mentors'!$A:$D,4,0),"")</f>
        <v>Career Mentor</v>
      </c>
      <c r="D767" s="9" t="str">
        <f>IFERROR(VLOOKUP(A767,'Paste - Mentors'!$A:$F,6,0),"")</f>
        <v>FNB</v>
      </c>
      <c r="E767" s="9" t="str">
        <f>IFERROR(VLOOKUP(A767,'Paste - Mentors'!$A:$E,5,0),"")</f>
        <v>South Africa</v>
      </c>
      <c r="F767" s="9">
        <f>IF(A767="","",COUNTIFS('Paste - Relationships'!$A:$A,A767,'Paste - Relationships'!$AE:$AE,""))</f>
        <v>0</v>
      </c>
      <c r="G767" s="9" t="str">
        <f t="shared" si="11"/>
        <v>Available</v>
      </c>
      <c r="H767" s="9" t="str">
        <f>IF(A767="","",IF(COUNTIF('Programme Mentors'!$A:$A,A767)&gt;0,"Enrolled","—"))</f>
        <v>—</v>
      </c>
    </row>
    <row r="768" spans="1:8" ht="14.25" customHeight="1" x14ac:dyDescent="0.3">
      <c r="A768" s="43">
        <f>'Paste - Mentors'!A768</f>
        <v>5308984</v>
      </c>
      <c r="B768" s="3" t="str">
        <f>IFERROR(VLOOKUP(A768,'Paste - Mentors'!$A:$B,2,0),"")</f>
        <v>Nosipho Shandu</v>
      </c>
      <c r="C768" s="3" t="str">
        <f>IFERROR(VLOOKUP(A768,'Paste - Mentors'!$A:$D,4,0),"")</f>
        <v>Career Mentor</v>
      </c>
      <c r="D768" s="43" t="str">
        <f>IFERROR(VLOOKUP(A768,'Paste - Mentors'!$A:$F,6,0),"")</f>
        <v>FNB</v>
      </c>
      <c r="E768" s="43" t="str">
        <f>IFERROR(VLOOKUP(A768,'Paste - Mentors'!$A:$E,5,0),"")</f>
        <v>South Africa</v>
      </c>
      <c r="F768" s="43">
        <f>IF(A768="","",COUNTIFS('Paste - Relationships'!$A:$A,A768,'Paste - Relationships'!$AE:$AE,""))</f>
        <v>0</v>
      </c>
      <c r="G768" s="43" t="str">
        <f t="shared" si="11"/>
        <v>Available</v>
      </c>
      <c r="H768" s="43" t="str">
        <f>IF(A768="","",IF(COUNTIF('Programme Mentors'!$A:$A,A768)&gt;0,"Enrolled","—"))</f>
        <v>—</v>
      </c>
    </row>
    <row r="769" spans="1:8" ht="14.25" customHeight="1" x14ac:dyDescent="0.3">
      <c r="A769" s="9">
        <f>'Paste - Mentors'!A769</f>
        <v>5309395</v>
      </c>
      <c r="B769" s="4" t="str">
        <f>IFERROR(VLOOKUP(A769,'Paste - Mentors'!$A:$B,2,0),"")</f>
        <v>Sibonisile Zulu</v>
      </c>
      <c r="C769" s="4" t="str">
        <f>IFERROR(VLOOKUP(A769,'Paste - Mentors'!$A:$D,4,0),"")</f>
        <v>Career Mentor</v>
      </c>
      <c r="D769" s="9" t="str">
        <f>IFERROR(VLOOKUP(A769,'Paste - Mentors'!$A:$F,6,0),"")</f>
        <v>FNB</v>
      </c>
      <c r="E769" s="9" t="str">
        <f>IFERROR(VLOOKUP(A769,'Paste - Mentors'!$A:$E,5,0),"")</f>
        <v>South Africa</v>
      </c>
      <c r="F769" s="9">
        <f>IF(A769="","",COUNTIFS('Paste - Relationships'!$A:$A,A769,'Paste - Relationships'!$AE:$AE,""))</f>
        <v>0</v>
      </c>
      <c r="G769" s="9" t="str">
        <f t="shared" si="11"/>
        <v>Available</v>
      </c>
      <c r="H769" s="9" t="str">
        <f>IF(A769="","",IF(COUNTIF('Programme Mentors'!$A:$A,A769)&gt;0,"Enrolled","—"))</f>
        <v>—</v>
      </c>
    </row>
    <row r="770" spans="1:8" ht="14.25" customHeight="1" x14ac:dyDescent="0.3">
      <c r="A770" s="43">
        <f>'Paste - Mentors'!A770</f>
        <v>5309409</v>
      </c>
      <c r="B770" s="3" t="str">
        <f>IFERROR(VLOOKUP(A770,'Paste - Mentors'!$A:$B,2,0),"")</f>
        <v>Bjorn Coetzee</v>
      </c>
      <c r="C770" s="3" t="str">
        <f>IFERROR(VLOOKUP(A770,'Paste - Mentors'!$A:$D,4,0),"")</f>
        <v>Career Mentor
Leadership Mentor</v>
      </c>
      <c r="D770" s="43" t="str">
        <f>IFERROR(VLOOKUP(A770,'Paste - Mentors'!$A:$F,6,0),"")</f>
        <v>FNB</v>
      </c>
      <c r="E770" s="43" t="str">
        <f>IFERROR(VLOOKUP(A770,'Paste - Mentors'!$A:$E,5,0),"")</f>
        <v>South Africa</v>
      </c>
      <c r="F770" s="43">
        <f>IF(A770="","",COUNTIFS('Paste - Relationships'!$A:$A,A770,'Paste - Relationships'!$AE:$AE,""))</f>
        <v>1</v>
      </c>
      <c r="G770" s="43" t="str">
        <f t="shared" si="11"/>
        <v>Has Capacity</v>
      </c>
      <c r="H770" s="43" t="str">
        <f>IF(A770="","",IF(COUNTIF('Programme Mentors'!$A:$A,A770)&gt;0,"Enrolled","—"))</f>
        <v>—</v>
      </c>
    </row>
    <row r="771" spans="1:8" ht="33.75" customHeight="1" x14ac:dyDescent="0.3">
      <c r="A771" s="9">
        <f>'Paste - Mentors'!A771</f>
        <v>5310601</v>
      </c>
      <c r="B771" s="4" t="str">
        <f>IFERROR(VLOOKUP(A771,'Paste - Mentors'!$A:$B,2,0),"")</f>
        <v>Ismaeel Majiet</v>
      </c>
      <c r="C771" s="4" t="str">
        <f>IFERROR(VLOOKUP(A771,'Paste - Mentors'!$A:$D,4,0),"")</f>
        <v>Career Mentor</v>
      </c>
      <c r="D771" s="9" t="str">
        <f>IFERROR(VLOOKUP(A771,'Paste - Mentors'!$A:$F,6,0),"")</f>
        <v>FNB</v>
      </c>
      <c r="E771" s="9" t="str">
        <f>IFERROR(VLOOKUP(A771,'Paste - Mentors'!$A:$E,5,0),"")</f>
        <v>South Africa</v>
      </c>
      <c r="F771" s="9">
        <f>IF(A771="","",COUNTIFS('Paste - Relationships'!$A:$A,A771,'Paste - Relationships'!$AE:$AE,""))</f>
        <v>0</v>
      </c>
      <c r="G771" s="9" t="str">
        <f t="shared" si="11"/>
        <v>Available</v>
      </c>
      <c r="H771" s="9" t="str">
        <f>IF(A771="","",IF(COUNTIF('Programme Mentors'!$A:$A,A771)&gt;0,"Enrolled","—"))</f>
        <v>—</v>
      </c>
    </row>
    <row r="772" spans="1:8" ht="14.25" customHeight="1" x14ac:dyDescent="0.3">
      <c r="A772" s="43">
        <f>'Paste - Mentors'!A772</f>
        <v>5310741</v>
      </c>
      <c r="B772" s="3" t="str">
        <f>IFERROR(VLOOKUP(A772,'Paste - Mentors'!$A:$B,2,0),"")</f>
        <v>Kelly Ntebe</v>
      </c>
      <c r="C772" s="3" t="str">
        <f>IFERROR(VLOOKUP(A772,'Paste - Mentors'!$A:$D,4,0),"")</f>
        <v>Career Mentor</v>
      </c>
      <c r="D772" s="43" t="str">
        <f>IFERROR(VLOOKUP(A772,'Paste - Mentors'!$A:$F,6,0),"")</f>
        <v>FNB</v>
      </c>
      <c r="E772" s="43" t="str">
        <f>IFERROR(VLOOKUP(A772,'Paste - Mentors'!$A:$E,5,0),"")</f>
        <v>South Africa</v>
      </c>
      <c r="F772" s="43">
        <f>IF(A772="","",COUNTIFS('Paste - Relationships'!$A:$A,A772,'Paste - Relationships'!$AE:$AE,""))</f>
        <v>0</v>
      </c>
      <c r="G772" s="43" t="str">
        <f t="shared" ref="G772:G835" si="12">IF(A772="","",IF(F772&gt;=3,"At Capacity",IF(F772=0,"Available","Has Capacity")))</f>
        <v>Available</v>
      </c>
      <c r="H772" s="43" t="str">
        <f>IF(A772="","",IF(COUNTIF('Programme Mentors'!$A:$A,A772)&gt;0,"Enrolled","—"))</f>
        <v>—</v>
      </c>
    </row>
    <row r="773" spans="1:8" ht="14.25" customHeight="1" x14ac:dyDescent="0.3">
      <c r="A773" s="9">
        <f>'Paste - Mentors'!A773</f>
        <v>5312337</v>
      </c>
      <c r="B773" s="4" t="str">
        <f>IFERROR(VLOOKUP(A773,'Paste - Mentors'!$A:$B,2,0),"")</f>
        <v>Hussein Khan</v>
      </c>
      <c r="C773" s="4" t="str">
        <f>IFERROR(VLOOKUP(A773,'Paste - Mentors'!$A:$D,4,0),"")</f>
        <v>Career Mentor</v>
      </c>
      <c r="D773" s="9" t="str">
        <f>IFERROR(VLOOKUP(A773,'Paste - Mentors'!$A:$F,6,0),"")</f>
        <v>FNB</v>
      </c>
      <c r="E773" s="9" t="str">
        <f>IFERROR(VLOOKUP(A773,'Paste - Mentors'!$A:$E,5,0),"")</f>
        <v>South Africa</v>
      </c>
      <c r="F773" s="9">
        <f>IF(A773="","",COUNTIFS('Paste - Relationships'!$A:$A,A773,'Paste - Relationships'!$AE:$AE,""))</f>
        <v>0</v>
      </c>
      <c r="G773" s="9" t="str">
        <f t="shared" si="12"/>
        <v>Available</v>
      </c>
      <c r="H773" s="9" t="str">
        <f>IF(A773="","",IF(COUNTIF('Programme Mentors'!$A:$A,A773)&gt;0,"Enrolled","—"))</f>
        <v>—</v>
      </c>
    </row>
    <row r="774" spans="1:8" ht="14.25" customHeight="1" x14ac:dyDescent="0.3">
      <c r="A774" s="43">
        <f>'Paste - Mentors'!A774</f>
        <v>5313317</v>
      </c>
      <c r="B774" s="3" t="str">
        <f>IFERROR(VLOOKUP(A774,'Paste - Mentors'!$A:$B,2,0),"")</f>
        <v>Warwick Buttress</v>
      </c>
      <c r="C774" s="3" t="str">
        <f>IFERROR(VLOOKUP(A774,'Paste - Mentors'!$A:$D,4,0),"")</f>
        <v>Career Mentor</v>
      </c>
      <c r="D774" s="43" t="str">
        <f>IFERROR(VLOOKUP(A774,'Paste - Mentors'!$A:$F,6,0),"")</f>
        <v>FNB</v>
      </c>
      <c r="E774" s="43" t="str">
        <f>IFERROR(VLOOKUP(A774,'Paste - Mentors'!$A:$E,5,0),"")</f>
        <v>South Africa</v>
      </c>
      <c r="F774" s="43">
        <f>IF(A774="","",COUNTIFS('Paste - Relationships'!$A:$A,A774,'Paste - Relationships'!$AE:$AE,""))</f>
        <v>0</v>
      </c>
      <c r="G774" s="43" t="str">
        <f t="shared" si="12"/>
        <v>Available</v>
      </c>
      <c r="H774" s="43" t="str">
        <f>IF(A774="","",IF(COUNTIF('Programme Mentors'!$A:$A,A774)&gt;0,"Enrolled","—"))</f>
        <v>—</v>
      </c>
    </row>
    <row r="775" spans="1:8" ht="14.25" customHeight="1" x14ac:dyDescent="0.3">
      <c r="A775" s="9">
        <f>'Paste - Mentors'!A775</f>
        <v>5313589</v>
      </c>
      <c r="B775" s="4" t="str">
        <f>IFERROR(VLOOKUP(A775,'Paste - Mentors'!$A:$B,2,0),"")</f>
        <v>Karabo Modisane</v>
      </c>
      <c r="C775" s="4" t="str">
        <f>IFERROR(VLOOKUP(A775,'Paste - Mentors'!$A:$D,4,0),"")</f>
        <v>Career Mentor</v>
      </c>
      <c r="D775" s="9" t="str">
        <f>IFERROR(VLOOKUP(A775,'Paste - Mentors'!$A:$F,6,0),"")</f>
        <v>FNB</v>
      </c>
      <c r="E775" s="9" t="str">
        <f>IFERROR(VLOOKUP(A775,'Paste - Mentors'!$A:$E,5,0),"")</f>
        <v>South Africa</v>
      </c>
      <c r="F775" s="9">
        <f>IF(A775="","",COUNTIFS('Paste - Relationships'!$A:$A,A775,'Paste - Relationships'!$AE:$AE,""))</f>
        <v>0</v>
      </c>
      <c r="G775" s="9" t="str">
        <f t="shared" si="12"/>
        <v>Available</v>
      </c>
      <c r="H775" s="9" t="str">
        <f>IF(A775="","",IF(COUNTIF('Programme Mentors'!$A:$A,A775)&gt;0,"Enrolled","—"))</f>
        <v>—</v>
      </c>
    </row>
    <row r="776" spans="1:8" ht="14.25" customHeight="1" x14ac:dyDescent="0.3">
      <c r="A776" s="43">
        <f>'Paste - Mentors'!A776</f>
        <v>5314267</v>
      </c>
      <c r="B776" s="3" t="str">
        <f>IFERROR(VLOOKUP(A776,'Paste - Mentors'!$A:$B,2,0),"")</f>
        <v>Johannah Mohlabeng</v>
      </c>
      <c r="C776" s="3" t="str">
        <f>IFERROR(VLOOKUP(A776,'Paste - Mentors'!$A:$D,4,0),"")</f>
        <v>Career Mentor</v>
      </c>
      <c r="D776" s="43" t="str">
        <f>IFERROR(VLOOKUP(A776,'Paste - Mentors'!$A:$F,6,0),"")</f>
        <v>FNB</v>
      </c>
      <c r="E776" s="43" t="str">
        <f>IFERROR(VLOOKUP(A776,'Paste - Mentors'!$A:$E,5,0),"")</f>
        <v>South Africa</v>
      </c>
      <c r="F776" s="43">
        <f>IF(A776="","",COUNTIFS('Paste - Relationships'!$A:$A,A776,'Paste - Relationships'!$AE:$AE,""))</f>
        <v>0</v>
      </c>
      <c r="G776" s="43" t="str">
        <f t="shared" si="12"/>
        <v>Available</v>
      </c>
      <c r="H776" s="43" t="str">
        <f>IF(A776="","",IF(COUNTIF('Programme Mentors'!$A:$A,A776)&gt;0,"Enrolled","—"))</f>
        <v>—</v>
      </c>
    </row>
    <row r="777" spans="1:8" ht="14.25" customHeight="1" x14ac:dyDescent="0.3">
      <c r="A777" s="9">
        <f>'Paste - Mentors'!A777</f>
        <v>5315670</v>
      </c>
      <c r="B777" s="4" t="str">
        <f>IFERROR(VLOOKUP(A777,'Paste - Mentors'!$A:$B,2,0),"")</f>
        <v>Sbonelo Masilela</v>
      </c>
      <c r="C777" s="4" t="str">
        <f>IFERROR(VLOOKUP(A777,'Paste - Mentors'!$A:$D,4,0),"")</f>
        <v>Career Mentor</v>
      </c>
      <c r="D777" s="9" t="str">
        <f>IFERROR(VLOOKUP(A777,'Paste - Mentors'!$A:$F,6,0),"")</f>
        <v>FNB</v>
      </c>
      <c r="E777" s="9" t="str">
        <f>IFERROR(VLOOKUP(A777,'Paste - Mentors'!$A:$E,5,0),"")</f>
        <v>South Africa</v>
      </c>
      <c r="F777" s="9">
        <f>IF(A777="","",COUNTIFS('Paste - Relationships'!$A:$A,A777,'Paste - Relationships'!$AE:$AE,""))</f>
        <v>0</v>
      </c>
      <c r="G777" s="9" t="str">
        <f t="shared" si="12"/>
        <v>Available</v>
      </c>
      <c r="H777" s="9" t="str">
        <f>IF(A777="","",IF(COUNTIF('Programme Mentors'!$A:$A,A777)&gt;0,"Enrolled","—"))</f>
        <v>—</v>
      </c>
    </row>
    <row r="778" spans="1:8" ht="14.25" customHeight="1" x14ac:dyDescent="0.3">
      <c r="A778" s="43">
        <f>'Paste - Mentors'!A778</f>
        <v>5318076</v>
      </c>
      <c r="B778" s="3" t="str">
        <f>IFERROR(VLOOKUP(A778,'Paste - Mentors'!$A:$B,2,0),"")</f>
        <v>Simon Sekokotla</v>
      </c>
      <c r="C778" s="3" t="str">
        <f>IFERROR(VLOOKUP(A778,'Paste - Mentors'!$A:$D,4,0),"")</f>
        <v>Career Mentor</v>
      </c>
      <c r="D778" s="43" t="str">
        <f>IFERROR(VLOOKUP(A778,'Paste - Mentors'!$A:$F,6,0),"")</f>
        <v>FNB</v>
      </c>
      <c r="E778" s="43" t="str">
        <f>IFERROR(VLOOKUP(A778,'Paste - Mentors'!$A:$E,5,0),"")</f>
        <v>South Africa</v>
      </c>
      <c r="F778" s="43">
        <f>IF(A778="","",COUNTIFS('Paste - Relationships'!$A:$A,A778,'Paste - Relationships'!$AE:$AE,""))</f>
        <v>0</v>
      </c>
      <c r="G778" s="43" t="str">
        <f t="shared" si="12"/>
        <v>Available</v>
      </c>
      <c r="H778" s="43" t="str">
        <f>IF(A778="","",IF(COUNTIF('Programme Mentors'!$A:$A,A778)&gt;0,"Enrolled","—"))</f>
        <v>—</v>
      </c>
    </row>
    <row r="779" spans="1:8" ht="14.25" customHeight="1" x14ac:dyDescent="0.3">
      <c r="A779" s="9">
        <f>'Paste - Mentors'!A779</f>
        <v>5319579</v>
      </c>
      <c r="B779" s="4" t="str">
        <f>IFERROR(VLOOKUP(A779,'Paste - Mentors'!$A:$B,2,0),"")</f>
        <v>Samira Harris</v>
      </c>
      <c r="C779" s="4" t="str">
        <f>IFERROR(VLOOKUP(A779,'Paste - Mentors'!$A:$D,4,0),"")</f>
        <v>Career Mentor</v>
      </c>
      <c r="D779" s="9" t="str">
        <f>IFERROR(VLOOKUP(A779,'Paste - Mentors'!$A:$F,6,0),"")</f>
        <v>FNB</v>
      </c>
      <c r="E779" s="9" t="str">
        <f>IFERROR(VLOOKUP(A779,'Paste - Mentors'!$A:$E,5,0),"")</f>
        <v>South Africa</v>
      </c>
      <c r="F779" s="9">
        <f>IF(A779="","",COUNTIFS('Paste - Relationships'!$A:$A,A779,'Paste - Relationships'!$AE:$AE,""))</f>
        <v>0</v>
      </c>
      <c r="G779" s="9" t="str">
        <f t="shared" si="12"/>
        <v>Available</v>
      </c>
      <c r="H779" s="9" t="str">
        <f>IF(A779="","",IF(COUNTIF('Programme Mentors'!$A:$A,A779)&gt;0,"Enrolled","—"))</f>
        <v>—</v>
      </c>
    </row>
    <row r="780" spans="1:8" ht="14.25" customHeight="1" x14ac:dyDescent="0.3">
      <c r="A780" s="43">
        <f>'Paste - Mentors'!A780</f>
        <v>5320992</v>
      </c>
      <c r="B780" s="3" t="str">
        <f>IFERROR(VLOOKUP(A780,'Paste - Mentors'!$A:$B,2,0),"")</f>
        <v>Froggy Munga</v>
      </c>
      <c r="C780" s="3" t="str">
        <f>IFERROR(VLOOKUP(A780,'Paste - Mentors'!$A:$D,4,0),"")</f>
        <v>Career Mentor</v>
      </c>
      <c r="D780" s="43" t="str">
        <f>IFERROR(VLOOKUP(A780,'Paste - Mentors'!$A:$F,6,0),"")</f>
        <v>FNB</v>
      </c>
      <c r="E780" s="43" t="str">
        <f>IFERROR(VLOOKUP(A780,'Paste - Mentors'!$A:$E,5,0),"")</f>
        <v>South Africa</v>
      </c>
      <c r="F780" s="43">
        <f>IF(A780="","",COUNTIFS('Paste - Relationships'!$A:$A,A780,'Paste - Relationships'!$AE:$AE,""))</f>
        <v>0</v>
      </c>
      <c r="G780" s="43" t="str">
        <f t="shared" si="12"/>
        <v>Available</v>
      </c>
      <c r="H780" s="43" t="str">
        <f>IF(A780="","",IF(COUNTIF('Programme Mentors'!$A:$A,A780)&gt;0,"Enrolled","—"))</f>
        <v>—</v>
      </c>
    </row>
    <row r="781" spans="1:8" ht="14.25" customHeight="1" x14ac:dyDescent="0.3">
      <c r="A781" s="9">
        <f>'Paste - Mentors'!A781</f>
        <v>5321131</v>
      </c>
      <c r="B781" s="4" t="str">
        <f>IFERROR(VLOOKUP(A781,'Paste - Mentors'!$A:$B,2,0),"")</f>
        <v>Marcus Manganyi</v>
      </c>
      <c r="C781" s="4" t="str">
        <f>IFERROR(VLOOKUP(A781,'Paste - Mentors'!$A:$D,4,0),"")</f>
        <v>Career Mentor</v>
      </c>
      <c r="D781" s="9" t="str">
        <f>IFERROR(VLOOKUP(A781,'Paste - Mentors'!$A:$F,6,0),"")</f>
        <v>FNB</v>
      </c>
      <c r="E781" s="9" t="str">
        <f>IFERROR(VLOOKUP(A781,'Paste - Mentors'!$A:$E,5,0),"")</f>
        <v>South Africa</v>
      </c>
      <c r="F781" s="9">
        <f>IF(A781="","",COUNTIFS('Paste - Relationships'!$A:$A,A781,'Paste - Relationships'!$AE:$AE,""))</f>
        <v>0</v>
      </c>
      <c r="G781" s="9" t="str">
        <f t="shared" si="12"/>
        <v>Available</v>
      </c>
      <c r="H781" s="9" t="str">
        <f>IF(A781="","",IF(COUNTIF('Programme Mentors'!$A:$A,A781)&gt;0,"Enrolled","—"))</f>
        <v>—</v>
      </c>
    </row>
    <row r="782" spans="1:8" ht="14.25" customHeight="1" x14ac:dyDescent="0.3">
      <c r="A782" s="43">
        <f>'Paste - Mentors'!A782</f>
        <v>5322219</v>
      </c>
      <c r="B782" s="3" t="str">
        <f>IFERROR(VLOOKUP(A782,'Paste - Mentors'!$A:$B,2,0),"")</f>
        <v>Mpho Masisi</v>
      </c>
      <c r="C782" s="3" t="str">
        <f>IFERROR(VLOOKUP(A782,'Paste - Mentors'!$A:$D,4,0),"")</f>
        <v>Career Mentor</v>
      </c>
      <c r="D782" s="43" t="str">
        <f>IFERROR(VLOOKUP(A782,'Paste - Mentors'!$A:$F,6,0),"")</f>
        <v>RMB</v>
      </c>
      <c r="E782" s="43" t="str">
        <f>IFERROR(VLOOKUP(A782,'Paste - Mentors'!$A:$E,5,0),"")</f>
        <v>South Africa</v>
      </c>
      <c r="F782" s="43">
        <f>IF(A782="","",COUNTIFS('Paste - Relationships'!$A:$A,A782,'Paste - Relationships'!$AE:$AE,""))</f>
        <v>0</v>
      </c>
      <c r="G782" s="43" t="str">
        <f t="shared" si="12"/>
        <v>Available</v>
      </c>
      <c r="H782" s="43" t="str">
        <f>IF(A782="","",IF(COUNTIF('Programme Mentors'!$A:$A,A782)&gt;0,"Enrolled","—"))</f>
        <v>—</v>
      </c>
    </row>
    <row r="783" spans="1:8" ht="14.25" customHeight="1" x14ac:dyDescent="0.3">
      <c r="A783" s="9">
        <f>'Paste - Mentors'!A783</f>
        <v>5322693</v>
      </c>
      <c r="B783" s="4" t="str">
        <f>IFERROR(VLOOKUP(A783,'Paste - Mentors'!$A:$B,2,0),"")</f>
        <v>Sabelo Ndabazandile</v>
      </c>
      <c r="C783" s="4" t="str">
        <f>IFERROR(VLOOKUP(A783,'Paste - Mentors'!$A:$D,4,0),"")</f>
        <v>Career Mentor</v>
      </c>
      <c r="D783" s="9" t="str">
        <f>IFERROR(VLOOKUP(A783,'Paste - Mentors'!$A:$F,6,0),"")</f>
        <v>FNB</v>
      </c>
      <c r="E783" s="9" t="str">
        <f>IFERROR(VLOOKUP(A783,'Paste - Mentors'!$A:$E,5,0),"")</f>
        <v>South Africa</v>
      </c>
      <c r="F783" s="9">
        <f>IF(A783="","",COUNTIFS('Paste - Relationships'!$A:$A,A783,'Paste - Relationships'!$AE:$AE,""))</f>
        <v>0</v>
      </c>
      <c r="G783" s="9" t="str">
        <f t="shared" si="12"/>
        <v>Available</v>
      </c>
      <c r="H783" s="9" t="str">
        <f>IF(A783="","",IF(COUNTIF('Programme Mentors'!$A:$A,A783)&gt;0,"Enrolled","—"))</f>
        <v>—</v>
      </c>
    </row>
    <row r="784" spans="1:8" ht="14.25" customHeight="1" x14ac:dyDescent="0.3">
      <c r="A784" s="43">
        <f>'Paste - Mentors'!A784</f>
        <v>5323460</v>
      </c>
      <c r="B784" s="3" t="str">
        <f>IFERROR(VLOOKUP(A784,'Paste - Mentors'!$A:$B,2,0),"")</f>
        <v>Itumeleng Kgoare</v>
      </c>
      <c r="C784" s="3" t="str">
        <f>IFERROR(VLOOKUP(A784,'Paste - Mentors'!$A:$D,4,0),"")</f>
        <v>Career Mentor</v>
      </c>
      <c r="D784" s="43" t="str">
        <f>IFERROR(VLOOKUP(A784,'Paste - Mentors'!$A:$F,6,0),"")</f>
        <v>FNB</v>
      </c>
      <c r="E784" s="43" t="str">
        <f>IFERROR(VLOOKUP(A784,'Paste - Mentors'!$A:$E,5,0),"")</f>
        <v>South Africa</v>
      </c>
      <c r="F784" s="43">
        <f>IF(A784="","",COUNTIFS('Paste - Relationships'!$A:$A,A784,'Paste - Relationships'!$AE:$AE,""))</f>
        <v>2</v>
      </c>
      <c r="G784" s="43" t="str">
        <f t="shared" si="12"/>
        <v>Has Capacity</v>
      </c>
      <c r="H784" s="43" t="str">
        <f>IF(A784="","",IF(COUNTIF('Programme Mentors'!$A:$A,A784)&gt;0,"Enrolled","—"))</f>
        <v>—</v>
      </c>
    </row>
    <row r="785" spans="1:8" ht="14.25" customHeight="1" x14ac:dyDescent="0.3">
      <c r="A785" s="9">
        <f>'Paste - Mentors'!A785</f>
        <v>5326583</v>
      </c>
      <c r="B785" s="4" t="str">
        <f>IFERROR(VLOOKUP(A785,'Paste - Mentors'!$A:$B,2,0),"")</f>
        <v>Tshepiso Mokadi</v>
      </c>
      <c r="C785" s="4" t="str">
        <f>IFERROR(VLOOKUP(A785,'Paste - Mentors'!$A:$D,4,0),"")</f>
        <v>Career Mentor</v>
      </c>
      <c r="D785" s="9" t="str">
        <f>IFERROR(VLOOKUP(A785,'Paste - Mentors'!$A:$F,6,0),"")</f>
        <v>FNB</v>
      </c>
      <c r="E785" s="9" t="str">
        <f>IFERROR(VLOOKUP(A785,'Paste - Mentors'!$A:$E,5,0),"")</f>
        <v>South Africa</v>
      </c>
      <c r="F785" s="9">
        <f>IF(A785="","",COUNTIFS('Paste - Relationships'!$A:$A,A785,'Paste - Relationships'!$AE:$AE,""))</f>
        <v>0</v>
      </c>
      <c r="G785" s="9" t="str">
        <f t="shared" si="12"/>
        <v>Available</v>
      </c>
      <c r="H785" s="9" t="str">
        <f>IF(A785="","",IF(COUNTIF('Programme Mentors'!$A:$A,A785)&gt;0,"Enrolled","—"))</f>
        <v>—</v>
      </c>
    </row>
    <row r="786" spans="1:8" ht="14.25" customHeight="1" x14ac:dyDescent="0.3">
      <c r="A786" s="43">
        <f>'Paste - Mentors'!A786</f>
        <v>5329132</v>
      </c>
      <c r="B786" s="3" t="str">
        <f>IFERROR(VLOOKUP(A786,'Paste - Mentors'!$A:$B,2,0),"")</f>
        <v>Nabeel Makkan</v>
      </c>
      <c r="C786" s="3" t="str">
        <f>IFERROR(VLOOKUP(A786,'Paste - Mentors'!$A:$D,4,0),"")</f>
        <v>Leadership Mentor
Technical Mentor
Workplace  Buddy</v>
      </c>
      <c r="D786" s="43" t="str">
        <f>IFERROR(VLOOKUP(A786,'Paste - Mentors'!$A:$F,6,0),"")</f>
        <v>FNB</v>
      </c>
      <c r="E786" s="43" t="str">
        <f>IFERROR(VLOOKUP(A786,'Paste - Mentors'!$A:$E,5,0),"")</f>
        <v>South Africa</v>
      </c>
      <c r="F786" s="43">
        <f>IF(A786="","",COUNTIFS('Paste - Relationships'!$A:$A,A786,'Paste - Relationships'!$AE:$AE,""))</f>
        <v>0</v>
      </c>
      <c r="G786" s="43" t="str">
        <f t="shared" si="12"/>
        <v>Available</v>
      </c>
      <c r="H786" s="43" t="str">
        <f>IF(A786="","",IF(COUNTIF('Programme Mentors'!$A:$A,A786)&gt;0,"Enrolled","—"))</f>
        <v>—</v>
      </c>
    </row>
    <row r="787" spans="1:8" ht="57" customHeight="1" x14ac:dyDescent="0.3">
      <c r="A787" s="9">
        <f>'Paste - Mentors'!A787</f>
        <v>5332451</v>
      </c>
      <c r="B787" s="4" t="str">
        <f>IFERROR(VLOOKUP(A787,'Paste - Mentors'!$A:$B,2,0),"")</f>
        <v>Kelly Chetty</v>
      </c>
      <c r="C787" s="4">
        <f>IFERROR(VLOOKUP(A787,'Paste - Mentors'!$A:$D,4,0),"")</f>
        <v>0</v>
      </c>
      <c r="D787" s="9" t="str">
        <f>IFERROR(VLOOKUP(A787,'Paste - Mentors'!$A:$F,6,0),"")</f>
        <v>RMB</v>
      </c>
      <c r="E787" s="9" t="str">
        <f>IFERROR(VLOOKUP(A787,'Paste - Mentors'!$A:$E,5,0),"")</f>
        <v>South Africa</v>
      </c>
      <c r="F787" s="9">
        <f>IF(A787="","",COUNTIFS('Paste - Relationships'!$A:$A,A787,'Paste - Relationships'!$AE:$AE,""))</f>
        <v>0</v>
      </c>
      <c r="G787" s="9" t="str">
        <f t="shared" si="12"/>
        <v>Available</v>
      </c>
      <c r="H787" s="9" t="str">
        <f>IF(A787="","",IF(COUNTIF('Programme Mentors'!$A:$A,A787)&gt;0,"Enrolled","—"))</f>
        <v>—</v>
      </c>
    </row>
    <row r="788" spans="1:8" ht="14.25" customHeight="1" x14ac:dyDescent="0.3">
      <c r="A788" s="43">
        <f>'Paste - Mentors'!A788</f>
        <v>5334187</v>
      </c>
      <c r="B788" s="3" t="str">
        <f>IFERROR(VLOOKUP(A788,'Paste - Mentors'!$A:$B,2,0),"")</f>
        <v>Steven Harris</v>
      </c>
      <c r="C788" s="3" t="str">
        <f>IFERROR(VLOOKUP(A788,'Paste - Mentors'!$A:$D,4,0),"")</f>
        <v>Career Mentor
Leadership Mentor</v>
      </c>
      <c r="D788" s="43" t="str">
        <f>IFERROR(VLOOKUP(A788,'Paste - Mentors'!$A:$F,6,0),"")</f>
        <v>RMB</v>
      </c>
      <c r="E788" s="43" t="str">
        <f>IFERROR(VLOOKUP(A788,'Paste - Mentors'!$A:$E,5,0),"")</f>
        <v>South Africa</v>
      </c>
      <c r="F788" s="43">
        <f>IF(A788="","",COUNTIFS('Paste - Relationships'!$A:$A,A788,'Paste - Relationships'!$AE:$AE,""))</f>
        <v>0</v>
      </c>
      <c r="G788" s="43" t="str">
        <f t="shared" si="12"/>
        <v>Available</v>
      </c>
      <c r="H788" s="43" t="str">
        <f>IF(A788="","",IF(COUNTIF('Programme Mentors'!$A:$A,A788)&gt;0,"Enrolled","—"))</f>
        <v>—</v>
      </c>
    </row>
    <row r="789" spans="1:8" ht="33.75" customHeight="1" x14ac:dyDescent="0.3">
      <c r="A789" s="9">
        <f>'Paste - Mentors'!A789</f>
        <v>5334810</v>
      </c>
      <c r="B789" s="4" t="str">
        <f>IFERROR(VLOOKUP(A789,'Paste - Mentors'!$A:$B,2,0),"")</f>
        <v>Peter Mogodi</v>
      </c>
      <c r="C789" s="4" t="str">
        <f>IFERROR(VLOOKUP(A789,'Paste - Mentors'!$A:$D,4,0),"")</f>
        <v>Career Mentor</v>
      </c>
      <c r="D789" s="9" t="str">
        <f>IFERROR(VLOOKUP(A789,'Paste - Mentors'!$A:$F,6,0),"")</f>
        <v>FNB</v>
      </c>
      <c r="E789" s="9" t="str">
        <f>IFERROR(VLOOKUP(A789,'Paste - Mentors'!$A:$E,5,0),"")</f>
        <v>South Africa</v>
      </c>
      <c r="F789" s="9">
        <f>IF(A789="","",COUNTIFS('Paste - Relationships'!$A:$A,A789,'Paste - Relationships'!$AE:$AE,""))</f>
        <v>0</v>
      </c>
      <c r="G789" s="9" t="str">
        <f t="shared" si="12"/>
        <v>Available</v>
      </c>
      <c r="H789" s="9" t="str">
        <f>IF(A789="","",IF(COUNTIF('Programme Mentors'!$A:$A,A789)&gt;0,"Enrolled","—"))</f>
        <v>—</v>
      </c>
    </row>
    <row r="790" spans="1:8" ht="14.25" customHeight="1" x14ac:dyDescent="0.3">
      <c r="A790" s="43">
        <f>'Paste - Mentors'!A790</f>
        <v>5335655</v>
      </c>
      <c r="B790" s="3" t="str">
        <f>IFERROR(VLOOKUP(A790,'Paste - Mentors'!$A:$B,2,0),"")</f>
        <v>Mosa Seloane</v>
      </c>
      <c r="C790" s="3" t="str">
        <f>IFERROR(VLOOKUP(A790,'Paste - Mentors'!$A:$D,4,0),"")</f>
        <v>Career Mentor</v>
      </c>
      <c r="D790" s="43" t="str">
        <f>IFERROR(VLOOKUP(A790,'Paste - Mentors'!$A:$F,6,0),"")</f>
        <v>FNB</v>
      </c>
      <c r="E790" s="43" t="str">
        <f>IFERROR(VLOOKUP(A790,'Paste - Mentors'!$A:$E,5,0),"")</f>
        <v>South Africa</v>
      </c>
      <c r="F790" s="43">
        <f>IF(A790="","",COUNTIFS('Paste - Relationships'!$A:$A,A790,'Paste - Relationships'!$AE:$AE,""))</f>
        <v>0</v>
      </c>
      <c r="G790" s="43" t="str">
        <f t="shared" si="12"/>
        <v>Available</v>
      </c>
      <c r="H790" s="43" t="str">
        <f>IF(A790="","",IF(COUNTIF('Programme Mentors'!$A:$A,A790)&gt;0,"Enrolled","—"))</f>
        <v>—</v>
      </c>
    </row>
    <row r="791" spans="1:8" ht="14.25" customHeight="1" x14ac:dyDescent="0.3">
      <c r="A791" s="9">
        <f>'Paste - Mentors'!A791</f>
        <v>5336120</v>
      </c>
      <c r="B791" s="4" t="str">
        <f>IFERROR(VLOOKUP(A791,'Paste - Mentors'!$A:$B,2,0),"")</f>
        <v>Courtney Lewis</v>
      </c>
      <c r="C791" s="4" t="str">
        <f>IFERROR(VLOOKUP(A791,'Paste - Mentors'!$A:$D,4,0),"")</f>
        <v>Career Mentor</v>
      </c>
      <c r="D791" s="9" t="str">
        <f>IFERROR(VLOOKUP(A791,'Paste - Mentors'!$A:$F,6,0),"")</f>
        <v>FNB</v>
      </c>
      <c r="E791" s="9" t="str">
        <f>IFERROR(VLOOKUP(A791,'Paste - Mentors'!$A:$E,5,0),"")</f>
        <v>South Africa</v>
      </c>
      <c r="F791" s="9">
        <f>IF(A791="","",COUNTIFS('Paste - Relationships'!$A:$A,A791,'Paste - Relationships'!$AE:$AE,""))</f>
        <v>0</v>
      </c>
      <c r="G791" s="9" t="str">
        <f t="shared" si="12"/>
        <v>Available</v>
      </c>
      <c r="H791" s="9" t="str">
        <f>IF(A791="","",IF(COUNTIF('Programme Mentors'!$A:$A,A791)&gt;0,"Enrolled","—"))</f>
        <v>—</v>
      </c>
    </row>
    <row r="792" spans="1:8" ht="14.25" customHeight="1" x14ac:dyDescent="0.3">
      <c r="A792" s="43">
        <f>'Paste - Mentors'!A792</f>
        <v>5336309</v>
      </c>
      <c r="B792" s="3" t="str">
        <f>IFERROR(VLOOKUP(A792,'Paste - Mentors'!$A:$B,2,0),"")</f>
        <v>Lucius Madithapa</v>
      </c>
      <c r="C792" s="3" t="str">
        <f>IFERROR(VLOOKUP(A792,'Paste - Mentors'!$A:$D,4,0),"")</f>
        <v>Career Mentor</v>
      </c>
      <c r="D792" s="43" t="str">
        <f>IFERROR(VLOOKUP(A792,'Paste - Mentors'!$A:$F,6,0),"")</f>
        <v>FNB</v>
      </c>
      <c r="E792" s="43" t="str">
        <f>IFERROR(VLOOKUP(A792,'Paste - Mentors'!$A:$E,5,0),"")</f>
        <v>South Africa</v>
      </c>
      <c r="F792" s="43">
        <f>IF(A792="","",COUNTIFS('Paste - Relationships'!$A:$A,A792,'Paste - Relationships'!$AE:$AE,""))</f>
        <v>0</v>
      </c>
      <c r="G792" s="43" t="str">
        <f t="shared" si="12"/>
        <v>Available</v>
      </c>
      <c r="H792" s="43" t="str">
        <f>IF(A792="","",IF(COUNTIF('Programme Mentors'!$A:$A,A792)&gt;0,"Enrolled","—"))</f>
        <v>—</v>
      </c>
    </row>
    <row r="793" spans="1:8" ht="14.25" customHeight="1" x14ac:dyDescent="0.3">
      <c r="A793" s="9">
        <f>'Paste - Mentors'!A793</f>
        <v>5339502</v>
      </c>
      <c r="B793" s="4" t="str">
        <f>IFERROR(VLOOKUP(A793,'Paste - Mentors'!$A:$B,2,0),"")</f>
        <v>Rivan Meyer</v>
      </c>
      <c r="C793" s="4" t="str">
        <f>IFERROR(VLOOKUP(A793,'Paste - Mentors'!$A:$D,4,0),"")</f>
        <v>Career Mentor
Leadership Mentor</v>
      </c>
      <c r="D793" s="9" t="str">
        <f>IFERROR(VLOOKUP(A793,'Paste - Mentors'!$A:$F,6,0),"")</f>
        <v>FNB</v>
      </c>
      <c r="E793" s="9" t="str">
        <f>IFERROR(VLOOKUP(A793,'Paste - Mentors'!$A:$E,5,0),"")</f>
        <v>Namibia</v>
      </c>
      <c r="F793" s="9">
        <f>IF(A793="","",COUNTIFS('Paste - Relationships'!$A:$A,A793,'Paste - Relationships'!$AE:$AE,""))</f>
        <v>0</v>
      </c>
      <c r="G793" s="9" t="str">
        <f t="shared" si="12"/>
        <v>Available</v>
      </c>
      <c r="H793" s="9" t="str">
        <f>IF(A793="","",IF(COUNTIF('Programme Mentors'!$A:$A,A793)&gt;0,"Enrolled","—"))</f>
        <v>—</v>
      </c>
    </row>
    <row r="794" spans="1:8" ht="33.75" customHeight="1" x14ac:dyDescent="0.3">
      <c r="A794" s="43">
        <f>'Paste - Mentors'!A794</f>
        <v>5340586</v>
      </c>
      <c r="B794" s="3" t="str">
        <f>IFERROR(VLOOKUP(A794,'Paste - Mentors'!$A:$B,2,0),"")</f>
        <v>Yajur Ramadeen</v>
      </c>
      <c r="C794" s="3" t="str">
        <f>IFERROR(VLOOKUP(A794,'Paste - Mentors'!$A:$D,4,0),"")</f>
        <v>Technical Mentor</v>
      </c>
      <c r="D794" s="43" t="str">
        <f>IFERROR(VLOOKUP(A794,'Paste - Mentors'!$A:$F,6,0),"")</f>
        <v>FNB</v>
      </c>
      <c r="E794" s="43" t="str">
        <f>IFERROR(VLOOKUP(A794,'Paste - Mentors'!$A:$E,5,0),"")</f>
        <v>South Africa</v>
      </c>
      <c r="F794" s="43">
        <f>IF(A794="","",COUNTIFS('Paste - Relationships'!$A:$A,A794,'Paste - Relationships'!$AE:$AE,""))</f>
        <v>0</v>
      </c>
      <c r="G794" s="43" t="str">
        <f t="shared" si="12"/>
        <v>Available</v>
      </c>
      <c r="H794" s="43" t="str">
        <f>IF(A794="","",IF(COUNTIF('Programme Mentors'!$A:$A,A794)&gt;0,"Enrolled","—"))</f>
        <v>—</v>
      </c>
    </row>
    <row r="795" spans="1:8" ht="14.25" customHeight="1" x14ac:dyDescent="0.3">
      <c r="A795" s="9">
        <f>'Paste - Mentors'!A795</f>
        <v>5349222</v>
      </c>
      <c r="B795" s="4" t="str">
        <f>IFERROR(VLOOKUP(A795,'Paste - Mentors'!$A:$B,2,0),"")</f>
        <v>Jj Siecker</v>
      </c>
      <c r="C795" s="4" t="str">
        <f>IFERROR(VLOOKUP(A795,'Paste - Mentors'!$A:$D,4,0),"")</f>
        <v>Technical Mentor
Transition Mentor</v>
      </c>
      <c r="D795" s="9" t="str">
        <f>IFERROR(VLOOKUP(A795,'Paste - Mentors'!$A:$F,6,0),"")</f>
        <v>FNB</v>
      </c>
      <c r="E795" s="9" t="str">
        <f>IFERROR(VLOOKUP(A795,'Paste - Mentors'!$A:$E,5,0),"")</f>
        <v>South Africa</v>
      </c>
      <c r="F795" s="9">
        <f>IF(A795="","",COUNTIFS('Paste - Relationships'!$A:$A,A795,'Paste - Relationships'!$AE:$AE,""))</f>
        <v>0</v>
      </c>
      <c r="G795" s="9" t="str">
        <f t="shared" si="12"/>
        <v>Available</v>
      </c>
      <c r="H795" s="9" t="str">
        <f>IF(A795="","",IF(COUNTIF('Programme Mentors'!$A:$A,A795)&gt;0,"Enrolled","—"))</f>
        <v>—</v>
      </c>
    </row>
    <row r="796" spans="1:8" ht="33.75" customHeight="1" x14ac:dyDescent="0.3">
      <c r="A796" s="43">
        <f>'Paste - Mentors'!A796</f>
        <v>5376963</v>
      </c>
      <c r="B796" s="3" t="str">
        <f>IFERROR(VLOOKUP(A796,'Paste - Mentors'!$A:$B,2,0),"")</f>
        <v>Mohammed Abdul Hamid</v>
      </c>
      <c r="C796" s="3">
        <f>IFERROR(VLOOKUP(A796,'Paste - Mentors'!$A:$D,4,0),"")</f>
        <v>0</v>
      </c>
      <c r="D796" s="43" t="str">
        <f>IFERROR(VLOOKUP(A796,'Paste - Mentors'!$A:$F,6,0),"")</f>
        <v>FNB</v>
      </c>
      <c r="E796" s="43" t="str">
        <f>IFERROR(VLOOKUP(A796,'Paste - Mentors'!$A:$E,5,0),"")</f>
        <v>South Africa</v>
      </c>
      <c r="F796" s="43">
        <f>IF(A796="","",COUNTIFS('Paste - Relationships'!$A:$A,A796,'Paste - Relationships'!$AE:$AE,""))</f>
        <v>0</v>
      </c>
      <c r="G796" s="43" t="str">
        <f t="shared" si="12"/>
        <v>Available</v>
      </c>
      <c r="H796" s="43" t="str">
        <f>IF(A796="","",IF(COUNTIF('Programme Mentors'!$A:$A,A796)&gt;0,"Enrolled","—"))</f>
        <v>—</v>
      </c>
    </row>
    <row r="797" spans="1:8" ht="14.25" customHeight="1" x14ac:dyDescent="0.3">
      <c r="A797" s="9">
        <f>'Paste - Mentors'!A797</f>
        <v>5377749</v>
      </c>
      <c r="B797" s="4" t="str">
        <f>IFERROR(VLOOKUP(A797,'Paste - Mentors'!$A:$B,2,0),"")</f>
        <v>Edward Le Roux</v>
      </c>
      <c r="C797" s="4" t="str">
        <f>IFERROR(VLOOKUP(A797,'Paste - Mentors'!$A:$D,4,0),"")</f>
        <v>Career Mentor</v>
      </c>
      <c r="D797" s="9" t="str">
        <f>IFERROR(VLOOKUP(A797,'Paste - Mentors'!$A:$F,6,0),"")</f>
        <v>FNB</v>
      </c>
      <c r="E797" s="9" t="str">
        <f>IFERROR(VLOOKUP(A797,'Paste - Mentors'!$A:$E,5,0),"")</f>
        <v>South Africa</v>
      </c>
      <c r="F797" s="9">
        <f>IF(A797="","",COUNTIFS('Paste - Relationships'!$A:$A,A797,'Paste - Relationships'!$AE:$AE,""))</f>
        <v>0</v>
      </c>
      <c r="G797" s="9" t="str">
        <f t="shared" si="12"/>
        <v>Available</v>
      </c>
      <c r="H797" s="9" t="str">
        <f>IF(A797="","",IF(COUNTIF('Programme Mentors'!$A:$A,A797)&gt;0,"Enrolled","—"))</f>
        <v>—</v>
      </c>
    </row>
    <row r="798" spans="1:8" ht="14.25" customHeight="1" x14ac:dyDescent="0.3">
      <c r="A798" s="43">
        <f>'Paste - Mentors'!A798</f>
        <v>5389585</v>
      </c>
      <c r="B798" s="3" t="str">
        <f>IFERROR(VLOOKUP(A798,'Paste - Mentors'!$A:$B,2,0),"")</f>
        <v>Amukelani Maetsa</v>
      </c>
      <c r="C798" s="3" t="str">
        <f>IFERROR(VLOOKUP(A798,'Paste - Mentors'!$A:$D,4,0),"")</f>
        <v>Career Mentor</v>
      </c>
      <c r="D798" s="43" t="str">
        <f>IFERROR(VLOOKUP(A798,'Paste - Mentors'!$A:$F,6,0),"")</f>
        <v>FNB</v>
      </c>
      <c r="E798" s="43" t="str">
        <f>IFERROR(VLOOKUP(A798,'Paste - Mentors'!$A:$E,5,0),"")</f>
        <v>South Africa</v>
      </c>
      <c r="F798" s="43">
        <f>IF(A798="","",COUNTIFS('Paste - Relationships'!$A:$A,A798,'Paste - Relationships'!$AE:$AE,""))</f>
        <v>0</v>
      </c>
      <c r="G798" s="43" t="str">
        <f t="shared" si="12"/>
        <v>Available</v>
      </c>
      <c r="H798" s="43" t="str">
        <f>IF(A798="","",IF(COUNTIF('Programme Mentors'!$A:$A,A798)&gt;0,"Enrolled","—"))</f>
        <v>—</v>
      </c>
    </row>
    <row r="799" spans="1:8" ht="14.25" customHeight="1" x14ac:dyDescent="0.3">
      <c r="A799" s="9">
        <f>'Paste - Mentors'!A799</f>
        <v>5390427</v>
      </c>
      <c r="B799" s="4" t="str">
        <f>IFERROR(VLOOKUP(A799,'Paste - Mentors'!$A:$B,2,0),"")</f>
        <v>Mohummad Sabir Gaffoor</v>
      </c>
      <c r="C799" s="4" t="str">
        <f>IFERROR(VLOOKUP(A799,'Paste - Mentors'!$A:$D,4,0),"")</f>
        <v>Career Mentor</v>
      </c>
      <c r="D799" s="9" t="str">
        <f>IFERROR(VLOOKUP(A799,'Paste - Mentors'!$A:$F,6,0),"")</f>
        <v>FNB</v>
      </c>
      <c r="E799" s="9" t="str">
        <f>IFERROR(VLOOKUP(A799,'Paste - Mentors'!$A:$E,5,0),"")</f>
        <v>South Africa</v>
      </c>
      <c r="F799" s="9">
        <f>IF(A799="","",COUNTIFS('Paste - Relationships'!$A:$A,A799,'Paste - Relationships'!$AE:$AE,""))</f>
        <v>0</v>
      </c>
      <c r="G799" s="9" t="str">
        <f t="shared" si="12"/>
        <v>Available</v>
      </c>
      <c r="H799" s="9" t="str">
        <f>IF(A799="","",IF(COUNTIF('Programme Mentors'!$A:$A,A799)&gt;0,"Enrolled","—"))</f>
        <v>—</v>
      </c>
    </row>
    <row r="800" spans="1:8" ht="14.25" customHeight="1" x14ac:dyDescent="0.3">
      <c r="A800" s="43">
        <f>'Paste - Mentors'!A800</f>
        <v>5391458</v>
      </c>
      <c r="B800" s="3" t="str">
        <f>IFERROR(VLOOKUP(A800,'Paste - Mentors'!$A:$B,2,0),"")</f>
        <v>Cuthbert (Sedutla) Sekgotodi</v>
      </c>
      <c r="C800" s="3" t="str">
        <f>IFERROR(VLOOKUP(A800,'Paste - Mentors'!$A:$D,4,0),"")</f>
        <v>Career Mentor
Transition Mentor
Workplace  Buddy</v>
      </c>
      <c r="D800" s="43" t="str">
        <f>IFERROR(VLOOKUP(A800,'Paste - Mentors'!$A:$F,6,0),"")</f>
        <v>FNB</v>
      </c>
      <c r="E800" s="43" t="str">
        <f>IFERROR(VLOOKUP(A800,'Paste - Mentors'!$A:$E,5,0),"")</f>
        <v>South Africa</v>
      </c>
      <c r="F800" s="43">
        <f>IF(A800="","",COUNTIFS('Paste - Relationships'!$A:$A,A800,'Paste - Relationships'!$AE:$AE,""))</f>
        <v>2</v>
      </c>
      <c r="G800" s="43" t="str">
        <f t="shared" si="12"/>
        <v>Has Capacity</v>
      </c>
      <c r="H800" s="43" t="str">
        <f>IF(A800="","",IF(COUNTIF('Programme Mentors'!$A:$A,A800)&gt;0,"Enrolled","—"))</f>
        <v>—</v>
      </c>
    </row>
    <row r="801" spans="1:8" ht="57" customHeight="1" x14ac:dyDescent="0.3">
      <c r="A801" s="9">
        <f>'Paste - Mentors'!A801</f>
        <v>5399335</v>
      </c>
      <c r="B801" s="4" t="str">
        <f>IFERROR(VLOOKUP(A801,'Paste - Mentors'!$A:$B,2,0),"")</f>
        <v>Jaco Grobler</v>
      </c>
      <c r="C801" s="4" t="str">
        <f>IFERROR(VLOOKUP(A801,'Paste - Mentors'!$A:$D,4,0),"")</f>
        <v>Career Mentor</v>
      </c>
      <c r="D801" s="9" t="str">
        <f>IFERROR(VLOOKUP(A801,'Paste - Mentors'!$A:$F,6,0),"")</f>
        <v>FNB</v>
      </c>
      <c r="E801" s="9" t="str">
        <f>IFERROR(VLOOKUP(A801,'Paste - Mentors'!$A:$E,5,0),"")</f>
        <v>South Africa</v>
      </c>
      <c r="F801" s="9">
        <f>IF(A801="","",COUNTIFS('Paste - Relationships'!$A:$A,A801,'Paste - Relationships'!$AE:$AE,""))</f>
        <v>1</v>
      </c>
      <c r="G801" s="9" t="str">
        <f t="shared" si="12"/>
        <v>Has Capacity</v>
      </c>
      <c r="H801" s="9" t="str">
        <f>IF(A801="","",IF(COUNTIF('Programme Mentors'!$A:$A,A801)&gt;0,"Enrolled","—"))</f>
        <v>—</v>
      </c>
    </row>
    <row r="802" spans="1:8" ht="14.25" customHeight="1" x14ac:dyDescent="0.3">
      <c r="A802" s="43">
        <f>'Paste - Mentors'!A802</f>
        <v>5406420</v>
      </c>
      <c r="B802" s="3" t="str">
        <f>IFERROR(VLOOKUP(A802,'Paste - Mentors'!$A:$B,2,0),"")</f>
        <v>Mashir Moodley</v>
      </c>
      <c r="C802" s="3" t="str">
        <f>IFERROR(VLOOKUP(A802,'Paste - Mentors'!$A:$D,4,0),"")</f>
        <v>Career Mentor
Leadership Mentor
Technical Mentor
Workplace  Buddy</v>
      </c>
      <c r="D802" s="43" t="str">
        <f>IFERROR(VLOOKUP(A802,'Paste - Mentors'!$A:$F,6,0),"")</f>
        <v>FNB</v>
      </c>
      <c r="E802" s="43" t="str">
        <f>IFERROR(VLOOKUP(A802,'Paste - Mentors'!$A:$E,5,0),"")</f>
        <v>South Africa</v>
      </c>
      <c r="F802" s="43">
        <f>IF(A802="","",COUNTIFS('Paste - Relationships'!$A:$A,A802,'Paste - Relationships'!$AE:$AE,""))</f>
        <v>0</v>
      </c>
      <c r="G802" s="43" t="str">
        <f t="shared" si="12"/>
        <v>Available</v>
      </c>
      <c r="H802" s="43" t="str">
        <f>IF(A802="","",IF(COUNTIF('Programme Mentors'!$A:$A,A802)&gt;0,"Enrolled","—"))</f>
        <v>—</v>
      </c>
    </row>
    <row r="803" spans="1:8" ht="79.5" customHeight="1" x14ac:dyDescent="0.3">
      <c r="A803" s="9">
        <f>'Paste - Mentors'!A803</f>
        <v>5414032</v>
      </c>
      <c r="B803" s="4" t="str">
        <f>IFERROR(VLOOKUP(A803,'Paste - Mentors'!$A:$B,2,0),"")</f>
        <v>Helen Mkhize</v>
      </c>
      <c r="C803" s="4" t="str">
        <f>IFERROR(VLOOKUP(A803,'Paste - Mentors'!$A:$D,4,0),"")</f>
        <v>Career Mentor
Leadership Mentor</v>
      </c>
      <c r="D803" s="9" t="str">
        <f>IFERROR(VLOOKUP(A803,'Paste - Mentors'!$A:$F,6,0),"")</f>
        <v>RMB</v>
      </c>
      <c r="E803" s="9" t="str">
        <f>IFERROR(VLOOKUP(A803,'Paste - Mentors'!$A:$E,5,0),"")</f>
        <v>South Africa</v>
      </c>
      <c r="F803" s="9">
        <f>IF(A803="","",COUNTIFS('Paste - Relationships'!$A:$A,A803,'Paste - Relationships'!$AE:$AE,""))</f>
        <v>1</v>
      </c>
      <c r="G803" s="9" t="str">
        <f t="shared" si="12"/>
        <v>Has Capacity</v>
      </c>
      <c r="H803" s="9" t="str">
        <f>IF(A803="","",IF(COUNTIF('Programme Mentors'!$A:$A,A803)&gt;0,"Enrolled","—"))</f>
        <v>—</v>
      </c>
    </row>
    <row r="804" spans="1:8" ht="33.75" customHeight="1" x14ac:dyDescent="0.3">
      <c r="A804" s="43">
        <f>'Paste - Mentors'!A804</f>
        <v>5420725</v>
      </c>
      <c r="B804" s="3" t="str">
        <f>IFERROR(VLOOKUP(A804,'Paste - Mentors'!$A:$B,2,0),"")</f>
        <v>Tsietsi Xaba</v>
      </c>
      <c r="C804" s="3" t="str">
        <f>IFERROR(VLOOKUP(A804,'Paste - Mentors'!$A:$D,4,0),"")</f>
        <v>Career Mentor</v>
      </c>
      <c r="D804" s="43" t="str">
        <f>IFERROR(VLOOKUP(A804,'Paste - Mentors'!$A:$F,6,0),"")</f>
        <v>FNB</v>
      </c>
      <c r="E804" s="43" t="str">
        <f>IFERROR(VLOOKUP(A804,'Paste - Mentors'!$A:$E,5,0),"")</f>
        <v>South Africa</v>
      </c>
      <c r="F804" s="43">
        <f>IF(A804="","",COUNTIFS('Paste - Relationships'!$A:$A,A804,'Paste - Relationships'!$AE:$AE,""))</f>
        <v>0</v>
      </c>
      <c r="G804" s="43" t="str">
        <f t="shared" si="12"/>
        <v>Available</v>
      </c>
      <c r="H804" s="43" t="str">
        <f>IF(A804="","",IF(COUNTIF('Programme Mentors'!$A:$A,A804)&gt;0,"Enrolled","—"))</f>
        <v>—</v>
      </c>
    </row>
    <row r="805" spans="1:8" ht="14.25" customHeight="1" x14ac:dyDescent="0.3">
      <c r="A805" s="9">
        <f>'Paste - Mentors'!A805</f>
        <v>5430577</v>
      </c>
      <c r="B805" s="4" t="str">
        <f>IFERROR(VLOOKUP(A805,'Paste - Mentors'!$A:$B,2,0),"")</f>
        <v>Jones Mabapa</v>
      </c>
      <c r="C805" s="4" t="str">
        <f>IFERROR(VLOOKUP(A805,'Paste - Mentors'!$A:$D,4,0),"")</f>
        <v>Career Mentor
Workplace  Buddy</v>
      </c>
      <c r="D805" s="9" t="str">
        <f>IFERROR(VLOOKUP(A805,'Paste - Mentors'!$A:$F,6,0),"")</f>
        <v>RMB</v>
      </c>
      <c r="E805" s="9" t="str">
        <f>IFERROR(VLOOKUP(A805,'Paste - Mentors'!$A:$E,5,0),"")</f>
        <v>South Africa</v>
      </c>
      <c r="F805" s="9">
        <f>IF(A805="","",COUNTIFS('Paste - Relationships'!$A:$A,A805,'Paste - Relationships'!$AE:$AE,""))</f>
        <v>1</v>
      </c>
      <c r="G805" s="9" t="str">
        <f t="shared" si="12"/>
        <v>Has Capacity</v>
      </c>
      <c r="H805" s="9" t="str">
        <f>IF(A805="","",IF(COUNTIF('Programme Mentors'!$A:$A,A805)&gt;0,"Enrolled","—"))</f>
        <v>—</v>
      </c>
    </row>
    <row r="806" spans="1:8" ht="33.75" customHeight="1" x14ac:dyDescent="0.3">
      <c r="A806" s="43">
        <f>'Paste - Mentors'!A806</f>
        <v>5431328</v>
      </c>
      <c r="B806" s="3" t="str">
        <f>IFERROR(VLOOKUP(A806,'Paste - Mentors'!$A:$B,2,0),"")</f>
        <v>Tswelo Kodisang</v>
      </c>
      <c r="C806" s="3" t="str">
        <f>IFERROR(VLOOKUP(A806,'Paste - Mentors'!$A:$D,4,0),"")</f>
        <v>Career Mentor
Leadership Mentor
Workplace  Buddy</v>
      </c>
      <c r="D806" s="43" t="str">
        <f>IFERROR(VLOOKUP(A806,'Paste - Mentors'!$A:$F,6,0),"")</f>
        <v>FirstRand Corporate Centre</v>
      </c>
      <c r="E806" s="43" t="str">
        <f>IFERROR(VLOOKUP(A806,'Paste - Mentors'!$A:$E,5,0),"")</f>
        <v>South Africa</v>
      </c>
      <c r="F806" s="43">
        <f>IF(A806="","",COUNTIFS('Paste - Relationships'!$A:$A,A806,'Paste - Relationships'!$AE:$AE,""))</f>
        <v>1</v>
      </c>
      <c r="G806" s="43" t="str">
        <f t="shared" si="12"/>
        <v>Has Capacity</v>
      </c>
      <c r="H806" s="43" t="str">
        <f>IF(A806="","",IF(COUNTIF('Programme Mentors'!$A:$A,A806)&gt;0,"Enrolled","—"))</f>
        <v>—</v>
      </c>
    </row>
    <row r="807" spans="1:8" ht="57" customHeight="1" x14ac:dyDescent="0.3">
      <c r="A807" s="9">
        <f>'Paste - Mentors'!A807</f>
        <v>5441579</v>
      </c>
      <c r="B807" s="4" t="str">
        <f>IFERROR(VLOOKUP(A807,'Paste - Mentors'!$A:$B,2,0),"")</f>
        <v>Dane Pillay</v>
      </c>
      <c r="C807" s="4" t="str">
        <f>IFERROR(VLOOKUP(A807,'Paste - Mentors'!$A:$D,4,0),"")</f>
        <v>Career Mentor
Technical Mentor
Transition Mentor
Workplace  Buddy</v>
      </c>
      <c r="D807" s="9" t="str">
        <f>IFERROR(VLOOKUP(A807,'Paste - Mentors'!$A:$F,6,0),"")</f>
        <v>FNB</v>
      </c>
      <c r="E807" s="9" t="str">
        <f>IFERROR(VLOOKUP(A807,'Paste - Mentors'!$A:$E,5,0),"")</f>
        <v>South Africa</v>
      </c>
      <c r="F807" s="9">
        <f>IF(A807="","",COUNTIFS('Paste - Relationships'!$A:$A,A807,'Paste - Relationships'!$AE:$AE,""))</f>
        <v>0</v>
      </c>
      <c r="G807" s="9" t="str">
        <f t="shared" si="12"/>
        <v>Available</v>
      </c>
      <c r="H807" s="9" t="str">
        <f>IF(A807="","",IF(COUNTIF('Programme Mentors'!$A:$A,A807)&gt;0,"Enrolled","—"))</f>
        <v>—</v>
      </c>
    </row>
    <row r="808" spans="1:8" ht="79.5" customHeight="1" x14ac:dyDescent="0.3">
      <c r="A808" s="43">
        <f>'Paste - Mentors'!A808</f>
        <v>5448255</v>
      </c>
      <c r="B808" s="3" t="str">
        <f>IFERROR(VLOOKUP(A808,'Paste - Mentors'!$A:$B,2,0),"")</f>
        <v>Humbulani Colbert Nekhumbe</v>
      </c>
      <c r="C808" s="3" t="str">
        <f>IFERROR(VLOOKUP(A808,'Paste - Mentors'!$A:$D,4,0),"")</f>
        <v>Technical Mentor</v>
      </c>
      <c r="D808" s="43" t="str">
        <f>IFERROR(VLOOKUP(A808,'Paste - Mentors'!$A:$F,6,0),"")</f>
        <v>FNB</v>
      </c>
      <c r="E808" s="43" t="str">
        <f>IFERROR(VLOOKUP(A808,'Paste - Mentors'!$A:$E,5,0),"")</f>
        <v>South Africa</v>
      </c>
      <c r="F808" s="43">
        <f>IF(A808="","",COUNTIFS('Paste - Relationships'!$A:$A,A808,'Paste - Relationships'!$AE:$AE,""))</f>
        <v>2</v>
      </c>
      <c r="G808" s="43" t="str">
        <f t="shared" si="12"/>
        <v>Has Capacity</v>
      </c>
      <c r="H808" s="43" t="str">
        <f>IF(A808="","",IF(COUNTIF('Programme Mentors'!$A:$A,A808)&gt;0,"Enrolled","—"))</f>
        <v>—</v>
      </c>
    </row>
    <row r="809" spans="1:8" ht="14.25" customHeight="1" x14ac:dyDescent="0.3">
      <c r="A809" s="9">
        <f>'Paste - Mentors'!A809</f>
        <v>5449510</v>
      </c>
      <c r="B809" s="4" t="str">
        <f>IFERROR(VLOOKUP(A809,'Paste - Mentors'!$A:$B,2,0),"")</f>
        <v>Johannes Scholtz</v>
      </c>
      <c r="C809" s="4" t="str">
        <f>IFERROR(VLOOKUP(A809,'Paste - Mentors'!$A:$D,4,0),"")</f>
        <v>Career Mentor</v>
      </c>
      <c r="D809" s="9" t="str">
        <f>IFERROR(VLOOKUP(A809,'Paste - Mentors'!$A:$F,6,0),"")</f>
        <v>FNB</v>
      </c>
      <c r="E809" s="9" t="str">
        <f>IFERROR(VLOOKUP(A809,'Paste - Mentors'!$A:$E,5,0),"")</f>
        <v>South Africa</v>
      </c>
      <c r="F809" s="9">
        <f>IF(A809="","",COUNTIFS('Paste - Relationships'!$A:$A,A809,'Paste - Relationships'!$AE:$AE,""))</f>
        <v>0</v>
      </c>
      <c r="G809" s="9" t="str">
        <f t="shared" si="12"/>
        <v>Available</v>
      </c>
      <c r="H809" s="9" t="str">
        <f>IF(A809="","",IF(COUNTIF('Programme Mentors'!$A:$A,A809)&gt;0,"Enrolled","—"))</f>
        <v>—</v>
      </c>
    </row>
    <row r="810" spans="1:8" ht="14.25" customHeight="1" x14ac:dyDescent="0.3">
      <c r="A810" s="43">
        <f>'Paste - Mentors'!A810</f>
        <v>5453100</v>
      </c>
      <c r="B810" s="3" t="str">
        <f>IFERROR(VLOOKUP(A810,'Paste - Mentors'!$A:$B,2,0),"")</f>
        <v>David Manala</v>
      </c>
      <c r="C810" s="3" t="str">
        <f>IFERROR(VLOOKUP(A810,'Paste - Mentors'!$A:$D,4,0),"")</f>
        <v>Career Mentor</v>
      </c>
      <c r="D810" s="43" t="str">
        <f>IFERROR(VLOOKUP(A810,'Paste - Mentors'!$A:$F,6,0),"")</f>
        <v>FNB</v>
      </c>
      <c r="E810" s="43" t="str">
        <f>IFERROR(VLOOKUP(A810,'Paste - Mentors'!$A:$E,5,0),"")</f>
        <v>South Africa</v>
      </c>
      <c r="F810" s="43">
        <f>IF(A810="","",COUNTIFS('Paste - Relationships'!$A:$A,A810,'Paste - Relationships'!$AE:$AE,""))</f>
        <v>1</v>
      </c>
      <c r="G810" s="43" t="str">
        <f t="shared" si="12"/>
        <v>Has Capacity</v>
      </c>
      <c r="H810" s="43" t="str">
        <f>IF(A810="","",IF(COUNTIF('Programme Mentors'!$A:$A,A810)&gt;0,"Enrolled","—"))</f>
        <v>—</v>
      </c>
    </row>
    <row r="811" spans="1:8" ht="14.25" customHeight="1" x14ac:dyDescent="0.3">
      <c r="A811" s="9">
        <f>'Paste - Mentors'!A811</f>
        <v>5454506</v>
      </c>
      <c r="B811" s="4" t="str">
        <f>IFERROR(VLOOKUP(A811,'Paste - Mentors'!$A:$B,2,0),"")</f>
        <v>Nastassja Nydoo</v>
      </c>
      <c r="C811" s="4" t="str">
        <f>IFERROR(VLOOKUP(A811,'Paste - Mentors'!$A:$D,4,0),"")</f>
        <v>Career Mentor
Technical Mentor
Workplace  Buddy</v>
      </c>
      <c r="D811" s="9" t="str">
        <f>IFERROR(VLOOKUP(A811,'Paste - Mentors'!$A:$F,6,0),"")</f>
        <v>FNB</v>
      </c>
      <c r="E811" s="9" t="str">
        <f>IFERROR(VLOOKUP(A811,'Paste - Mentors'!$A:$E,5,0),"")</f>
        <v>South Africa</v>
      </c>
      <c r="F811" s="9">
        <f>IF(A811="","",COUNTIFS('Paste - Relationships'!$A:$A,A811,'Paste - Relationships'!$AE:$AE,""))</f>
        <v>1</v>
      </c>
      <c r="G811" s="9" t="str">
        <f t="shared" si="12"/>
        <v>Has Capacity</v>
      </c>
      <c r="H811" s="9" t="str">
        <f>IF(A811="","",IF(COUNTIF('Programme Mentors'!$A:$A,A811)&gt;0,"Enrolled","—"))</f>
        <v>—</v>
      </c>
    </row>
    <row r="812" spans="1:8" ht="57" customHeight="1" x14ac:dyDescent="0.3">
      <c r="A812" s="43">
        <f>'Paste - Mentors'!A812</f>
        <v>5455383</v>
      </c>
      <c r="B812" s="3" t="str">
        <f>IFERROR(VLOOKUP(A812,'Paste - Mentors'!$A:$B,2,0),"")</f>
        <v>Mpho Mokaleng</v>
      </c>
      <c r="C812" s="3" t="str">
        <f>IFERROR(VLOOKUP(A812,'Paste - Mentors'!$A:$D,4,0),"")</f>
        <v>Career Mentor</v>
      </c>
      <c r="D812" s="43" t="str">
        <f>IFERROR(VLOOKUP(A812,'Paste - Mentors'!$A:$F,6,0),"")</f>
        <v>FNB</v>
      </c>
      <c r="E812" s="43" t="str">
        <f>IFERROR(VLOOKUP(A812,'Paste - Mentors'!$A:$E,5,0),"")</f>
        <v>South Africa</v>
      </c>
      <c r="F812" s="43">
        <f>IF(A812="","",COUNTIFS('Paste - Relationships'!$A:$A,A812,'Paste - Relationships'!$AE:$AE,""))</f>
        <v>0</v>
      </c>
      <c r="G812" s="43" t="str">
        <f t="shared" si="12"/>
        <v>Available</v>
      </c>
      <c r="H812" s="43" t="str">
        <f>IF(A812="","",IF(COUNTIF('Programme Mentors'!$A:$A,A812)&gt;0,"Enrolled","—"))</f>
        <v>—</v>
      </c>
    </row>
    <row r="813" spans="1:8" ht="14.25" customHeight="1" x14ac:dyDescent="0.3">
      <c r="A813" s="9">
        <f>'Paste - Mentors'!A813</f>
        <v>5458870</v>
      </c>
      <c r="B813" s="4" t="str">
        <f>IFERROR(VLOOKUP(A813,'Paste - Mentors'!$A:$B,2,0),"")</f>
        <v>Deepak Bisht</v>
      </c>
      <c r="C813" s="4" t="str">
        <f>IFERROR(VLOOKUP(A813,'Paste - Mentors'!$A:$D,4,0),"")</f>
        <v>Career Mentor
Leadership Mentor
Technical Mentor</v>
      </c>
      <c r="D813" s="9" t="str">
        <f>IFERROR(VLOOKUP(A813,'Paste - Mentors'!$A:$F,6,0),"")</f>
        <v>FNB</v>
      </c>
      <c r="E813" s="9" t="str">
        <f>IFERROR(VLOOKUP(A813,'Paste - Mentors'!$A:$E,5,0),"")</f>
        <v>South Africa</v>
      </c>
      <c r="F813" s="9">
        <f>IF(A813="","",COUNTIFS('Paste - Relationships'!$A:$A,A813,'Paste - Relationships'!$AE:$AE,""))</f>
        <v>0</v>
      </c>
      <c r="G813" s="9" t="str">
        <f t="shared" si="12"/>
        <v>Available</v>
      </c>
      <c r="H813" s="9" t="str">
        <f>IF(A813="","",IF(COUNTIF('Programme Mentors'!$A:$A,A813)&gt;0,"Enrolled","—"))</f>
        <v>—</v>
      </c>
    </row>
    <row r="814" spans="1:8" ht="57" customHeight="1" x14ac:dyDescent="0.3">
      <c r="A814" s="43">
        <f>'Paste - Mentors'!A814</f>
        <v>5459192</v>
      </c>
      <c r="B814" s="3" t="str">
        <f>IFERROR(VLOOKUP(A814,'Paste - Mentors'!$A:$B,2,0),"")</f>
        <v>Clara Baby Mbuyisa</v>
      </c>
      <c r="C814" s="3" t="str">
        <f>IFERROR(VLOOKUP(A814,'Paste - Mentors'!$A:$D,4,0),"")</f>
        <v>Career Mentor
Technical Mentor
Workplace  Buddy</v>
      </c>
      <c r="D814" s="43" t="str">
        <f>IFERROR(VLOOKUP(A814,'Paste - Mentors'!$A:$F,6,0),"")</f>
        <v>FNB</v>
      </c>
      <c r="E814" s="43" t="str">
        <f>IFERROR(VLOOKUP(A814,'Paste - Mentors'!$A:$E,5,0),"")</f>
        <v>South Africa</v>
      </c>
      <c r="F814" s="43">
        <f>IF(A814="","",COUNTIFS('Paste - Relationships'!$A:$A,A814,'Paste - Relationships'!$AE:$AE,""))</f>
        <v>0</v>
      </c>
      <c r="G814" s="43" t="str">
        <f t="shared" si="12"/>
        <v>Available</v>
      </c>
      <c r="H814" s="43" t="str">
        <f>IF(A814="","",IF(COUNTIF('Programme Mentors'!$A:$A,A814)&gt;0,"Enrolled","—"))</f>
        <v>—</v>
      </c>
    </row>
    <row r="815" spans="1:8" ht="57" customHeight="1" x14ac:dyDescent="0.3">
      <c r="A815" s="9">
        <f>'Paste - Mentors'!A815</f>
        <v>5461030</v>
      </c>
      <c r="B815" s="4" t="str">
        <f>IFERROR(VLOOKUP(A815,'Paste - Mentors'!$A:$B,2,0),"")</f>
        <v>Sydney Mhlanga</v>
      </c>
      <c r="C815" s="4" t="str">
        <f>IFERROR(VLOOKUP(A815,'Paste - Mentors'!$A:$D,4,0),"")</f>
        <v>Career Mentor</v>
      </c>
      <c r="D815" s="9" t="str">
        <f>IFERROR(VLOOKUP(A815,'Paste - Mentors'!$A:$F,6,0),"")</f>
        <v>FNB</v>
      </c>
      <c r="E815" s="9" t="str">
        <f>IFERROR(VLOOKUP(A815,'Paste - Mentors'!$A:$E,5,0),"")</f>
        <v>South Africa</v>
      </c>
      <c r="F815" s="9">
        <f>IF(A815="","",COUNTIFS('Paste - Relationships'!$A:$A,A815,'Paste - Relationships'!$AE:$AE,""))</f>
        <v>0</v>
      </c>
      <c r="G815" s="9" t="str">
        <f t="shared" si="12"/>
        <v>Available</v>
      </c>
      <c r="H815" s="9" t="str">
        <f>IF(A815="","",IF(COUNTIF('Programme Mentors'!$A:$A,A815)&gt;0,"Enrolled","—"))</f>
        <v>—</v>
      </c>
    </row>
    <row r="816" spans="1:8" ht="14.25" customHeight="1" x14ac:dyDescent="0.3">
      <c r="A816" s="43">
        <f>'Paste - Mentors'!A816</f>
        <v>5464692</v>
      </c>
      <c r="B816" s="3" t="str">
        <f>IFERROR(VLOOKUP(A816,'Paste - Mentors'!$A:$B,2,0),"")</f>
        <v>Deseree Noxolo Gumede</v>
      </c>
      <c r="C816" s="3" t="str">
        <f>IFERROR(VLOOKUP(A816,'Paste - Mentors'!$A:$D,4,0),"")</f>
        <v>Career Mentor</v>
      </c>
      <c r="D816" s="43" t="str">
        <f>IFERROR(VLOOKUP(A816,'Paste - Mentors'!$A:$F,6,0),"")</f>
        <v>FNB</v>
      </c>
      <c r="E816" s="43" t="str">
        <f>IFERROR(VLOOKUP(A816,'Paste - Mentors'!$A:$E,5,0),"")</f>
        <v>South Africa</v>
      </c>
      <c r="F816" s="43">
        <f>IF(A816="","",COUNTIFS('Paste - Relationships'!$A:$A,A816,'Paste - Relationships'!$AE:$AE,""))</f>
        <v>1</v>
      </c>
      <c r="G816" s="43" t="str">
        <f t="shared" si="12"/>
        <v>Has Capacity</v>
      </c>
      <c r="H816" s="43" t="str">
        <f>IF(A816="","",IF(COUNTIF('Programme Mentors'!$A:$A,A816)&gt;0,"Enrolled","—"))</f>
        <v>—</v>
      </c>
    </row>
    <row r="817" spans="1:8" ht="14.25" customHeight="1" x14ac:dyDescent="0.3">
      <c r="A817" s="9">
        <f>'Paste - Mentors'!A817</f>
        <v>5464900</v>
      </c>
      <c r="B817" s="4" t="str">
        <f>IFERROR(VLOOKUP(A817,'Paste - Mentors'!$A:$B,2,0),"")</f>
        <v>Stephen Mbhele</v>
      </c>
      <c r="C817" s="4" t="str">
        <f>IFERROR(VLOOKUP(A817,'Paste - Mentors'!$A:$D,4,0),"")</f>
        <v>Career Mentor
Technical Mentor
Transition Mentor</v>
      </c>
      <c r="D817" s="9" t="str">
        <f>IFERROR(VLOOKUP(A817,'Paste - Mentors'!$A:$F,6,0),"")</f>
        <v>FNB</v>
      </c>
      <c r="E817" s="9" t="str">
        <f>IFERROR(VLOOKUP(A817,'Paste - Mentors'!$A:$E,5,0),"")</f>
        <v>South Africa</v>
      </c>
      <c r="F817" s="9">
        <f>IF(A817="","",COUNTIFS('Paste - Relationships'!$A:$A,A817,'Paste - Relationships'!$AE:$AE,""))</f>
        <v>6</v>
      </c>
      <c r="G817" s="9" t="str">
        <f t="shared" si="12"/>
        <v>At Capacity</v>
      </c>
      <c r="H817" s="9" t="str">
        <f>IF(A817="","",IF(COUNTIF('Programme Mentors'!$A:$A,A817)&gt;0,"Enrolled","—"))</f>
        <v>—</v>
      </c>
    </row>
    <row r="818" spans="1:8" ht="57" customHeight="1" x14ac:dyDescent="0.3">
      <c r="A818" s="43">
        <f>'Paste - Mentors'!A818</f>
        <v>5474426</v>
      </c>
      <c r="B818" s="3" t="str">
        <f>IFERROR(VLOOKUP(A818,'Paste - Mentors'!$A:$B,2,0),"")</f>
        <v>Tams Hari</v>
      </c>
      <c r="C818" s="3">
        <f>IFERROR(VLOOKUP(A818,'Paste - Mentors'!$A:$D,4,0),"")</f>
        <v>0</v>
      </c>
      <c r="D818" s="43" t="str">
        <f>IFERROR(VLOOKUP(A818,'Paste - Mentors'!$A:$F,6,0),"")</f>
        <v>FNB</v>
      </c>
      <c r="E818" s="43" t="str">
        <f>IFERROR(VLOOKUP(A818,'Paste - Mentors'!$A:$E,5,0),"")</f>
        <v>South Africa</v>
      </c>
      <c r="F818" s="43">
        <f>IF(A818="","",COUNTIFS('Paste - Relationships'!$A:$A,A818,'Paste - Relationships'!$AE:$AE,""))</f>
        <v>0</v>
      </c>
      <c r="G818" s="43" t="str">
        <f t="shared" si="12"/>
        <v>Available</v>
      </c>
      <c r="H818" s="43" t="str">
        <f>IF(A818="","",IF(COUNTIF('Programme Mentors'!$A:$A,A818)&gt;0,"Enrolled","—"))</f>
        <v>—</v>
      </c>
    </row>
    <row r="819" spans="1:8" ht="14.25" customHeight="1" x14ac:dyDescent="0.3">
      <c r="A819" s="9">
        <f>'Paste - Mentors'!A819</f>
        <v>5476038</v>
      </c>
      <c r="B819" s="4" t="str">
        <f>IFERROR(VLOOKUP(A819,'Paste - Mentors'!$A:$B,2,0),"")</f>
        <v>Muhammed Jagot</v>
      </c>
      <c r="C819" s="4" t="str">
        <f>IFERROR(VLOOKUP(A819,'Paste - Mentors'!$A:$D,4,0),"")</f>
        <v>Career Mentor</v>
      </c>
      <c r="D819" s="9" t="str">
        <f>IFERROR(VLOOKUP(A819,'Paste - Mentors'!$A:$F,6,0),"")</f>
        <v>FNB</v>
      </c>
      <c r="E819" s="9" t="str">
        <f>IFERROR(VLOOKUP(A819,'Paste - Mentors'!$A:$E,5,0),"")</f>
        <v>South Africa</v>
      </c>
      <c r="F819" s="9">
        <f>IF(A819="","",COUNTIFS('Paste - Relationships'!$A:$A,A819,'Paste - Relationships'!$AE:$AE,""))</f>
        <v>0</v>
      </c>
      <c r="G819" s="9" t="str">
        <f t="shared" si="12"/>
        <v>Available</v>
      </c>
      <c r="H819" s="9" t="str">
        <f>IF(A819="","",IF(COUNTIF('Programme Mentors'!$A:$A,A819)&gt;0,"Enrolled","—"))</f>
        <v>—</v>
      </c>
    </row>
    <row r="820" spans="1:8" ht="14.25" customHeight="1" x14ac:dyDescent="0.3">
      <c r="A820" s="43">
        <f>'Paste - Mentors'!A820</f>
        <v>5478960</v>
      </c>
      <c r="B820" s="3" t="str">
        <f>IFERROR(VLOOKUP(A820,'Paste - Mentors'!$A:$B,2,0),"")</f>
        <v>Henry Lesar</v>
      </c>
      <c r="C820" s="3" t="str">
        <f>IFERROR(VLOOKUP(A820,'Paste - Mentors'!$A:$D,4,0),"")</f>
        <v>Career Mentor</v>
      </c>
      <c r="D820" s="43" t="str">
        <f>IFERROR(VLOOKUP(A820,'Paste - Mentors'!$A:$F,6,0),"")</f>
        <v>FNB</v>
      </c>
      <c r="E820" s="43" t="str">
        <f>IFERROR(VLOOKUP(A820,'Paste - Mentors'!$A:$E,5,0),"")</f>
        <v>South Africa</v>
      </c>
      <c r="F820" s="43">
        <f>IF(A820="","",COUNTIFS('Paste - Relationships'!$A:$A,A820,'Paste - Relationships'!$AE:$AE,""))</f>
        <v>3</v>
      </c>
      <c r="G820" s="43" t="str">
        <f t="shared" si="12"/>
        <v>At Capacity</v>
      </c>
      <c r="H820" s="43" t="str">
        <f>IF(A820="","",IF(COUNTIF('Programme Mentors'!$A:$A,A820)&gt;0,"Enrolled","—"))</f>
        <v>—</v>
      </c>
    </row>
    <row r="821" spans="1:8" ht="14.25" customHeight="1" x14ac:dyDescent="0.3">
      <c r="A821" s="9">
        <f>'Paste - Mentors'!A821</f>
        <v>5485924</v>
      </c>
      <c r="B821" s="4" t="str">
        <f>IFERROR(VLOOKUP(A821,'Paste - Mentors'!$A:$B,2,0),"")</f>
        <v>Zanele Mabelane</v>
      </c>
      <c r="C821" s="4" t="str">
        <f>IFERROR(VLOOKUP(A821,'Paste - Mentors'!$A:$D,4,0),"")</f>
        <v>Technical Mentor</v>
      </c>
      <c r="D821" s="9" t="str">
        <f>IFERROR(VLOOKUP(A821,'Paste - Mentors'!$A:$F,6,0),"")</f>
        <v>FNB</v>
      </c>
      <c r="E821" s="9" t="str">
        <f>IFERROR(VLOOKUP(A821,'Paste - Mentors'!$A:$E,5,0),"")</f>
        <v>South Africa</v>
      </c>
      <c r="F821" s="9">
        <f>IF(A821="","",COUNTIFS('Paste - Relationships'!$A:$A,A821,'Paste - Relationships'!$AE:$AE,""))</f>
        <v>0</v>
      </c>
      <c r="G821" s="9" t="str">
        <f t="shared" si="12"/>
        <v>Available</v>
      </c>
      <c r="H821" s="9" t="str">
        <f>IF(A821="","",IF(COUNTIF('Programme Mentors'!$A:$A,A821)&gt;0,"Enrolled","—"))</f>
        <v>—</v>
      </c>
    </row>
    <row r="822" spans="1:8" ht="14.25" customHeight="1" x14ac:dyDescent="0.3">
      <c r="A822" s="43">
        <f>'Paste - Mentors'!A822</f>
        <v>5491363</v>
      </c>
      <c r="B822" s="3" t="str">
        <f>IFERROR(VLOOKUP(A822,'Paste - Mentors'!$A:$B,2,0),"")</f>
        <v>Kusara Sithole</v>
      </c>
      <c r="C822" s="3" t="str">
        <f>IFERROR(VLOOKUP(A822,'Paste - Mentors'!$A:$D,4,0),"")</f>
        <v>Career Mentor</v>
      </c>
      <c r="D822" s="43" t="str">
        <f>IFERROR(VLOOKUP(A822,'Paste - Mentors'!$A:$F,6,0),"")</f>
        <v>FNB</v>
      </c>
      <c r="E822" s="43" t="str">
        <f>IFERROR(VLOOKUP(A822,'Paste - Mentors'!$A:$E,5,0),"")</f>
        <v>South Africa</v>
      </c>
      <c r="F822" s="43">
        <f>IF(A822="","",COUNTIFS('Paste - Relationships'!$A:$A,A822,'Paste - Relationships'!$AE:$AE,""))</f>
        <v>0</v>
      </c>
      <c r="G822" s="43" t="str">
        <f t="shared" si="12"/>
        <v>Available</v>
      </c>
      <c r="H822" s="43" t="str">
        <f>IF(A822="","",IF(COUNTIF('Programme Mentors'!$A:$A,A822)&gt;0,"Enrolled","—"))</f>
        <v>—</v>
      </c>
    </row>
    <row r="823" spans="1:8" ht="14.25" customHeight="1" x14ac:dyDescent="0.3">
      <c r="A823" s="9">
        <f>'Paste - Mentors'!A823</f>
        <v>5498783</v>
      </c>
      <c r="B823" s="4" t="str">
        <f>IFERROR(VLOOKUP(A823,'Paste - Mentors'!$A:$B,2,0),"")</f>
        <v>Thaveshni Govender</v>
      </c>
      <c r="C823" s="4" t="str">
        <f>IFERROR(VLOOKUP(A823,'Paste - Mentors'!$A:$D,4,0),"")</f>
        <v>Career Mentor
Technical Mentor
Workplace  Buddy</v>
      </c>
      <c r="D823" s="9" t="str">
        <f>IFERROR(VLOOKUP(A823,'Paste - Mentors'!$A:$F,6,0),"")</f>
        <v>FNB</v>
      </c>
      <c r="E823" s="9" t="str">
        <f>IFERROR(VLOOKUP(A823,'Paste - Mentors'!$A:$E,5,0),"")</f>
        <v>South Africa</v>
      </c>
      <c r="F823" s="9">
        <f>IF(A823="","",COUNTIFS('Paste - Relationships'!$A:$A,A823,'Paste - Relationships'!$AE:$AE,""))</f>
        <v>1</v>
      </c>
      <c r="G823" s="9" t="str">
        <f t="shared" si="12"/>
        <v>Has Capacity</v>
      </c>
      <c r="H823" s="9" t="str">
        <f>IF(A823="","",IF(COUNTIF('Programme Mentors'!$A:$A,A823)&gt;0,"Enrolled","—"))</f>
        <v>—</v>
      </c>
    </row>
    <row r="824" spans="1:8" ht="57" customHeight="1" x14ac:dyDescent="0.3">
      <c r="A824" s="43">
        <f>'Paste - Mentors'!A824</f>
        <v>5500591</v>
      </c>
      <c r="B824" s="3" t="str">
        <f>IFERROR(VLOOKUP(A824,'Paste - Mentors'!$A:$B,2,0),"")</f>
        <v>Zaida Cornelissen</v>
      </c>
      <c r="C824" s="3">
        <f>IFERROR(VLOOKUP(A824,'Paste - Mentors'!$A:$D,4,0),"")</f>
        <v>0</v>
      </c>
      <c r="D824" s="43" t="str">
        <f>IFERROR(VLOOKUP(A824,'Paste - Mentors'!$A:$F,6,0),"")</f>
        <v>FNB</v>
      </c>
      <c r="E824" s="43" t="str">
        <f>IFERROR(VLOOKUP(A824,'Paste - Mentors'!$A:$E,5,0),"")</f>
        <v>South Africa</v>
      </c>
      <c r="F824" s="43">
        <f>IF(A824="","",COUNTIFS('Paste - Relationships'!$A:$A,A824,'Paste - Relationships'!$AE:$AE,""))</f>
        <v>0</v>
      </c>
      <c r="G824" s="43" t="str">
        <f t="shared" si="12"/>
        <v>Available</v>
      </c>
      <c r="H824" s="43" t="str">
        <f>IF(A824="","",IF(COUNTIF('Programme Mentors'!$A:$A,A824)&gt;0,"Enrolled","—"))</f>
        <v>—</v>
      </c>
    </row>
    <row r="825" spans="1:8" ht="14.25" customHeight="1" x14ac:dyDescent="0.3">
      <c r="A825" s="9">
        <f>'Paste - Mentors'!A825</f>
        <v>5506549</v>
      </c>
      <c r="B825" s="4" t="str">
        <f>IFERROR(VLOOKUP(A825,'Paste - Mentors'!$A:$B,2,0),"")</f>
        <v>Sonnyboy Phalane</v>
      </c>
      <c r="C825" s="4" t="str">
        <f>IFERROR(VLOOKUP(A825,'Paste - Mentors'!$A:$D,4,0),"")</f>
        <v>Career Mentor
Leadership Mentor</v>
      </c>
      <c r="D825" s="9" t="str">
        <f>IFERROR(VLOOKUP(A825,'Paste - Mentors'!$A:$F,6,0),"")</f>
        <v>FNB</v>
      </c>
      <c r="E825" s="9" t="str">
        <f>IFERROR(VLOOKUP(A825,'Paste - Mentors'!$A:$E,5,0),"")</f>
        <v>South Africa</v>
      </c>
      <c r="F825" s="9">
        <f>IF(A825="","",COUNTIFS('Paste - Relationships'!$A:$A,A825,'Paste - Relationships'!$AE:$AE,""))</f>
        <v>0</v>
      </c>
      <c r="G825" s="9" t="str">
        <f t="shared" si="12"/>
        <v>Available</v>
      </c>
      <c r="H825" s="9" t="str">
        <f>IF(A825="","",IF(COUNTIF('Programme Mentors'!$A:$A,A825)&gt;0,"Enrolled","—"))</f>
        <v>—</v>
      </c>
    </row>
    <row r="826" spans="1:8" ht="33.75" customHeight="1" x14ac:dyDescent="0.3">
      <c r="A826" s="43">
        <f>'Paste - Mentors'!A826</f>
        <v>5527066</v>
      </c>
      <c r="B826" s="3" t="str">
        <f>IFERROR(VLOOKUP(A826,'Paste - Mentors'!$A:$B,2,0),"")</f>
        <v>Michelle Ashen</v>
      </c>
      <c r="C826" s="3" t="str">
        <f>IFERROR(VLOOKUP(A826,'Paste - Mentors'!$A:$D,4,0),"")</f>
        <v>Leadership Mentor
Transition Mentor
Workplace  Buddy
Z1-Mentoring Circle Mentor (HC Managed)</v>
      </c>
      <c r="D826" s="43" t="str">
        <f>IFERROR(VLOOKUP(A826,'Paste - Mentors'!$A:$F,6,0),"")</f>
        <v>FNB</v>
      </c>
      <c r="E826" s="43" t="str">
        <f>IFERROR(VLOOKUP(A826,'Paste - Mentors'!$A:$E,5,0),"")</f>
        <v>South Africa</v>
      </c>
      <c r="F826" s="43">
        <f>IF(A826="","",COUNTIFS('Paste - Relationships'!$A:$A,A826,'Paste - Relationships'!$AE:$AE,""))</f>
        <v>0</v>
      </c>
      <c r="G826" s="43" t="str">
        <f t="shared" si="12"/>
        <v>Available</v>
      </c>
      <c r="H826" s="43" t="str">
        <f>IF(A826="","",IF(COUNTIF('Programme Mentors'!$A:$A,A826)&gt;0,"Enrolled","—"))</f>
        <v>—</v>
      </c>
    </row>
    <row r="827" spans="1:8" ht="90.75" customHeight="1" x14ac:dyDescent="0.3">
      <c r="A827" s="9">
        <f>'Paste - Mentors'!A827</f>
        <v>5530253</v>
      </c>
      <c r="B827" s="4" t="str">
        <f>IFERROR(VLOOKUP(A827,'Paste - Mentors'!$A:$B,2,0),"")</f>
        <v>Jeanre Vermaak</v>
      </c>
      <c r="C827" s="4" t="str">
        <f>IFERROR(VLOOKUP(A827,'Paste - Mentors'!$A:$D,4,0),"")</f>
        <v>Technical Mentor</v>
      </c>
      <c r="D827" s="9" t="str">
        <f>IFERROR(VLOOKUP(A827,'Paste - Mentors'!$A:$F,6,0),"")</f>
        <v>FNB</v>
      </c>
      <c r="E827" s="9" t="str">
        <f>IFERROR(VLOOKUP(A827,'Paste - Mentors'!$A:$E,5,0),"")</f>
        <v>South Africa</v>
      </c>
      <c r="F827" s="9">
        <f>IF(A827="","",COUNTIFS('Paste - Relationships'!$A:$A,A827,'Paste - Relationships'!$AE:$AE,""))</f>
        <v>0</v>
      </c>
      <c r="G827" s="9" t="str">
        <f t="shared" si="12"/>
        <v>Available</v>
      </c>
      <c r="H827" s="9" t="str">
        <f>IF(A827="","",IF(COUNTIF('Programme Mentors'!$A:$A,A827)&gt;0,"Enrolled","—"))</f>
        <v>—</v>
      </c>
    </row>
    <row r="828" spans="1:8" ht="14.25" customHeight="1" x14ac:dyDescent="0.3">
      <c r="A828" s="43">
        <f>'Paste - Mentors'!A828</f>
        <v>5530407</v>
      </c>
      <c r="B828" s="3" t="str">
        <f>IFERROR(VLOOKUP(A828,'Paste - Mentors'!$A:$B,2,0),"")</f>
        <v>Heman Chhana</v>
      </c>
      <c r="C828" s="3" t="str">
        <f>IFERROR(VLOOKUP(A828,'Paste - Mentors'!$A:$D,4,0),"")</f>
        <v>Career Mentor
Leadership Mentor
Technical Mentor
Workplace  Buddy</v>
      </c>
      <c r="D828" s="43" t="str">
        <f>IFERROR(VLOOKUP(A828,'Paste - Mentors'!$A:$F,6,0),"")</f>
        <v>RMB</v>
      </c>
      <c r="E828" s="43" t="str">
        <f>IFERROR(VLOOKUP(A828,'Paste - Mentors'!$A:$E,5,0),"")</f>
        <v>South Africa</v>
      </c>
      <c r="F828" s="43">
        <f>IF(A828="","",COUNTIFS('Paste - Relationships'!$A:$A,A828,'Paste - Relationships'!$AE:$AE,""))</f>
        <v>0</v>
      </c>
      <c r="G828" s="43" t="str">
        <f t="shared" si="12"/>
        <v>Available</v>
      </c>
      <c r="H828" s="43" t="str">
        <f>IF(A828="","",IF(COUNTIF('Programme Mentors'!$A:$A,A828)&gt;0,"Enrolled","—"))</f>
        <v>—</v>
      </c>
    </row>
    <row r="829" spans="1:8" ht="79.5" customHeight="1" x14ac:dyDescent="0.3">
      <c r="A829" s="9">
        <f>'Paste - Mentors'!A829</f>
        <v>5546745</v>
      </c>
      <c r="B829" s="4" t="str">
        <f>IFERROR(VLOOKUP(A829,'Paste - Mentors'!$A:$B,2,0),"")</f>
        <v>Celiasha Ramnarain</v>
      </c>
      <c r="C829" s="4" t="str">
        <f>IFERROR(VLOOKUP(A829,'Paste - Mentors'!$A:$D,4,0),"")</f>
        <v>Career Mentor</v>
      </c>
      <c r="D829" s="9" t="str">
        <f>IFERROR(VLOOKUP(A829,'Paste - Mentors'!$A:$F,6,0),"")</f>
        <v>FNB</v>
      </c>
      <c r="E829" s="9" t="str">
        <f>IFERROR(VLOOKUP(A829,'Paste - Mentors'!$A:$E,5,0),"")</f>
        <v>South Africa</v>
      </c>
      <c r="F829" s="9">
        <f>IF(A829="","",COUNTIFS('Paste - Relationships'!$A:$A,A829,'Paste - Relationships'!$AE:$AE,""))</f>
        <v>0</v>
      </c>
      <c r="G829" s="9" t="str">
        <f t="shared" si="12"/>
        <v>Available</v>
      </c>
      <c r="H829" s="9" t="str">
        <f>IF(A829="","",IF(COUNTIF('Programme Mentors'!$A:$A,A829)&gt;0,"Enrolled","—"))</f>
        <v>—</v>
      </c>
    </row>
    <row r="830" spans="1:8" ht="14.25" customHeight="1" x14ac:dyDescent="0.3">
      <c r="A830" s="43">
        <f>'Paste - Mentors'!A830</f>
        <v>5546885</v>
      </c>
      <c r="B830" s="3" t="str">
        <f>IFERROR(VLOOKUP(A830,'Paste - Mentors'!$A:$B,2,0),"")</f>
        <v>Mongezi Mahlangu</v>
      </c>
      <c r="C830" s="3" t="str">
        <f>IFERROR(VLOOKUP(A830,'Paste - Mentors'!$A:$D,4,0),"")</f>
        <v>Career Mentor
Leadership Mentor</v>
      </c>
      <c r="D830" s="43" t="str">
        <f>IFERROR(VLOOKUP(A830,'Paste - Mentors'!$A:$F,6,0),"")</f>
        <v>FNB</v>
      </c>
      <c r="E830" s="43" t="str">
        <f>IFERROR(VLOOKUP(A830,'Paste - Mentors'!$A:$E,5,0),"")</f>
        <v>South Africa</v>
      </c>
      <c r="F830" s="43">
        <f>IF(A830="","",COUNTIFS('Paste - Relationships'!$A:$A,A830,'Paste - Relationships'!$AE:$AE,""))</f>
        <v>0</v>
      </c>
      <c r="G830" s="43" t="str">
        <f t="shared" si="12"/>
        <v>Available</v>
      </c>
      <c r="H830" s="43" t="str">
        <f>IF(A830="","",IF(COUNTIF('Programme Mentors'!$A:$A,A830)&gt;0,"Enrolled","—"))</f>
        <v>—</v>
      </c>
    </row>
    <row r="831" spans="1:8" ht="33.75" customHeight="1" x14ac:dyDescent="0.3">
      <c r="A831" s="9">
        <f>'Paste - Mentors'!A831</f>
        <v>5559510</v>
      </c>
      <c r="B831" s="4" t="str">
        <f>IFERROR(VLOOKUP(A831,'Paste - Mentors'!$A:$B,2,0),"")</f>
        <v>Boitumelo Mahlaba</v>
      </c>
      <c r="C831" s="4" t="str">
        <f>IFERROR(VLOOKUP(A831,'Paste - Mentors'!$A:$D,4,0),"")</f>
        <v>Career Mentor
Workplace  Buddy</v>
      </c>
      <c r="D831" s="9" t="str">
        <f>IFERROR(VLOOKUP(A831,'Paste - Mentors'!$A:$F,6,0),"")</f>
        <v>RMB</v>
      </c>
      <c r="E831" s="9" t="str">
        <f>IFERROR(VLOOKUP(A831,'Paste - Mentors'!$A:$E,5,0),"")</f>
        <v>South Africa</v>
      </c>
      <c r="F831" s="9">
        <f>IF(A831="","",COUNTIFS('Paste - Relationships'!$A:$A,A831,'Paste - Relationships'!$AE:$AE,""))</f>
        <v>0</v>
      </c>
      <c r="G831" s="9" t="str">
        <f t="shared" si="12"/>
        <v>Available</v>
      </c>
      <c r="H831" s="9" t="str">
        <f>IF(A831="","",IF(COUNTIF('Programme Mentors'!$A:$A,A831)&gt;0,"Enrolled","—"))</f>
        <v>—</v>
      </c>
    </row>
    <row r="832" spans="1:8" ht="33.75" customHeight="1" x14ac:dyDescent="0.3">
      <c r="A832" s="43">
        <f>'Paste - Mentors'!A832</f>
        <v>5561922</v>
      </c>
      <c r="B832" s="3" t="str">
        <f>IFERROR(VLOOKUP(A832,'Paste - Mentors'!$A:$B,2,0),"")</f>
        <v>Tebatso Raganya</v>
      </c>
      <c r="C832" s="3" t="str">
        <f>IFERROR(VLOOKUP(A832,'Paste - Mentors'!$A:$D,4,0),"")</f>
        <v>Career Mentor</v>
      </c>
      <c r="D832" s="43" t="str">
        <f>IFERROR(VLOOKUP(A832,'Paste - Mentors'!$A:$F,6,0),"")</f>
        <v>FNB</v>
      </c>
      <c r="E832" s="43" t="str">
        <f>IFERROR(VLOOKUP(A832,'Paste - Mentors'!$A:$E,5,0),"")</f>
        <v>South Africa</v>
      </c>
      <c r="F832" s="43">
        <f>IF(A832="","",COUNTIFS('Paste - Relationships'!$A:$A,A832,'Paste - Relationships'!$AE:$AE,""))</f>
        <v>0</v>
      </c>
      <c r="G832" s="43" t="str">
        <f t="shared" si="12"/>
        <v>Available</v>
      </c>
      <c r="H832" s="43" t="str">
        <f>IF(A832="","",IF(COUNTIF('Programme Mentors'!$A:$A,A832)&gt;0,"Enrolled","—"))</f>
        <v>—</v>
      </c>
    </row>
    <row r="833" spans="1:8" ht="14.25" customHeight="1" x14ac:dyDescent="0.3">
      <c r="A833" s="9">
        <f>'Paste - Mentors'!A833</f>
        <v>5574404</v>
      </c>
      <c r="B833" s="4" t="str">
        <f>IFERROR(VLOOKUP(A833,'Paste - Mentors'!$A:$B,2,0),"")</f>
        <v>Fikile Annie Tshabalala</v>
      </c>
      <c r="C833" s="4" t="str">
        <f>IFERROR(VLOOKUP(A833,'Paste - Mentors'!$A:$D,4,0),"")</f>
        <v>Workplace  Buddy</v>
      </c>
      <c r="D833" s="9" t="str">
        <f>IFERROR(VLOOKUP(A833,'Paste - Mentors'!$A:$F,6,0),"")</f>
        <v>WesBank</v>
      </c>
      <c r="E833" s="9" t="str">
        <f>IFERROR(VLOOKUP(A833,'Paste - Mentors'!$A:$E,5,0),"")</f>
        <v>South Africa</v>
      </c>
      <c r="F833" s="9">
        <f>IF(A833="","",COUNTIFS('Paste - Relationships'!$A:$A,A833,'Paste - Relationships'!$AE:$AE,""))</f>
        <v>0</v>
      </c>
      <c r="G833" s="9" t="str">
        <f t="shared" si="12"/>
        <v>Available</v>
      </c>
      <c r="H833" s="9" t="str">
        <f>IF(A833="","",IF(COUNTIF('Programme Mentors'!$A:$A,A833)&gt;0,"Enrolled","—"))</f>
        <v>—</v>
      </c>
    </row>
    <row r="834" spans="1:8" ht="14.25" customHeight="1" x14ac:dyDescent="0.3">
      <c r="A834" s="43">
        <f>'Paste - Mentors'!A834</f>
        <v>5581613</v>
      </c>
      <c r="B834" s="3" t="str">
        <f>IFERROR(VLOOKUP(A834,'Paste - Mentors'!$A:$B,2,0),"")</f>
        <v>Kevin Jansen</v>
      </c>
      <c r="C834" s="3" t="str">
        <f>IFERROR(VLOOKUP(A834,'Paste - Mentors'!$A:$D,4,0),"")</f>
        <v>Career Mentor</v>
      </c>
      <c r="D834" s="43" t="str">
        <f>IFERROR(VLOOKUP(A834,'Paste - Mentors'!$A:$F,6,0),"")</f>
        <v>FNB</v>
      </c>
      <c r="E834" s="43" t="str">
        <f>IFERROR(VLOOKUP(A834,'Paste - Mentors'!$A:$E,5,0),"")</f>
        <v>South Africa</v>
      </c>
      <c r="F834" s="43">
        <f>IF(A834="","",COUNTIFS('Paste - Relationships'!$A:$A,A834,'Paste - Relationships'!$AE:$AE,""))</f>
        <v>0</v>
      </c>
      <c r="G834" s="43" t="str">
        <f t="shared" si="12"/>
        <v>Available</v>
      </c>
      <c r="H834" s="43" t="str">
        <f>IF(A834="","",IF(COUNTIF('Programme Mentors'!$A:$A,A834)&gt;0,"Enrolled","—"))</f>
        <v>—</v>
      </c>
    </row>
    <row r="835" spans="1:8" ht="14.25" customHeight="1" x14ac:dyDescent="0.3">
      <c r="A835" s="9">
        <f>'Paste - Mentors'!A835</f>
        <v>5585023</v>
      </c>
      <c r="B835" s="4" t="str">
        <f>IFERROR(VLOOKUP(A835,'Paste - Mentors'!$A:$B,2,0),"")</f>
        <v>Ndivho Ndadza</v>
      </c>
      <c r="C835" s="4">
        <f>IFERROR(VLOOKUP(A835,'Paste - Mentors'!$A:$D,4,0),"")</f>
        <v>0</v>
      </c>
      <c r="D835" s="9" t="str">
        <f>IFERROR(VLOOKUP(A835,'Paste - Mentors'!$A:$F,6,0),"")</f>
        <v>WesBank</v>
      </c>
      <c r="E835" s="9" t="str">
        <f>IFERROR(VLOOKUP(A835,'Paste - Mentors'!$A:$E,5,0),"")</f>
        <v>South Africa</v>
      </c>
      <c r="F835" s="9">
        <f>IF(A835="","",COUNTIFS('Paste - Relationships'!$A:$A,A835,'Paste - Relationships'!$AE:$AE,""))</f>
        <v>0</v>
      </c>
      <c r="G835" s="9" t="str">
        <f t="shared" si="12"/>
        <v>Available</v>
      </c>
      <c r="H835" s="9" t="str">
        <f>IF(A835="","",IF(COUNTIF('Programme Mentors'!$A:$A,A835)&gt;0,"Enrolled","—"))</f>
        <v>—</v>
      </c>
    </row>
    <row r="836" spans="1:8" ht="14.25" customHeight="1" x14ac:dyDescent="0.3">
      <c r="A836" s="43">
        <f>'Paste - Mentors'!A836</f>
        <v>5590949</v>
      </c>
      <c r="B836" s="3" t="str">
        <f>IFERROR(VLOOKUP(A836,'Paste - Mentors'!$A:$B,2,0),"")</f>
        <v>Mill Makanda</v>
      </c>
      <c r="C836" s="3" t="str">
        <f>IFERROR(VLOOKUP(A836,'Paste - Mentors'!$A:$D,4,0),"")</f>
        <v>Career Mentor
Leadership Mentor</v>
      </c>
      <c r="D836" s="43" t="str">
        <f>IFERROR(VLOOKUP(A836,'Paste - Mentors'!$A:$F,6,0),"")</f>
        <v>RMB</v>
      </c>
      <c r="E836" s="43" t="str">
        <f>IFERROR(VLOOKUP(A836,'Paste - Mentors'!$A:$E,5,0),"")</f>
        <v>South Africa</v>
      </c>
      <c r="F836" s="43">
        <f>IF(A836="","",COUNTIFS('Paste - Relationships'!$A:$A,A836,'Paste - Relationships'!$AE:$AE,""))</f>
        <v>1</v>
      </c>
      <c r="G836" s="43" t="str">
        <f t="shared" ref="G836:G899" si="13">IF(A836="","",IF(F836&gt;=3,"At Capacity",IF(F836=0,"Available","Has Capacity")))</f>
        <v>Has Capacity</v>
      </c>
      <c r="H836" s="43" t="str">
        <f>IF(A836="","",IF(COUNTIF('Programme Mentors'!$A:$A,A836)&gt;0,"Enrolled","—"))</f>
        <v>—</v>
      </c>
    </row>
    <row r="837" spans="1:8" ht="33.75" customHeight="1" x14ac:dyDescent="0.3">
      <c r="A837" s="9">
        <f>'Paste - Mentors'!A837</f>
        <v>5597900</v>
      </c>
      <c r="B837" s="4" t="str">
        <f>IFERROR(VLOOKUP(A837,'Paste - Mentors'!$A:$B,2,0),"")</f>
        <v>Aobakwe Kgobokoe</v>
      </c>
      <c r="C837" s="4" t="str">
        <f>IFERROR(VLOOKUP(A837,'Paste - Mentors'!$A:$D,4,0),"")</f>
        <v>Career Mentor
Technical Mentor
Workplace  Buddy</v>
      </c>
      <c r="D837" s="9" t="str">
        <f>IFERROR(VLOOKUP(A837,'Paste - Mentors'!$A:$F,6,0),"")</f>
        <v>FNB</v>
      </c>
      <c r="E837" s="9" t="str">
        <f>IFERROR(VLOOKUP(A837,'Paste - Mentors'!$A:$E,5,0),"")</f>
        <v>South Africa</v>
      </c>
      <c r="F837" s="9">
        <f>IF(A837="","",COUNTIFS('Paste - Relationships'!$A:$A,A837,'Paste - Relationships'!$AE:$AE,""))</f>
        <v>1</v>
      </c>
      <c r="G837" s="9" t="str">
        <f t="shared" si="13"/>
        <v>Has Capacity</v>
      </c>
      <c r="H837" s="9" t="str">
        <f>IF(A837="","",IF(COUNTIF('Programme Mentors'!$A:$A,A837)&gt;0,"Enrolled","—"))</f>
        <v>—</v>
      </c>
    </row>
    <row r="838" spans="1:8" ht="57" customHeight="1" x14ac:dyDescent="0.3">
      <c r="A838" s="43">
        <f>'Paste - Mentors'!A838</f>
        <v>5603935</v>
      </c>
      <c r="B838" s="3" t="str">
        <f>IFERROR(VLOOKUP(A838,'Paste - Mentors'!$A:$B,2,0),"")</f>
        <v>Sean Christoph</v>
      </c>
      <c r="C838" s="3" t="str">
        <f>IFERROR(VLOOKUP(A838,'Paste - Mentors'!$A:$D,4,0),"")</f>
        <v>Career Mentor</v>
      </c>
      <c r="D838" s="43" t="str">
        <f>IFERROR(VLOOKUP(A838,'Paste - Mentors'!$A:$F,6,0),"")</f>
        <v>FNB</v>
      </c>
      <c r="E838" s="43" t="str">
        <f>IFERROR(VLOOKUP(A838,'Paste - Mentors'!$A:$E,5,0),"")</f>
        <v>South Africa</v>
      </c>
      <c r="F838" s="43">
        <f>IF(A838="","",COUNTIFS('Paste - Relationships'!$A:$A,A838,'Paste - Relationships'!$AE:$AE,""))</f>
        <v>0</v>
      </c>
      <c r="G838" s="43" t="str">
        <f t="shared" si="13"/>
        <v>Available</v>
      </c>
      <c r="H838" s="43" t="str">
        <f>IF(A838="","",IF(COUNTIF('Programme Mentors'!$A:$A,A838)&gt;0,"Enrolled","—"))</f>
        <v>—</v>
      </c>
    </row>
    <row r="839" spans="1:8" ht="14.25" customHeight="1" x14ac:dyDescent="0.3">
      <c r="A839" s="9">
        <f>'Paste - Mentors'!A839</f>
        <v>5604389</v>
      </c>
      <c r="B839" s="4" t="str">
        <f>IFERROR(VLOOKUP(A839,'Paste - Mentors'!$A:$B,2,0),"")</f>
        <v>Siyabonga Mthethwa</v>
      </c>
      <c r="C839" s="4" t="str">
        <f>IFERROR(VLOOKUP(A839,'Paste - Mentors'!$A:$D,4,0),"")</f>
        <v>Career Mentor
Technical Mentor</v>
      </c>
      <c r="D839" s="9" t="str">
        <f>IFERROR(VLOOKUP(A839,'Paste - Mentors'!$A:$F,6,0),"")</f>
        <v>FNB</v>
      </c>
      <c r="E839" s="9" t="str">
        <f>IFERROR(VLOOKUP(A839,'Paste - Mentors'!$A:$E,5,0),"")</f>
        <v>South Africa</v>
      </c>
      <c r="F839" s="9">
        <f>IF(A839="","",COUNTIFS('Paste - Relationships'!$A:$A,A839,'Paste - Relationships'!$AE:$AE,""))</f>
        <v>1</v>
      </c>
      <c r="G839" s="9" t="str">
        <f t="shared" si="13"/>
        <v>Has Capacity</v>
      </c>
      <c r="H839" s="9" t="str">
        <f>IF(A839="","",IF(COUNTIF('Programme Mentors'!$A:$A,A839)&gt;0,"Enrolled","—"))</f>
        <v>—</v>
      </c>
    </row>
    <row r="840" spans="1:8" ht="33.75" customHeight="1" x14ac:dyDescent="0.3">
      <c r="A840" s="43">
        <f>'Paste - Mentors'!A840</f>
        <v>5610486</v>
      </c>
      <c r="B840" s="3" t="str">
        <f>IFERROR(VLOOKUP(A840,'Paste - Mentors'!$A:$B,2,0),"")</f>
        <v>Andani Maluwa</v>
      </c>
      <c r="C840" s="3" t="str">
        <f>IFERROR(VLOOKUP(A840,'Paste - Mentors'!$A:$D,4,0),"")</f>
        <v>Career Mentor</v>
      </c>
      <c r="D840" s="43" t="str">
        <f>IFERROR(VLOOKUP(A840,'Paste - Mentors'!$A:$F,6,0),"")</f>
        <v>FNB</v>
      </c>
      <c r="E840" s="43" t="str">
        <f>IFERROR(VLOOKUP(A840,'Paste - Mentors'!$A:$E,5,0),"")</f>
        <v>South Africa</v>
      </c>
      <c r="F840" s="43">
        <f>IF(A840="","",COUNTIFS('Paste - Relationships'!$A:$A,A840,'Paste - Relationships'!$AE:$AE,""))</f>
        <v>0</v>
      </c>
      <c r="G840" s="43" t="str">
        <f t="shared" si="13"/>
        <v>Available</v>
      </c>
      <c r="H840" s="43" t="str">
        <f>IF(A840="","",IF(COUNTIF('Programme Mentors'!$A:$A,A840)&gt;0,"Enrolled","—"))</f>
        <v>—</v>
      </c>
    </row>
    <row r="841" spans="1:8" ht="14.25" customHeight="1" x14ac:dyDescent="0.3">
      <c r="A841" s="9">
        <f>'Paste - Mentors'!A841</f>
        <v>5612217</v>
      </c>
      <c r="B841" s="4" t="str">
        <f>IFERROR(VLOOKUP(A841,'Paste - Mentors'!$A:$B,2,0),"")</f>
        <v>Barbara Engle</v>
      </c>
      <c r="C841" s="4" t="str">
        <f>IFERROR(VLOOKUP(A841,'Paste - Mentors'!$A:$D,4,0),"")</f>
        <v>Technical Mentor</v>
      </c>
      <c r="D841" s="9" t="str">
        <f>IFERROR(VLOOKUP(A841,'Paste - Mentors'!$A:$F,6,0),"")</f>
        <v>FNB</v>
      </c>
      <c r="E841" s="9" t="str">
        <f>IFERROR(VLOOKUP(A841,'Paste - Mentors'!$A:$E,5,0),"")</f>
        <v>South Africa</v>
      </c>
      <c r="F841" s="9">
        <f>IF(A841="","",COUNTIFS('Paste - Relationships'!$A:$A,A841,'Paste - Relationships'!$AE:$AE,""))</f>
        <v>0</v>
      </c>
      <c r="G841" s="9" t="str">
        <f t="shared" si="13"/>
        <v>Available</v>
      </c>
      <c r="H841" s="9" t="str">
        <f>IF(A841="","",IF(COUNTIF('Programme Mentors'!$A:$A,A841)&gt;0,"Enrolled","—"))</f>
        <v>—</v>
      </c>
    </row>
    <row r="842" spans="1:8" ht="14.25" customHeight="1" x14ac:dyDescent="0.3">
      <c r="A842" s="43">
        <f>'Paste - Mentors'!A842</f>
        <v>5619289</v>
      </c>
      <c r="B842" s="3" t="str">
        <f>IFERROR(VLOOKUP(A842,'Paste - Mentors'!$A:$B,2,0),"")</f>
        <v>Menzi Skhosana</v>
      </c>
      <c r="C842" s="3" t="str">
        <f>IFERROR(VLOOKUP(A842,'Paste - Mentors'!$A:$D,4,0),"")</f>
        <v>Technical Mentor
Transition Mentor</v>
      </c>
      <c r="D842" s="43" t="str">
        <f>IFERROR(VLOOKUP(A842,'Paste - Mentors'!$A:$F,6,0),"")</f>
        <v>FNB</v>
      </c>
      <c r="E842" s="43" t="str">
        <f>IFERROR(VLOOKUP(A842,'Paste - Mentors'!$A:$E,5,0),"")</f>
        <v>South Africa</v>
      </c>
      <c r="F842" s="43">
        <f>IF(A842="","",COUNTIFS('Paste - Relationships'!$A:$A,A842,'Paste - Relationships'!$AE:$AE,""))</f>
        <v>1</v>
      </c>
      <c r="G842" s="43" t="str">
        <f t="shared" si="13"/>
        <v>Has Capacity</v>
      </c>
      <c r="H842" s="43" t="str">
        <f>IF(A842="","",IF(COUNTIF('Programme Mentors'!$A:$A,A842)&gt;0,"Enrolled","—"))</f>
        <v>—</v>
      </c>
    </row>
    <row r="843" spans="1:8" ht="33.75" customHeight="1" x14ac:dyDescent="0.3">
      <c r="A843" s="9">
        <f>'Paste - Mentors'!A843</f>
        <v>5623405</v>
      </c>
      <c r="B843" s="4" t="str">
        <f>IFERROR(VLOOKUP(A843,'Paste - Mentors'!$A:$B,2,0),"")</f>
        <v>Nikita Singh</v>
      </c>
      <c r="C843" s="4" t="str">
        <f>IFERROR(VLOOKUP(A843,'Paste - Mentors'!$A:$D,4,0),"")</f>
        <v>Career Mentor
Workplace  Buddy</v>
      </c>
      <c r="D843" s="9" t="str">
        <f>IFERROR(VLOOKUP(A843,'Paste - Mentors'!$A:$F,6,0),"")</f>
        <v>RMB</v>
      </c>
      <c r="E843" s="9" t="str">
        <f>IFERROR(VLOOKUP(A843,'Paste - Mentors'!$A:$E,5,0),"")</f>
        <v>South Africa</v>
      </c>
      <c r="F843" s="9">
        <f>IF(A843="","",COUNTIFS('Paste - Relationships'!$A:$A,A843,'Paste - Relationships'!$AE:$AE,""))</f>
        <v>0</v>
      </c>
      <c r="G843" s="9" t="str">
        <f t="shared" si="13"/>
        <v>Available</v>
      </c>
      <c r="H843" s="9" t="str">
        <f>IF(A843="","",IF(COUNTIF('Programme Mentors'!$A:$A,A843)&gt;0,"Enrolled","—"))</f>
        <v>—</v>
      </c>
    </row>
    <row r="844" spans="1:8" ht="33.75" customHeight="1" x14ac:dyDescent="0.3">
      <c r="A844" s="43">
        <f>'Paste - Mentors'!A844</f>
        <v>5645840</v>
      </c>
      <c r="B844" s="3" t="str">
        <f>IFERROR(VLOOKUP(A844,'Paste - Mentors'!$A:$B,2,0),"")</f>
        <v>Tebatso Mokgokolo</v>
      </c>
      <c r="C844" s="3" t="str">
        <f>IFERROR(VLOOKUP(A844,'Paste - Mentors'!$A:$D,4,0),"")</f>
        <v>Career Mentor
Technical Mentor
Transition Mentor</v>
      </c>
      <c r="D844" s="43" t="str">
        <f>IFERROR(VLOOKUP(A844,'Paste - Mentors'!$A:$F,6,0),"")</f>
        <v>FNB</v>
      </c>
      <c r="E844" s="43" t="str">
        <f>IFERROR(VLOOKUP(A844,'Paste - Mentors'!$A:$E,5,0),"")</f>
        <v>South Africa</v>
      </c>
      <c r="F844" s="43">
        <f>IF(A844="","",COUNTIFS('Paste - Relationships'!$A:$A,A844,'Paste - Relationships'!$AE:$AE,""))</f>
        <v>1</v>
      </c>
      <c r="G844" s="43" t="str">
        <f t="shared" si="13"/>
        <v>Has Capacity</v>
      </c>
      <c r="H844" s="43" t="str">
        <f>IF(A844="","",IF(COUNTIF('Programme Mentors'!$A:$A,A844)&gt;0,"Enrolled","—"))</f>
        <v>—</v>
      </c>
    </row>
    <row r="845" spans="1:8" ht="57" customHeight="1" x14ac:dyDescent="0.3">
      <c r="A845" s="9">
        <f>'Paste - Mentors'!A845</f>
        <v>5685974</v>
      </c>
      <c r="B845" s="4" t="str">
        <f>IFERROR(VLOOKUP(A845,'Paste - Mentors'!$A:$B,2,0),"")</f>
        <v>Priya Naicker</v>
      </c>
      <c r="C845" s="4" t="str">
        <f>IFERROR(VLOOKUP(A845,'Paste - Mentors'!$A:$D,4,0),"")</f>
        <v>Career Mentor
Leadership Mentor</v>
      </c>
      <c r="D845" s="9" t="str">
        <f>IFERROR(VLOOKUP(A845,'Paste - Mentors'!$A:$F,6,0),"")</f>
        <v>FNB</v>
      </c>
      <c r="E845" s="9" t="str">
        <f>IFERROR(VLOOKUP(A845,'Paste - Mentors'!$A:$E,5,0),"")</f>
        <v>South Africa</v>
      </c>
      <c r="F845" s="9">
        <f>IF(A845="","",COUNTIFS('Paste - Relationships'!$A:$A,A845,'Paste - Relationships'!$AE:$AE,""))</f>
        <v>0</v>
      </c>
      <c r="G845" s="9" t="str">
        <f t="shared" si="13"/>
        <v>Available</v>
      </c>
      <c r="H845" s="9" t="str">
        <f>IF(A845="","",IF(COUNTIF('Programme Mentors'!$A:$A,A845)&gt;0,"Enrolled","—"))</f>
        <v>—</v>
      </c>
    </row>
    <row r="846" spans="1:8" ht="33.75" customHeight="1" x14ac:dyDescent="0.3">
      <c r="A846" s="43">
        <f>'Paste - Mentors'!A846</f>
        <v>7405006</v>
      </c>
      <c r="B846" s="3" t="str">
        <f>IFERROR(VLOOKUP(A846,'Paste - Mentors'!$A:$B,2,0),"")</f>
        <v>Nikita Preston</v>
      </c>
      <c r="C846" s="3" t="str">
        <f>IFERROR(VLOOKUP(A846,'Paste - Mentors'!$A:$D,4,0),"")</f>
        <v>Career Mentor</v>
      </c>
      <c r="D846" s="43" t="str">
        <f>IFERROR(VLOOKUP(A846,'Paste - Mentors'!$A:$F,6,0),"")</f>
        <v>FNB</v>
      </c>
      <c r="E846" s="43" t="str">
        <f>IFERROR(VLOOKUP(A846,'Paste - Mentors'!$A:$E,5,0),"")</f>
        <v>South Africa</v>
      </c>
      <c r="F846" s="43">
        <f>IF(A846="","",COUNTIFS('Paste - Relationships'!$A:$A,A846,'Paste - Relationships'!$AE:$AE,""))</f>
        <v>0</v>
      </c>
      <c r="G846" s="43" t="str">
        <f t="shared" si="13"/>
        <v>Available</v>
      </c>
      <c r="H846" s="43" t="str">
        <f>IF(A846="","",IF(COUNTIF('Programme Mentors'!$A:$A,A846)&gt;0,"Enrolled","—"))</f>
        <v>—</v>
      </c>
    </row>
    <row r="847" spans="1:8" ht="14.25" customHeight="1" x14ac:dyDescent="0.3">
      <c r="A847" s="9">
        <f>'Paste - Mentors'!A847</f>
        <v>7500262</v>
      </c>
      <c r="B847" s="4" t="str">
        <f>IFERROR(VLOOKUP(A847,'Paste - Mentors'!$A:$B,2,0),"")</f>
        <v>Wilma Masilo</v>
      </c>
      <c r="C847" s="4" t="str">
        <f>IFERROR(VLOOKUP(A847,'Paste - Mentors'!$A:$D,4,0),"")</f>
        <v>Career Mentor</v>
      </c>
      <c r="D847" s="9" t="str">
        <f>IFERROR(VLOOKUP(A847,'Paste - Mentors'!$A:$F,6,0),"")</f>
        <v>FNB</v>
      </c>
      <c r="E847" s="9" t="str">
        <f>IFERROR(VLOOKUP(A847,'Paste - Mentors'!$A:$E,5,0),"")</f>
        <v>South Africa</v>
      </c>
      <c r="F847" s="9">
        <f>IF(A847="","",COUNTIFS('Paste - Relationships'!$A:$A,A847,'Paste - Relationships'!$AE:$AE,""))</f>
        <v>0</v>
      </c>
      <c r="G847" s="9" t="str">
        <f t="shared" si="13"/>
        <v>Available</v>
      </c>
      <c r="H847" s="9" t="str">
        <f>IF(A847="","",IF(COUNTIF('Programme Mentors'!$A:$A,A847)&gt;0,"Enrolled","—"))</f>
        <v>—</v>
      </c>
    </row>
    <row r="848" spans="1:8" ht="14.25" customHeight="1" x14ac:dyDescent="0.3">
      <c r="A848" s="43">
        <f>'Paste - Mentors'!A848</f>
        <v>7500696</v>
      </c>
      <c r="B848" s="3" t="str">
        <f>IFERROR(VLOOKUP(A848,'Paste - Mentors'!$A:$B,2,0),"")</f>
        <v>Thobile Tyiso</v>
      </c>
      <c r="C848" s="3" t="str">
        <f>IFERROR(VLOOKUP(A848,'Paste - Mentors'!$A:$D,4,0),"")</f>
        <v>Career Mentor</v>
      </c>
      <c r="D848" s="43" t="str">
        <f>IFERROR(VLOOKUP(A848,'Paste - Mentors'!$A:$F,6,0),"")</f>
        <v>FNB</v>
      </c>
      <c r="E848" s="43" t="str">
        <f>IFERROR(VLOOKUP(A848,'Paste - Mentors'!$A:$E,5,0),"")</f>
        <v>South Africa</v>
      </c>
      <c r="F848" s="43">
        <f>IF(A848="","",COUNTIFS('Paste - Relationships'!$A:$A,A848,'Paste - Relationships'!$AE:$AE,""))</f>
        <v>0</v>
      </c>
      <c r="G848" s="43" t="str">
        <f t="shared" si="13"/>
        <v>Available</v>
      </c>
      <c r="H848" s="43" t="str">
        <f>IF(A848="","",IF(COUNTIF('Programme Mentors'!$A:$A,A848)&gt;0,"Enrolled","—"))</f>
        <v>—</v>
      </c>
    </row>
    <row r="849" spans="1:8" ht="14.25" customHeight="1" x14ac:dyDescent="0.3">
      <c r="A849" s="9">
        <f>'Paste - Mentors'!A849</f>
        <v>7526059</v>
      </c>
      <c r="B849" s="4" t="str">
        <f>IFERROR(VLOOKUP(A849,'Paste - Mentors'!$A:$B,2,0),"")</f>
        <v>Phindi Ngcobo</v>
      </c>
      <c r="C849" s="4" t="str">
        <f>IFERROR(VLOOKUP(A849,'Paste - Mentors'!$A:$D,4,0),"")</f>
        <v>Career Mentor</v>
      </c>
      <c r="D849" s="9" t="str">
        <f>IFERROR(VLOOKUP(A849,'Paste - Mentors'!$A:$F,6,0),"")</f>
        <v>FNB</v>
      </c>
      <c r="E849" s="9" t="str">
        <f>IFERROR(VLOOKUP(A849,'Paste - Mentors'!$A:$E,5,0),"")</f>
        <v>South Africa</v>
      </c>
      <c r="F849" s="9">
        <f>IF(A849="","",COUNTIFS('Paste - Relationships'!$A:$A,A849,'Paste - Relationships'!$AE:$AE,""))</f>
        <v>0</v>
      </c>
      <c r="G849" s="9" t="str">
        <f t="shared" si="13"/>
        <v>Available</v>
      </c>
      <c r="H849" s="9" t="str">
        <f>IF(A849="","",IF(COUNTIF('Programme Mentors'!$A:$A,A849)&gt;0,"Enrolled","—"))</f>
        <v>—</v>
      </c>
    </row>
    <row r="850" spans="1:8" ht="14.25" customHeight="1" x14ac:dyDescent="0.3">
      <c r="A850" s="43">
        <f>'Paste - Mentors'!A850</f>
        <v>7541015</v>
      </c>
      <c r="B850" s="3" t="str">
        <f>IFERROR(VLOOKUP(A850,'Paste - Mentors'!$A:$B,2,0),"")</f>
        <v>Mduduzi Dlamini</v>
      </c>
      <c r="C850" s="3" t="str">
        <f>IFERROR(VLOOKUP(A850,'Paste - Mentors'!$A:$D,4,0),"")</f>
        <v>Career Mentor</v>
      </c>
      <c r="D850" s="43" t="str">
        <f>IFERROR(VLOOKUP(A850,'Paste - Mentors'!$A:$F,6,0),"")</f>
        <v>FNB</v>
      </c>
      <c r="E850" s="43" t="str">
        <f>IFERROR(VLOOKUP(A850,'Paste - Mentors'!$A:$E,5,0),"")</f>
        <v>South Africa</v>
      </c>
      <c r="F850" s="43">
        <f>IF(A850="","",COUNTIFS('Paste - Relationships'!$A:$A,A850,'Paste - Relationships'!$AE:$AE,""))</f>
        <v>0</v>
      </c>
      <c r="G850" s="43" t="str">
        <f t="shared" si="13"/>
        <v>Available</v>
      </c>
      <c r="H850" s="43" t="str">
        <f>IF(A850="","",IF(COUNTIF('Programme Mentors'!$A:$A,A850)&gt;0,"Enrolled","—"))</f>
        <v>—</v>
      </c>
    </row>
    <row r="851" spans="1:8" ht="14.25" customHeight="1" x14ac:dyDescent="0.3">
      <c r="A851" s="9">
        <f>'Paste - Mentors'!A851</f>
        <v>7547463</v>
      </c>
      <c r="B851" s="4" t="str">
        <f>IFERROR(VLOOKUP(A851,'Paste - Mentors'!$A:$B,2,0),"")</f>
        <v>Stephana Tshehla</v>
      </c>
      <c r="C851" s="4" t="str">
        <f>IFERROR(VLOOKUP(A851,'Paste - Mentors'!$A:$D,4,0),"")</f>
        <v>Career Mentor</v>
      </c>
      <c r="D851" s="9" t="str">
        <f>IFERROR(VLOOKUP(A851,'Paste - Mentors'!$A:$F,6,0),"")</f>
        <v>FNB</v>
      </c>
      <c r="E851" s="9" t="str">
        <f>IFERROR(VLOOKUP(A851,'Paste - Mentors'!$A:$E,5,0),"")</f>
        <v>South Africa</v>
      </c>
      <c r="F851" s="9">
        <f>IF(A851="","",COUNTIFS('Paste - Relationships'!$A:$A,A851,'Paste - Relationships'!$AE:$AE,""))</f>
        <v>0</v>
      </c>
      <c r="G851" s="9" t="str">
        <f t="shared" si="13"/>
        <v>Available</v>
      </c>
      <c r="H851" s="9" t="str">
        <f>IF(A851="","",IF(COUNTIF('Programme Mentors'!$A:$A,A851)&gt;0,"Enrolled","—"))</f>
        <v>—</v>
      </c>
    </row>
    <row r="852" spans="1:8" ht="14.25" customHeight="1" x14ac:dyDescent="0.3">
      <c r="A852" s="43">
        <f>'Paste - Mentors'!A852</f>
        <v>7552343</v>
      </c>
      <c r="B852" s="3" t="str">
        <f>IFERROR(VLOOKUP(A852,'Paste - Mentors'!$A:$B,2,0),"")</f>
        <v>Shovagne Jooste</v>
      </c>
      <c r="C852" s="3" t="str">
        <f>IFERROR(VLOOKUP(A852,'Paste - Mentors'!$A:$D,4,0),"")</f>
        <v>Career Mentor
Leadership Mentor
Transition Mentor</v>
      </c>
      <c r="D852" s="43" t="str">
        <f>IFERROR(VLOOKUP(A852,'Paste - Mentors'!$A:$F,6,0),"")</f>
        <v>FNB</v>
      </c>
      <c r="E852" s="43" t="str">
        <f>IFERROR(VLOOKUP(A852,'Paste - Mentors'!$A:$E,5,0),"")</f>
        <v>South Africa</v>
      </c>
      <c r="F852" s="43">
        <f>IF(A852="","",COUNTIFS('Paste - Relationships'!$A:$A,A852,'Paste - Relationships'!$AE:$AE,""))</f>
        <v>0</v>
      </c>
      <c r="G852" s="43" t="str">
        <f t="shared" si="13"/>
        <v>Available</v>
      </c>
      <c r="H852" s="43" t="str">
        <f>IF(A852="","",IF(COUNTIF('Programme Mentors'!$A:$A,A852)&gt;0,"Enrolled","—"))</f>
        <v>—</v>
      </c>
    </row>
    <row r="853" spans="1:8" ht="57" customHeight="1" x14ac:dyDescent="0.3">
      <c r="A853" s="9">
        <f>'Paste - Mentors'!A853</f>
        <v>7552793</v>
      </c>
      <c r="B853" s="4" t="str">
        <f>IFERROR(VLOOKUP(A853,'Paste - Mentors'!$A:$B,2,0),"")</f>
        <v>Theo Ngoma</v>
      </c>
      <c r="C853" s="4" t="str">
        <f>IFERROR(VLOOKUP(A853,'Paste - Mentors'!$A:$D,4,0),"")</f>
        <v>Career Mentor</v>
      </c>
      <c r="D853" s="9" t="str">
        <f>IFERROR(VLOOKUP(A853,'Paste - Mentors'!$A:$F,6,0),"")</f>
        <v>FNB</v>
      </c>
      <c r="E853" s="9" t="str">
        <f>IFERROR(VLOOKUP(A853,'Paste - Mentors'!$A:$E,5,0),"")</f>
        <v>South Africa</v>
      </c>
      <c r="F853" s="9">
        <f>IF(A853="","",COUNTIFS('Paste - Relationships'!$A:$A,A853,'Paste - Relationships'!$AE:$AE,""))</f>
        <v>0</v>
      </c>
      <c r="G853" s="9" t="str">
        <f t="shared" si="13"/>
        <v>Available</v>
      </c>
      <c r="H853" s="9" t="str">
        <f>IF(A853="","",IF(COUNTIF('Programme Mentors'!$A:$A,A853)&gt;0,"Enrolled","—"))</f>
        <v>—</v>
      </c>
    </row>
    <row r="854" spans="1:8" ht="14.25" customHeight="1" x14ac:dyDescent="0.3">
      <c r="A854" s="43">
        <f>'Paste - Mentors'!A854</f>
        <v>7577524</v>
      </c>
      <c r="B854" s="3" t="str">
        <f>IFERROR(VLOOKUP(A854,'Paste - Mentors'!$A:$B,2,0),"")</f>
        <v>Keith Naicker</v>
      </c>
      <c r="C854" s="3" t="str">
        <f>IFERROR(VLOOKUP(A854,'Paste - Mentors'!$A:$D,4,0),"")</f>
        <v>Career Mentor
Leadership Mentor</v>
      </c>
      <c r="D854" s="43" t="str">
        <f>IFERROR(VLOOKUP(A854,'Paste - Mentors'!$A:$F,6,0),"")</f>
        <v>FNB</v>
      </c>
      <c r="E854" s="43" t="str">
        <f>IFERROR(VLOOKUP(A854,'Paste - Mentors'!$A:$E,5,0),"")</f>
        <v>South Africa</v>
      </c>
      <c r="F854" s="43">
        <f>IF(A854="","",COUNTIFS('Paste - Relationships'!$A:$A,A854,'Paste - Relationships'!$AE:$AE,""))</f>
        <v>0</v>
      </c>
      <c r="G854" s="43" t="str">
        <f t="shared" si="13"/>
        <v>Available</v>
      </c>
      <c r="H854" s="43" t="str">
        <f>IF(A854="","",IF(COUNTIF('Programme Mentors'!$A:$A,A854)&gt;0,"Enrolled","—"))</f>
        <v>—</v>
      </c>
    </row>
    <row r="855" spans="1:8" ht="33.75" customHeight="1" x14ac:dyDescent="0.3">
      <c r="A855" s="9">
        <f>'Paste - Mentors'!A855</f>
        <v>8020797</v>
      </c>
      <c r="B855" s="4" t="str">
        <f>IFERROR(VLOOKUP(A855,'Paste - Mentors'!$A:$B,2,0),"")</f>
        <v>Thirumala Pillay</v>
      </c>
      <c r="C855" s="4" t="str">
        <f>IFERROR(VLOOKUP(A855,'Paste - Mentors'!$A:$D,4,0),"")</f>
        <v>Career Mentor</v>
      </c>
      <c r="D855" s="9" t="str">
        <f>IFERROR(VLOOKUP(A855,'Paste - Mentors'!$A:$F,6,0),"")</f>
        <v>FirstRand Corporate Centre</v>
      </c>
      <c r="E855" s="9" t="str">
        <f>IFERROR(VLOOKUP(A855,'Paste - Mentors'!$A:$E,5,0),"")</f>
        <v>South Africa</v>
      </c>
      <c r="F855" s="9">
        <f>IF(A855="","",COUNTIFS('Paste - Relationships'!$A:$A,A855,'Paste - Relationships'!$AE:$AE,""))</f>
        <v>2</v>
      </c>
      <c r="G855" s="9" t="str">
        <f t="shared" si="13"/>
        <v>Has Capacity</v>
      </c>
      <c r="H855" s="9" t="str">
        <f>IF(A855="","",IF(COUNTIF('Programme Mentors'!$A:$A,A855)&gt;0,"Enrolled","—"))</f>
        <v>—</v>
      </c>
    </row>
    <row r="856" spans="1:8" ht="33.75" customHeight="1" x14ac:dyDescent="0.3">
      <c r="A856" s="43">
        <f>'Paste - Mentors'!A856</f>
        <v>5697565</v>
      </c>
      <c r="B856" s="3" t="str">
        <f>IFERROR(VLOOKUP(A856,'Paste - Mentors'!$A:$B,2,0),"")</f>
        <v>Jeremy Abbott</v>
      </c>
      <c r="C856" s="3" t="str">
        <f>IFERROR(VLOOKUP(A856,'Paste - Mentors'!$A:$D,4,0),"")</f>
        <v>Career Mentor
Leadership Mentor</v>
      </c>
      <c r="D856" s="43" t="str">
        <f>IFERROR(VLOOKUP(A856,'Paste - Mentors'!$A:$F,6,0),"")</f>
        <v>FNB</v>
      </c>
      <c r="E856" s="43" t="str">
        <f>IFERROR(VLOOKUP(A856,'Paste - Mentors'!$A:$E,5,0),"")</f>
        <v>South Africa</v>
      </c>
      <c r="F856" s="43">
        <f>IF(A856="","",COUNTIFS('Paste - Relationships'!$A:$A,A856,'Paste - Relationships'!$AE:$AE,""))</f>
        <v>0</v>
      </c>
      <c r="G856" s="43" t="str">
        <f t="shared" si="13"/>
        <v>Available</v>
      </c>
      <c r="H856" s="43" t="str">
        <f>IF(A856="","",IF(COUNTIF('Programme Mentors'!$A:$A,A856)&gt;0,"Enrolled","—"))</f>
        <v>—</v>
      </c>
    </row>
    <row r="857" spans="1:8" ht="33.75" customHeight="1" x14ac:dyDescent="0.3">
      <c r="A857" s="9">
        <f>'Paste - Mentors'!A857</f>
        <v>8870687</v>
      </c>
      <c r="B857" s="4" t="str">
        <f>IFERROR(VLOOKUP(A857,'Paste - Mentors'!$A:$B,2,0),"")</f>
        <v>Atiyya Hoosain</v>
      </c>
      <c r="C857" s="4" t="str">
        <f>IFERROR(VLOOKUP(A857,'Paste - Mentors'!$A:$D,4,0),"")</f>
        <v>Transition Mentor</v>
      </c>
      <c r="D857" s="9" t="str">
        <f>IFERROR(VLOOKUP(A857,'Paste - Mentors'!$A:$F,6,0),"")</f>
        <v>FNB</v>
      </c>
      <c r="E857" s="9" t="str">
        <f>IFERROR(VLOOKUP(A857,'Paste - Mentors'!$A:$E,5,0),"")</f>
        <v>South Africa</v>
      </c>
      <c r="F857" s="9">
        <f>IF(A857="","",COUNTIFS('Paste - Relationships'!$A:$A,A857,'Paste - Relationships'!$AE:$AE,""))</f>
        <v>0</v>
      </c>
      <c r="G857" s="9" t="str">
        <f t="shared" si="13"/>
        <v>Available</v>
      </c>
      <c r="H857" s="9" t="str">
        <f>IF(A857="","",IF(COUNTIF('Programme Mentors'!$A:$A,A857)&gt;0,"Enrolled","—"))</f>
        <v>—</v>
      </c>
    </row>
    <row r="858" spans="1:8" ht="14.25" customHeight="1" x14ac:dyDescent="0.3">
      <c r="A858" s="43">
        <f>'Paste - Mentors'!A858</f>
        <v>8870688</v>
      </c>
      <c r="B858" s="3" t="str">
        <f>IFERROR(VLOOKUP(A858,'Paste - Mentors'!$A:$B,2,0),"")</f>
        <v>Luleka Righteous Khumalo</v>
      </c>
      <c r="C858" s="3" t="str">
        <f>IFERROR(VLOOKUP(A858,'Paste - Mentors'!$A:$D,4,0),"")</f>
        <v>Transition Mentor</v>
      </c>
      <c r="D858" s="43" t="str">
        <f>IFERROR(VLOOKUP(A858,'Paste - Mentors'!$A:$F,6,0),"")</f>
        <v>FNB</v>
      </c>
      <c r="E858" s="43" t="str">
        <f>IFERROR(VLOOKUP(A858,'Paste - Mentors'!$A:$E,5,0),"")</f>
        <v>South Africa</v>
      </c>
      <c r="F858" s="43">
        <f>IF(A858="","",COUNTIFS('Paste - Relationships'!$A:$A,A858,'Paste - Relationships'!$AE:$AE,""))</f>
        <v>0</v>
      </c>
      <c r="G858" s="43" t="str">
        <f t="shared" si="13"/>
        <v>Available</v>
      </c>
      <c r="H858" s="43" t="str">
        <f>IF(A858="","",IF(COUNTIF('Programme Mentors'!$A:$A,A858)&gt;0,"Enrolled","—"))</f>
        <v>—</v>
      </c>
    </row>
    <row r="859" spans="1:8" ht="14.25" customHeight="1" x14ac:dyDescent="0.3">
      <c r="A859" s="9">
        <f>'Paste - Mentors'!A859</f>
        <v>8870709</v>
      </c>
      <c r="B859" s="4" t="str">
        <f>IFERROR(VLOOKUP(A859,'Paste - Mentors'!$A:$B,2,0),"")</f>
        <v>Ronewa Errol Maemu Tshikosi</v>
      </c>
      <c r="C859" s="4" t="str">
        <f>IFERROR(VLOOKUP(A859,'Paste - Mentors'!$A:$D,4,0),"")</f>
        <v>Transition Mentor</v>
      </c>
      <c r="D859" s="9" t="str">
        <f>IFERROR(VLOOKUP(A859,'Paste - Mentors'!$A:$F,6,0),"")</f>
        <v>FNB</v>
      </c>
      <c r="E859" s="9" t="str">
        <f>IFERROR(VLOOKUP(A859,'Paste - Mentors'!$A:$E,5,0),"")</f>
        <v>South Africa</v>
      </c>
      <c r="F859" s="9">
        <f>IF(A859="","",COUNTIFS('Paste - Relationships'!$A:$A,A859,'Paste - Relationships'!$AE:$AE,""))</f>
        <v>0</v>
      </c>
      <c r="G859" s="9" t="str">
        <f t="shared" si="13"/>
        <v>Available</v>
      </c>
      <c r="H859" s="9" t="str">
        <f>IF(A859="","",IF(COUNTIF('Programme Mentors'!$A:$A,A859)&gt;0,"Enrolled","—"))</f>
        <v>—</v>
      </c>
    </row>
    <row r="860" spans="1:8" ht="14.25" customHeight="1" x14ac:dyDescent="0.3">
      <c r="A860" s="43">
        <f>'Paste - Mentors'!A860</f>
        <v>8870735</v>
      </c>
      <c r="B860" s="3" t="str">
        <f>IFERROR(VLOOKUP(A860,'Paste - Mentors'!$A:$B,2,0),"")</f>
        <v>Veroshan Thaver</v>
      </c>
      <c r="C860" s="3" t="str">
        <f>IFERROR(VLOOKUP(A860,'Paste - Mentors'!$A:$D,4,0),"")</f>
        <v>Transition Mentor</v>
      </c>
      <c r="D860" s="43" t="str">
        <f>IFERROR(VLOOKUP(A860,'Paste - Mentors'!$A:$F,6,0),"")</f>
        <v>FNB</v>
      </c>
      <c r="E860" s="43" t="str">
        <f>IFERROR(VLOOKUP(A860,'Paste - Mentors'!$A:$E,5,0),"")</f>
        <v>South Africa</v>
      </c>
      <c r="F860" s="43">
        <f>IF(A860="","",COUNTIFS('Paste - Relationships'!$A:$A,A860,'Paste - Relationships'!$AE:$AE,""))</f>
        <v>0</v>
      </c>
      <c r="G860" s="43" t="str">
        <f t="shared" si="13"/>
        <v>Available</v>
      </c>
      <c r="H860" s="43" t="str">
        <f>IF(A860="","",IF(COUNTIF('Programme Mentors'!$A:$A,A860)&gt;0,"Enrolled","—"))</f>
        <v>—</v>
      </c>
    </row>
    <row r="861" spans="1:8" ht="14.25" customHeight="1" x14ac:dyDescent="0.3">
      <c r="A861" s="9">
        <f>'Paste - Mentors'!A861</f>
        <v>8870766</v>
      </c>
      <c r="B861" s="4" t="str">
        <f>IFERROR(VLOOKUP(A861,'Paste - Mentors'!$A:$B,2,0),"")</f>
        <v>Savannah Tadden</v>
      </c>
      <c r="C861" s="4" t="str">
        <f>IFERROR(VLOOKUP(A861,'Paste - Mentors'!$A:$D,4,0),"")</f>
        <v>Career Mentor
Technical Mentor
Workplace  Buddy</v>
      </c>
      <c r="D861" s="9" t="str">
        <f>IFERROR(VLOOKUP(A861,'Paste - Mentors'!$A:$F,6,0),"")</f>
        <v>WesBank</v>
      </c>
      <c r="E861" s="9" t="str">
        <f>IFERROR(VLOOKUP(A861,'Paste - Mentors'!$A:$E,5,0),"")</f>
        <v>South Africa</v>
      </c>
      <c r="F861" s="9">
        <f>IF(A861="","",COUNTIFS('Paste - Relationships'!$A:$A,A861,'Paste - Relationships'!$AE:$AE,""))</f>
        <v>0</v>
      </c>
      <c r="G861" s="9" t="str">
        <f t="shared" si="13"/>
        <v>Available</v>
      </c>
      <c r="H861" s="9" t="str">
        <f>IF(A861="","",IF(COUNTIF('Programme Mentors'!$A:$A,A861)&gt;0,"Enrolled","—"))</f>
        <v>—</v>
      </c>
    </row>
    <row r="862" spans="1:8" ht="57" customHeight="1" x14ac:dyDescent="0.3">
      <c r="A862" s="43">
        <f>'Paste - Mentors'!A862</f>
        <v>8870794</v>
      </c>
      <c r="B862" s="3" t="str">
        <f>IFERROR(VLOOKUP(A862,'Paste - Mentors'!$A:$B,2,0),"")</f>
        <v>Tebogo Matome Raphadu</v>
      </c>
      <c r="C862" s="3" t="str">
        <f>IFERROR(VLOOKUP(A862,'Paste - Mentors'!$A:$D,4,0),"")</f>
        <v>Transition Mentor</v>
      </c>
      <c r="D862" s="43" t="str">
        <f>IFERROR(VLOOKUP(A862,'Paste - Mentors'!$A:$F,6,0),"")</f>
        <v>FNB</v>
      </c>
      <c r="E862" s="43" t="str">
        <f>IFERROR(VLOOKUP(A862,'Paste - Mentors'!$A:$E,5,0),"")</f>
        <v>South Africa</v>
      </c>
      <c r="F862" s="43">
        <f>IF(A862="","",COUNTIFS('Paste - Relationships'!$A:$A,A862,'Paste - Relationships'!$AE:$AE,""))</f>
        <v>0</v>
      </c>
      <c r="G862" s="43" t="str">
        <f t="shared" si="13"/>
        <v>Available</v>
      </c>
      <c r="H862" s="43" t="str">
        <f>IF(A862="","",IF(COUNTIF('Programme Mentors'!$A:$A,A862)&gt;0,"Enrolled","—"))</f>
        <v>—</v>
      </c>
    </row>
    <row r="863" spans="1:8" ht="14.25" customHeight="1" x14ac:dyDescent="0.3">
      <c r="A863" s="9">
        <f>'Paste - Mentors'!A863</f>
        <v>8870818</v>
      </c>
      <c r="B863" s="4" t="str">
        <f>IFERROR(VLOOKUP(A863,'Paste - Mentors'!$A:$B,2,0),"")</f>
        <v>Isaac Chauque</v>
      </c>
      <c r="C863" s="4" t="str">
        <f>IFERROR(VLOOKUP(A863,'Paste - Mentors'!$A:$D,4,0),"")</f>
        <v>Transition Mentor</v>
      </c>
      <c r="D863" s="9" t="str">
        <f>IFERROR(VLOOKUP(A863,'Paste - Mentors'!$A:$F,6,0),"")</f>
        <v>WesBank</v>
      </c>
      <c r="E863" s="9" t="str">
        <f>IFERROR(VLOOKUP(A863,'Paste - Mentors'!$A:$E,5,0),"")</f>
        <v>South Africa</v>
      </c>
      <c r="F863" s="9">
        <f>IF(A863="","",COUNTIFS('Paste - Relationships'!$A:$A,A863,'Paste - Relationships'!$AE:$AE,""))</f>
        <v>0</v>
      </c>
      <c r="G863" s="9" t="str">
        <f t="shared" si="13"/>
        <v>Available</v>
      </c>
      <c r="H863" s="9" t="str">
        <f>IF(A863="","",IF(COUNTIF('Programme Mentors'!$A:$A,A863)&gt;0,"Enrolled","—"))</f>
        <v>—</v>
      </c>
    </row>
    <row r="864" spans="1:8" ht="14.25" customHeight="1" x14ac:dyDescent="0.3">
      <c r="A864" s="43">
        <f>'Paste - Mentors'!A864</f>
        <v>8870813</v>
      </c>
      <c r="B864" s="3" t="str">
        <f>IFERROR(VLOOKUP(A864,'Paste - Mentors'!$A:$B,2,0),"")</f>
        <v>Sihle Mthembu</v>
      </c>
      <c r="C864" s="3" t="str">
        <f>IFERROR(VLOOKUP(A864,'Paste - Mentors'!$A:$D,4,0),"")</f>
        <v>Transition Mentor</v>
      </c>
      <c r="D864" s="43" t="str">
        <f>IFERROR(VLOOKUP(A864,'Paste - Mentors'!$A:$F,6,0),"")</f>
        <v>FNB</v>
      </c>
      <c r="E864" s="43" t="str">
        <f>IFERROR(VLOOKUP(A864,'Paste - Mentors'!$A:$E,5,0),"")</f>
        <v>South Africa</v>
      </c>
      <c r="F864" s="43">
        <f>IF(A864="","",COUNTIFS('Paste - Relationships'!$A:$A,A864,'Paste - Relationships'!$AE:$AE,""))</f>
        <v>0</v>
      </c>
      <c r="G864" s="43" t="str">
        <f t="shared" si="13"/>
        <v>Available</v>
      </c>
      <c r="H864" s="43" t="str">
        <f>IF(A864="","",IF(COUNTIF('Programme Mentors'!$A:$A,A864)&gt;0,"Enrolled","—"))</f>
        <v>—</v>
      </c>
    </row>
    <row r="865" spans="1:8" ht="14.25" customHeight="1" x14ac:dyDescent="0.3">
      <c r="A865" s="9">
        <f>'Paste - Mentors'!A865</f>
        <v>8870816</v>
      </c>
      <c r="B865" s="4" t="str">
        <f>IFERROR(VLOOKUP(A865,'Paste - Mentors'!$A:$B,2,0),"")</f>
        <v>Shamein Makungu Sabeka</v>
      </c>
      <c r="C865" s="4" t="str">
        <f>IFERROR(VLOOKUP(A865,'Paste - Mentors'!$A:$D,4,0),"")</f>
        <v>Career Mentor
Transition Mentor
Workplace  Buddy</v>
      </c>
      <c r="D865" s="9" t="str">
        <f>IFERROR(VLOOKUP(A865,'Paste - Mentors'!$A:$F,6,0),"")</f>
        <v>FNB</v>
      </c>
      <c r="E865" s="9" t="str">
        <f>IFERROR(VLOOKUP(A865,'Paste - Mentors'!$A:$E,5,0),"")</f>
        <v>South Africa</v>
      </c>
      <c r="F865" s="9">
        <f>IF(A865="","",COUNTIFS('Paste - Relationships'!$A:$A,A865,'Paste - Relationships'!$AE:$AE,""))</f>
        <v>1</v>
      </c>
      <c r="G865" s="9" t="str">
        <f t="shared" si="13"/>
        <v>Has Capacity</v>
      </c>
      <c r="H865" s="9" t="str">
        <f>IF(A865="","",IF(COUNTIF('Programme Mentors'!$A:$A,A865)&gt;0,"Enrolled","—"))</f>
        <v>—</v>
      </c>
    </row>
    <row r="866" spans="1:8" ht="57" customHeight="1" x14ac:dyDescent="0.3">
      <c r="A866" s="43">
        <f>'Paste - Mentors'!A866</f>
        <v>8870827</v>
      </c>
      <c r="B866" s="3" t="str">
        <f>IFERROR(VLOOKUP(A866,'Paste - Mentors'!$A:$B,2,0),"")</f>
        <v>Mologadi Francinah Chuene</v>
      </c>
      <c r="C866" s="3" t="str">
        <f>IFERROR(VLOOKUP(A866,'Paste - Mentors'!$A:$D,4,0),"")</f>
        <v>Transition Mentor</v>
      </c>
      <c r="D866" s="43" t="str">
        <f>IFERROR(VLOOKUP(A866,'Paste - Mentors'!$A:$F,6,0),"")</f>
        <v>FNB</v>
      </c>
      <c r="E866" s="43" t="str">
        <f>IFERROR(VLOOKUP(A866,'Paste - Mentors'!$A:$E,5,0),"")</f>
        <v>South Africa</v>
      </c>
      <c r="F866" s="43">
        <f>IF(A866="","",COUNTIFS('Paste - Relationships'!$A:$A,A866,'Paste - Relationships'!$AE:$AE,""))</f>
        <v>0</v>
      </c>
      <c r="G866" s="43" t="str">
        <f t="shared" si="13"/>
        <v>Available</v>
      </c>
      <c r="H866" s="43" t="str">
        <f>IF(A866="","",IF(COUNTIF('Programme Mentors'!$A:$A,A866)&gt;0,"Enrolled","—"))</f>
        <v>—</v>
      </c>
    </row>
    <row r="867" spans="1:8" ht="14.25" customHeight="1" x14ac:dyDescent="0.3">
      <c r="A867" s="9">
        <f>'Paste - Mentors'!A867</f>
        <v>8870860</v>
      </c>
      <c r="B867" s="4" t="str">
        <f>IFERROR(VLOOKUP(A867,'Paste - Mentors'!$A:$B,2,0),"")</f>
        <v>Liso Tabata</v>
      </c>
      <c r="C867" s="4" t="str">
        <f>IFERROR(VLOOKUP(A867,'Paste - Mentors'!$A:$D,4,0),"")</f>
        <v>Transition Mentor</v>
      </c>
      <c r="D867" s="9" t="str">
        <f>IFERROR(VLOOKUP(A867,'Paste - Mentors'!$A:$F,6,0),"")</f>
        <v>FNB</v>
      </c>
      <c r="E867" s="9" t="str">
        <f>IFERROR(VLOOKUP(A867,'Paste - Mentors'!$A:$E,5,0),"")</f>
        <v>South Africa</v>
      </c>
      <c r="F867" s="9">
        <f>IF(A867="","",COUNTIFS('Paste - Relationships'!$A:$A,A867,'Paste - Relationships'!$AE:$AE,""))</f>
        <v>2</v>
      </c>
      <c r="G867" s="9" t="str">
        <f t="shared" si="13"/>
        <v>Has Capacity</v>
      </c>
      <c r="H867" s="9" t="str">
        <f>IF(A867="","",IF(COUNTIF('Programme Mentors'!$A:$A,A867)&gt;0,"Enrolled","—"))</f>
        <v>—</v>
      </c>
    </row>
    <row r="868" spans="1:8" ht="14.25" customHeight="1" x14ac:dyDescent="0.3">
      <c r="A868" s="43">
        <f>'Paste - Mentors'!A868</f>
        <v>5666961</v>
      </c>
      <c r="B868" s="3" t="str">
        <f>IFERROR(VLOOKUP(A868,'Paste - Mentors'!$A:$B,2,0),"")</f>
        <v>Muhammad Moosa</v>
      </c>
      <c r="C868" s="3" t="str">
        <f>IFERROR(VLOOKUP(A868,'Paste - Mentors'!$A:$D,4,0),"")</f>
        <v>Career Mentor
Workplace  Buddy</v>
      </c>
      <c r="D868" s="43" t="str">
        <f>IFERROR(VLOOKUP(A868,'Paste - Mentors'!$A:$F,6,0),"")</f>
        <v>FNB</v>
      </c>
      <c r="E868" s="43" t="str">
        <f>IFERROR(VLOOKUP(A868,'Paste - Mentors'!$A:$E,5,0),"")</f>
        <v>South Africa</v>
      </c>
      <c r="F868" s="43">
        <f>IF(A868="","",COUNTIFS('Paste - Relationships'!$A:$A,A868,'Paste - Relationships'!$AE:$AE,""))</f>
        <v>0</v>
      </c>
      <c r="G868" s="43" t="str">
        <f t="shared" si="13"/>
        <v>Available</v>
      </c>
      <c r="H868" s="43" t="str">
        <f>IF(A868="","",IF(COUNTIF('Programme Mentors'!$A:$A,A868)&gt;0,"Enrolled","—"))</f>
        <v>—</v>
      </c>
    </row>
    <row r="869" spans="1:8" ht="33.75" customHeight="1" x14ac:dyDescent="0.3">
      <c r="A869" s="9">
        <f>'Paste - Mentors'!A869</f>
        <v>8870861</v>
      </c>
      <c r="B869" s="4" t="str">
        <f>IFERROR(VLOOKUP(A869,'Paste - Mentors'!$A:$B,2,0),"")</f>
        <v>Sachin Moodley</v>
      </c>
      <c r="C869" s="4" t="str">
        <f>IFERROR(VLOOKUP(A869,'Paste - Mentors'!$A:$D,4,0),"")</f>
        <v>Transition Mentor</v>
      </c>
      <c r="D869" s="9" t="str">
        <f>IFERROR(VLOOKUP(A869,'Paste - Mentors'!$A:$F,6,0),"")</f>
        <v>FNB</v>
      </c>
      <c r="E869" s="9" t="str">
        <f>IFERROR(VLOOKUP(A869,'Paste - Mentors'!$A:$E,5,0),"")</f>
        <v>South Africa</v>
      </c>
      <c r="F869" s="9">
        <f>IF(A869="","",COUNTIFS('Paste - Relationships'!$A:$A,A869,'Paste - Relationships'!$AE:$AE,""))</f>
        <v>0</v>
      </c>
      <c r="G869" s="9" t="str">
        <f t="shared" si="13"/>
        <v>Available</v>
      </c>
      <c r="H869" s="9" t="str">
        <f>IF(A869="","",IF(COUNTIF('Programme Mentors'!$A:$A,A869)&gt;0,"Enrolled","—"))</f>
        <v>—</v>
      </c>
    </row>
    <row r="870" spans="1:8" ht="14.25" customHeight="1" x14ac:dyDescent="0.3">
      <c r="A870" s="43">
        <f>'Paste - Mentors'!A870</f>
        <v>8870913</v>
      </c>
      <c r="B870" s="3" t="str">
        <f>IFERROR(VLOOKUP(A870,'Paste - Mentors'!$A:$B,2,0),"")</f>
        <v>Julia Ndjene</v>
      </c>
      <c r="C870" s="3" t="str">
        <f>IFERROR(VLOOKUP(A870,'Paste - Mentors'!$A:$D,4,0),"")</f>
        <v>Transition Mentor</v>
      </c>
      <c r="D870" s="43" t="str">
        <f>IFERROR(VLOOKUP(A870,'Paste - Mentors'!$A:$F,6,0),"")</f>
        <v>FNB</v>
      </c>
      <c r="E870" s="43" t="str">
        <f>IFERROR(VLOOKUP(A870,'Paste - Mentors'!$A:$E,5,0),"")</f>
        <v>Namibia</v>
      </c>
      <c r="F870" s="43">
        <f>IF(A870="","",COUNTIFS('Paste - Relationships'!$A:$A,A870,'Paste - Relationships'!$AE:$AE,""))</f>
        <v>0</v>
      </c>
      <c r="G870" s="43" t="str">
        <f t="shared" si="13"/>
        <v>Available</v>
      </c>
      <c r="H870" s="43" t="str">
        <f>IF(A870="","",IF(COUNTIF('Programme Mentors'!$A:$A,A870)&gt;0,"Enrolled","—"))</f>
        <v>—</v>
      </c>
    </row>
    <row r="871" spans="1:8" ht="14.25" customHeight="1" x14ac:dyDescent="0.3">
      <c r="A871" s="9">
        <f>'Paste - Mentors'!A871</f>
        <v>8870928</v>
      </c>
      <c r="B871" s="4" t="str">
        <f>IFERROR(VLOOKUP(A871,'Paste - Mentors'!$A:$B,2,0),"")</f>
        <v>Hilde Metumo Shimpanda</v>
      </c>
      <c r="C871" s="4" t="str">
        <f>IFERROR(VLOOKUP(A871,'Paste - Mentors'!$A:$D,4,0),"")</f>
        <v>Transition Mentor</v>
      </c>
      <c r="D871" s="9" t="str">
        <f>IFERROR(VLOOKUP(A871,'Paste - Mentors'!$A:$F,6,0),"")</f>
        <v>FNB</v>
      </c>
      <c r="E871" s="9" t="str">
        <f>IFERROR(VLOOKUP(A871,'Paste - Mentors'!$A:$E,5,0),"")</f>
        <v>Namibia</v>
      </c>
      <c r="F871" s="9">
        <f>IF(A871="","",COUNTIFS('Paste - Relationships'!$A:$A,A871,'Paste - Relationships'!$AE:$AE,""))</f>
        <v>1</v>
      </c>
      <c r="G871" s="9" t="str">
        <f t="shared" si="13"/>
        <v>Has Capacity</v>
      </c>
      <c r="H871" s="9" t="str">
        <f>IF(A871="","",IF(COUNTIF('Programme Mentors'!$A:$A,A871)&gt;0,"Enrolled","—"))</f>
        <v>—</v>
      </c>
    </row>
    <row r="872" spans="1:8" ht="14.25" customHeight="1" x14ac:dyDescent="0.3">
      <c r="A872" s="43">
        <f>'Paste - Mentors'!A872</f>
        <v>8871052</v>
      </c>
      <c r="B872" s="3" t="str">
        <f>IFERROR(VLOOKUP(A872,'Paste - Mentors'!$A:$B,2,0),"")</f>
        <v>Kubeshan Padayachy</v>
      </c>
      <c r="C872" s="3" t="str">
        <f>IFERROR(VLOOKUP(A872,'Paste - Mentors'!$A:$D,4,0),"")</f>
        <v>Career Mentor
Leadership Mentor
Technical Mentor
Transition Mentor
Workplace  Buddy
Z2-Programme Mentor (HC Managed)</v>
      </c>
      <c r="D872" s="43" t="str">
        <f>IFERROR(VLOOKUP(A872,'Paste - Mentors'!$A:$F,6,0),"")</f>
        <v>RMB</v>
      </c>
      <c r="E872" s="43" t="str">
        <f>IFERROR(VLOOKUP(A872,'Paste - Mentors'!$A:$E,5,0),"")</f>
        <v>South Africa</v>
      </c>
      <c r="F872" s="43">
        <f>IF(A872="","",COUNTIFS('Paste - Relationships'!$A:$A,A872,'Paste - Relationships'!$AE:$AE,""))</f>
        <v>0</v>
      </c>
      <c r="G872" s="43" t="str">
        <f t="shared" si="13"/>
        <v>Available</v>
      </c>
      <c r="H872" s="43" t="str">
        <f>IF(A872="","",IF(COUNTIF('Programme Mentors'!$A:$A,A872)&gt;0,"Enrolled","—"))</f>
        <v>—</v>
      </c>
    </row>
    <row r="873" spans="1:8" ht="125.25" customHeight="1" x14ac:dyDescent="0.3">
      <c r="A873" s="9">
        <f>'Paste - Mentors'!A873</f>
        <v>8871829</v>
      </c>
      <c r="B873" s="4" t="str">
        <f>IFERROR(VLOOKUP(A873,'Paste - Mentors'!$A:$B,2,0),"")</f>
        <v>Caleb Sindi</v>
      </c>
      <c r="C873" s="4" t="str">
        <f>IFERROR(VLOOKUP(A873,'Paste - Mentors'!$A:$D,4,0),"")</f>
        <v>Transition Mentor</v>
      </c>
      <c r="D873" s="9" t="str">
        <f>IFERROR(VLOOKUP(A873,'Paste - Mentors'!$A:$F,6,0),"")</f>
        <v>FNB</v>
      </c>
      <c r="E873" s="9" t="str">
        <f>IFERROR(VLOOKUP(A873,'Paste - Mentors'!$A:$E,5,0),"")</f>
        <v>South Africa</v>
      </c>
      <c r="F873" s="9">
        <f>IF(A873="","",COUNTIFS('Paste - Relationships'!$A:$A,A873,'Paste - Relationships'!$AE:$AE,""))</f>
        <v>0</v>
      </c>
      <c r="G873" s="9" t="str">
        <f t="shared" si="13"/>
        <v>Available</v>
      </c>
      <c r="H873" s="9" t="str">
        <f>IF(A873="","",IF(COUNTIF('Programme Mentors'!$A:$A,A873)&gt;0,"Enrolled","—"))</f>
        <v>—</v>
      </c>
    </row>
    <row r="874" spans="1:8" ht="14.25" customHeight="1" x14ac:dyDescent="0.3">
      <c r="A874" s="43">
        <f>'Paste - Mentors'!A874</f>
        <v>8871842</v>
      </c>
      <c r="B874" s="3" t="str">
        <f>IFERROR(VLOOKUP(A874,'Paste - Mentors'!$A:$B,2,0),"")</f>
        <v>Msimisi Dlamini</v>
      </c>
      <c r="C874" s="3" t="str">
        <f>IFERROR(VLOOKUP(A874,'Paste - Mentors'!$A:$D,4,0),"")</f>
        <v>Transition Mentor</v>
      </c>
      <c r="D874" s="43" t="str">
        <f>IFERROR(VLOOKUP(A874,'Paste - Mentors'!$A:$F,6,0),"")</f>
        <v>FNB</v>
      </c>
      <c r="E874" s="43" t="str">
        <f>IFERROR(VLOOKUP(A874,'Paste - Mentors'!$A:$E,5,0),"")</f>
        <v>South Africa</v>
      </c>
      <c r="F874" s="43">
        <f>IF(A874="","",COUNTIFS('Paste - Relationships'!$A:$A,A874,'Paste - Relationships'!$AE:$AE,""))</f>
        <v>0</v>
      </c>
      <c r="G874" s="43" t="str">
        <f t="shared" si="13"/>
        <v>Available</v>
      </c>
      <c r="H874" s="43" t="str">
        <f>IF(A874="","",IF(COUNTIF('Programme Mentors'!$A:$A,A874)&gt;0,"Enrolled","—"))</f>
        <v>—</v>
      </c>
    </row>
    <row r="875" spans="1:8" ht="14.25" customHeight="1" x14ac:dyDescent="0.3">
      <c r="A875" s="9">
        <f>'Paste - Mentors'!A875</f>
        <v>8872041</v>
      </c>
      <c r="B875" s="4" t="str">
        <f>IFERROR(VLOOKUP(A875,'Paste - Mentors'!$A:$B,2,0),"")</f>
        <v>Ntuthuko Yiga</v>
      </c>
      <c r="C875" s="4" t="str">
        <f>IFERROR(VLOOKUP(A875,'Paste - Mentors'!$A:$D,4,0),"")</f>
        <v>Transition Mentor</v>
      </c>
      <c r="D875" s="9" t="str">
        <f>IFERROR(VLOOKUP(A875,'Paste - Mentors'!$A:$F,6,0),"")</f>
        <v>FNB</v>
      </c>
      <c r="E875" s="9" t="str">
        <f>IFERROR(VLOOKUP(A875,'Paste - Mentors'!$A:$E,5,0),"")</f>
        <v>South Africa</v>
      </c>
      <c r="F875" s="9">
        <f>IF(A875="","",COUNTIFS('Paste - Relationships'!$A:$A,A875,'Paste - Relationships'!$AE:$AE,""))</f>
        <v>0</v>
      </c>
      <c r="G875" s="9" t="str">
        <f t="shared" si="13"/>
        <v>Available</v>
      </c>
      <c r="H875" s="9" t="str">
        <f>IF(A875="","",IF(COUNTIF('Programme Mentors'!$A:$A,A875)&gt;0,"Enrolled","—"))</f>
        <v>—</v>
      </c>
    </row>
    <row r="876" spans="1:8" ht="14.25" customHeight="1" x14ac:dyDescent="0.3">
      <c r="A876" s="43">
        <f>'Paste - Mentors'!A876</f>
        <v>8872336</v>
      </c>
      <c r="B876" s="3" t="str">
        <f>IFERROR(VLOOKUP(A876,'Paste - Mentors'!$A:$B,2,0),"")</f>
        <v>Dido Wa Kalonji</v>
      </c>
      <c r="C876" s="3" t="str">
        <f>IFERROR(VLOOKUP(A876,'Paste - Mentors'!$A:$D,4,0),"")</f>
        <v>Career Mentor
Leadership Mentor</v>
      </c>
      <c r="D876" s="43" t="str">
        <f>IFERROR(VLOOKUP(A876,'Paste - Mentors'!$A:$F,6,0),"")</f>
        <v>FNB</v>
      </c>
      <c r="E876" s="43" t="str">
        <f>IFERROR(VLOOKUP(A876,'Paste - Mentors'!$A:$E,5,0),"")</f>
        <v>Eswatini</v>
      </c>
      <c r="F876" s="43">
        <f>IF(A876="","",COUNTIFS('Paste - Relationships'!$A:$A,A876,'Paste - Relationships'!$AE:$AE,""))</f>
        <v>1</v>
      </c>
      <c r="G876" s="43" t="str">
        <f t="shared" si="13"/>
        <v>Has Capacity</v>
      </c>
      <c r="H876" s="43" t="str">
        <f>IF(A876="","",IF(COUNTIF('Programme Mentors'!$A:$A,A876)&gt;0,"Enrolled","—"))</f>
        <v>—</v>
      </c>
    </row>
    <row r="877" spans="1:8" ht="33.75" customHeight="1" x14ac:dyDescent="0.3">
      <c r="A877" s="9">
        <f>'Paste - Mentors'!A877</f>
        <v>8872420</v>
      </c>
      <c r="B877" s="4" t="str">
        <f>IFERROR(VLOOKUP(A877,'Paste - Mentors'!$A:$B,2,0),"")</f>
        <v>Trisa Naidu</v>
      </c>
      <c r="C877" s="4" t="str">
        <f>IFERROR(VLOOKUP(A877,'Paste - Mentors'!$A:$D,4,0),"")</f>
        <v>Technical Mentor
Workplace  Buddy</v>
      </c>
      <c r="D877" s="9" t="str">
        <f>IFERROR(VLOOKUP(A877,'Paste - Mentors'!$A:$F,6,0),"")</f>
        <v>FNB</v>
      </c>
      <c r="E877" s="9" t="str">
        <f>IFERROR(VLOOKUP(A877,'Paste - Mentors'!$A:$E,5,0),"")</f>
        <v>South Africa</v>
      </c>
      <c r="F877" s="9">
        <f>IF(A877="","",COUNTIFS('Paste - Relationships'!$A:$A,A877,'Paste - Relationships'!$AE:$AE,""))</f>
        <v>0</v>
      </c>
      <c r="G877" s="9" t="str">
        <f t="shared" si="13"/>
        <v>Available</v>
      </c>
      <c r="H877" s="9" t="str">
        <f>IF(A877="","",IF(COUNTIF('Programme Mentors'!$A:$A,A877)&gt;0,"Enrolled","—"))</f>
        <v>—</v>
      </c>
    </row>
    <row r="878" spans="1:8" ht="33.75" customHeight="1" x14ac:dyDescent="0.3">
      <c r="A878" s="43">
        <f>'Paste - Mentors'!A878</f>
        <v>8873444</v>
      </c>
      <c r="B878" s="3" t="str">
        <f>IFERROR(VLOOKUP(A878,'Paste - Mentors'!$A:$B,2,0),"")</f>
        <v>Deshnee Boodhram</v>
      </c>
      <c r="C878" s="3" t="str">
        <f>IFERROR(VLOOKUP(A878,'Paste - Mentors'!$A:$D,4,0),"")</f>
        <v>Career Mentor
Leadership Mentor
Technical Mentor
Workplace  Buddy</v>
      </c>
      <c r="D878" s="43" t="str">
        <f>IFERROR(VLOOKUP(A878,'Paste - Mentors'!$A:$F,6,0),"")</f>
        <v>RMB</v>
      </c>
      <c r="E878" s="43" t="str">
        <f>IFERROR(VLOOKUP(A878,'Paste - Mentors'!$A:$E,5,0),"")</f>
        <v>South Africa</v>
      </c>
      <c r="F878" s="43">
        <f>IF(A878="","",COUNTIFS('Paste - Relationships'!$A:$A,A878,'Paste - Relationships'!$AE:$AE,""))</f>
        <v>0</v>
      </c>
      <c r="G878" s="43" t="str">
        <f t="shared" si="13"/>
        <v>Available</v>
      </c>
      <c r="H878" s="43" t="str">
        <f>IF(A878="","",IF(COUNTIF('Programme Mentors'!$A:$A,A878)&gt;0,"Enrolled","—"))</f>
        <v>—</v>
      </c>
    </row>
    <row r="879" spans="1:8" ht="79.5" customHeight="1" x14ac:dyDescent="0.3">
      <c r="A879" s="9">
        <f>'Paste - Mentors'!A879</f>
        <v>5382319</v>
      </c>
      <c r="B879" s="4" t="str">
        <f>IFERROR(VLOOKUP(A879,'Paste - Mentors'!$A:$B,2,0),"")</f>
        <v>Mpho Mosotho</v>
      </c>
      <c r="C879" s="4" t="str">
        <f>IFERROR(VLOOKUP(A879,'Paste - Mentors'!$A:$D,4,0),"")</f>
        <v>Leadership Mentor
Technical Mentor
Workplace  Buddy</v>
      </c>
      <c r="D879" s="9" t="str">
        <f>IFERROR(VLOOKUP(A879,'Paste - Mentors'!$A:$F,6,0),"")</f>
        <v>FNB</v>
      </c>
      <c r="E879" s="9" t="str">
        <f>IFERROR(VLOOKUP(A879,'Paste - Mentors'!$A:$E,5,0),"")</f>
        <v>South Africa</v>
      </c>
      <c r="F879" s="9">
        <f>IF(A879="","",COUNTIFS('Paste - Relationships'!$A:$A,A879,'Paste - Relationships'!$AE:$AE,""))</f>
        <v>0</v>
      </c>
      <c r="G879" s="9" t="str">
        <f t="shared" si="13"/>
        <v>Available</v>
      </c>
      <c r="H879" s="9" t="str">
        <f>IF(A879="","",IF(COUNTIF('Programme Mentors'!$A:$A,A879)&gt;0,"Enrolled","—"))</f>
        <v>—</v>
      </c>
    </row>
    <row r="880" spans="1:8" ht="57" customHeight="1" x14ac:dyDescent="0.3">
      <c r="A880" s="43">
        <f>'Paste - Mentors'!A880</f>
        <v>8874853</v>
      </c>
      <c r="B880" s="3" t="str">
        <f>IFERROR(VLOOKUP(A880,'Paste - Mentors'!$A:$B,2,0),"")</f>
        <v>Rudzani Thagwana</v>
      </c>
      <c r="C880" s="3" t="str">
        <f>IFERROR(VLOOKUP(A880,'Paste - Mentors'!$A:$D,4,0),"")</f>
        <v>Transition Mentor</v>
      </c>
      <c r="D880" s="43" t="str">
        <f>IFERROR(VLOOKUP(A880,'Paste - Mentors'!$A:$F,6,0),"")</f>
        <v>FNB</v>
      </c>
      <c r="E880" s="43" t="str">
        <f>IFERROR(VLOOKUP(A880,'Paste - Mentors'!$A:$E,5,0),"")</f>
        <v>South Africa</v>
      </c>
      <c r="F880" s="43">
        <f>IF(A880="","",COUNTIFS('Paste - Relationships'!$A:$A,A880,'Paste - Relationships'!$AE:$AE,""))</f>
        <v>1</v>
      </c>
      <c r="G880" s="43" t="str">
        <f t="shared" si="13"/>
        <v>Has Capacity</v>
      </c>
      <c r="H880" s="43" t="str">
        <f>IF(A880="","",IF(COUNTIF('Programme Mentors'!$A:$A,A880)&gt;0,"Enrolled","—"))</f>
        <v>—</v>
      </c>
    </row>
    <row r="881" spans="1:8" ht="14.25" customHeight="1" x14ac:dyDescent="0.3">
      <c r="A881" s="9">
        <f>'Paste - Mentors'!A881</f>
        <v>3796248</v>
      </c>
      <c r="B881" s="4" t="str">
        <f>IFERROR(VLOOKUP(A881,'Paste - Mentors'!$A:$B,2,0),"")</f>
        <v>Dineo Phala</v>
      </c>
      <c r="C881" s="4" t="str">
        <f>IFERROR(VLOOKUP(A881,'Paste - Mentors'!$A:$D,4,0),"")</f>
        <v>Career Mentor
Leadership Mentor
Transition Mentor</v>
      </c>
      <c r="D881" s="9" t="str">
        <f>IFERROR(VLOOKUP(A881,'Paste - Mentors'!$A:$F,6,0),"")</f>
        <v>RMB</v>
      </c>
      <c r="E881" s="9" t="str">
        <f>IFERROR(VLOOKUP(A881,'Paste - Mentors'!$A:$E,5,0),"")</f>
        <v>South Africa</v>
      </c>
      <c r="F881" s="9">
        <f>IF(A881="","",COUNTIFS('Paste - Relationships'!$A:$A,A881,'Paste - Relationships'!$AE:$AE,""))</f>
        <v>0</v>
      </c>
      <c r="G881" s="9" t="str">
        <f t="shared" si="13"/>
        <v>Available</v>
      </c>
      <c r="H881" s="9" t="str">
        <f>IF(A881="","",IF(COUNTIF('Programme Mentors'!$A:$A,A881)&gt;0,"Enrolled","—"))</f>
        <v>—</v>
      </c>
    </row>
    <row r="882" spans="1:8" ht="57" customHeight="1" x14ac:dyDescent="0.3">
      <c r="A882" s="43">
        <f>'Paste - Mentors'!A882</f>
        <v>8875371</v>
      </c>
      <c r="B882" s="3" t="str">
        <f>IFERROR(VLOOKUP(A882,'Paste - Mentors'!$A:$B,2,0),"")</f>
        <v>Neo Mphuthi</v>
      </c>
      <c r="C882" s="3" t="str">
        <f>IFERROR(VLOOKUP(A882,'Paste - Mentors'!$A:$D,4,0),"")</f>
        <v>Career Mentor
Transition Mentor
Workplace  Buddy</v>
      </c>
      <c r="D882" s="43" t="str">
        <f>IFERROR(VLOOKUP(A882,'Paste - Mentors'!$A:$F,6,0),"")</f>
        <v>FNB</v>
      </c>
      <c r="E882" s="43" t="str">
        <f>IFERROR(VLOOKUP(A882,'Paste - Mentors'!$A:$E,5,0),"")</f>
        <v>South Africa</v>
      </c>
      <c r="F882" s="43">
        <f>IF(A882="","",COUNTIFS('Paste - Relationships'!$A:$A,A882,'Paste - Relationships'!$AE:$AE,""))</f>
        <v>0</v>
      </c>
      <c r="G882" s="43" t="str">
        <f t="shared" si="13"/>
        <v>Available</v>
      </c>
      <c r="H882" s="43" t="str">
        <f>IF(A882="","",IF(COUNTIF('Programme Mentors'!$A:$A,A882)&gt;0,"Enrolled","—"))</f>
        <v>—</v>
      </c>
    </row>
    <row r="883" spans="1:8" ht="57" customHeight="1" x14ac:dyDescent="0.3">
      <c r="A883" s="9">
        <f>'Paste - Mentors'!A883</f>
        <v>8875725</v>
      </c>
      <c r="B883" s="4" t="str">
        <f>IFERROR(VLOOKUP(A883,'Paste - Mentors'!$A:$B,2,0),"")</f>
        <v>Nikhil Naidoo</v>
      </c>
      <c r="C883" s="4">
        <f>IFERROR(VLOOKUP(A883,'Paste - Mentors'!$A:$D,4,0),"")</f>
        <v>0</v>
      </c>
      <c r="D883" s="9" t="str">
        <f>IFERROR(VLOOKUP(A883,'Paste - Mentors'!$A:$F,6,0),"")</f>
        <v>FNB</v>
      </c>
      <c r="E883" s="9" t="str">
        <f>IFERROR(VLOOKUP(A883,'Paste - Mentors'!$A:$E,5,0),"")</f>
        <v>South Africa</v>
      </c>
      <c r="F883" s="9">
        <f>IF(A883="","",COUNTIFS('Paste - Relationships'!$A:$A,A883,'Paste - Relationships'!$AE:$AE,""))</f>
        <v>0</v>
      </c>
      <c r="G883" s="9" t="str">
        <f t="shared" si="13"/>
        <v>Available</v>
      </c>
      <c r="H883" s="9" t="str">
        <f>IF(A883="","",IF(COUNTIF('Programme Mentors'!$A:$A,A883)&gt;0,"Enrolled","—"))</f>
        <v>—</v>
      </c>
    </row>
    <row r="884" spans="1:8" ht="14.25" customHeight="1" x14ac:dyDescent="0.3">
      <c r="A884" s="43">
        <f>'Paste - Mentors'!A884</f>
        <v>8875752</v>
      </c>
      <c r="B884" s="3" t="str">
        <f>IFERROR(VLOOKUP(A884,'Paste - Mentors'!$A:$B,2,0),"")</f>
        <v>Muaawiyah Dadabhay</v>
      </c>
      <c r="C884" s="3" t="str">
        <f>IFERROR(VLOOKUP(A884,'Paste - Mentors'!$A:$D,4,0),"")</f>
        <v>Transition Mentor</v>
      </c>
      <c r="D884" s="43" t="str">
        <f>IFERROR(VLOOKUP(A884,'Paste - Mentors'!$A:$F,6,0),"")</f>
        <v>FNB</v>
      </c>
      <c r="E884" s="43" t="str">
        <f>IFERROR(VLOOKUP(A884,'Paste - Mentors'!$A:$E,5,0),"")</f>
        <v>South Africa</v>
      </c>
      <c r="F884" s="43">
        <f>IF(A884="","",COUNTIFS('Paste - Relationships'!$A:$A,A884,'Paste - Relationships'!$AE:$AE,""))</f>
        <v>0</v>
      </c>
      <c r="G884" s="43" t="str">
        <f t="shared" si="13"/>
        <v>Available</v>
      </c>
      <c r="H884" s="43" t="str">
        <f>IF(A884="","",IF(COUNTIF('Programme Mentors'!$A:$A,A884)&gt;0,"Enrolled","—"))</f>
        <v>—</v>
      </c>
    </row>
    <row r="885" spans="1:8" ht="14.25" customHeight="1" x14ac:dyDescent="0.3">
      <c r="A885" s="9">
        <f>'Paste - Mentors'!A885</f>
        <v>5667151</v>
      </c>
      <c r="B885" s="4" t="str">
        <f>IFERROR(VLOOKUP(A885,'Paste - Mentors'!$A:$B,2,0),"")</f>
        <v>Georgia Wensley</v>
      </c>
      <c r="C885" s="4" t="str">
        <f>IFERROR(VLOOKUP(A885,'Paste - Mentors'!$A:$D,4,0),"")</f>
        <v>Transition Mentor
Workplace  Buddy</v>
      </c>
      <c r="D885" s="9" t="str">
        <f>IFERROR(VLOOKUP(A885,'Paste - Mentors'!$A:$F,6,0),"")</f>
        <v>FNB</v>
      </c>
      <c r="E885" s="9" t="str">
        <f>IFERROR(VLOOKUP(A885,'Paste - Mentors'!$A:$E,5,0),"")</f>
        <v>South Africa</v>
      </c>
      <c r="F885" s="9">
        <f>IF(A885="","",COUNTIFS('Paste - Relationships'!$A:$A,A885,'Paste - Relationships'!$AE:$AE,""))</f>
        <v>2</v>
      </c>
      <c r="G885" s="9" t="str">
        <f t="shared" si="13"/>
        <v>Has Capacity</v>
      </c>
      <c r="H885" s="9" t="str">
        <f>IF(A885="","",IF(COUNTIF('Programme Mentors'!$A:$A,A885)&gt;0,"Enrolled","—"))</f>
        <v>—</v>
      </c>
    </row>
    <row r="886" spans="1:8" ht="33.75" customHeight="1" x14ac:dyDescent="0.3">
      <c r="A886" s="43">
        <f>'Paste - Mentors'!A886</f>
        <v>8876053</v>
      </c>
      <c r="B886" s="3" t="str">
        <f>IFERROR(VLOOKUP(A886,'Paste - Mentors'!$A:$B,2,0),"")</f>
        <v>Lerato Makhura</v>
      </c>
      <c r="C886" s="3" t="str">
        <f>IFERROR(VLOOKUP(A886,'Paste - Mentors'!$A:$D,4,0),"")</f>
        <v>Career Mentor
Leadership Mentor
Transition Mentor
Workplace  Buddy</v>
      </c>
      <c r="D886" s="43" t="str">
        <f>IFERROR(VLOOKUP(A886,'Paste - Mentors'!$A:$F,6,0),"")</f>
        <v>FNB</v>
      </c>
      <c r="E886" s="43" t="str">
        <f>IFERROR(VLOOKUP(A886,'Paste - Mentors'!$A:$E,5,0),"")</f>
        <v>South Africa</v>
      </c>
      <c r="F886" s="43">
        <f>IF(A886="","",COUNTIFS('Paste - Relationships'!$A:$A,A886,'Paste - Relationships'!$AE:$AE,""))</f>
        <v>0</v>
      </c>
      <c r="G886" s="43" t="str">
        <f t="shared" si="13"/>
        <v>Available</v>
      </c>
      <c r="H886" s="43" t="str">
        <f>IF(A886="","",IF(COUNTIF('Programme Mentors'!$A:$A,A886)&gt;0,"Enrolled","—"))</f>
        <v>—</v>
      </c>
    </row>
    <row r="887" spans="1:8" ht="79.5" customHeight="1" x14ac:dyDescent="0.3">
      <c r="A887" s="9">
        <f>'Paste - Mentors'!A887</f>
        <v>8876185</v>
      </c>
      <c r="B887" s="4" t="str">
        <f>IFERROR(VLOOKUP(A887,'Paste - Mentors'!$A:$B,2,0),"")</f>
        <v>Costa Hagios</v>
      </c>
      <c r="C887" s="4" t="str">
        <f>IFERROR(VLOOKUP(A887,'Paste - Mentors'!$A:$D,4,0),"")</f>
        <v>Transition Mentor
Workplace  Buddy</v>
      </c>
      <c r="D887" s="9" t="str">
        <f>IFERROR(VLOOKUP(A887,'Paste - Mentors'!$A:$F,6,0),"")</f>
        <v>FNB</v>
      </c>
      <c r="E887" s="9" t="str">
        <f>IFERROR(VLOOKUP(A887,'Paste - Mentors'!$A:$E,5,0),"")</f>
        <v>South Africa</v>
      </c>
      <c r="F887" s="9">
        <f>IF(A887="","",COUNTIFS('Paste - Relationships'!$A:$A,A887,'Paste - Relationships'!$AE:$AE,""))</f>
        <v>0</v>
      </c>
      <c r="G887" s="9" t="str">
        <f t="shared" si="13"/>
        <v>Available</v>
      </c>
      <c r="H887" s="9" t="str">
        <f>IF(A887="","",IF(COUNTIF('Programme Mentors'!$A:$A,A887)&gt;0,"Enrolled","—"))</f>
        <v>—</v>
      </c>
    </row>
    <row r="888" spans="1:8" ht="33.75" customHeight="1" x14ac:dyDescent="0.3">
      <c r="A888" s="43">
        <f>'Paste - Mentors'!A888</f>
        <v>8876191</v>
      </c>
      <c r="B888" s="3" t="str">
        <f>IFERROR(VLOOKUP(A888,'Paste - Mentors'!$A:$B,2,0),"")</f>
        <v>Bradley Williams</v>
      </c>
      <c r="C888" s="3" t="str">
        <f>IFERROR(VLOOKUP(A888,'Paste - Mentors'!$A:$D,4,0),"")</f>
        <v>Career Mentor
Leadership Mentor
Technical Mentor</v>
      </c>
      <c r="D888" s="43" t="str">
        <f>IFERROR(VLOOKUP(A888,'Paste - Mentors'!$A:$F,6,0),"")</f>
        <v>FNB</v>
      </c>
      <c r="E888" s="43" t="str">
        <f>IFERROR(VLOOKUP(A888,'Paste - Mentors'!$A:$E,5,0),"")</f>
        <v>South Africa</v>
      </c>
      <c r="F888" s="43">
        <f>IF(A888="","",COUNTIFS('Paste - Relationships'!$A:$A,A888,'Paste - Relationships'!$AE:$AE,""))</f>
        <v>1</v>
      </c>
      <c r="G888" s="43" t="str">
        <f t="shared" si="13"/>
        <v>Has Capacity</v>
      </c>
      <c r="H888" s="43" t="str">
        <f>IF(A888="","",IF(COUNTIF('Programme Mentors'!$A:$A,A888)&gt;0,"Enrolled","—"))</f>
        <v>—</v>
      </c>
    </row>
    <row r="889" spans="1:8" ht="57" customHeight="1" x14ac:dyDescent="0.3">
      <c r="A889" s="9">
        <f>'Paste - Mentors'!A889</f>
        <v>8876184</v>
      </c>
      <c r="B889" s="4" t="str">
        <f>IFERROR(VLOOKUP(A889,'Paste - Mentors'!$A:$B,2,0),"")</f>
        <v>Nobuhle Mlahleki</v>
      </c>
      <c r="C889" s="4" t="str">
        <f>IFERROR(VLOOKUP(A889,'Paste - Mentors'!$A:$D,4,0),"")</f>
        <v>Career Mentor
Leadership Mentor
Technical Mentor
Transition Mentor</v>
      </c>
      <c r="D889" s="9" t="str">
        <f>IFERROR(VLOOKUP(A889,'Paste - Mentors'!$A:$F,6,0),"")</f>
        <v>FNB</v>
      </c>
      <c r="E889" s="9" t="str">
        <f>IFERROR(VLOOKUP(A889,'Paste - Mentors'!$A:$E,5,0),"")</f>
        <v>South Africa</v>
      </c>
      <c r="F889" s="9">
        <f>IF(A889="","",COUNTIFS('Paste - Relationships'!$A:$A,A889,'Paste - Relationships'!$AE:$AE,""))</f>
        <v>1</v>
      </c>
      <c r="G889" s="9" t="str">
        <f t="shared" si="13"/>
        <v>Has Capacity</v>
      </c>
      <c r="H889" s="9" t="str">
        <f>IF(A889="","",IF(COUNTIF('Programme Mentors'!$A:$A,A889)&gt;0,"Enrolled","—"))</f>
        <v>—</v>
      </c>
    </row>
    <row r="890" spans="1:8" ht="79.5" customHeight="1" x14ac:dyDescent="0.3">
      <c r="A890" s="43">
        <f>'Paste - Mentors'!A890</f>
        <v>8876243</v>
      </c>
      <c r="B890" s="3" t="str">
        <f>IFERROR(VLOOKUP(A890,'Paste - Mentors'!$A:$B,2,0),"")</f>
        <v>Baasenya Moticoe</v>
      </c>
      <c r="C890" s="3" t="str">
        <f>IFERROR(VLOOKUP(A890,'Paste - Mentors'!$A:$D,4,0),"")</f>
        <v>Career Mentor
Leadership Mentor
Transition Mentor</v>
      </c>
      <c r="D890" s="43" t="str">
        <f>IFERROR(VLOOKUP(A890,'Paste - Mentors'!$A:$F,6,0),"")</f>
        <v>FNB</v>
      </c>
      <c r="E890" s="43" t="str">
        <f>IFERROR(VLOOKUP(A890,'Paste - Mentors'!$A:$E,5,0),"")</f>
        <v>South Africa</v>
      </c>
      <c r="F890" s="43">
        <f>IF(A890="","",COUNTIFS('Paste - Relationships'!$A:$A,A890,'Paste - Relationships'!$AE:$AE,""))</f>
        <v>0</v>
      </c>
      <c r="G890" s="43" t="str">
        <f t="shared" si="13"/>
        <v>Available</v>
      </c>
      <c r="H890" s="43" t="str">
        <f>IF(A890="","",IF(COUNTIF('Programme Mentors'!$A:$A,A890)&gt;0,"Enrolled","—"))</f>
        <v>—</v>
      </c>
    </row>
    <row r="891" spans="1:8" ht="57" customHeight="1" x14ac:dyDescent="0.3">
      <c r="A891" s="9">
        <f>'Paste - Mentors'!A891</f>
        <v>8876417</v>
      </c>
      <c r="B891" s="4" t="str">
        <f>IFERROR(VLOOKUP(A891,'Paste - Mentors'!$A:$B,2,0),"")</f>
        <v>Kaylyn Karuppen</v>
      </c>
      <c r="C891" s="4" t="str">
        <f>IFERROR(VLOOKUP(A891,'Paste - Mentors'!$A:$D,4,0),"")</f>
        <v>Transition Mentor</v>
      </c>
      <c r="D891" s="9" t="str">
        <f>IFERROR(VLOOKUP(A891,'Paste - Mentors'!$A:$F,6,0),"")</f>
        <v>FNB</v>
      </c>
      <c r="E891" s="9" t="str">
        <f>IFERROR(VLOOKUP(A891,'Paste - Mentors'!$A:$E,5,0),"")</f>
        <v>South Africa</v>
      </c>
      <c r="F891" s="9">
        <f>IF(A891="","",COUNTIFS('Paste - Relationships'!$A:$A,A891,'Paste - Relationships'!$AE:$AE,""))</f>
        <v>0</v>
      </c>
      <c r="G891" s="9" t="str">
        <f t="shared" si="13"/>
        <v>Available</v>
      </c>
      <c r="H891" s="9" t="str">
        <f>IF(A891="","",IF(COUNTIF('Programme Mentors'!$A:$A,A891)&gt;0,"Enrolled","—"))</f>
        <v>—</v>
      </c>
    </row>
    <row r="892" spans="1:8" ht="14.25" customHeight="1" x14ac:dyDescent="0.3">
      <c r="A892" s="43">
        <f>'Paste - Mentors'!A892</f>
        <v>8876444</v>
      </c>
      <c r="B892" s="3" t="str">
        <f>IFERROR(VLOOKUP(A892,'Paste - Mentors'!$A:$B,2,0),"")</f>
        <v>Mishé Chitharai</v>
      </c>
      <c r="C892" s="3" t="str">
        <f>IFERROR(VLOOKUP(A892,'Paste - Mentors'!$A:$D,4,0),"")</f>
        <v>Career Mentor
Leadership Mentor
Transition Mentor</v>
      </c>
      <c r="D892" s="43" t="str">
        <f>IFERROR(VLOOKUP(A892,'Paste - Mentors'!$A:$F,6,0),"")</f>
        <v>FNB</v>
      </c>
      <c r="E892" s="43" t="str">
        <f>IFERROR(VLOOKUP(A892,'Paste - Mentors'!$A:$E,5,0),"")</f>
        <v>South Africa</v>
      </c>
      <c r="F892" s="43">
        <f>IF(A892="","",COUNTIFS('Paste - Relationships'!$A:$A,A892,'Paste - Relationships'!$AE:$AE,""))</f>
        <v>0</v>
      </c>
      <c r="G892" s="43" t="str">
        <f t="shared" si="13"/>
        <v>Available</v>
      </c>
      <c r="H892" s="43" t="str">
        <f>IF(A892="","",IF(COUNTIF('Programme Mentors'!$A:$A,A892)&gt;0,"Enrolled","—"))</f>
        <v>—</v>
      </c>
    </row>
    <row r="893" spans="1:8" ht="57" customHeight="1" x14ac:dyDescent="0.3">
      <c r="A893" s="9">
        <f>'Paste - Mentors'!A893</f>
        <v>8876703</v>
      </c>
      <c r="B893" s="4" t="str">
        <f>IFERROR(VLOOKUP(A893,'Paste - Mentors'!$A:$B,2,0),"")</f>
        <v>Noluthando Buthelezi</v>
      </c>
      <c r="C893" s="4" t="str">
        <f>IFERROR(VLOOKUP(A893,'Paste - Mentors'!$A:$D,4,0),"")</f>
        <v>Transition Mentor</v>
      </c>
      <c r="D893" s="9" t="str">
        <f>IFERROR(VLOOKUP(A893,'Paste - Mentors'!$A:$F,6,0),"")</f>
        <v>FNB</v>
      </c>
      <c r="E893" s="9" t="str">
        <f>IFERROR(VLOOKUP(A893,'Paste - Mentors'!$A:$E,5,0),"")</f>
        <v>South Africa</v>
      </c>
      <c r="F893" s="9">
        <f>IF(A893="","",COUNTIFS('Paste - Relationships'!$A:$A,A893,'Paste - Relationships'!$AE:$AE,""))</f>
        <v>0</v>
      </c>
      <c r="G893" s="9" t="str">
        <f t="shared" si="13"/>
        <v>Available</v>
      </c>
      <c r="H893" s="9" t="str">
        <f>IF(A893="","",IF(COUNTIF('Programme Mentors'!$A:$A,A893)&gt;0,"Enrolled","—"))</f>
        <v>—</v>
      </c>
    </row>
    <row r="894" spans="1:8" ht="14.25" customHeight="1" x14ac:dyDescent="0.3">
      <c r="A894" s="43">
        <f>'Paste - Mentors'!A894</f>
        <v>8876734</v>
      </c>
      <c r="B894" s="3" t="str">
        <f>IFERROR(VLOOKUP(A894,'Paste - Mentors'!$A:$B,2,0),"")</f>
        <v>Costa Muthai</v>
      </c>
      <c r="C894" s="3" t="str">
        <f>IFERROR(VLOOKUP(A894,'Paste - Mentors'!$A:$D,4,0),"")</f>
        <v>Career Mentor
Technical Mentor
Workplace  Buddy</v>
      </c>
      <c r="D894" s="43" t="str">
        <f>IFERROR(VLOOKUP(A894,'Paste - Mentors'!$A:$F,6,0),"")</f>
        <v>FNB</v>
      </c>
      <c r="E894" s="43" t="str">
        <f>IFERROR(VLOOKUP(A894,'Paste - Mentors'!$A:$E,5,0),"")</f>
        <v>South Africa</v>
      </c>
      <c r="F894" s="43">
        <f>IF(A894="","",COUNTIFS('Paste - Relationships'!$A:$A,A894,'Paste - Relationships'!$AE:$AE,""))</f>
        <v>0</v>
      </c>
      <c r="G894" s="43" t="str">
        <f t="shared" si="13"/>
        <v>Available</v>
      </c>
      <c r="H894" s="43" t="str">
        <f>IF(A894="","",IF(COUNTIF('Programme Mentors'!$A:$A,A894)&gt;0,"Enrolled","—"))</f>
        <v>—</v>
      </c>
    </row>
    <row r="895" spans="1:8" ht="57" customHeight="1" x14ac:dyDescent="0.3">
      <c r="A895" s="9">
        <f>'Paste - Mentors'!A895</f>
        <v>8876748</v>
      </c>
      <c r="B895" s="4" t="str">
        <f>IFERROR(VLOOKUP(A895,'Paste - Mentors'!$A:$B,2,0),"")</f>
        <v>Sandile Mthiyane</v>
      </c>
      <c r="C895" s="4" t="str">
        <f>IFERROR(VLOOKUP(A895,'Paste - Mentors'!$A:$D,4,0),"")</f>
        <v>Transition Mentor</v>
      </c>
      <c r="D895" s="9" t="str">
        <f>IFERROR(VLOOKUP(A895,'Paste - Mentors'!$A:$F,6,0),"")</f>
        <v>FNB</v>
      </c>
      <c r="E895" s="9" t="str">
        <f>IFERROR(VLOOKUP(A895,'Paste - Mentors'!$A:$E,5,0),"")</f>
        <v>South Africa</v>
      </c>
      <c r="F895" s="9">
        <f>IF(A895="","",COUNTIFS('Paste - Relationships'!$A:$A,A895,'Paste - Relationships'!$AE:$AE,""))</f>
        <v>0</v>
      </c>
      <c r="G895" s="9" t="str">
        <f t="shared" si="13"/>
        <v>Available</v>
      </c>
      <c r="H895" s="9" t="str">
        <f>IF(A895="","",IF(COUNTIF('Programme Mentors'!$A:$A,A895)&gt;0,"Enrolled","—"))</f>
        <v>—</v>
      </c>
    </row>
    <row r="896" spans="1:8" ht="14.25" customHeight="1" x14ac:dyDescent="0.3">
      <c r="A896" s="43">
        <f>'Paste - Mentors'!A896</f>
        <v>8876746</v>
      </c>
      <c r="B896" s="3" t="str">
        <f>IFERROR(VLOOKUP(A896,'Paste - Mentors'!$A:$B,2,0),"")</f>
        <v>Nikail Singh</v>
      </c>
      <c r="C896" s="3" t="str">
        <f>IFERROR(VLOOKUP(A896,'Paste - Mentors'!$A:$D,4,0),"")</f>
        <v>Transition Mentor</v>
      </c>
      <c r="D896" s="43" t="str">
        <f>IFERROR(VLOOKUP(A896,'Paste - Mentors'!$A:$F,6,0),"")</f>
        <v>FNB</v>
      </c>
      <c r="E896" s="43" t="str">
        <f>IFERROR(VLOOKUP(A896,'Paste - Mentors'!$A:$E,5,0),"")</f>
        <v>South Africa</v>
      </c>
      <c r="F896" s="43">
        <f>IF(A896="","",COUNTIFS('Paste - Relationships'!$A:$A,A896,'Paste - Relationships'!$AE:$AE,""))</f>
        <v>0</v>
      </c>
      <c r="G896" s="43" t="str">
        <f t="shared" si="13"/>
        <v>Available</v>
      </c>
      <c r="H896" s="43" t="str">
        <f>IF(A896="","",IF(COUNTIF('Programme Mentors'!$A:$A,A896)&gt;0,"Enrolled","—"))</f>
        <v>—</v>
      </c>
    </row>
    <row r="897" spans="1:8" ht="14.25" customHeight="1" x14ac:dyDescent="0.3">
      <c r="A897" s="9">
        <f>'Paste - Mentors'!A897</f>
        <v>8876776</v>
      </c>
      <c r="B897" s="4" t="str">
        <f>IFERROR(VLOOKUP(A897,'Paste - Mentors'!$A:$B,2,0),"")</f>
        <v>Rohan Schoeman</v>
      </c>
      <c r="C897" s="4" t="str">
        <f>IFERROR(VLOOKUP(A897,'Paste - Mentors'!$A:$D,4,0),"")</f>
        <v>Career Mentor
Technical Mentor
Transition Mentor
Workplace  Buddy</v>
      </c>
      <c r="D897" s="9" t="str">
        <f>IFERROR(VLOOKUP(A897,'Paste - Mentors'!$A:$F,6,0),"")</f>
        <v>FNB</v>
      </c>
      <c r="E897" s="9" t="str">
        <f>IFERROR(VLOOKUP(A897,'Paste - Mentors'!$A:$E,5,0),"")</f>
        <v>South Africa</v>
      </c>
      <c r="F897" s="9">
        <f>IF(A897="","",COUNTIFS('Paste - Relationships'!$A:$A,A897,'Paste - Relationships'!$AE:$AE,""))</f>
        <v>0</v>
      </c>
      <c r="G897" s="9" t="str">
        <f t="shared" si="13"/>
        <v>Available</v>
      </c>
      <c r="H897" s="9" t="str">
        <f>IF(A897="","",IF(COUNTIF('Programme Mentors'!$A:$A,A897)&gt;0,"Enrolled","—"))</f>
        <v>—</v>
      </c>
    </row>
    <row r="898" spans="1:8" ht="79.5" customHeight="1" x14ac:dyDescent="0.3">
      <c r="A898" s="43">
        <f>'Paste - Mentors'!A898</f>
        <v>8876892</v>
      </c>
      <c r="B898" s="3" t="str">
        <f>IFERROR(VLOOKUP(A898,'Paste - Mentors'!$A:$B,2,0),"")</f>
        <v>Malamba Lavhengwa</v>
      </c>
      <c r="C898" s="3" t="str">
        <f>IFERROR(VLOOKUP(A898,'Paste - Mentors'!$A:$D,4,0),"")</f>
        <v>Transition Mentor</v>
      </c>
      <c r="D898" s="43" t="str">
        <f>IFERROR(VLOOKUP(A898,'Paste - Mentors'!$A:$F,6,0),"")</f>
        <v>FNB</v>
      </c>
      <c r="E898" s="43" t="str">
        <f>IFERROR(VLOOKUP(A898,'Paste - Mentors'!$A:$E,5,0),"")</f>
        <v>South Africa</v>
      </c>
      <c r="F898" s="43">
        <f>IF(A898="","",COUNTIFS('Paste - Relationships'!$A:$A,A898,'Paste - Relationships'!$AE:$AE,""))</f>
        <v>0</v>
      </c>
      <c r="G898" s="43" t="str">
        <f t="shared" si="13"/>
        <v>Available</v>
      </c>
      <c r="H898" s="43" t="str">
        <f>IF(A898="","",IF(COUNTIF('Programme Mentors'!$A:$A,A898)&gt;0,"Enrolled","—"))</f>
        <v>—</v>
      </c>
    </row>
    <row r="899" spans="1:8" ht="14.25" customHeight="1" x14ac:dyDescent="0.3">
      <c r="A899" s="9">
        <f>'Paste - Mentors'!A899</f>
        <v>8876925</v>
      </c>
      <c r="B899" s="4" t="str">
        <f>IFERROR(VLOOKUP(A899,'Paste - Mentors'!$A:$B,2,0),"")</f>
        <v>Ofentse Pilane</v>
      </c>
      <c r="C899" s="4" t="str">
        <f>IFERROR(VLOOKUP(A899,'Paste - Mentors'!$A:$D,4,0),"")</f>
        <v>Transition Mentor</v>
      </c>
      <c r="D899" s="9" t="str">
        <f>IFERROR(VLOOKUP(A899,'Paste - Mentors'!$A:$F,6,0),"")</f>
        <v>FNB</v>
      </c>
      <c r="E899" s="9" t="str">
        <f>IFERROR(VLOOKUP(A899,'Paste - Mentors'!$A:$E,5,0),"")</f>
        <v>South Africa</v>
      </c>
      <c r="F899" s="9">
        <f>IF(A899="","",COUNTIFS('Paste - Relationships'!$A:$A,A899,'Paste - Relationships'!$AE:$AE,""))</f>
        <v>0</v>
      </c>
      <c r="G899" s="9" t="str">
        <f t="shared" si="13"/>
        <v>Available</v>
      </c>
      <c r="H899" s="9" t="str">
        <f>IF(A899="","",IF(COUNTIF('Programme Mentors'!$A:$A,A899)&gt;0,"Enrolled","—"))</f>
        <v>—</v>
      </c>
    </row>
    <row r="900" spans="1:8" ht="14.25" customHeight="1" x14ac:dyDescent="0.3">
      <c r="A900" s="43">
        <f>'Paste - Mentors'!A900</f>
        <v>8876931</v>
      </c>
      <c r="B900" s="3" t="str">
        <f>IFERROR(VLOOKUP(A900,'Paste - Mentors'!$A:$B,2,0),"")</f>
        <v>Sisanda Sibanda</v>
      </c>
      <c r="C900" s="3" t="str">
        <f>IFERROR(VLOOKUP(A900,'Paste - Mentors'!$A:$D,4,0),"")</f>
        <v>Transition Mentor</v>
      </c>
      <c r="D900" s="43" t="str">
        <f>IFERROR(VLOOKUP(A900,'Paste - Mentors'!$A:$F,6,0),"")</f>
        <v>FNB</v>
      </c>
      <c r="E900" s="43" t="str">
        <f>IFERROR(VLOOKUP(A900,'Paste - Mentors'!$A:$E,5,0),"")</f>
        <v>South Africa</v>
      </c>
      <c r="F900" s="43">
        <f>IF(A900="","",COUNTIFS('Paste - Relationships'!$A:$A,A900,'Paste - Relationships'!$AE:$AE,""))</f>
        <v>0</v>
      </c>
      <c r="G900" s="43" t="str">
        <f t="shared" ref="G900:G963" si="14">IF(A900="","",IF(F900&gt;=3,"At Capacity",IF(F900=0,"Available","Has Capacity")))</f>
        <v>Available</v>
      </c>
      <c r="H900" s="43" t="str">
        <f>IF(A900="","",IF(COUNTIF('Programme Mentors'!$A:$A,A900)&gt;0,"Enrolled","—"))</f>
        <v>—</v>
      </c>
    </row>
    <row r="901" spans="1:8" ht="14.25" customHeight="1" x14ac:dyDescent="0.3">
      <c r="A901" s="9">
        <f>'Paste - Mentors'!A901</f>
        <v>5469368</v>
      </c>
      <c r="B901" s="4" t="str">
        <f>IFERROR(VLOOKUP(A901,'Paste - Mentors'!$A:$B,2,0),"")</f>
        <v>Njabulo Preysgod Nsibande</v>
      </c>
      <c r="C901" s="4" t="str">
        <f>IFERROR(VLOOKUP(A901,'Paste - Mentors'!$A:$D,4,0),"")</f>
        <v>Career Mentor
Technical Mentor</v>
      </c>
      <c r="D901" s="9" t="str">
        <f>IFERROR(VLOOKUP(A901,'Paste - Mentors'!$A:$F,6,0),"")</f>
        <v>FNB</v>
      </c>
      <c r="E901" s="9" t="str">
        <f>IFERROR(VLOOKUP(A901,'Paste - Mentors'!$A:$E,5,0),"")</f>
        <v>South Africa</v>
      </c>
      <c r="F901" s="9">
        <f>IF(A901="","",COUNTIFS('Paste - Relationships'!$A:$A,A901,'Paste - Relationships'!$AE:$AE,""))</f>
        <v>0</v>
      </c>
      <c r="G901" s="9" t="str">
        <f t="shared" si="14"/>
        <v>Available</v>
      </c>
      <c r="H901" s="9" t="str">
        <f>IF(A901="","",IF(COUNTIF('Programme Mentors'!$A:$A,A901)&gt;0,"Enrolled","—"))</f>
        <v>—</v>
      </c>
    </row>
    <row r="902" spans="1:8" ht="33.75" customHeight="1" x14ac:dyDescent="0.3">
      <c r="A902" s="43">
        <f>'Paste - Mentors'!A902</f>
        <v>8876968</v>
      </c>
      <c r="B902" s="3" t="str">
        <f>IFERROR(VLOOKUP(A902,'Paste - Mentors'!$A:$B,2,0),"")</f>
        <v>Tisetso Maseko</v>
      </c>
      <c r="C902" s="3" t="str">
        <f>IFERROR(VLOOKUP(A902,'Paste - Mentors'!$A:$D,4,0),"")</f>
        <v>Transition Mentor</v>
      </c>
      <c r="D902" s="43" t="str">
        <f>IFERROR(VLOOKUP(A902,'Paste - Mentors'!$A:$F,6,0),"")</f>
        <v>FNB</v>
      </c>
      <c r="E902" s="43" t="str">
        <f>IFERROR(VLOOKUP(A902,'Paste - Mentors'!$A:$E,5,0),"")</f>
        <v>South Africa</v>
      </c>
      <c r="F902" s="43">
        <f>IF(A902="","",COUNTIFS('Paste - Relationships'!$A:$A,A902,'Paste - Relationships'!$AE:$AE,""))</f>
        <v>0</v>
      </c>
      <c r="G902" s="43" t="str">
        <f t="shared" si="14"/>
        <v>Available</v>
      </c>
      <c r="H902" s="43" t="str">
        <f>IF(A902="","",IF(COUNTIF('Programme Mentors'!$A:$A,A902)&gt;0,"Enrolled","—"))</f>
        <v>—</v>
      </c>
    </row>
    <row r="903" spans="1:8" ht="14.25" customHeight="1" x14ac:dyDescent="0.3">
      <c r="A903" s="9">
        <f>'Paste - Mentors'!A903</f>
        <v>8876985</v>
      </c>
      <c r="B903" s="4" t="str">
        <f>IFERROR(VLOOKUP(A903,'Paste - Mentors'!$A:$B,2,0),"")</f>
        <v>Manav Bholah</v>
      </c>
      <c r="C903" s="4" t="str">
        <f>IFERROR(VLOOKUP(A903,'Paste - Mentors'!$A:$D,4,0),"")</f>
        <v>Transition Mentor</v>
      </c>
      <c r="D903" s="9" t="str">
        <f>IFERROR(VLOOKUP(A903,'Paste - Mentors'!$A:$F,6,0),"")</f>
        <v>FNB</v>
      </c>
      <c r="E903" s="9" t="str">
        <f>IFERROR(VLOOKUP(A903,'Paste - Mentors'!$A:$E,5,0),"")</f>
        <v>South Africa</v>
      </c>
      <c r="F903" s="9">
        <f>IF(A903="","",COUNTIFS('Paste - Relationships'!$A:$A,A903,'Paste - Relationships'!$AE:$AE,""))</f>
        <v>0</v>
      </c>
      <c r="G903" s="9" t="str">
        <f t="shared" si="14"/>
        <v>Available</v>
      </c>
      <c r="H903" s="9" t="str">
        <f>IF(A903="","",IF(COUNTIF('Programme Mentors'!$A:$A,A903)&gt;0,"Enrolled","—"))</f>
        <v>—</v>
      </c>
    </row>
    <row r="904" spans="1:8" ht="14.25" customHeight="1" x14ac:dyDescent="0.3">
      <c r="A904" s="43">
        <f>'Paste - Mentors'!A904</f>
        <v>8877028</v>
      </c>
      <c r="B904" s="3" t="str">
        <f>IFERROR(VLOOKUP(A904,'Paste - Mentors'!$A:$B,2,0),"")</f>
        <v>Andisa Mashimbye</v>
      </c>
      <c r="C904" s="3" t="str">
        <f>IFERROR(VLOOKUP(A904,'Paste - Mentors'!$A:$D,4,0),"")</f>
        <v>Technical Mentor</v>
      </c>
      <c r="D904" s="43" t="str">
        <f>IFERROR(VLOOKUP(A904,'Paste - Mentors'!$A:$F,6,0),"")</f>
        <v>FNB</v>
      </c>
      <c r="E904" s="43" t="str">
        <f>IFERROR(VLOOKUP(A904,'Paste - Mentors'!$A:$E,5,0),"")</f>
        <v>South Africa</v>
      </c>
      <c r="F904" s="43">
        <f>IF(A904="","",COUNTIFS('Paste - Relationships'!$A:$A,A904,'Paste - Relationships'!$AE:$AE,""))</f>
        <v>1</v>
      </c>
      <c r="G904" s="43" t="str">
        <f t="shared" si="14"/>
        <v>Has Capacity</v>
      </c>
      <c r="H904" s="43" t="str">
        <f>IF(A904="","",IF(COUNTIF('Programme Mentors'!$A:$A,A904)&gt;0,"Enrolled","—"))</f>
        <v>—</v>
      </c>
    </row>
    <row r="905" spans="1:8" ht="14.25" customHeight="1" x14ac:dyDescent="0.3">
      <c r="A905" s="9">
        <f>'Paste - Mentors'!A905</f>
        <v>8877102</v>
      </c>
      <c r="B905" s="4" t="str">
        <f>IFERROR(VLOOKUP(A905,'Paste - Mentors'!$A:$B,2,0),"")</f>
        <v>Kabelo Masekela</v>
      </c>
      <c r="C905" s="4" t="str">
        <f>IFERROR(VLOOKUP(A905,'Paste - Mentors'!$A:$D,4,0),"")</f>
        <v>Workplace  Buddy</v>
      </c>
      <c r="D905" s="9" t="str">
        <f>IFERROR(VLOOKUP(A905,'Paste - Mentors'!$A:$F,6,0),"")</f>
        <v>FNB</v>
      </c>
      <c r="E905" s="9" t="str">
        <f>IFERROR(VLOOKUP(A905,'Paste - Mentors'!$A:$E,5,0),"")</f>
        <v>South Africa</v>
      </c>
      <c r="F905" s="9">
        <f>IF(A905="","",COUNTIFS('Paste - Relationships'!$A:$A,A905,'Paste - Relationships'!$AE:$AE,""))</f>
        <v>0</v>
      </c>
      <c r="G905" s="9" t="str">
        <f t="shared" si="14"/>
        <v>Available</v>
      </c>
      <c r="H905" s="9" t="str">
        <f>IF(A905="","",IF(COUNTIF('Programme Mentors'!$A:$A,A905)&gt;0,"Enrolled","—"))</f>
        <v>—</v>
      </c>
    </row>
    <row r="906" spans="1:8" ht="14.25" customHeight="1" x14ac:dyDescent="0.3">
      <c r="A906" s="43">
        <f>'Paste - Mentors'!A906</f>
        <v>8877127</v>
      </c>
      <c r="B906" s="3" t="str">
        <f>IFERROR(VLOOKUP(A906,'Paste - Mentors'!$A:$B,2,0),"")</f>
        <v>Nathan Ngqwebo</v>
      </c>
      <c r="C906" s="3" t="str">
        <f>IFERROR(VLOOKUP(A906,'Paste - Mentors'!$A:$D,4,0),"")</f>
        <v>Transition Mentor</v>
      </c>
      <c r="D906" s="43" t="str">
        <f>IFERROR(VLOOKUP(A906,'Paste - Mentors'!$A:$F,6,0),"")</f>
        <v>FNB</v>
      </c>
      <c r="E906" s="43" t="str">
        <f>IFERROR(VLOOKUP(A906,'Paste - Mentors'!$A:$E,5,0),"")</f>
        <v>South Africa</v>
      </c>
      <c r="F906" s="43">
        <f>IF(A906="","",COUNTIFS('Paste - Relationships'!$A:$A,A906,'Paste - Relationships'!$AE:$AE,""))</f>
        <v>1</v>
      </c>
      <c r="G906" s="43" t="str">
        <f t="shared" si="14"/>
        <v>Has Capacity</v>
      </c>
      <c r="H906" s="43" t="str">
        <f>IF(A906="","",IF(COUNTIF('Programme Mentors'!$A:$A,A906)&gt;0,"Enrolled","—"))</f>
        <v>—</v>
      </c>
    </row>
    <row r="907" spans="1:8" ht="14.25" customHeight="1" x14ac:dyDescent="0.3">
      <c r="A907" s="9">
        <f>'Paste - Mentors'!A907</f>
        <v>8877126</v>
      </c>
      <c r="B907" s="4" t="str">
        <f>IFERROR(VLOOKUP(A907,'Paste - Mentors'!$A:$B,2,0),"")</f>
        <v>Nozipho Victoria Sidambe</v>
      </c>
      <c r="C907" s="4" t="str">
        <f>IFERROR(VLOOKUP(A907,'Paste - Mentors'!$A:$D,4,0),"")</f>
        <v>Transition Mentor</v>
      </c>
      <c r="D907" s="9" t="str">
        <f>IFERROR(VLOOKUP(A907,'Paste - Mentors'!$A:$F,6,0),"")</f>
        <v>FNB</v>
      </c>
      <c r="E907" s="9" t="str">
        <f>IFERROR(VLOOKUP(A907,'Paste - Mentors'!$A:$E,5,0),"")</f>
        <v>South Africa</v>
      </c>
      <c r="F907" s="9">
        <f>IF(A907="","",COUNTIFS('Paste - Relationships'!$A:$A,A907,'Paste - Relationships'!$AE:$AE,""))</f>
        <v>1</v>
      </c>
      <c r="G907" s="9" t="str">
        <f t="shared" si="14"/>
        <v>Has Capacity</v>
      </c>
      <c r="H907" s="9" t="str">
        <f>IF(A907="","",IF(COUNTIF('Programme Mentors'!$A:$A,A907)&gt;0,"Enrolled","—"))</f>
        <v>—</v>
      </c>
    </row>
    <row r="908" spans="1:8" ht="14.25" customHeight="1" x14ac:dyDescent="0.3">
      <c r="A908" s="43">
        <f>'Paste - Mentors'!A908</f>
        <v>8877271</v>
      </c>
      <c r="B908" s="3" t="str">
        <f>IFERROR(VLOOKUP(A908,'Paste - Mentors'!$A:$B,2,0),"")</f>
        <v>Gugu Sogobile</v>
      </c>
      <c r="C908" s="3" t="str">
        <f>IFERROR(VLOOKUP(A908,'Paste - Mentors'!$A:$D,4,0),"")</f>
        <v>Transition Mentor</v>
      </c>
      <c r="D908" s="43" t="str">
        <f>IFERROR(VLOOKUP(A908,'Paste - Mentors'!$A:$F,6,0),"")</f>
        <v>FNB</v>
      </c>
      <c r="E908" s="43" t="str">
        <f>IFERROR(VLOOKUP(A908,'Paste - Mentors'!$A:$E,5,0),"")</f>
        <v>South Africa</v>
      </c>
      <c r="F908" s="43">
        <f>IF(A908="","",COUNTIFS('Paste - Relationships'!$A:$A,A908,'Paste - Relationships'!$AE:$AE,""))</f>
        <v>0</v>
      </c>
      <c r="G908" s="43" t="str">
        <f t="shared" si="14"/>
        <v>Available</v>
      </c>
      <c r="H908" s="43" t="str">
        <f>IF(A908="","",IF(COUNTIF('Programme Mentors'!$A:$A,A908)&gt;0,"Enrolled","—"))</f>
        <v>—</v>
      </c>
    </row>
    <row r="909" spans="1:8" ht="14.25" customHeight="1" x14ac:dyDescent="0.3">
      <c r="A909" s="9">
        <f>'Paste - Mentors'!A909</f>
        <v>8877296</v>
      </c>
      <c r="B909" s="4" t="str">
        <f>IFERROR(VLOOKUP(A909,'Paste - Mentors'!$A:$B,2,0),"")</f>
        <v>Thabo Zwane</v>
      </c>
      <c r="C909" s="4" t="str">
        <f>IFERROR(VLOOKUP(A909,'Paste - Mentors'!$A:$D,4,0),"")</f>
        <v>Transition Mentor</v>
      </c>
      <c r="D909" s="9" t="str">
        <f>IFERROR(VLOOKUP(A909,'Paste - Mentors'!$A:$F,6,0),"")</f>
        <v>FNB</v>
      </c>
      <c r="E909" s="9" t="str">
        <f>IFERROR(VLOOKUP(A909,'Paste - Mentors'!$A:$E,5,0),"")</f>
        <v>South Africa</v>
      </c>
      <c r="F909" s="9">
        <f>IF(A909="","",COUNTIFS('Paste - Relationships'!$A:$A,A909,'Paste - Relationships'!$AE:$AE,""))</f>
        <v>0</v>
      </c>
      <c r="G909" s="9" t="str">
        <f t="shared" si="14"/>
        <v>Available</v>
      </c>
      <c r="H909" s="9" t="str">
        <f>IF(A909="","",IF(COUNTIF('Programme Mentors'!$A:$A,A909)&gt;0,"Enrolled","—"))</f>
        <v>—</v>
      </c>
    </row>
    <row r="910" spans="1:8" ht="14.25" customHeight="1" x14ac:dyDescent="0.3">
      <c r="A910" s="43">
        <f>'Paste - Mentors'!A910</f>
        <v>8877384</v>
      </c>
      <c r="B910" s="3" t="str">
        <f>IFERROR(VLOOKUP(A910,'Paste - Mentors'!$A:$B,2,0),"")</f>
        <v>Robert Hindle</v>
      </c>
      <c r="C910" s="3" t="str">
        <f>IFERROR(VLOOKUP(A910,'Paste - Mentors'!$A:$D,4,0),"")</f>
        <v>Transition Mentor</v>
      </c>
      <c r="D910" s="43" t="str">
        <f>IFERROR(VLOOKUP(A910,'Paste - Mentors'!$A:$F,6,0),"")</f>
        <v>FNB</v>
      </c>
      <c r="E910" s="43" t="str">
        <f>IFERROR(VLOOKUP(A910,'Paste - Mentors'!$A:$E,5,0),"")</f>
        <v>South Africa</v>
      </c>
      <c r="F910" s="43">
        <f>IF(A910="","",COUNTIFS('Paste - Relationships'!$A:$A,A910,'Paste - Relationships'!$AE:$AE,""))</f>
        <v>0</v>
      </c>
      <c r="G910" s="43" t="str">
        <f t="shared" si="14"/>
        <v>Available</v>
      </c>
      <c r="H910" s="43" t="str">
        <f>IF(A910="","",IF(COUNTIF('Programme Mentors'!$A:$A,A910)&gt;0,"Enrolled","—"))</f>
        <v>—</v>
      </c>
    </row>
    <row r="911" spans="1:8" ht="14.25" customHeight="1" x14ac:dyDescent="0.3">
      <c r="A911" s="9">
        <f>'Paste - Mentors'!A911</f>
        <v>8877419</v>
      </c>
      <c r="B911" s="4" t="str">
        <f>IFERROR(VLOOKUP(A911,'Paste - Mentors'!$A:$B,2,0),"")</f>
        <v>Malvin Maposa</v>
      </c>
      <c r="C911" s="4" t="str">
        <f>IFERROR(VLOOKUP(A911,'Paste - Mentors'!$A:$D,4,0),"")</f>
        <v>Transition Mentor</v>
      </c>
      <c r="D911" s="9" t="str">
        <f>IFERROR(VLOOKUP(A911,'Paste - Mentors'!$A:$F,6,0),"")</f>
        <v>FNB</v>
      </c>
      <c r="E911" s="9" t="str">
        <f>IFERROR(VLOOKUP(A911,'Paste - Mentors'!$A:$E,5,0),"")</f>
        <v>South Africa</v>
      </c>
      <c r="F911" s="9">
        <f>IF(A911="","",COUNTIFS('Paste - Relationships'!$A:$A,A911,'Paste - Relationships'!$AE:$AE,""))</f>
        <v>0</v>
      </c>
      <c r="G911" s="9" t="str">
        <f t="shared" si="14"/>
        <v>Available</v>
      </c>
      <c r="H911" s="9" t="str">
        <f>IF(A911="","",IF(COUNTIF('Programme Mentors'!$A:$A,A911)&gt;0,"Enrolled","—"))</f>
        <v>—</v>
      </c>
    </row>
    <row r="912" spans="1:8" ht="14.25" customHeight="1" x14ac:dyDescent="0.3">
      <c r="A912" s="43">
        <f>'Paste - Mentors'!A912</f>
        <v>8877431</v>
      </c>
      <c r="B912" s="3" t="str">
        <f>IFERROR(VLOOKUP(A912,'Paste - Mentors'!$A:$B,2,0),"")</f>
        <v>Lehlogonolo Phineas Mbiza</v>
      </c>
      <c r="C912" s="3" t="str">
        <f>IFERROR(VLOOKUP(A912,'Paste - Mentors'!$A:$D,4,0),"")</f>
        <v>Transition Mentor</v>
      </c>
      <c r="D912" s="43" t="str">
        <f>IFERROR(VLOOKUP(A912,'Paste - Mentors'!$A:$F,6,0),"")</f>
        <v>FNB</v>
      </c>
      <c r="E912" s="43" t="str">
        <f>IFERROR(VLOOKUP(A912,'Paste - Mentors'!$A:$E,5,0),"")</f>
        <v>South Africa</v>
      </c>
      <c r="F912" s="43">
        <f>IF(A912="","",COUNTIFS('Paste - Relationships'!$A:$A,A912,'Paste - Relationships'!$AE:$AE,""))</f>
        <v>0</v>
      </c>
      <c r="G912" s="43" t="str">
        <f t="shared" si="14"/>
        <v>Available</v>
      </c>
      <c r="H912" s="43" t="str">
        <f>IF(A912="","",IF(COUNTIF('Programme Mentors'!$A:$A,A912)&gt;0,"Enrolled","—"))</f>
        <v>—</v>
      </c>
    </row>
    <row r="913" spans="1:8" ht="14.25" customHeight="1" x14ac:dyDescent="0.3">
      <c r="A913" s="9">
        <f>'Paste - Mentors'!A913</f>
        <v>8877523</v>
      </c>
      <c r="B913" s="4" t="str">
        <f>IFERROR(VLOOKUP(A913,'Paste - Mentors'!$A:$B,2,0),"")</f>
        <v>Aceng Akii</v>
      </c>
      <c r="C913" s="4" t="str">
        <f>IFERROR(VLOOKUP(A913,'Paste - Mentors'!$A:$D,4,0),"")</f>
        <v>Transition Mentor</v>
      </c>
      <c r="D913" s="9" t="str">
        <f>IFERROR(VLOOKUP(A913,'Paste - Mentors'!$A:$F,6,0),"")</f>
        <v>FNB</v>
      </c>
      <c r="E913" s="9" t="str">
        <f>IFERROR(VLOOKUP(A913,'Paste - Mentors'!$A:$E,5,0),"")</f>
        <v>South Africa</v>
      </c>
      <c r="F913" s="9">
        <f>IF(A913="","",COUNTIFS('Paste - Relationships'!$A:$A,A913,'Paste - Relationships'!$AE:$AE,""))</f>
        <v>0</v>
      </c>
      <c r="G913" s="9" t="str">
        <f t="shared" si="14"/>
        <v>Available</v>
      </c>
      <c r="H913" s="9" t="str">
        <f>IF(A913="","",IF(COUNTIF('Programme Mentors'!$A:$A,A913)&gt;0,"Enrolled","—"))</f>
        <v>—</v>
      </c>
    </row>
    <row r="914" spans="1:8" ht="14.25" customHeight="1" x14ac:dyDescent="0.3">
      <c r="A914" s="43">
        <f>'Paste - Mentors'!A914</f>
        <v>8877584</v>
      </c>
      <c r="B914" s="3" t="str">
        <f>IFERROR(VLOOKUP(A914,'Paste - Mentors'!$A:$B,2,0),"")</f>
        <v>Reitumetse Rabotapi</v>
      </c>
      <c r="C914" s="3" t="str">
        <f>IFERROR(VLOOKUP(A914,'Paste - Mentors'!$A:$D,4,0),"")</f>
        <v>Transition Mentor</v>
      </c>
      <c r="D914" s="43" t="str">
        <f>IFERROR(VLOOKUP(A914,'Paste - Mentors'!$A:$F,6,0),"")</f>
        <v>FNB</v>
      </c>
      <c r="E914" s="43" t="str">
        <f>IFERROR(VLOOKUP(A914,'Paste - Mentors'!$A:$E,5,0),"")</f>
        <v>South Africa</v>
      </c>
      <c r="F914" s="43">
        <f>IF(A914="","",COUNTIFS('Paste - Relationships'!$A:$A,A914,'Paste - Relationships'!$AE:$AE,""))</f>
        <v>0</v>
      </c>
      <c r="G914" s="43" t="str">
        <f t="shared" si="14"/>
        <v>Available</v>
      </c>
      <c r="H914" s="43" t="str">
        <f>IF(A914="","",IF(COUNTIF('Programme Mentors'!$A:$A,A914)&gt;0,"Enrolled","—"))</f>
        <v>—</v>
      </c>
    </row>
    <row r="915" spans="1:8" ht="14.25" customHeight="1" x14ac:dyDescent="0.3">
      <c r="A915" s="9">
        <f>'Paste - Mentors'!A915</f>
        <v>8877646</v>
      </c>
      <c r="B915" s="4" t="str">
        <f>IFERROR(VLOOKUP(A915,'Paste - Mentors'!$A:$B,2,0),"")</f>
        <v>Tokelo Monare</v>
      </c>
      <c r="C915" s="4" t="str">
        <f>IFERROR(VLOOKUP(A915,'Paste - Mentors'!$A:$D,4,0),"")</f>
        <v>Technical Mentor</v>
      </c>
      <c r="D915" s="9" t="str">
        <f>IFERROR(VLOOKUP(A915,'Paste - Mentors'!$A:$F,6,0),"")</f>
        <v>FNB</v>
      </c>
      <c r="E915" s="9" t="str">
        <f>IFERROR(VLOOKUP(A915,'Paste - Mentors'!$A:$E,5,0),"")</f>
        <v>South Africa</v>
      </c>
      <c r="F915" s="9">
        <f>IF(A915="","",COUNTIFS('Paste - Relationships'!$A:$A,A915,'Paste - Relationships'!$AE:$AE,""))</f>
        <v>0</v>
      </c>
      <c r="G915" s="9" t="str">
        <f t="shared" si="14"/>
        <v>Available</v>
      </c>
      <c r="H915" s="9" t="str">
        <f>IF(A915="","",IF(COUNTIF('Programme Mentors'!$A:$A,A915)&gt;0,"Enrolled","—"))</f>
        <v>—</v>
      </c>
    </row>
    <row r="916" spans="1:8" ht="14.25" customHeight="1" x14ac:dyDescent="0.3">
      <c r="A916" s="43">
        <f>'Paste - Mentors'!A916</f>
        <v>8877632</v>
      </c>
      <c r="B916" s="3" t="str">
        <f>IFERROR(VLOOKUP(A916,'Paste - Mentors'!$A:$B,2,0),"")</f>
        <v>Ntsako Rebecca Zondani</v>
      </c>
      <c r="C916" s="3" t="str">
        <f>IFERROR(VLOOKUP(A916,'Paste - Mentors'!$A:$D,4,0),"")</f>
        <v>Transition Mentor
Workplace  Buddy</v>
      </c>
      <c r="D916" s="43" t="str">
        <f>IFERROR(VLOOKUP(A916,'Paste - Mentors'!$A:$F,6,0),"")</f>
        <v>FNB</v>
      </c>
      <c r="E916" s="43" t="str">
        <f>IFERROR(VLOOKUP(A916,'Paste - Mentors'!$A:$E,5,0),"")</f>
        <v>South Africa</v>
      </c>
      <c r="F916" s="43">
        <f>IF(A916="","",COUNTIFS('Paste - Relationships'!$A:$A,A916,'Paste - Relationships'!$AE:$AE,""))</f>
        <v>0</v>
      </c>
      <c r="G916" s="43" t="str">
        <f t="shared" si="14"/>
        <v>Available</v>
      </c>
      <c r="H916" s="43" t="str">
        <f>IF(A916="","",IF(COUNTIF('Programme Mentors'!$A:$A,A916)&gt;0,"Enrolled","—"))</f>
        <v>—</v>
      </c>
    </row>
    <row r="917" spans="1:8" ht="33.75" customHeight="1" x14ac:dyDescent="0.3">
      <c r="A917" s="9">
        <f>'Paste - Mentors'!A917</f>
        <v>8877705</v>
      </c>
      <c r="B917" s="4" t="str">
        <f>IFERROR(VLOOKUP(A917,'Paste - Mentors'!$A:$B,2,0),"")</f>
        <v>Mohau Tlamama</v>
      </c>
      <c r="C917" s="4" t="str">
        <f>IFERROR(VLOOKUP(A917,'Paste - Mentors'!$A:$D,4,0),"")</f>
        <v>Transition Mentor</v>
      </c>
      <c r="D917" s="9" t="str">
        <f>IFERROR(VLOOKUP(A917,'Paste - Mentors'!$A:$F,6,0),"")</f>
        <v>FNB</v>
      </c>
      <c r="E917" s="9" t="str">
        <f>IFERROR(VLOOKUP(A917,'Paste - Mentors'!$A:$E,5,0),"")</f>
        <v>South Africa</v>
      </c>
      <c r="F917" s="9">
        <f>IF(A917="","",COUNTIFS('Paste - Relationships'!$A:$A,A917,'Paste - Relationships'!$AE:$AE,""))</f>
        <v>0</v>
      </c>
      <c r="G917" s="9" t="str">
        <f t="shared" si="14"/>
        <v>Available</v>
      </c>
      <c r="H917" s="9" t="str">
        <f>IF(A917="","",IF(COUNTIF('Programme Mentors'!$A:$A,A917)&gt;0,"Enrolled","—"))</f>
        <v>—</v>
      </c>
    </row>
    <row r="918" spans="1:8" ht="14.25" customHeight="1" x14ac:dyDescent="0.3">
      <c r="A918" s="43">
        <f>'Paste - Mentors'!A918</f>
        <v>8877693</v>
      </c>
      <c r="B918" s="3" t="str">
        <f>IFERROR(VLOOKUP(A918,'Paste - Mentors'!$A:$B,2,0),"")</f>
        <v>Gudani Khuswana</v>
      </c>
      <c r="C918" s="3" t="str">
        <f>IFERROR(VLOOKUP(A918,'Paste - Mentors'!$A:$D,4,0),"")</f>
        <v>Career Mentor
Transition Mentor
Workplace  Buddy</v>
      </c>
      <c r="D918" s="43" t="str">
        <f>IFERROR(VLOOKUP(A918,'Paste - Mentors'!$A:$F,6,0),"")</f>
        <v>FNB</v>
      </c>
      <c r="E918" s="43" t="str">
        <f>IFERROR(VLOOKUP(A918,'Paste - Mentors'!$A:$E,5,0),"")</f>
        <v>South Africa</v>
      </c>
      <c r="F918" s="43">
        <f>IF(A918="","",COUNTIFS('Paste - Relationships'!$A:$A,A918,'Paste - Relationships'!$AE:$AE,""))</f>
        <v>0</v>
      </c>
      <c r="G918" s="43" t="str">
        <f t="shared" si="14"/>
        <v>Available</v>
      </c>
      <c r="H918" s="43" t="str">
        <f>IF(A918="","",IF(COUNTIF('Programme Mentors'!$A:$A,A918)&gt;0,"Enrolled","—"))</f>
        <v>—</v>
      </c>
    </row>
    <row r="919" spans="1:8" ht="57" customHeight="1" x14ac:dyDescent="0.3">
      <c r="A919" s="9">
        <f>'Paste - Mentors'!A919</f>
        <v>8877793</v>
      </c>
      <c r="B919" s="4" t="str">
        <f>IFERROR(VLOOKUP(A919,'Paste - Mentors'!$A:$B,2,0),"")</f>
        <v>Talhah Shahzada</v>
      </c>
      <c r="C919" s="4" t="str">
        <f>IFERROR(VLOOKUP(A919,'Paste - Mentors'!$A:$D,4,0),"")</f>
        <v>Transition Mentor</v>
      </c>
      <c r="D919" s="9" t="str">
        <f>IFERROR(VLOOKUP(A919,'Paste - Mentors'!$A:$F,6,0),"")</f>
        <v>FNB</v>
      </c>
      <c r="E919" s="9" t="str">
        <f>IFERROR(VLOOKUP(A919,'Paste - Mentors'!$A:$E,5,0),"")</f>
        <v>South Africa</v>
      </c>
      <c r="F919" s="9">
        <f>IF(A919="","",COUNTIFS('Paste - Relationships'!$A:$A,A919,'Paste - Relationships'!$AE:$AE,""))</f>
        <v>0</v>
      </c>
      <c r="G919" s="9" t="str">
        <f t="shared" si="14"/>
        <v>Available</v>
      </c>
      <c r="H919" s="9" t="str">
        <f>IF(A919="","",IF(COUNTIF('Programme Mentors'!$A:$A,A919)&gt;0,"Enrolled","—"))</f>
        <v>—</v>
      </c>
    </row>
    <row r="920" spans="1:8" ht="14.25" customHeight="1" x14ac:dyDescent="0.3">
      <c r="A920" s="43">
        <f>'Paste - Mentors'!A920</f>
        <v>8877829</v>
      </c>
      <c r="B920" s="3" t="str">
        <f>IFERROR(VLOOKUP(A920,'Paste - Mentors'!$A:$B,2,0),"")</f>
        <v>Sizolwethu Mthombeni</v>
      </c>
      <c r="C920" s="3" t="str">
        <f>IFERROR(VLOOKUP(A920,'Paste - Mentors'!$A:$D,4,0),"")</f>
        <v>Leadership Mentor
Transition Mentor
Workplace  Buddy</v>
      </c>
      <c r="D920" s="43" t="str">
        <f>IFERROR(VLOOKUP(A920,'Paste - Mentors'!$A:$F,6,0),"")</f>
        <v>FNB</v>
      </c>
      <c r="E920" s="43" t="str">
        <f>IFERROR(VLOOKUP(A920,'Paste - Mentors'!$A:$E,5,0),"")</f>
        <v>South Africa</v>
      </c>
      <c r="F920" s="43">
        <f>IF(A920="","",COUNTIFS('Paste - Relationships'!$A:$A,A920,'Paste - Relationships'!$AE:$AE,""))</f>
        <v>0</v>
      </c>
      <c r="G920" s="43" t="str">
        <f t="shared" si="14"/>
        <v>Available</v>
      </c>
      <c r="H920" s="43" t="str">
        <f>IF(A920="","",IF(COUNTIF('Programme Mentors'!$A:$A,A920)&gt;0,"Enrolled","—"))</f>
        <v>—</v>
      </c>
    </row>
    <row r="921" spans="1:8" ht="57" customHeight="1" x14ac:dyDescent="0.3">
      <c r="A921" s="9">
        <f>'Paste - Mentors'!A921</f>
        <v>8877848</v>
      </c>
      <c r="B921" s="4" t="str">
        <f>IFERROR(VLOOKUP(A921,'Paste - Mentors'!$A:$B,2,0),"")</f>
        <v>Trent Graham</v>
      </c>
      <c r="C921" s="4" t="str">
        <f>IFERROR(VLOOKUP(A921,'Paste - Mentors'!$A:$D,4,0),"")</f>
        <v>Transition Mentor</v>
      </c>
      <c r="D921" s="9" t="str">
        <f>IFERROR(VLOOKUP(A921,'Paste - Mentors'!$A:$F,6,0),"")</f>
        <v>FNB</v>
      </c>
      <c r="E921" s="9" t="str">
        <f>IFERROR(VLOOKUP(A921,'Paste - Mentors'!$A:$E,5,0),"")</f>
        <v>South Africa</v>
      </c>
      <c r="F921" s="9">
        <f>IF(A921="","",COUNTIFS('Paste - Relationships'!$A:$A,A921,'Paste - Relationships'!$AE:$AE,""))</f>
        <v>0</v>
      </c>
      <c r="G921" s="9" t="str">
        <f t="shared" si="14"/>
        <v>Available</v>
      </c>
      <c r="H921" s="9" t="str">
        <f>IF(A921="","",IF(COUNTIF('Programme Mentors'!$A:$A,A921)&gt;0,"Enrolled","—"))</f>
        <v>—</v>
      </c>
    </row>
    <row r="922" spans="1:8" ht="14.25" customHeight="1" x14ac:dyDescent="0.3">
      <c r="A922" s="43">
        <f>'Paste - Mentors'!A922</f>
        <v>8878931</v>
      </c>
      <c r="B922" s="3" t="str">
        <f>IFERROR(VLOOKUP(A922,'Paste - Mentors'!$A:$B,2,0),"")</f>
        <v>Margaret Mwewa</v>
      </c>
      <c r="C922" s="3" t="str">
        <f>IFERROR(VLOOKUP(A922,'Paste - Mentors'!$A:$D,4,0),"")</f>
        <v>Career Mentor
Leadership Mentor
Technical Mentor
Transition Mentor
Workplace  Buddy</v>
      </c>
      <c r="D922" s="43" t="str">
        <f>IFERROR(VLOOKUP(A922,'Paste - Mentors'!$A:$F,6,0),"")</f>
        <v>FNB</v>
      </c>
      <c r="E922" s="43" t="str">
        <f>IFERROR(VLOOKUP(A922,'Paste - Mentors'!$A:$E,5,0),"")</f>
        <v>Zambia</v>
      </c>
      <c r="F922" s="43">
        <f>IF(A922="","",COUNTIFS('Paste - Relationships'!$A:$A,A922,'Paste - Relationships'!$AE:$AE,""))</f>
        <v>0</v>
      </c>
      <c r="G922" s="43" t="str">
        <f t="shared" si="14"/>
        <v>Available</v>
      </c>
      <c r="H922" s="43" t="str">
        <f>IF(A922="","",IF(COUNTIF('Programme Mentors'!$A:$A,A922)&gt;0,"Enrolled","—"))</f>
        <v>—</v>
      </c>
    </row>
    <row r="923" spans="1:8" ht="102" customHeight="1" x14ac:dyDescent="0.3">
      <c r="A923" s="9">
        <f>'Paste - Mentors'!A923</f>
        <v>8879012</v>
      </c>
      <c r="B923" s="4" t="str">
        <f>IFERROR(VLOOKUP(A923,'Paste - Mentors'!$A:$B,2,0),"")</f>
        <v>Zachary Correia</v>
      </c>
      <c r="C923" s="4" t="str">
        <f>IFERROR(VLOOKUP(A923,'Paste - Mentors'!$A:$D,4,0),"")</f>
        <v>Transition Mentor</v>
      </c>
      <c r="D923" s="9" t="str">
        <f>IFERROR(VLOOKUP(A923,'Paste - Mentors'!$A:$F,6,0),"")</f>
        <v>FNB</v>
      </c>
      <c r="E923" s="9" t="str">
        <f>IFERROR(VLOOKUP(A923,'Paste - Mentors'!$A:$E,5,0),"")</f>
        <v>South Africa</v>
      </c>
      <c r="F923" s="9">
        <f>IF(A923="","",COUNTIFS('Paste - Relationships'!$A:$A,A923,'Paste - Relationships'!$AE:$AE,""))</f>
        <v>0</v>
      </c>
      <c r="G923" s="9" t="str">
        <f t="shared" si="14"/>
        <v>Available</v>
      </c>
      <c r="H923" s="9" t="str">
        <f>IF(A923="","",IF(COUNTIF('Programme Mentors'!$A:$A,A923)&gt;0,"Enrolled","—"))</f>
        <v>—</v>
      </c>
    </row>
    <row r="924" spans="1:8" ht="14.25" customHeight="1" x14ac:dyDescent="0.3">
      <c r="A924" s="43">
        <f>'Paste - Mentors'!A924</f>
        <v>8879429</v>
      </c>
      <c r="B924" s="3" t="str">
        <f>IFERROR(VLOOKUP(A924,'Paste - Mentors'!$A:$B,2,0),"")</f>
        <v>Rinesh Bhagvath</v>
      </c>
      <c r="C924" s="3" t="str">
        <f>IFERROR(VLOOKUP(A924,'Paste - Mentors'!$A:$D,4,0),"")</f>
        <v>Leadership Mentor
Technical Mentor
Workplace  Buddy</v>
      </c>
      <c r="D924" s="43" t="str">
        <f>IFERROR(VLOOKUP(A924,'Paste - Mentors'!$A:$F,6,0),"")</f>
        <v>FNB</v>
      </c>
      <c r="E924" s="43" t="str">
        <f>IFERROR(VLOOKUP(A924,'Paste - Mentors'!$A:$E,5,0),"")</f>
        <v>South Africa</v>
      </c>
      <c r="F924" s="43">
        <f>IF(A924="","",COUNTIFS('Paste - Relationships'!$A:$A,A924,'Paste - Relationships'!$AE:$AE,""))</f>
        <v>0</v>
      </c>
      <c r="G924" s="43" t="str">
        <f t="shared" si="14"/>
        <v>Available</v>
      </c>
      <c r="H924" s="43" t="str">
        <f>IF(A924="","",IF(COUNTIF('Programme Mentors'!$A:$A,A924)&gt;0,"Enrolled","—"))</f>
        <v>—</v>
      </c>
    </row>
    <row r="925" spans="1:8" ht="57" customHeight="1" x14ac:dyDescent="0.3">
      <c r="A925" s="9">
        <f>'Paste - Mentors'!A925</f>
        <v>3119351</v>
      </c>
      <c r="B925" s="4" t="str">
        <f>IFERROR(VLOOKUP(A925,'Paste - Mentors'!$A:$B,2,0),"")</f>
        <v>Daniela Vitale</v>
      </c>
      <c r="C925" s="4" t="str">
        <f>IFERROR(VLOOKUP(A925,'Paste - Mentors'!$A:$D,4,0),"")</f>
        <v>Leadership Mentor
Technical Mentor</v>
      </c>
      <c r="D925" s="9" t="str">
        <f>IFERROR(VLOOKUP(A925,'Paste - Mentors'!$A:$F,6,0),"")</f>
        <v>RMB</v>
      </c>
      <c r="E925" s="9" t="str">
        <f>IFERROR(VLOOKUP(A925,'Paste - Mentors'!$A:$E,5,0),"")</f>
        <v>South Africa</v>
      </c>
      <c r="F925" s="9">
        <f>IF(A925="","",COUNTIFS('Paste - Relationships'!$A:$A,A925,'Paste - Relationships'!$AE:$AE,""))</f>
        <v>0</v>
      </c>
      <c r="G925" s="9" t="str">
        <f t="shared" si="14"/>
        <v>Available</v>
      </c>
      <c r="H925" s="9" t="str">
        <f>IF(A925="","",IF(COUNTIF('Programme Mentors'!$A:$A,A925)&gt;0,"Enrolled","—"))</f>
        <v>—</v>
      </c>
    </row>
    <row r="926" spans="1:8" ht="33.75" customHeight="1" x14ac:dyDescent="0.3">
      <c r="A926" s="43">
        <f>'Paste - Mentors'!A926</f>
        <v>8880133</v>
      </c>
      <c r="B926" s="3" t="str">
        <f>IFERROR(VLOOKUP(A926,'Paste - Mentors'!$A:$B,2,0),"")</f>
        <v>Shiven Ramprith</v>
      </c>
      <c r="C926" s="3" t="str">
        <f>IFERROR(VLOOKUP(A926,'Paste - Mentors'!$A:$D,4,0),"")</f>
        <v>Career Mentor
Technical Mentor
Transition Mentor
Workplace  Buddy</v>
      </c>
      <c r="D926" s="43" t="str">
        <f>IFERROR(VLOOKUP(A926,'Paste - Mentors'!$A:$F,6,0),"")</f>
        <v>FNB</v>
      </c>
      <c r="E926" s="43" t="str">
        <f>IFERROR(VLOOKUP(A926,'Paste - Mentors'!$A:$E,5,0),"")</f>
        <v>South Africa</v>
      </c>
      <c r="F926" s="43">
        <f>IF(A926="","",COUNTIFS('Paste - Relationships'!$A:$A,A926,'Paste - Relationships'!$AE:$AE,""))</f>
        <v>0</v>
      </c>
      <c r="G926" s="43" t="str">
        <f t="shared" si="14"/>
        <v>Available</v>
      </c>
      <c r="H926" s="43" t="str">
        <f>IF(A926="","",IF(COUNTIF('Programme Mentors'!$A:$A,A926)&gt;0,"Enrolled","—"))</f>
        <v>—</v>
      </c>
    </row>
    <row r="927" spans="1:8" ht="79.5" customHeight="1" x14ac:dyDescent="0.3">
      <c r="A927" s="9">
        <f>'Paste - Mentors'!A927</f>
        <v>8880649</v>
      </c>
      <c r="B927" s="4" t="str">
        <f>IFERROR(VLOOKUP(A927,'Paste - Mentors'!$A:$B,2,0),"")</f>
        <v>Lorraine Alberto</v>
      </c>
      <c r="C927" s="4" t="str">
        <f>IFERROR(VLOOKUP(A927,'Paste - Mentors'!$A:$D,4,0),"")</f>
        <v>Career Mentor
Workplace  Buddy</v>
      </c>
      <c r="D927" s="9" t="str">
        <f>IFERROR(VLOOKUP(A927,'Paste - Mentors'!$A:$F,6,0),"")</f>
        <v>FNB</v>
      </c>
      <c r="E927" s="9" t="str">
        <f>IFERROR(VLOOKUP(A927,'Paste - Mentors'!$A:$E,5,0),"")</f>
        <v>Namibia</v>
      </c>
      <c r="F927" s="9">
        <f>IF(A927="","",COUNTIFS('Paste - Relationships'!$A:$A,A927,'Paste - Relationships'!$AE:$AE,""))</f>
        <v>0</v>
      </c>
      <c r="G927" s="9" t="str">
        <f t="shared" si="14"/>
        <v>Available</v>
      </c>
      <c r="H927" s="9" t="str">
        <f>IF(A927="","",IF(COUNTIF('Programme Mentors'!$A:$A,A927)&gt;0,"Enrolled","—"))</f>
        <v>—</v>
      </c>
    </row>
    <row r="928" spans="1:8" ht="33.75" customHeight="1" x14ac:dyDescent="0.3">
      <c r="A928" s="43">
        <f>'Paste - Mentors'!A928</f>
        <v>8881063</v>
      </c>
      <c r="B928" s="3" t="str">
        <f>IFERROR(VLOOKUP(A928,'Paste - Mentors'!$A:$B,2,0),"")</f>
        <v>Lerato Tlhako</v>
      </c>
      <c r="C928" s="3" t="str">
        <f>IFERROR(VLOOKUP(A928,'Paste - Mentors'!$A:$D,4,0),"")</f>
        <v>Career Mentor
Workplace  Buddy</v>
      </c>
      <c r="D928" s="43" t="str">
        <f>IFERROR(VLOOKUP(A928,'Paste - Mentors'!$A:$F,6,0),"")</f>
        <v>FNB</v>
      </c>
      <c r="E928" s="43" t="str">
        <f>IFERROR(VLOOKUP(A928,'Paste - Mentors'!$A:$E,5,0),"")</f>
        <v>South Africa</v>
      </c>
      <c r="F928" s="43">
        <f>IF(A928="","",COUNTIFS('Paste - Relationships'!$A:$A,A928,'Paste - Relationships'!$AE:$AE,""))</f>
        <v>0</v>
      </c>
      <c r="G928" s="43" t="str">
        <f t="shared" si="14"/>
        <v>Available</v>
      </c>
      <c r="H928" s="43" t="str">
        <f>IF(A928="","",IF(COUNTIF('Programme Mentors'!$A:$A,A928)&gt;0,"Enrolled","—"))</f>
        <v>—</v>
      </c>
    </row>
    <row r="929" spans="1:8" ht="33.75" customHeight="1" x14ac:dyDescent="0.3">
      <c r="A929" s="9">
        <f>'Paste - Mentors'!A929</f>
        <v>2281961</v>
      </c>
      <c r="B929" s="4" t="str">
        <f>IFERROR(VLOOKUP(A929,'Paste - Mentors'!$A:$B,2,0),"")</f>
        <v>Farieda Mayet</v>
      </c>
      <c r="C929" s="4" t="str">
        <f>IFERROR(VLOOKUP(A929,'Paste - Mentors'!$A:$D,4,0),"")</f>
        <v>Leadership Mentor</v>
      </c>
      <c r="D929" s="9" t="str">
        <f>IFERROR(VLOOKUP(A929,'Paste - Mentors'!$A:$F,6,0),"")</f>
        <v>FNB</v>
      </c>
      <c r="E929" s="9" t="str">
        <f>IFERROR(VLOOKUP(A929,'Paste - Mentors'!$A:$E,5,0),"")</f>
        <v>South Africa</v>
      </c>
      <c r="F929" s="9">
        <f>IF(A929="","",COUNTIFS('Paste - Relationships'!$A:$A,A929,'Paste - Relationships'!$AE:$AE,""))</f>
        <v>0</v>
      </c>
      <c r="G929" s="9" t="str">
        <f t="shared" si="14"/>
        <v>Available</v>
      </c>
      <c r="H929" s="9" t="str">
        <f>IF(A929="","",IF(COUNTIF('Programme Mentors'!$A:$A,A929)&gt;0,"Enrolled","—"))</f>
        <v>—</v>
      </c>
    </row>
    <row r="930" spans="1:8" ht="14.25" customHeight="1" x14ac:dyDescent="0.3">
      <c r="A930" s="43">
        <f>'Paste - Mentors'!A930</f>
        <v>1935275</v>
      </c>
      <c r="B930" s="3">
        <f>IFERROR(VLOOKUP(A930,'Paste - Mentors'!$A:$B,2,0),"")</f>
        <v>0</v>
      </c>
      <c r="C930" s="3" t="str">
        <f>IFERROR(VLOOKUP(A930,'Paste - Mentors'!$A:$D,4,0),"")</f>
        <v>Leadership Mentor</v>
      </c>
      <c r="D930" s="43" t="str">
        <f>IFERROR(VLOOKUP(A930,'Paste - Mentors'!$A:$F,6,0),"")</f>
        <v>FNB</v>
      </c>
      <c r="E930" s="43" t="str">
        <f>IFERROR(VLOOKUP(A930,'Paste - Mentors'!$A:$E,5,0),"")</f>
        <v>South Africa</v>
      </c>
      <c r="F930" s="43">
        <f>IF(A930="","",COUNTIFS('Paste - Relationships'!$A:$A,A930,'Paste - Relationships'!$AE:$AE,""))</f>
        <v>1</v>
      </c>
      <c r="G930" s="43" t="str">
        <f t="shared" si="14"/>
        <v>Has Capacity</v>
      </c>
      <c r="H930" s="43" t="str">
        <f>IF(A930="","",IF(COUNTIF('Programme Mentors'!$A:$A,A930)&gt;0,"Enrolled","—"))</f>
        <v>—</v>
      </c>
    </row>
    <row r="931" spans="1:8" ht="14.25" customHeight="1" x14ac:dyDescent="0.3">
      <c r="A931" s="9">
        <f>'Paste - Mentors'!A931</f>
        <v>8885986</v>
      </c>
      <c r="B931" s="4">
        <f>IFERROR(VLOOKUP(A931,'Paste - Mentors'!$A:$B,2,0),"")</f>
        <v>0</v>
      </c>
      <c r="C931" s="4" t="str">
        <f>IFERROR(VLOOKUP(A931,'Paste - Mentors'!$A:$D,4,0),"")</f>
        <v>Technical Mentor
Transition Mentor</v>
      </c>
      <c r="D931" s="9" t="str">
        <f>IFERROR(VLOOKUP(A931,'Paste - Mentors'!$A:$F,6,0),"")</f>
        <v>RMB</v>
      </c>
      <c r="E931" s="9" t="str">
        <f>IFERROR(VLOOKUP(A931,'Paste - Mentors'!$A:$E,5,0),"")</f>
        <v>South Africa</v>
      </c>
      <c r="F931" s="9">
        <f>IF(A931="","",COUNTIFS('Paste - Relationships'!$A:$A,A931,'Paste - Relationships'!$AE:$AE,""))</f>
        <v>0</v>
      </c>
      <c r="G931" s="9" t="str">
        <f t="shared" si="14"/>
        <v>Available</v>
      </c>
      <c r="H931" s="9" t="str">
        <f>IF(A931="","",IF(COUNTIF('Programme Mentors'!$A:$A,A931)&gt;0,"Enrolled","—"))</f>
        <v>—</v>
      </c>
    </row>
    <row r="932" spans="1:8" ht="33.75" customHeight="1" x14ac:dyDescent="0.3">
      <c r="A932" s="43">
        <f>'Paste - Mentors'!A932</f>
        <v>0</v>
      </c>
      <c r="B932" s="3" t="str">
        <f>IFERROR(VLOOKUP(A932,'Paste - Mentors'!$A:$B,2,0),"")</f>
        <v/>
      </c>
      <c r="C932" s="3" t="str">
        <f>IFERROR(VLOOKUP(A932,'Paste - Mentors'!$A:$D,4,0),"")</f>
        <v/>
      </c>
      <c r="D932" s="43" t="str">
        <f>IFERROR(VLOOKUP(A932,'Paste - Mentors'!$A:$F,6,0),"")</f>
        <v/>
      </c>
      <c r="E932" s="43" t="str">
        <f>IFERROR(VLOOKUP(A932,'Paste - Mentors'!$A:$E,5,0),"")</f>
        <v/>
      </c>
      <c r="F932" s="43">
        <f>IF(A932="","",COUNTIFS('Paste - Relationships'!$A:$A,A932,'Paste - Relationships'!$AE:$AE,""))</f>
        <v>0</v>
      </c>
      <c r="G932" s="43" t="str">
        <f t="shared" si="14"/>
        <v>Available</v>
      </c>
      <c r="H932" s="43" t="str">
        <f>IF(A932="","",IF(COUNTIF('Programme Mentors'!$A:$A,A932)&gt;0,"Enrolled","—"))</f>
        <v>—</v>
      </c>
    </row>
    <row r="933" spans="1:8" ht="14.25" customHeight="1" x14ac:dyDescent="0.3">
      <c r="A933" s="9">
        <f>'Paste - Mentors'!A933</f>
        <v>0</v>
      </c>
      <c r="B933" s="4" t="str">
        <f>IFERROR(VLOOKUP(A933,'Paste - Mentors'!$A:$B,2,0),"")</f>
        <v/>
      </c>
      <c r="C933" s="4" t="str">
        <f>IFERROR(VLOOKUP(A933,'Paste - Mentors'!$A:$D,4,0),"")</f>
        <v/>
      </c>
      <c r="D933" s="9" t="str">
        <f>IFERROR(VLOOKUP(A933,'Paste - Mentors'!$A:$F,6,0),"")</f>
        <v/>
      </c>
      <c r="E933" s="9" t="str">
        <f>IFERROR(VLOOKUP(A933,'Paste - Mentors'!$A:$E,5,0),"")</f>
        <v/>
      </c>
      <c r="F933" s="9">
        <f>IF(A933="","",COUNTIFS('Paste - Relationships'!$A:$A,A933,'Paste - Relationships'!$AE:$AE,""))</f>
        <v>0</v>
      </c>
      <c r="G933" s="9" t="str">
        <f t="shared" si="14"/>
        <v>Available</v>
      </c>
      <c r="H933" s="9" t="str">
        <f>IF(A933="","",IF(COUNTIF('Programme Mentors'!$A:$A,A933)&gt;0,"Enrolled","—"))</f>
        <v>—</v>
      </c>
    </row>
    <row r="934" spans="1:8" ht="14.25" customHeight="1" x14ac:dyDescent="0.3">
      <c r="A934" s="43">
        <f>'Paste - Mentors'!A934</f>
        <v>0</v>
      </c>
      <c r="B934" s="3" t="str">
        <f>IFERROR(VLOOKUP(A934,'Paste - Mentors'!$A:$B,2,0),"")</f>
        <v/>
      </c>
      <c r="C934" s="3" t="str">
        <f>IFERROR(VLOOKUP(A934,'Paste - Mentors'!$A:$D,4,0),"")</f>
        <v/>
      </c>
      <c r="D934" s="43" t="str">
        <f>IFERROR(VLOOKUP(A934,'Paste - Mentors'!$A:$F,6,0),"")</f>
        <v/>
      </c>
      <c r="E934" s="43" t="str">
        <f>IFERROR(VLOOKUP(A934,'Paste - Mentors'!$A:$E,5,0),"")</f>
        <v/>
      </c>
      <c r="F934" s="43">
        <f>IF(A934="","",COUNTIFS('Paste - Relationships'!$A:$A,A934,'Paste - Relationships'!$AE:$AE,""))</f>
        <v>0</v>
      </c>
      <c r="G934" s="43" t="str">
        <f t="shared" si="14"/>
        <v>Available</v>
      </c>
      <c r="H934" s="43" t="str">
        <f>IF(A934="","",IF(COUNTIF('Programme Mentors'!$A:$A,A934)&gt;0,"Enrolled","—"))</f>
        <v>—</v>
      </c>
    </row>
    <row r="935" spans="1:8" ht="14.25" customHeight="1" x14ac:dyDescent="0.3">
      <c r="A935" s="9">
        <f>'Paste - Mentors'!A935</f>
        <v>0</v>
      </c>
      <c r="B935" s="4" t="str">
        <f>IFERROR(VLOOKUP(A935,'Paste - Mentors'!$A:$B,2,0),"")</f>
        <v/>
      </c>
      <c r="C935" s="4" t="str">
        <f>IFERROR(VLOOKUP(A935,'Paste - Mentors'!$A:$D,4,0),"")</f>
        <v/>
      </c>
      <c r="D935" s="9" t="str">
        <f>IFERROR(VLOOKUP(A935,'Paste - Mentors'!$A:$F,6,0),"")</f>
        <v/>
      </c>
      <c r="E935" s="9" t="str">
        <f>IFERROR(VLOOKUP(A935,'Paste - Mentors'!$A:$E,5,0),"")</f>
        <v/>
      </c>
      <c r="F935" s="9">
        <f>IF(A935="","",COUNTIFS('Paste - Relationships'!$A:$A,A935,'Paste - Relationships'!$AE:$AE,""))</f>
        <v>0</v>
      </c>
      <c r="G935" s="9" t="str">
        <f t="shared" si="14"/>
        <v>Available</v>
      </c>
      <c r="H935" s="9" t="str">
        <f>IF(A935="","",IF(COUNTIF('Programme Mentors'!$A:$A,A935)&gt;0,"Enrolled","—"))</f>
        <v>—</v>
      </c>
    </row>
    <row r="936" spans="1:8" ht="14.25" customHeight="1" x14ac:dyDescent="0.3">
      <c r="A936" s="43">
        <f>'Paste - Mentors'!A936</f>
        <v>0</v>
      </c>
      <c r="B936" s="3" t="str">
        <f>IFERROR(VLOOKUP(A936,'Paste - Mentors'!$A:$B,2,0),"")</f>
        <v/>
      </c>
      <c r="C936" s="3" t="str">
        <f>IFERROR(VLOOKUP(A936,'Paste - Mentors'!$A:$D,4,0),"")</f>
        <v/>
      </c>
      <c r="D936" s="43" t="str">
        <f>IFERROR(VLOOKUP(A936,'Paste - Mentors'!$A:$F,6,0),"")</f>
        <v/>
      </c>
      <c r="E936" s="43" t="str">
        <f>IFERROR(VLOOKUP(A936,'Paste - Mentors'!$A:$E,5,0),"")</f>
        <v/>
      </c>
      <c r="F936" s="43">
        <f>IF(A936="","",COUNTIFS('Paste - Relationships'!$A:$A,A936,'Paste - Relationships'!$AE:$AE,""))</f>
        <v>0</v>
      </c>
      <c r="G936" s="43" t="str">
        <f t="shared" si="14"/>
        <v>Available</v>
      </c>
      <c r="H936" s="43" t="str">
        <f>IF(A936="","",IF(COUNTIF('Programme Mentors'!$A:$A,A936)&gt;0,"Enrolled","—"))</f>
        <v>—</v>
      </c>
    </row>
    <row r="937" spans="1:8" ht="14.25" customHeight="1" x14ac:dyDescent="0.3">
      <c r="A937" s="9">
        <f>'Paste - Mentors'!A937</f>
        <v>0</v>
      </c>
      <c r="B937" s="4" t="str">
        <f>IFERROR(VLOOKUP(A937,'Paste - Mentors'!$A:$B,2,0),"")</f>
        <v/>
      </c>
      <c r="C937" s="4" t="str">
        <f>IFERROR(VLOOKUP(A937,'Paste - Mentors'!$A:$D,4,0),"")</f>
        <v/>
      </c>
      <c r="D937" s="9" t="str">
        <f>IFERROR(VLOOKUP(A937,'Paste - Mentors'!$A:$F,6,0),"")</f>
        <v/>
      </c>
      <c r="E937" s="9" t="str">
        <f>IFERROR(VLOOKUP(A937,'Paste - Mentors'!$A:$E,5,0),"")</f>
        <v/>
      </c>
      <c r="F937" s="9">
        <f>IF(A937="","",COUNTIFS('Paste - Relationships'!$A:$A,A937,'Paste - Relationships'!$AE:$AE,""))</f>
        <v>0</v>
      </c>
      <c r="G937" s="9" t="str">
        <f t="shared" si="14"/>
        <v>Available</v>
      </c>
      <c r="H937" s="9" t="str">
        <f>IF(A937="","",IF(COUNTIF('Programme Mentors'!$A:$A,A937)&gt;0,"Enrolled","—"))</f>
        <v>—</v>
      </c>
    </row>
    <row r="938" spans="1:8" ht="14.25" customHeight="1" x14ac:dyDescent="0.3">
      <c r="A938" s="43">
        <f>'Paste - Mentors'!A938</f>
        <v>0</v>
      </c>
      <c r="B938" s="3" t="str">
        <f>IFERROR(VLOOKUP(A938,'Paste - Mentors'!$A:$B,2,0),"")</f>
        <v/>
      </c>
      <c r="C938" s="3" t="str">
        <f>IFERROR(VLOOKUP(A938,'Paste - Mentors'!$A:$D,4,0),"")</f>
        <v/>
      </c>
      <c r="D938" s="43" t="str">
        <f>IFERROR(VLOOKUP(A938,'Paste - Mentors'!$A:$F,6,0),"")</f>
        <v/>
      </c>
      <c r="E938" s="43" t="str">
        <f>IFERROR(VLOOKUP(A938,'Paste - Mentors'!$A:$E,5,0),"")</f>
        <v/>
      </c>
      <c r="F938" s="43">
        <f>IF(A938="","",COUNTIFS('Paste - Relationships'!$A:$A,A938,'Paste - Relationships'!$AE:$AE,""))</f>
        <v>0</v>
      </c>
      <c r="G938" s="43" t="str">
        <f t="shared" si="14"/>
        <v>Available</v>
      </c>
      <c r="H938" s="43" t="str">
        <f>IF(A938="","",IF(COUNTIF('Programme Mentors'!$A:$A,A938)&gt;0,"Enrolled","—"))</f>
        <v>—</v>
      </c>
    </row>
    <row r="939" spans="1:8" ht="14.25" customHeight="1" x14ac:dyDescent="0.3">
      <c r="A939" s="9">
        <f>'Paste - Mentors'!A939</f>
        <v>0</v>
      </c>
      <c r="B939" s="4" t="str">
        <f>IFERROR(VLOOKUP(A939,'Paste - Mentors'!$A:$B,2,0),"")</f>
        <v/>
      </c>
      <c r="C939" s="4" t="str">
        <f>IFERROR(VLOOKUP(A939,'Paste - Mentors'!$A:$D,4,0),"")</f>
        <v/>
      </c>
      <c r="D939" s="9" t="str">
        <f>IFERROR(VLOOKUP(A939,'Paste - Mentors'!$A:$F,6,0),"")</f>
        <v/>
      </c>
      <c r="E939" s="9" t="str">
        <f>IFERROR(VLOOKUP(A939,'Paste - Mentors'!$A:$E,5,0),"")</f>
        <v/>
      </c>
      <c r="F939" s="9">
        <f>IF(A939="","",COUNTIFS('Paste - Relationships'!$A:$A,A939,'Paste - Relationships'!$AE:$AE,""))</f>
        <v>0</v>
      </c>
      <c r="G939" s="9" t="str">
        <f t="shared" si="14"/>
        <v>Available</v>
      </c>
      <c r="H939" s="9" t="str">
        <f>IF(A939="","",IF(COUNTIF('Programme Mentors'!$A:$A,A939)&gt;0,"Enrolled","—"))</f>
        <v>—</v>
      </c>
    </row>
    <row r="940" spans="1:8" ht="14.25" customHeight="1" x14ac:dyDescent="0.3">
      <c r="A940" s="43">
        <f>'Paste - Mentors'!A940</f>
        <v>0</v>
      </c>
      <c r="B940" s="3" t="str">
        <f>IFERROR(VLOOKUP(A940,'Paste - Mentors'!$A:$B,2,0),"")</f>
        <v/>
      </c>
      <c r="C940" s="3" t="str">
        <f>IFERROR(VLOOKUP(A940,'Paste - Mentors'!$A:$D,4,0),"")</f>
        <v/>
      </c>
      <c r="D940" s="43" t="str">
        <f>IFERROR(VLOOKUP(A940,'Paste - Mentors'!$A:$F,6,0),"")</f>
        <v/>
      </c>
      <c r="E940" s="43" t="str">
        <f>IFERROR(VLOOKUP(A940,'Paste - Mentors'!$A:$E,5,0),"")</f>
        <v/>
      </c>
      <c r="F940" s="43">
        <f>IF(A940="","",COUNTIFS('Paste - Relationships'!$A:$A,A940,'Paste - Relationships'!$AE:$AE,""))</f>
        <v>0</v>
      </c>
      <c r="G940" s="43" t="str">
        <f t="shared" si="14"/>
        <v>Available</v>
      </c>
      <c r="H940" s="43" t="str">
        <f>IF(A940="","",IF(COUNTIF('Programme Mentors'!$A:$A,A940)&gt;0,"Enrolled","—"))</f>
        <v>—</v>
      </c>
    </row>
    <row r="941" spans="1:8" ht="14.25" customHeight="1" x14ac:dyDescent="0.3">
      <c r="A941" s="9">
        <f>'Paste - Mentors'!A941</f>
        <v>0</v>
      </c>
      <c r="B941" s="4" t="str">
        <f>IFERROR(VLOOKUP(A941,'Paste - Mentors'!$A:$B,2,0),"")</f>
        <v/>
      </c>
      <c r="C941" s="4" t="str">
        <f>IFERROR(VLOOKUP(A941,'Paste - Mentors'!$A:$D,4,0),"")</f>
        <v/>
      </c>
      <c r="D941" s="9" t="str">
        <f>IFERROR(VLOOKUP(A941,'Paste - Mentors'!$A:$F,6,0),"")</f>
        <v/>
      </c>
      <c r="E941" s="9" t="str">
        <f>IFERROR(VLOOKUP(A941,'Paste - Mentors'!$A:$E,5,0),"")</f>
        <v/>
      </c>
      <c r="F941" s="9">
        <f>IF(A941="","",COUNTIFS('Paste - Relationships'!$A:$A,A941,'Paste - Relationships'!$AE:$AE,""))</f>
        <v>0</v>
      </c>
      <c r="G941" s="9" t="str">
        <f t="shared" si="14"/>
        <v>Available</v>
      </c>
      <c r="H941" s="9" t="str">
        <f>IF(A941="","",IF(COUNTIF('Programme Mentors'!$A:$A,A941)&gt;0,"Enrolled","—"))</f>
        <v>—</v>
      </c>
    </row>
    <row r="942" spans="1:8" ht="14.25" customHeight="1" x14ac:dyDescent="0.3">
      <c r="A942" s="43">
        <f>'Paste - Mentors'!A942</f>
        <v>0</v>
      </c>
      <c r="B942" s="3" t="str">
        <f>IFERROR(VLOOKUP(A942,'Paste - Mentors'!$A:$B,2,0),"")</f>
        <v/>
      </c>
      <c r="C942" s="3" t="str">
        <f>IFERROR(VLOOKUP(A942,'Paste - Mentors'!$A:$D,4,0),"")</f>
        <v/>
      </c>
      <c r="D942" s="43" t="str">
        <f>IFERROR(VLOOKUP(A942,'Paste - Mentors'!$A:$F,6,0),"")</f>
        <v/>
      </c>
      <c r="E942" s="43" t="str">
        <f>IFERROR(VLOOKUP(A942,'Paste - Mentors'!$A:$E,5,0),"")</f>
        <v/>
      </c>
      <c r="F942" s="43">
        <f>IF(A942="","",COUNTIFS('Paste - Relationships'!$A:$A,A942,'Paste - Relationships'!$AE:$AE,""))</f>
        <v>0</v>
      </c>
      <c r="G942" s="43" t="str">
        <f t="shared" si="14"/>
        <v>Available</v>
      </c>
      <c r="H942" s="43" t="str">
        <f>IF(A942="","",IF(COUNTIF('Programme Mentors'!$A:$A,A942)&gt;0,"Enrolled","—"))</f>
        <v>—</v>
      </c>
    </row>
    <row r="943" spans="1:8" ht="14.25" customHeight="1" x14ac:dyDescent="0.3">
      <c r="A943" s="9">
        <f>'Paste - Mentors'!A943</f>
        <v>0</v>
      </c>
      <c r="B943" s="4" t="str">
        <f>IFERROR(VLOOKUP(A943,'Paste - Mentors'!$A:$B,2,0),"")</f>
        <v/>
      </c>
      <c r="C943" s="4" t="str">
        <f>IFERROR(VLOOKUP(A943,'Paste - Mentors'!$A:$D,4,0),"")</f>
        <v/>
      </c>
      <c r="D943" s="9" t="str">
        <f>IFERROR(VLOOKUP(A943,'Paste - Mentors'!$A:$F,6,0),"")</f>
        <v/>
      </c>
      <c r="E943" s="9" t="str">
        <f>IFERROR(VLOOKUP(A943,'Paste - Mentors'!$A:$E,5,0),"")</f>
        <v/>
      </c>
      <c r="F943" s="9">
        <f>IF(A943="","",COUNTIFS('Paste - Relationships'!$A:$A,A943,'Paste - Relationships'!$AE:$AE,""))</f>
        <v>0</v>
      </c>
      <c r="G943" s="9" t="str">
        <f t="shared" si="14"/>
        <v>Available</v>
      </c>
      <c r="H943" s="9" t="str">
        <f>IF(A943="","",IF(COUNTIF('Programme Mentors'!$A:$A,A943)&gt;0,"Enrolled","—"))</f>
        <v>—</v>
      </c>
    </row>
    <row r="944" spans="1:8" ht="14.25" customHeight="1" x14ac:dyDescent="0.3">
      <c r="A944" s="43">
        <f>'Paste - Mentors'!A944</f>
        <v>0</v>
      </c>
      <c r="B944" s="3" t="str">
        <f>IFERROR(VLOOKUP(A944,'Paste - Mentors'!$A:$B,2,0),"")</f>
        <v/>
      </c>
      <c r="C944" s="3" t="str">
        <f>IFERROR(VLOOKUP(A944,'Paste - Mentors'!$A:$D,4,0),"")</f>
        <v/>
      </c>
      <c r="D944" s="43" t="str">
        <f>IFERROR(VLOOKUP(A944,'Paste - Mentors'!$A:$F,6,0),"")</f>
        <v/>
      </c>
      <c r="E944" s="43" t="str">
        <f>IFERROR(VLOOKUP(A944,'Paste - Mentors'!$A:$E,5,0),"")</f>
        <v/>
      </c>
      <c r="F944" s="43">
        <f>IF(A944="","",COUNTIFS('Paste - Relationships'!$A:$A,A944,'Paste - Relationships'!$AE:$AE,""))</f>
        <v>0</v>
      </c>
      <c r="G944" s="43" t="str">
        <f t="shared" si="14"/>
        <v>Available</v>
      </c>
      <c r="H944" s="43" t="str">
        <f>IF(A944="","",IF(COUNTIF('Programme Mentors'!$A:$A,A944)&gt;0,"Enrolled","—"))</f>
        <v>—</v>
      </c>
    </row>
    <row r="945" spans="1:8" ht="14.25" customHeight="1" x14ac:dyDescent="0.3">
      <c r="A945" s="9">
        <f>'Paste - Mentors'!A945</f>
        <v>0</v>
      </c>
      <c r="B945" s="4" t="str">
        <f>IFERROR(VLOOKUP(A945,'Paste - Mentors'!$A:$B,2,0),"")</f>
        <v/>
      </c>
      <c r="C945" s="4" t="str">
        <f>IFERROR(VLOOKUP(A945,'Paste - Mentors'!$A:$D,4,0),"")</f>
        <v/>
      </c>
      <c r="D945" s="9" t="str">
        <f>IFERROR(VLOOKUP(A945,'Paste - Mentors'!$A:$F,6,0),"")</f>
        <v/>
      </c>
      <c r="E945" s="9" t="str">
        <f>IFERROR(VLOOKUP(A945,'Paste - Mentors'!$A:$E,5,0),"")</f>
        <v/>
      </c>
      <c r="F945" s="9">
        <f>IF(A945="","",COUNTIFS('Paste - Relationships'!$A:$A,A945,'Paste - Relationships'!$AE:$AE,""))</f>
        <v>0</v>
      </c>
      <c r="G945" s="9" t="str">
        <f t="shared" si="14"/>
        <v>Available</v>
      </c>
      <c r="H945" s="9" t="str">
        <f>IF(A945="","",IF(COUNTIF('Programme Mentors'!$A:$A,A945)&gt;0,"Enrolled","—"))</f>
        <v>—</v>
      </c>
    </row>
    <row r="946" spans="1:8" ht="14.25" customHeight="1" x14ac:dyDescent="0.3">
      <c r="A946" s="43">
        <f>'Paste - Mentors'!A946</f>
        <v>0</v>
      </c>
      <c r="B946" s="3" t="str">
        <f>IFERROR(VLOOKUP(A946,'Paste - Mentors'!$A:$B,2,0),"")</f>
        <v/>
      </c>
      <c r="C946" s="3" t="str">
        <f>IFERROR(VLOOKUP(A946,'Paste - Mentors'!$A:$D,4,0),"")</f>
        <v/>
      </c>
      <c r="D946" s="43" t="str">
        <f>IFERROR(VLOOKUP(A946,'Paste - Mentors'!$A:$F,6,0),"")</f>
        <v/>
      </c>
      <c r="E946" s="43" t="str">
        <f>IFERROR(VLOOKUP(A946,'Paste - Mentors'!$A:$E,5,0),"")</f>
        <v/>
      </c>
      <c r="F946" s="43">
        <f>IF(A946="","",COUNTIFS('Paste - Relationships'!$A:$A,A946,'Paste - Relationships'!$AE:$AE,""))</f>
        <v>0</v>
      </c>
      <c r="G946" s="43" t="str">
        <f t="shared" si="14"/>
        <v>Available</v>
      </c>
      <c r="H946" s="43" t="str">
        <f>IF(A946="","",IF(COUNTIF('Programme Mentors'!$A:$A,A946)&gt;0,"Enrolled","—"))</f>
        <v>—</v>
      </c>
    </row>
    <row r="947" spans="1:8" ht="14.25" customHeight="1" x14ac:dyDescent="0.3">
      <c r="A947" s="9">
        <f>'Paste - Mentors'!A947</f>
        <v>0</v>
      </c>
      <c r="B947" s="4" t="str">
        <f>IFERROR(VLOOKUP(A947,'Paste - Mentors'!$A:$B,2,0),"")</f>
        <v/>
      </c>
      <c r="C947" s="4" t="str">
        <f>IFERROR(VLOOKUP(A947,'Paste - Mentors'!$A:$D,4,0),"")</f>
        <v/>
      </c>
      <c r="D947" s="9" t="str">
        <f>IFERROR(VLOOKUP(A947,'Paste - Mentors'!$A:$F,6,0),"")</f>
        <v/>
      </c>
      <c r="E947" s="9" t="str">
        <f>IFERROR(VLOOKUP(A947,'Paste - Mentors'!$A:$E,5,0),"")</f>
        <v/>
      </c>
      <c r="F947" s="9">
        <f>IF(A947="","",COUNTIFS('Paste - Relationships'!$A:$A,A947,'Paste - Relationships'!$AE:$AE,""))</f>
        <v>0</v>
      </c>
      <c r="G947" s="9" t="str">
        <f t="shared" si="14"/>
        <v>Available</v>
      </c>
      <c r="H947" s="9" t="str">
        <f>IF(A947="","",IF(COUNTIF('Programme Mentors'!$A:$A,A947)&gt;0,"Enrolled","—"))</f>
        <v>—</v>
      </c>
    </row>
    <row r="948" spans="1:8" ht="14.25" customHeight="1" x14ac:dyDescent="0.3"/>
  </sheetData>
  <autoFilter ref="A3:H3" xr:uid="{00000000-0009-0000-0000-000004000000}"/>
  <conditionalFormatting sqref="G4:G948">
    <cfRule type="expression" dxfId="32" priority="2">
      <formula>G4="At Capacity"</formula>
    </cfRule>
    <cfRule type="expression" dxfId="31" priority="3">
      <formula>G4="Available"</formula>
    </cfRule>
    <cfRule type="expression" dxfId="30" priority="4">
      <formula>G4="Has Capacity"</formula>
    </cfRule>
  </conditionalFormatting>
  <conditionalFormatting sqref="H4:H948">
    <cfRule type="expression" dxfId="29" priority="5">
      <formula>H4="✅ Enrolled"</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98"/>
  <sheetViews>
    <sheetView zoomScaleNormal="100" workbookViewId="0">
      <pane ySplit="3" topLeftCell="A21" activePane="bottomLeft" state="frozen"/>
      <selection pane="bottomLeft" activeCell="C22" sqref="C22"/>
    </sheetView>
  </sheetViews>
  <sheetFormatPr defaultColWidth="8.6640625" defaultRowHeight="14.4" x14ac:dyDescent="0.3"/>
  <cols>
    <col min="1" max="1" width="23.5546875" customWidth="1"/>
    <col min="2" max="2" width="26" customWidth="1"/>
    <col min="3" max="3" width="16.21875" customWidth="1"/>
    <col min="4" max="4" width="23.77734375" customWidth="1"/>
    <col min="5" max="5" width="26" customWidth="1"/>
    <col min="6" max="6" width="28" customWidth="1"/>
    <col min="7" max="7" width="16" customWidth="1"/>
    <col min="8" max="9" width="14" customWidth="1"/>
  </cols>
  <sheetData>
    <row r="1" spans="1:9" ht="21.6" customHeight="1" x14ac:dyDescent="0.3">
      <c r="A1" s="51" t="s">
        <v>6439</v>
      </c>
      <c r="B1" s="73">
        <f>COUNTA(A4:A298)</f>
        <v>0</v>
      </c>
      <c r="C1" s="1"/>
      <c r="D1" s="51" t="s">
        <v>6440</v>
      </c>
      <c r="E1" s="73">
        <f>COUNTIF(G4:G298,"Not Found")</f>
        <v>0</v>
      </c>
      <c r="F1" s="1"/>
      <c r="G1" s="1"/>
      <c r="H1" s="1"/>
      <c r="I1" s="1"/>
    </row>
    <row r="2" spans="1:9" ht="21" customHeight="1" x14ac:dyDescent="0.3">
      <c r="C2" s="1"/>
      <c r="D2" s="1"/>
      <c r="E2" s="1"/>
      <c r="F2" s="1"/>
      <c r="G2" s="1"/>
      <c r="H2" s="1"/>
      <c r="I2" s="1"/>
    </row>
    <row r="3" spans="1:9" ht="51.75" customHeight="1" x14ac:dyDescent="0.3">
      <c r="A3" s="48" t="s">
        <v>1</v>
      </c>
      <c r="B3" s="48" t="s">
        <v>2</v>
      </c>
      <c r="C3" s="48" t="s">
        <v>6441</v>
      </c>
      <c r="D3" s="48" t="s">
        <v>6442</v>
      </c>
      <c r="E3" s="49" t="s">
        <v>6443</v>
      </c>
      <c r="F3" s="49" t="s">
        <v>191</v>
      </c>
      <c r="G3" s="49" t="s">
        <v>6444</v>
      </c>
      <c r="H3" s="50" t="s">
        <v>6445</v>
      </c>
      <c r="I3" s="50" t="s">
        <v>6446</v>
      </c>
    </row>
    <row r="4" spans="1:9" ht="21" customHeight="1" x14ac:dyDescent="0.3">
      <c r="A4" s="44"/>
      <c r="B4" s="45" t="str">
        <f>IFERROR(VLOOKUP(A4,'Paste - Mentors'!$A:$B,2,0),"")</f>
        <v/>
      </c>
      <c r="C4" s="44"/>
      <c r="D4" s="44"/>
      <c r="E4" s="44" t="str">
        <f>IFERROR(VLOOKUP(A4,'Paste - Mentors'!$A:$G,7,0),"")</f>
        <v/>
      </c>
      <c r="F4" s="44" t="str">
        <f>IFERROR(VLOOKUP(A4,'Paste - Mentors'!$A:$K,11,0),"")</f>
        <v/>
      </c>
      <c r="G4" s="44" t="str">
        <f>IF(A4="","",IF(COUNTIF('Paste - Mentors'!$A:$A,A4)&gt;0,"Registered","Not Found"))</f>
        <v/>
      </c>
      <c r="H4" s="46" t="str">
        <f>IF(A4="","",COUNTIF('Intern Monitoring'!$D$4:$D$203,B4))</f>
        <v/>
      </c>
      <c r="I4" s="47" t="str">
        <f t="shared" ref="I4:I35" si="0">IF(A4="","",IFERROR(IF(C4="",3,C4)-IF(H4="",0,H4),"-"))</f>
        <v/>
      </c>
    </row>
    <row r="5" spans="1:9" ht="14.25" customHeight="1" x14ac:dyDescent="0.3">
      <c r="A5" s="44"/>
      <c r="B5" s="45" t="str">
        <f>IFERROR(VLOOKUP(A5,'Paste - Mentors'!$A:$B,2,0),"")</f>
        <v/>
      </c>
      <c r="C5" s="44"/>
      <c r="D5" s="44"/>
      <c r="E5" s="44" t="str">
        <f>IFERROR(VLOOKUP(A5,'Paste - Mentors'!$A:$G,7,0),"")</f>
        <v/>
      </c>
      <c r="F5" s="44" t="str">
        <f>IFERROR(VLOOKUP(A5,'Paste - Mentors'!$A:$K,11,0),"")</f>
        <v/>
      </c>
      <c r="G5" s="44" t="str">
        <f>IF(A5="","",IF(COUNTIF('Paste - Mentors'!$A:$A,A5)&gt;0,"Registered","Not Found"))</f>
        <v/>
      </c>
      <c r="H5" s="46" t="str">
        <f>IF(A5="","",COUNTIF('Intern Monitoring'!$D$4:$D$203,B5))</f>
        <v/>
      </c>
      <c r="I5" s="47" t="str">
        <f t="shared" si="0"/>
        <v/>
      </c>
    </row>
    <row r="6" spans="1:9" ht="14.25" customHeight="1" x14ac:dyDescent="0.3">
      <c r="A6" s="44"/>
      <c r="B6" s="45" t="str">
        <f>IFERROR(VLOOKUP(A6,'Paste - Mentors'!$A:$B,2,0),"")</f>
        <v/>
      </c>
      <c r="C6" s="44"/>
      <c r="D6" s="44"/>
      <c r="E6" s="44" t="str">
        <f>IFERROR(VLOOKUP(A6,'Paste - Mentors'!$A:$G,7,0),"")</f>
        <v/>
      </c>
      <c r="F6" s="44" t="str">
        <f>IFERROR(VLOOKUP(A6,'Paste - Mentors'!$A:$K,11,0),"")</f>
        <v/>
      </c>
      <c r="G6" s="44" t="str">
        <f>IF(A6="","",IF(COUNTIF('Paste - Mentors'!$A:$A,A6)&gt;0,"Registered","Not Found"))</f>
        <v/>
      </c>
      <c r="H6" s="46" t="str">
        <f>IF(A6="","",COUNTIF('Intern Monitoring'!$D$4:$D$203,B6))</f>
        <v/>
      </c>
      <c r="I6" s="47" t="str">
        <f t="shared" si="0"/>
        <v/>
      </c>
    </row>
    <row r="7" spans="1:9" ht="14.25" customHeight="1" x14ac:dyDescent="0.3">
      <c r="A7" s="44"/>
      <c r="B7" s="45" t="str">
        <f>IFERROR(VLOOKUP(A7,'Paste - Mentors'!$A:$B,2,0),"")</f>
        <v/>
      </c>
      <c r="C7" s="44"/>
      <c r="D7" s="44"/>
      <c r="E7" s="44" t="str">
        <f>IFERROR(VLOOKUP(A7,'Paste - Mentors'!$A:$G,7,0),"")</f>
        <v/>
      </c>
      <c r="F7" s="44" t="str">
        <f>IFERROR(VLOOKUP(A7,'Paste - Mentors'!$A:$K,11,0),"")</f>
        <v/>
      </c>
      <c r="G7" s="44" t="str">
        <f>IF(A7="","",IF(COUNTIF('Paste - Mentors'!$A:$A,A7)&gt;0,"Registered","Not Found"))</f>
        <v/>
      </c>
      <c r="H7" s="46" t="str">
        <f>IF(A7="","",COUNTIF('Intern Monitoring'!$D$4:$D$203,B7))</f>
        <v/>
      </c>
      <c r="I7" s="47" t="str">
        <f t="shared" si="0"/>
        <v/>
      </c>
    </row>
    <row r="8" spans="1:9" ht="14.25" customHeight="1" x14ac:dyDescent="0.3">
      <c r="A8" s="44"/>
      <c r="B8" s="45" t="str">
        <f>IFERROR(VLOOKUP(A8,'Paste - Mentors'!$A:$B,2,0),"")</f>
        <v/>
      </c>
      <c r="C8" s="44"/>
      <c r="D8" s="44"/>
      <c r="E8" s="44" t="str">
        <f>IFERROR(VLOOKUP(A8,'Paste - Mentors'!$A:$G,7,0),"")</f>
        <v/>
      </c>
      <c r="F8" s="44" t="str">
        <f>IFERROR(VLOOKUP(A8,'Paste - Mentors'!$A:$K,11,0),"")</f>
        <v/>
      </c>
      <c r="G8" s="44" t="str">
        <f>IF(A8="","",IF(COUNTIF('Paste - Mentors'!$A:$A,A8)&gt;0,"Registered","Not Found"))</f>
        <v/>
      </c>
      <c r="H8" s="46" t="str">
        <f>IF(A8="","",COUNTIF('Intern Monitoring'!$D$4:$D$203,B8))</f>
        <v/>
      </c>
      <c r="I8" s="47" t="str">
        <f t="shared" si="0"/>
        <v/>
      </c>
    </row>
    <row r="9" spans="1:9" ht="19.8" customHeight="1" x14ac:dyDescent="0.3">
      <c r="A9" s="44"/>
      <c r="B9" s="45" t="str">
        <f>IFERROR(VLOOKUP(A9,'Paste - Mentors'!$A:$B,2,0),"")</f>
        <v/>
      </c>
      <c r="C9" s="44"/>
      <c r="D9" s="44"/>
      <c r="E9" s="44" t="str">
        <f>IFERROR(VLOOKUP(A9,'Paste - Mentors'!$A:$G,7,0),"")</f>
        <v/>
      </c>
      <c r="F9" s="44" t="str">
        <f>IFERROR(VLOOKUP(A9,'Paste - Mentors'!$A:$K,11,0),"")</f>
        <v/>
      </c>
      <c r="G9" s="44" t="str">
        <f>IF(A9="","",IF(COUNTIF('Paste - Mentors'!$A:$A,A9)&gt;0,"Registered","Not Found"))</f>
        <v/>
      </c>
      <c r="H9" s="46" t="str">
        <f>IF(A9="","",COUNTIF('Intern Monitoring'!$D$4:$D$203,B9))</f>
        <v/>
      </c>
      <c r="I9" s="47" t="str">
        <f t="shared" si="0"/>
        <v/>
      </c>
    </row>
    <row r="10" spans="1:9" ht="16.8" customHeight="1" x14ac:dyDescent="0.3">
      <c r="A10" s="44"/>
      <c r="B10" s="45" t="str">
        <f>IFERROR(VLOOKUP(A10,'Paste - Mentors'!$A:$B,2,0),"")</f>
        <v/>
      </c>
      <c r="C10" s="44"/>
      <c r="D10" s="44"/>
      <c r="E10" s="44" t="str">
        <f>IFERROR(VLOOKUP(A10,'Paste - Mentors'!$A:$G,7,0),"")</f>
        <v/>
      </c>
      <c r="F10" s="44" t="str">
        <f>IFERROR(VLOOKUP(A10,'Paste - Mentors'!$A:$K,11,0),"")</f>
        <v/>
      </c>
      <c r="G10" s="44" t="str">
        <f>IF(A10="","",IF(COUNTIF('Paste - Mentors'!$A:$A,A10)&gt;0,"Registered","Not Found"))</f>
        <v/>
      </c>
      <c r="H10" s="46" t="str">
        <f>IF(A10="","",COUNTIF('Intern Monitoring'!$D$4:$D$203,B10))</f>
        <v/>
      </c>
      <c r="I10" s="47" t="str">
        <f t="shared" si="0"/>
        <v/>
      </c>
    </row>
    <row r="11" spans="1:9" ht="17.399999999999999" customHeight="1" x14ac:dyDescent="0.3">
      <c r="A11" s="44"/>
      <c r="B11" s="45" t="str">
        <f>IFERROR(VLOOKUP(A11,'Paste - Mentors'!$A:$B,2,0),"")</f>
        <v/>
      </c>
      <c r="C11" s="44"/>
      <c r="D11" s="44"/>
      <c r="E11" s="44" t="str">
        <f>IFERROR(VLOOKUP(A11,'Paste - Mentors'!$A:$G,7,0),"")</f>
        <v/>
      </c>
      <c r="F11" s="44" t="str">
        <f>IFERROR(VLOOKUP(A11,'Paste - Mentors'!$A:$K,11,0),"")</f>
        <v/>
      </c>
      <c r="G11" s="44" t="str">
        <f>IF(A11="","",IF(COUNTIF('Paste - Mentors'!$A:$A,A11)&gt;0,"Registered","Not Found"))</f>
        <v/>
      </c>
      <c r="H11" s="46" t="str">
        <f>IF(A11="","",COUNTIF('Intern Monitoring'!$D$4:$D$203,B11))</f>
        <v/>
      </c>
      <c r="I11" s="47" t="str">
        <f t="shared" si="0"/>
        <v/>
      </c>
    </row>
    <row r="12" spans="1:9" ht="14.25" customHeight="1" x14ac:dyDescent="0.3">
      <c r="A12" s="44"/>
      <c r="B12" s="45" t="str">
        <f>IFERROR(VLOOKUP(A12,'Paste - Mentors'!$A:$B,2,0),"")</f>
        <v/>
      </c>
      <c r="C12" s="44"/>
      <c r="D12" s="44"/>
      <c r="E12" s="44" t="str">
        <f>IFERROR(VLOOKUP(A12,'Paste - Mentors'!$A:$G,7,0),"")</f>
        <v/>
      </c>
      <c r="F12" s="44" t="str">
        <f>IFERROR(VLOOKUP(A12,'Paste - Mentors'!$A:$K,11,0),"")</f>
        <v/>
      </c>
      <c r="G12" s="44" t="str">
        <f>IF(A12="","",IF(COUNTIF('Paste - Mentors'!$A:$A,A12)&gt;0,"Registered","Not Found"))</f>
        <v/>
      </c>
      <c r="H12" s="46" t="str">
        <f>IF(A12="","",COUNTIF('Intern Monitoring'!$D$4:$D$203,B12))</f>
        <v/>
      </c>
      <c r="I12" s="47" t="str">
        <f t="shared" si="0"/>
        <v/>
      </c>
    </row>
    <row r="13" spans="1:9" ht="14.25" customHeight="1" x14ac:dyDescent="0.3">
      <c r="A13" s="44"/>
      <c r="B13" s="45" t="str">
        <f>IFERROR(VLOOKUP(A13,'Paste - Mentors'!$A:$B,2,0),"")</f>
        <v/>
      </c>
      <c r="C13" s="44"/>
      <c r="D13" s="44"/>
      <c r="E13" s="44" t="str">
        <f>IFERROR(VLOOKUP(A13,'Paste - Mentors'!$A:$G,7,0),"")</f>
        <v/>
      </c>
      <c r="F13" s="44" t="str">
        <f>IFERROR(VLOOKUP(A13,'Paste - Mentors'!$A:$K,11,0),"")</f>
        <v/>
      </c>
      <c r="G13" s="44" t="str">
        <f>IF(A13="","",IF(COUNTIF('Paste - Mentors'!$A:$A,A13)&gt;0,"Registered","Not Found"))</f>
        <v/>
      </c>
      <c r="H13" s="46" t="str">
        <f>IF(A13="","",COUNTIF('Intern Monitoring'!$D$4:$D$203,B13))</f>
        <v/>
      </c>
      <c r="I13" s="47" t="str">
        <f t="shared" si="0"/>
        <v/>
      </c>
    </row>
    <row r="14" spans="1:9" ht="14.25" customHeight="1" x14ac:dyDescent="0.3">
      <c r="A14" s="44"/>
      <c r="B14" s="45" t="str">
        <f>IFERROR(VLOOKUP(A14,'Paste - Mentors'!$A:$B,2,0),"")</f>
        <v/>
      </c>
      <c r="C14" s="44"/>
      <c r="D14" s="44"/>
      <c r="E14" s="44" t="str">
        <f>IFERROR(VLOOKUP(A14,'Paste - Mentors'!$A:$G,7,0),"")</f>
        <v/>
      </c>
      <c r="F14" s="44" t="str">
        <f>IFERROR(VLOOKUP(A14,'Paste - Mentors'!$A:$K,11,0),"")</f>
        <v/>
      </c>
      <c r="G14" s="44" t="str">
        <f>IF(A14="","",IF(COUNTIF('Paste - Mentors'!$A:$A,A14)&gt;0,"Registered","Not Found"))</f>
        <v/>
      </c>
      <c r="H14" s="46" t="str">
        <f>IF(A14="","",COUNTIF('Intern Monitoring'!$D$4:$D$203,B14))</f>
        <v/>
      </c>
      <c r="I14" s="47" t="str">
        <f t="shared" si="0"/>
        <v/>
      </c>
    </row>
    <row r="15" spans="1:9" ht="14.25" customHeight="1" x14ac:dyDescent="0.3">
      <c r="A15" s="44"/>
      <c r="B15" s="45" t="str">
        <f>IFERROR(VLOOKUP(A15,'Paste - Mentors'!$A:$B,2,0),"")</f>
        <v/>
      </c>
      <c r="C15" s="44"/>
      <c r="D15" s="44"/>
      <c r="E15" s="44" t="str">
        <f>IFERROR(VLOOKUP(A15,'Paste - Mentors'!$A:$G,7,0),"")</f>
        <v/>
      </c>
      <c r="F15" s="44" t="str">
        <f>IFERROR(VLOOKUP(A15,'Paste - Mentors'!$A:$K,11,0),"")</f>
        <v/>
      </c>
      <c r="G15" s="44" t="str">
        <f>IF(A15="","",IF(COUNTIF('Paste - Mentors'!$A:$A,A15)&gt;0,"Registered","Not Found"))</f>
        <v/>
      </c>
      <c r="H15" s="46" t="str">
        <f>IF(A15="","",COUNTIF('Intern Monitoring'!$D$4:$D$203,B15))</f>
        <v/>
      </c>
      <c r="I15" s="47" t="str">
        <f t="shared" si="0"/>
        <v/>
      </c>
    </row>
    <row r="16" spans="1:9" ht="14.25" customHeight="1" x14ac:dyDescent="0.3">
      <c r="A16" s="44"/>
      <c r="B16" s="45" t="str">
        <f>IFERROR(VLOOKUP(A16,'Paste - Mentors'!$A:$B,2,0),"")</f>
        <v/>
      </c>
      <c r="C16" s="44"/>
      <c r="D16" s="44"/>
      <c r="E16" s="44" t="str">
        <f>IFERROR(VLOOKUP(A16,'Paste - Mentors'!$A:$G,7,0),"")</f>
        <v/>
      </c>
      <c r="F16" s="44" t="str">
        <f>IFERROR(VLOOKUP(A16,'Paste - Mentors'!$A:$K,11,0),"")</f>
        <v/>
      </c>
      <c r="G16" s="44" t="str">
        <f>IF(A16="","",IF(COUNTIF('Paste - Mentors'!$A:$A,A16)&gt;0,"Registered","Not Found"))</f>
        <v/>
      </c>
      <c r="H16" s="46" t="str">
        <f>IF(A16="","",COUNTIF('Intern Monitoring'!$D$4:$D$203,B16))</f>
        <v/>
      </c>
      <c r="I16" s="47" t="str">
        <f t="shared" si="0"/>
        <v/>
      </c>
    </row>
    <row r="17" spans="1:9" ht="14.25" customHeight="1" x14ac:dyDescent="0.3">
      <c r="A17" s="44"/>
      <c r="B17" s="45" t="str">
        <f>IFERROR(VLOOKUP(A17,'Paste - Mentors'!$A:$B,2,0),"")</f>
        <v/>
      </c>
      <c r="C17" s="44"/>
      <c r="D17" s="44"/>
      <c r="E17" s="44" t="str">
        <f>IFERROR(VLOOKUP(A17,'Paste - Mentors'!$A:$G,7,0),"")</f>
        <v/>
      </c>
      <c r="F17" s="44" t="str">
        <f>IFERROR(VLOOKUP(A17,'Paste - Mentors'!$A:$K,11,0),"")</f>
        <v/>
      </c>
      <c r="G17" s="44" t="str">
        <f>IF(A17="","",IF(COUNTIF('Paste - Mentors'!$A:$A,A17)&gt;0,"Registered","Not Found"))</f>
        <v/>
      </c>
      <c r="H17" s="46" t="str">
        <f>IF(A17="","",COUNTIF('Intern Monitoring'!$D$4:$D$203,B17))</f>
        <v/>
      </c>
      <c r="I17" s="47" t="str">
        <f t="shared" si="0"/>
        <v/>
      </c>
    </row>
    <row r="18" spans="1:9" ht="14.25" customHeight="1" x14ac:dyDescent="0.3">
      <c r="A18" s="44"/>
      <c r="B18" s="45" t="str">
        <f>IFERROR(VLOOKUP(A18,'Paste - Mentors'!$A:$B,2,0),"")</f>
        <v/>
      </c>
      <c r="C18" s="44"/>
      <c r="D18" s="44"/>
      <c r="E18" s="44" t="str">
        <f>IFERROR(VLOOKUP(A18,'Paste - Mentors'!$A:$G,7,0),"")</f>
        <v/>
      </c>
      <c r="F18" s="44" t="str">
        <f>IFERROR(VLOOKUP(A18,'Paste - Mentors'!$A:$K,11,0),"")</f>
        <v/>
      </c>
      <c r="G18" s="44" t="str">
        <f>IF(A18="","",IF(COUNTIF('Paste - Mentors'!$A:$A,A18)&gt;0,"Registered","Not Found"))</f>
        <v/>
      </c>
      <c r="H18" s="46" t="str">
        <f>IF(A18="","",COUNTIF('Intern Monitoring'!$D$4:$D$203,B18))</f>
        <v/>
      </c>
      <c r="I18" s="47" t="str">
        <f t="shared" si="0"/>
        <v/>
      </c>
    </row>
    <row r="19" spans="1:9" ht="14.25" customHeight="1" x14ac:dyDescent="0.3">
      <c r="A19" s="44"/>
      <c r="B19" s="45" t="str">
        <f>IFERROR(VLOOKUP(A19,'Paste - Mentors'!$A:$B,2,0),"")</f>
        <v/>
      </c>
      <c r="C19" s="44"/>
      <c r="D19" s="44"/>
      <c r="E19" s="44" t="str">
        <f>IFERROR(VLOOKUP(A19,'Paste - Mentors'!$A:$G,7,0),"")</f>
        <v/>
      </c>
      <c r="F19" s="44" t="str">
        <f>IFERROR(VLOOKUP(A19,'Paste - Mentors'!$A:$K,11,0),"")</f>
        <v/>
      </c>
      <c r="G19" s="44" t="str">
        <f>IF(A19="","",IF(COUNTIF('Paste - Mentors'!$A:$A,A19)&gt;0,"Registered","Not Found"))</f>
        <v/>
      </c>
      <c r="H19" s="46" t="str">
        <f>IF(A19="","",COUNTIF('Intern Monitoring'!$D$4:$D$203,B19))</f>
        <v/>
      </c>
      <c r="I19" s="47" t="str">
        <f t="shared" si="0"/>
        <v/>
      </c>
    </row>
    <row r="20" spans="1:9" ht="14.25" customHeight="1" x14ac:dyDescent="0.3">
      <c r="A20" s="44"/>
      <c r="B20" s="45" t="str">
        <f>IFERROR(VLOOKUP(A20,'Paste - Mentors'!$A:$B,2,0),"")</f>
        <v/>
      </c>
      <c r="C20" s="44"/>
      <c r="D20" s="44"/>
      <c r="E20" s="44" t="str">
        <f>IFERROR(VLOOKUP(A20,'Paste - Mentors'!$A:$G,7,0),"")</f>
        <v/>
      </c>
      <c r="F20" s="44" t="str">
        <f>IFERROR(VLOOKUP(A20,'Paste - Mentors'!$A:$K,11,0),"")</f>
        <v/>
      </c>
      <c r="G20" s="44" t="str">
        <f>IF(A20="","",IF(COUNTIF('Paste - Mentors'!$A:$A,A20)&gt;0,"Registered","Not Found"))</f>
        <v/>
      </c>
      <c r="H20" s="46" t="str">
        <f>IF(A20="","",COUNTIF('Intern Monitoring'!$D$4:$D$203,B20))</f>
        <v/>
      </c>
      <c r="I20" s="47" t="str">
        <f t="shared" si="0"/>
        <v/>
      </c>
    </row>
    <row r="21" spans="1:9" ht="14.25" customHeight="1" x14ac:dyDescent="0.3">
      <c r="A21" s="44"/>
      <c r="B21" s="45" t="str">
        <f>IFERROR(VLOOKUP(A21,'Paste - Mentors'!$A:$B,2,0),"")</f>
        <v/>
      </c>
      <c r="C21" s="44"/>
      <c r="D21" s="44"/>
      <c r="E21" s="44" t="str">
        <f>IFERROR(VLOOKUP(A21,'Paste - Mentors'!$A:$G,7,0),"")</f>
        <v/>
      </c>
      <c r="F21" s="44" t="str">
        <f>IFERROR(VLOOKUP(A21,'Paste - Mentors'!$A:$K,11,0),"")</f>
        <v/>
      </c>
      <c r="G21" s="44" t="str">
        <f>IF(A21="","",IF(COUNTIF('Paste - Mentors'!$A:$A,A21)&gt;0,"Registered","Not Found"))</f>
        <v/>
      </c>
      <c r="H21" s="46" t="str">
        <f>IF(A21="","",COUNTIF('Intern Monitoring'!$D$4:$D$203,B21))</f>
        <v/>
      </c>
      <c r="I21" s="47" t="str">
        <f t="shared" si="0"/>
        <v/>
      </c>
    </row>
    <row r="22" spans="1:9" ht="14.25" customHeight="1" x14ac:dyDescent="0.3">
      <c r="A22" s="44"/>
      <c r="B22" s="45" t="str">
        <f>IFERROR(VLOOKUP(A22,'Paste - Mentors'!$A:$B,2,0),"")</f>
        <v/>
      </c>
      <c r="C22" s="44"/>
      <c r="D22" s="44"/>
      <c r="E22" s="44" t="str">
        <f>IFERROR(VLOOKUP(A22,'Paste - Mentors'!$A:$G,7,0),"")</f>
        <v/>
      </c>
      <c r="F22" s="44" t="str">
        <f>IFERROR(VLOOKUP(A22,'Paste - Mentors'!$A:$K,11,0),"")</f>
        <v/>
      </c>
      <c r="G22" s="44" t="str">
        <f>IF(A22="","",IF(COUNTIF('Paste - Mentors'!$A:$A,A22)&gt;0,"Registered","Not Found"))</f>
        <v/>
      </c>
      <c r="H22" s="46" t="str">
        <f>IF(A22="","",COUNTIF('Intern Monitoring'!$D$4:$D$203,B22))</f>
        <v/>
      </c>
      <c r="I22" s="47" t="str">
        <f t="shared" si="0"/>
        <v/>
      </c>
    </row>
    <row r="23" spans="1:9" ht="14.25" customHeight="1" x14ac:dyDescent="0.3">
      <c r="A23" s="44"/>
      <c r="B23" s="45" t="str">
        <f>IFERROR(VLOOKUP(A23,'Paste - Mentors'!$A:$B,2,0),"")</f>
        <v/>
      </c>
      <c r="C23" s="44"/>
      <c r="D23" s="44"/>
      <c r="E23" s="44" t="str">
        <f>IFERROR(VLOOKUP(A23,'Paste - Mentors'!$A:$G,7,0),"")</f>
        <v/>
      </c>
      <c r="F23" s="44" t="str">
        <f>IFERROR(VLOOKUP(A23,'Paste - Mentors'!$A:$K,11,0),"")</f>
        <v/>
      </c>
      <c r="G23" s="44" t="str">
        <f>IF(A23="","",IF(COUNTIF('Paste - Mentors'!$A:$A,A23)&gt;0,"Registered","Not Found"))</f>
        <v/>
      </c>
      <c r="H23" s="46" t="str">
        <f>IF(A23="","",COUNTIF('Intern Monitoring'!$D$4:$D$203,B23))</f>
        <v/>
      </c>
      <c r="I23" s="47" t="str">
        <f t="shared" si="0"/>
        <v/>
      </c>
    </row>
    <row r="24" spans="1:9" ht="14.25" customHeight="1" x14ac:dyDescent="0.3">
      <c r="A24" s="44"/>
      <c r="B24" s="45" t="str">
        <f>IFERROR(VLOOKUP(A24,'Paste - Mentors'!$A:$B,2,0),"")</f>
        <v/>
      </c>
      <c r="C24" s="44"/>
      <c r="D24" s="44"/>
      <c r="E24" s="44" t="str">
        <f>IFERROR(VLOOKUP(A24,'Paste - Mentors'!$A:$G,7,0),"")</f>
        <v/>
      </c>
      <c r="F24" s="44" t="str">
        <f>IFERROR(VLOOKUP(A24,'Paste - Mentors'!$A:$K,11,0),"")</f>
        <v/>
      </c>
      <c r="G24" s="44" t="str">
        <f>IF(A24="","",IF(COUNTIF('Paste - Mentors'!$A:$A,A24)&gt;0,"Registered","Not Found"))</f>
        <v/>
      </c>
      <c r="H24" s="46" t="str">
        <f>IF(A24="","",COUNTIF('Intern Monitoring'!$D$4:$D$203,B24))</f>
        <v/>
      </c>
      <c r="I24" s="47" t="str">
        <f t="shared" si="0"/>
        <v/>
      </c>
    </row>
    <row r="25" spans="1:9" ht="14.25" customHeight="1" x14ac:dyDescent="0.3">
      <c r="A25" s="44"/>
      <c r="B25" s="45" t="str">
        <f>IFERROR(VLOOKUP(A25,'Paste - Mentors'!$A:$B,2,0),"")</f>
        <v/>
      </c>
      <c r="C25" s="44"/>
      <c r="D25" s="44"/>
      <c r="E25" s="44" t="str">
        <f>IFERROR(VLOOKUP(A25,'Paste - Mentors'!$A:$G,7,0),"")</f>
        <v/>
      </c>
      <c r="F25" s="44" t="str">
        <f>IFERROR(VLOOKUP(A25,'Paste - Mentors'!$A:$K,11,0),"")</f>
        <v/>
      </c>
      <c r="G25" s="44" t="str">
        <f>IF(A25="","",IF(COUNTIF('Paste - Mentors'!$A:$A,A25)&gt;0,"Registered","Not Found"))</f>
        <v/>
      </c>
      <c r="H25" s="46" t="str">
        <f>IF(A25="","",COUNTIF('Intern Monitoring'!$D$4:$D$203,B25))</f>
        <v/>
      </c>
      <c r="I25" s="47" t="str">
        <f t="shared" si="0"/>
        <v/>
      </c>
    </row>
    <row r="26" spans="1:9" ht="14.25" customHeight="1" x14ac:dyDescent="0.3">
      <c r="A26" s="44"/>
      <c r="B26" s="45" t="str">
        <f>IFERROR(VLOOKUP(A26,'Paste - Mentors'!$A:$B,2,0),"")</f>
        <v/>
      </c>
      <c r="C26" s="44"/>
      <c r="D26" s="44"/>
      <c r="E26" s="44" t="str">
        <f>IFERROR(VLOOKUP(A26,'Paste - Mentors'!$A:$G,7,0),"")</f>
        <v/>
      </c>
      <c r="F26" s="44" t="str">
        <f>IFERROR(VLOOKUP(A26,'Paste - Mentors'!$A:$K,11,0),"")</f>
        <v/>
      </c>
      <c r="G26" s="44" t="str">
        <f>IF(A26="","",IF(COUNTIF('Paste - Mentors'!$A:$A,A26)&gt;0,"Registered","Not Found"))</f>
        <v/>
      </c>
      <c r="H26" s="46" t="str">
        <f>IF(A26="","",COUNTIF('Intern Monitoring'!$D$4:$D$203,B26))</f>
        <v/>
      </c>
      <c r="I26" s="47" t="str">
        <f t="shared" si="0"/>
        <v/>
      </c>
    </row>
    <row r="27" spans="1:9" ht="14.25" customHeight="1" x14ac:dyDescent="0.3">
      <c r="A27" s="44"/>
      <c r="B27" s="45" t="str">
        <f>IFERROR(VLOOKUP(A27,'Paste - Mentors'!$A:$B,2,0),"")</f>
        <v/>
      </c>
      <c r="C27" s="44"/>
      <c r="D27" s="44"/>
      <c r="E27" s="44" t="str">
        <f>IFERROR(VLOOKUP(A27,'Paste - Mentors'!$A:$G,7,0),"")</f>
        <v/>
      </c>
      <c r="F27" s="44" t="str">
        <f>IFERROR(VLOOKUP(A27,'Paste - Mentors'!$A:$K,11,0),"")</f>
        <v/>
      </c>
      <c r="G27" s="44" t="str">
        <f>IF(A27="","",IF(COUNTIF('Paste - Mentors'!$A:$A,A27)&gt;0,"Registered","Not Found"))</f>
        <v/>
      </c>
      <c r="H27" s="46" t="str">
        <f>IF(A27="","",COUNTIF('Intern Monitoring'!$D$4:$D$203,B27))</f>
        <v/>
      </c>
      <c r="I27" s="47" t="str">
        <f t="shared" si="0"/>
        <v/>
      </c>
    </row>
    <row r="28" spans="1:9" ht="14.25" customHeight="1" x14ac:dyDescent="0.3">
      <c r="A28" s="44"/>
      <c r="B28" s="45" t="str">
        <f>IFERROR(VLOOKUP(A28,'Paste - Mentors'!$A:$B,2,0),"")</f>
        <v/>
      </c>
      <c r="C28" s="44"/>
      <c r="D28" s="44"/>
      <c r="E28" s="44" t="str">
        <f>IFERROR(VLOOKUP(A28,'Paste - Mentors'!$A:$G,7,0),"")</f>
        <v/>
      </c>
      <c r="F28" s="44" t="str">
        <f>IFERROR(VLOOKUP(A28,'Paste - Mentors'!$A:$K,11,0),"")</f>
        <v/>
      </c>
      <c r="G28" s="44" t="str">
        <f>IF(A28="","",IF(COUNTIF('Paste - Mentors'!$A:$A,A28)&gt;0,"Registered","Not Found"))</f>
        <v/>
      </c>
      <c r="H28" s="46" t="str">
        <f>IF(A28="","",COUNTIF('Intern Monitoring'!$D$4:$D$203,B28))</f>
        <v/>
      </c>
      <c r="I28" s="47" t="str">
        <f t="shared" si="0"/>
        <v/>
      </c>
    </row>
    <row r="29" spans="1:9" ht="14.25" customHeight="1" x14ac:dyDescent="0.3">
      <c r="A29" s="44"/>
      <c r="B29" s="45" t="str">
        <f>IFERROR(VLOOKUP(A29,'Paste - Mentors'!$A:$B,2,0),"")</f>
        <v/>
      </c>
      <c r="C29" s="44"/>
      <c r="D29" s="44"/>
      <c r="E29" s="44" t="str">
        <f>IFERROR(VLOOKUP(A29,'Paste - Mentors'!$A:$G,7,0),"")</f>
        <v/>
      </c>
      <c r="F29" s="44" t="str">
        <f>IFERROR(VLOOKUP(A29,'Paste - Mentors'!$A:$K,11,0),"")</f>
        <v/>
      </c>
      <c r="G29" s="44" t="str">
        <f>IF(A29="","",IF(COUNTIF('Paste - Mentors'!$A:$A,A29)&gt;0,"Registered","Not Found"))</f>
        <v/>
      </c>
      <c r="H29" s="46" t="str">
        <f>IF(A29="","",COUNTIF('Intern Monitoring'!$D$4:$D$203,B29))</f>
        <v/>
      </c>
      <c r="I29" s="47" t="str">
        <f t="shared" si="0"/>
        <v/>
      </c>
    </row>
    <row r="30" spans="1:9" ht="14.25" customHeight="1" x14ac:dyDescent="0.3">
      <c r="A30" s="44"/>
      <c r="B30" s="45" t="str">
        <f>IFERROR(VLOOKUP(A30,'Paste - Mentors'!$A:$B,2,0),"")</f>
        <v/>
      </c>
      <c r="C30" s="44"/>
      <c r="D30" s="44"/>
      <c r="E30" s="44" t="str">
        <f>IFERROR(VLOOKUP(A30,'Paste - Mentors'!$A:$G,7,0),"")</f>
        <v/>
      </c>
      <c r="F30" s="44" t="str">
        <f>IFERROR(VLOOKUP(A30,'Paste - Mentors'!$A:$K,11,0),"")</f>
        <v/>
      </c>
      <c r="G30" s="44" t="str">
        <f>IF(A30="","",IF(COUNTIF('Paste - Mentors'!$A:$A,A30)&gt;0,"Registered","Not Found"))</f>
        <v/>
      </c>
      <c r="H30" s="46" t="str">
        <f>IF(A30="","",COUNTIF('Intern Monitoring'!$D$4:$D$203,B30))</f>
        <v/>
      </c>
      <c r="I30" s="47" t="str">
        <f t="shared" si="0"/>
        <v/>
      </c>
    </row>
    <row r="31" spans="1:9" ht="14.25" customHeight="1" x14ac:dyDescent="0.3">
      <c r="A31" s="44"/>
      <c r="B31" s="45" t="str">
        <f>IFERROR(VLOOKUP(A31,'Paste - Mentors'!$A:$B,2,0),"")</f>
        <v/>
      </c>
      <c r="C31" s="44"/>
      <c r="D31" s="44"/>
      <c r="E31" s="44" t="str">
        <f>IFERROR(VLOOKUP(A31,'Paste - Mentors'!$A:$G,7,0),"")</f>
        <v/>
      </c>
      <c r="F31" s="44" t="str">
        <f>IFERROR(VLOOKUP(A31,'Paste - Mentors'!$A:$K,11,0),"")</f>
        <v/>
      </c>
      <c r="G31" s="44" t="str">
        <f>IF(A31="","",IF(COUNTIF('Paste - Mentors'!$A:$A,A31)&gt;0,"Registered","Not Found"))</f>
        <v/>
      </c>
      <c r="H31" s="46" t="str">
        <f>IF(A31="","",COUNTIF('Intern Monitoring'!$D$4:$D$203,B31))</f>
        <v/>
      </c>
      <c r="I31" s="47" t="str">
        <f t="shared" si="0"/>
        <v/>
      </c>
    </row>
    <row r="32" spans="1:9" ht="14.25" customHeight="1" x14ac:dyDescent="0.3">
      <c r="A32" s="44"/>
      <c r="B32" s="45" t="str">
        <f>IFERROR(VLOOKUP(A32,'Paste - Mentors'!$A:$B,2,0),"")</f>
        <v/>
      </c>
      <c r="C32" s="44"/>
      <c r="D32" s="44"/>
      <c r="E32" s="44" t="str">
        <f>IFERROR(VLOOKUP(A32,'Paste - Mentors'!$A:$G,7,0),"")</f>
        <v/>
      </c>
      <c r="F32" s="44" t="str">
        <f>IFERROR(VLOOKUP(A32,'Paste - Mentors'!$A:$K,11,0),"")</f>
        <v/>
      </c>
      <c r="G32" s="44" t="str">
        <f>IF(A32="","",IF(COUNTIF('Paste - Mentors'!$A:$A,A32)&gt;0,"Registered","Not Found"))</f>
        <v/>
      </c>
      <c r="H32" s="46" t="str">
        <f>IF(A32="","",COUNTIF('Intern Monitoring'!$D$4:$D$203,B32))</f>
        <v/>
      </c>
      <c r="I32" s="47" t="str">
        <f t="shared" si="0"/>
        <v/>
      </c>
    </row>
    <row r="33" spans="1:9" ht="14.25" customHeight="1" x14ac:dyDescent="0.3">
      <c r="A33" s="44"/>
      <c r="B33" s="45" t="str">
        <f>IFERROR(VLOOKUP(A33,'Paste - Mentors'!$A:$B,2,0),"")</f>
        <v/>
      </c>
      <c r="C33" s="44"/>
      <c r="D33" s="44"/>
      <c r="E33" s="44" t="str">
        <f>IFERROR(VLOOKUP(A33,'Paste - Mentors'!$A:$G,7,0),"")</f>
        <v/>
      </c>
      <c r="F33" s="44" t="str">
        <f>IFERROR(VLOOKUP(A33,'Paste - Mentors'!$A:$K,11,0),"")</f>
        <v/>
      </c>
      <c r="G33" s="44" t="str">
        <f>IF(A33="","",IF(COUNTIF('Paste - Mentors'!$A:$A,A33)&gt;0,"Registered","Not Found"))</f>
        <v/>
      </c>
      <c r="H33" s="46" t="str">
        <f>IF(A33="","",COUNTIF('Intern Monitoring'!$D$4:$D$203,B33))</f>
        <v/>
      </c>
      <c r="I33" s="47" t="str">
        <f t="shared" si="0"/>
        <v/>
      </c>
    </row>
    <row r="34" spans="1:9" ht="14.25" customHeight="1" x14ac:dyDescent="0.3">
      <c r="A34" s="44"/>
      <c r="B34" s="45" t="str">
        <f>IFERROR(VLOOKUP(A34,'Paste - Mentors'!$A:$B,2,0),"")</f>
        <v/>
      </c>
      <c r="C34" s="44"/>
      <c r="D34" s="44"/>
      <c r="E34" s="44" t="str">
        <f>IFERROR(VLOOKUP(A34,'Paste - Mentors'!$A:$G,7,0),"")</f>
        <v/>
      </c>
      <c r="F34" s="44" t="str">
        <f>IFERROR(VLOOKUP(A34,'Paste - Mentors'!$A:$K,11,0),"")</f>
        <v/>
      </c>
      <c r="G34" s="44" t="str">
        <f>IF(A34="","",IF(COUNTIF('Paste - Mentors'!$A:$A,A34)&gt;0,"Registered","Not Found"))</f>
        <v/>
      </c>
      <c r="H34" s="46" t="str">
        <f>IF(A34="","",COUNTIF('Intern Monitoring'!$D$4:$D$203,B34))</f>
        <v/>
      </c>
      <c r="I34" s="47" t="str">
        <f t="shared" si="0"/>
        <v/>
      </c>
    </row>
    <row r="35" spans="1:9" ht="14.25" customHeight="1" x14ac:dyDescent="0.3">
      <c r="A35" s="44"/>
      <c r="B35" s="45" t="str">
        <f>IFERROR(VLOOKUP(A35,'Paste - Mentors'!$A:$B,2,0),"")</f>
        <v/>
      </c>
      <c r="C35" s="44"/>
      <c r="D35" s="44"/>
      <c r="E35" s="44" t="str">
        <f>IFERROR(VLOOKUP(A35,'Paste - Mentors'!$A:$G,7,0),"")</f>
        <v/>
      </c>
      <c r="F35" s="44" t="str">
        <f>IFERROR(VLOOKUP(A35,'Paste - Mentors'!$A:$K,11,0),"")</f>
        <v/>
      </c>
      <c r="G35" s="44" t="str">
        <f>IF(A35="","",IF(COUNTIF('Paste - Mentors'!$A:$A,A35)&gt;0,"Registered","Not Found"))</f>
        <v/>
      </c>
      <c r="H35" s="46" t="str">
        <f>IF(A35="","",COUNTIF('Intern Monitoring'!$D$4:$D$203,B35))</f>
        <v/>
      </c>
      <c r="I35" s="47" t="str">
        <f t="shared" si="0"/>
        <v/>
      </c>
    </row>
    <row r="36" spans="1:9" ht="14.25" customHeight="1" x14ac:dyDescent="0.3">
      <c r="A36" s="44"/>
      <c r="B36" s="45" t="str">
        <f>IFERROR(VLOOKUP(A36,'Paste - Mentors'!$A:$B,2,0),"")</f>
        <v/>
      </c>
      <c r="C36" s="44"/>
      <c r="D36" s="44"/>
      <c r="E36" s="44" t="str">
        <f>IFERROR(VLOOKUP(A36,'Paste - Mentors'!$A:$G,7,0),"")</f>
        <v/>
      </c>
      <c r="F36" s="44" t="str">
        <f>IFERROR(VLOOKUP(A36,'Paste - Mentors'!$A:$K,11,0),"")</f>
        <v/>
      </c>
      <c r="G36" s="44" t="str">
        <f>IF(A36="","",IF(COUNTIF('Paste - Mentors'!$A:$A,A36)&gt;0,"Registered","Not Found"))</f>
        <v/>
      </c>
      <c r="H36" s="46" t="str">
        <f>IF(A36="","",COUNTIF('Intern Monitoring'!$D$4:$D$203,B36))</f>
        <v/>
      </c>
      <c r="I36" s="47" t="str">
        <f t="shared" ref="I36:I67" si="1">IF(A36="","",IFERROR(IF(C36="",3,C36)-IF(H36="",0,H36),"-"))</f>
        <v/>
      </c>
    </row>
    <row r="37" spans="1:9" ht="14.25" customHeight="1" x14ac:dyDescent="0.3">
      <c r="A37" s="44"/>
      <c r="B37" s="45" t="str">
        <f>IFERROR(VLOOKUP(A37,'Paste - Mentors'!$A:$B,2,0),"")</f>
        <v/>
      </c>
      <c r="C37" s="44"/>
      <c r="D37" s="44"/>
      <c r="E37" s="44" t="str">
        <f>IFERROR(VLOOKUP(A37,'Paste - Mentors'!$A:$G,7,0),"")</f>
        <v/>
      </c>
      <c r="F37" s="44" t="str">
        <f>IFERROR(VLOOKUP(A37,'Paste - Mentors'!$A:$K,11,0),"")</f>
        <v/>
      </c>
      <c r="G37" s="44" t="str">
        <f>IF(A37="","",IF(COUNTIF('Paste - Mentors'!$A:$A,A37)&gt;0,"Registered","Not Found"))</f>
        <v/>
      </c>
      <c r="H37" s="46" t="str">
        <f>IF(A37="","",COUNTIF('Intern Monitoring'!$D$4:$D$203,B37))</f>
        <v/>
      </c>
      <c r="I37" s="47" t="str">
        <f t="shared" si="1"/>
        <v/>
      </c>
    </row>
    <row r="38" spans="1:9" ht="14.25" customHeight="1" x14ac:dyDescent="0.3">
      <c r="A38" s="44"/>
      <c r="B38" s="45" t="str">
        <f>IFERROR(VLOOKUP(A38,'Paste - Mentors'!$A:$B,2,0),"")</f>
        <v/>
      </c>
      <c r="C38" s="44"/>
      <c r="D38" s="44"/>
      <c r="E38" s="44" t="str">
        <f>IFERROR(VLOOKUP(A38,'Paste - Mentors'!$A:$G,7,0),"")</f>
        <v/>
      </c>
      <c r="F38" s="44" t="str">
        <f>IFERROR(VLOOKUP(A38,'Paste - Mentors'!$A:$K,11,0),"")</f>
        <v/>
      </c>
      <c r="G38" s="44" t="str">
        <f>IF(A38="","",IF(COUNTIF('Paste - Mentors'!$A:$A,A38)&gt;0,"Registered","Not Found"))</f>
        <v/>
      </c>
      <c r="H38" s="46" t="str">
        <f>IF(A38="","",COUNTIF('Intern Monitoring'!$D$4:$D$203,B38))</f>
        <v/>
      </c>
      <c r="I38" s="47" t="str">
        <f t="shared" si="1"/>
        <v/>
      </c>
    </row>
    <row r="39" spans="1:9" ht="14.25" customHeight="1" x14ac:dyDescent="0.3">
      <c r="A39" s="44"/>
      <c r="B39" s="45" t="str">
        <f>IFERROR(VLOOKUP(A39,'Paste - Mentors'!$A:$B,2,0),"")</f>
        <v/>
      </c>
      <c r="C39" s="44"/>
      <c r="D39" s="44"/>
      <c r="E39" s="44" t="str">
        <f>IFERROR(VLOOKUP(A39,'Paste - Mentors'!$A:$G,7,0),"")</f>
        <v/>
      </c>
      <c r="F39" s="44" t="str">
        <f>IFERROR(VLOOKUP(A39,'Paste - Mentors'!$A:$K,11,0),"")</f>
        <v/>
      </c>
      <c r="G39" s="44" t="str">
        <f>IF(A39="","",IF(COUNTIF('Paste - Mentors'!$A:$A,A39)&gt;0,"Registered","Not Found"))</f>
        <v/>
      </c>
      <c r="H39" s="46" t="str">
        <f>IF(A39="","",COUNTIF('Intern Monitoring'!$D$4:$D$203,B39))</f>
        <v/>
      </c>
      <c r="I39" s="47" t="str">
        <f t="shared" si="1"/>
        <v/>
      </c>
    </row>
    <row r="40" spans="1:9" ht="14.25" customHeight="1" x14ac:dyDescent="0.3">
      <c r="A40" s="44"/>
      <c r="B40" s="45" t="str">
        <f>IFERROR(VLOOKUP(A40,'Paste - Mentors'!$A:$B,2,0),"")</f>
        <v/>
      </c>
      <c r="C40" s="44"/>
      <c r="D40" s="44"/>
      <c r="E40" s="44" t="str">
        <f>IFERROR(VLOOKUP(A40,'Paste - Mentors'!$A:$G,7,0),"")</f>
        <v/>
      </c>
      <c r="F40" s="44" t="str">
        <f>IFERROR(VLOOKUP(A40,'Paste - Mentors'!$A:$K,11,0),"")</f>
        <v/>
      </c>
      <c r="G40" s="44" t="str">
        <f>IF(A40="","",IF(COUNTIF('Paste - Mentors'!$A:$A,A40)&gt;0,"Registered","Not Found"))</f>
        <v/>
      </c>
      <c r="H40" s="46" t="str">
        <f>IF(A40="","",COUNTIF('Intern Monitoring'!$D$4:$D$203,B40))</f>
        <v/>
      </c>
      <c r="I40" s="47" t="str">
        <f t="shared" si="1"/>
        <v/>
      </c>
    </row>
    <row r="41" spans="1:9" ht="14.25" customHeight="1" x14ac:dyDescent="0.3">
      <c r="A41" s="44"/>
      <c r="B41" s="45" t="str">
        <f>IFERROR(VLOOKUP(A41,'Paste - Mentors'!$A:$B,2,0),"")</f>
        <v/>
      </c>
      <c r="C41" s="44"/>
      <c r="D41" s="44"/>
      <c r="E41" s="44" t="str">
        <f>IFERROR(VLOOKUP(A41,'Paste - Mentors'!$A:$G,7,0),"")</f>
        <v/>
      </c>
      <c r="F41" s="44" t="str">
        <f>IFERROR(VLOOKUP(A41,'Paste - Mentors'!$A:$K,11,0),"")</f>
        <v/>
      </c>
      <c r="G41" s="44" t="str">
        <f>IF(A41="","",IF(COUNTIF('Paste - Mentors'!$A:$A,A41)&gt;0,"Registered","Not Found"))</f>
        <v/>
      </c>
      <c r="H41" s="46" t="str">
        <f>IF(A41="","",COUNTIF('Intern Monitoring'!$D$4:$D$203,B41))</f>
        <v/>
      </c>
      <c r="I41" s="47" t="str">
        <f t="shared" si="1"/>
        <v/>
      </c>
    </row>
    <row r="42" spans="1:9" ht="14.25" customHeight="1" x14ac:dyDescent="0.3">
      <c r="A42" s="44"/>
      <c r="B42" s="45" t="str">
        <f>IFERROR(VLOOKUP(A42,'Paste - Mentors'!$A:$B,2,0),"")</f>
        <v/>
      </c>
      <c r="C42" s="44"/>
      <c r="D42" s="44"/>
      <c r="E42" s="44" t="str">
        <f>IFERROR(VLOOKUP(A42,'Paste - Mentors'!$A:$G,7,0),"")</f>
        <v/>
      </c>
      <c r="F42" s="44" t="str">
        <f>IFERROR(VLOOKUP(A42,'Paste - Mentors'!$A:$K,11,0),"")</f>
        <v/>
      </c>
      <c r="G42" s="44" t="str">
        <f>IF(A42="","",IF(COUNTIF('Paste - Mentors'!$A:$A,A42)&gt;0,"Registered","Not Found"))</f>
        <v/>
      </c>
      <c r="H42" s="46" t="str">
        <f>IF(A42="","",COUNTIF('Intern Monitoring'!$D$4:$D$203,B42))</f>
        <v/>
      </c>
      <c r="I42" s="47" t="str">
        <f t="shared" si="1"/>
        <v/>
      </c>
    </row>
    <row r="43" spans="1:9" ht="14.25" customHeight="1" x14ac:dyDescent="0.3">
      <c r="A43" s="44"/>
      <c r="B43" s="45" t="str">
        <f>IFERROR(VLOOKUP(A43,'Paste - Mentors'!$A:$B,2,0),"")</f>
        <v/>
      </c>
      <c r="C43" s="44"/>
      <c r="D43" s="44"/>
      <c r="E43" s="44" t="str">
        <f>IFERROR(VLOOKUP(A43,'Paste - Mentors'!$A:$G,7,0),"")</f>
        <v/>
      </c>
      <c r="F43" s="44" t="str">
        <f>IFERROR(VLOOKUP(A43,'Paste - Mentors'!$A:$K,11,0),"")</f>
        <v/>
      </c>
      <c r="G43" s="44" t="str">
        <f>IF(A43="","",IF(COUNTIF('Paste - Mentors'!$A:$A,A43)&gt;0,"Registered","Not Found"))</f>
        <v/>
      </c>
      <c r="H43" s="46" t="str">
        <f>IF(A43="","",COUNTIF('Intern Monitoring'!$D$4:$D$203,B43))</f>
        <v/>
      </c>
      <c r="I43" s="47" t="str">
        <f t="shared" si="1"/>
        <v/>
      </c>
    </row>
    <row r="44" spans="1:9" ht="14.25" customHeight="1" x14ac:dyDescent="0.3">
      <c r="A44" s="44"/>
      <c r="B44" s="45" t="str">
        <f>IFERROR(VLOOKUP(A44,'Paste - Mentors'!$A:$B,2,0),"")</f>
        <v/>
      </c>
      <c r="C44" s="44"/>
      <c r="D44" s="44"/>
      <c r="E44" s="44" t="str">
        <f>IFERROR(VLOOKUP(A44,'Paste - Mentors'!$A:$G,7,0),"")</f>
        <v/>
      </c>
      <c r="F44" s="44" t="str">
        <f>IFERROR(VLOOKUP(A44,'Paste - Mentors'!$A:$K,11,0),"")</f>
        <v/>
      </c>
      <c r="G44" s="44" t="str">
        <f>IF(A44="","",IF(COUNTIF('Paste - Mentors'!$A:$A,A44)&gt;0,"Registered","Not Found"))</f>
        <v/>
      </c>
      <c r="H44" s="46" t="str">
        <f>IF(A44="","",COUNTIF('Intern Monitoring'!$D$4:$D$203,B44))</f>
        <v/>
      </c>
      <c r="I44" s="47" t="str">
        <f t="shared" si="1"/>
        <v/>
      </c>
    </row>
    <row r="45" spans="1:9" ht="14.25" customHeight="1" x14ac:dyDescent="0.3">
      <c r="A45" s="44"/>
      <c r="B45" s="45" t="str">
        <f>IFERROR(VLOOKUP(A45,'Paste - Mentors'!$A:$B,2,0),"")</f>
        <v/>
      </c>
      <c r="C45" s="44"/>
      <c r="D45" s="44"/>
      <c r="E45" s="44" t="str">
        <f>IFERROR(VLOOKUP(A45,'Paste - Mentors'!$A:$G,7,0),"")</f>
        <v/>
      </c>
      <c r="F45" s="44" t="str">
        <f>IFERROR(VLOOKUP(A45,'Paste - Mentors'!$A:$K,11,0),"")</f>
        <v/>
      </c>
      <c r="G45" s="44" t="str">
        <f>IF(A45="","",IF(COUNTIF('Paste - Mentors'!$A:$A,A45)&gt;0,"Registered","Not Found"))</f>
        <v/>
      </c>
      <c r="H45" s="46" t="str">
        <f>IF(A45="","",COUNTIF('Intern Monitoring'!$D$4:$D$203,B45))</f>
        <v/>
      </c>
      <c r="I45" s="47" t="str">
        <f t="shared" si="1"/>
        <v/>
      </c>
    </row>
    <row r="46" spans="1:9" ht="14.25" customHeight="1" x14ac:dyDescent="0.3">
      <c r="A46" s="44"/>
      <c r="B46" s="45" t="str">
        <f>IFERROR(VLOOKUP(A46,'Paste - Mentors'!$A:$B,2,0),"")</f>
        <v/>
      </c>
      <c r="C46" s="44"/>
      <c r="D46" s="44"/>
      <c r="E46" s="44" t="str">
        <f>IFERROR(VLOOKUP(A46,'Paste - Mentors'!$A:$G,7,0),"")</f>
        <v/>
      </c>
      <c r="F46" s="44" t="str">
        <f>IFERROR(VLOOKUP(A46,'Paste - Mentors'!$A:$K,11,0),"")</f>
        <v/>
      </c>
      <c r="G46" s="44" t="str">
        <f>IF(A46="","",IF(COUNTIF('Paste - Mentors'!$A:$A,A46)&gt;0,"Registered","Not Found"))</f>
        <v/>
      </c>
      <c r="H46" s="46" t="str">
        <f>IF(A46="","",COUNTIF('Intern Monitoring'!$D$4:$D$203,B46))</f>
        <v/>
      </c>
      <c r="I46" s="47" t="str">
        <f t="shared" si="1"/>
        <v/>
      </c>
    </row>
    <row r="47" spans="1:9" ht="14.25" customHeight="1" x14ac:dyDescent="0.3">
      <c r="A47" s="44"/>
      <c r="B47" s="45" t="str">
        <f>IFERROR(VLOOKUP(A47,'Paste - Mentors'!$A:$B,2,0),"")</f>
        <v/>
      </c>
      <c r="C47" s="44"/>
      <c r="D47" s="44"/>
      <c r="E47" s="44" t="str">
        <f>IFERROR(VLOOKUP(A47,'Paste - Mentors'!$A:$G,7,0),"")</f>
        <v/>
      </c>
      <c r="F47" s="44" t="str">
        <f>IFERROR(VLOOKUP(A47,'Paste - Mentors'!$A:$K,11,0),"")</f>
        <v/>
      </c>
      <c r="G47" s="44" t="str">
        <f>IF(A47="","",IF(COUNTIF('Paste - Mentors'!$A:$A,A47)&gt;0,"Registered","Not Found"))</f>
        <v/>
      </c>
      <c r="H47" s="46" t="str">
        <f>IF(A47="","",COUNTIF('Intern Monitoring'!$D$4:$D$203,B47))</f>
        <v/>
      </c>
      <c r="I47" s="47" t="str">
        <f t="shared" si="1"/>
        <v/>
      </c>
    </row>
    <row r="48" spans="1:9" ht="14.25" customHeight="1" x14ac:dyDescent="0.3">
      <c r="A48" s="44"/>
      <c r="B48" s="45" t="str">
        <f>IFERROR(VLOOKUP(A48,'Paste - Mentors'!$A:$B,2,0),"")</f>
        <v/>
      </c>
      <c r="C48" s="44"/>
      <c r="D48" s="44"/>
      <c r="E48" s="44" t="str">
        <f>IFERROR(VLOOKUP(A48,'Paste - Mentors'!$A:$G,7,0),"")</f>
        <v/>
      </c>
      <c r="F48" s="44" t="str">
        <f>IFERROR(VLOOKUP(A48,'Paste - Mentors'!$A:$K,11,0),"")</f>
        <v/>
      </c>
      <c r="G48" s="44" t="str">
        <f>IF(A48="","",IF(COUNTIF('Paste - Mentors'!$A:$A,A48)&gt;0,"Registered","Not Found"))</f>
        <v/>
      </c>
      <c r="H48" s="46" t="str">
        <f>IF(A48="","",COUNTIF('Intern Monitoring'!$D$4:$D$203,B48))</f>
        <v/>
      </c>
      <c r="I48" s="47" t="str">
        <f t="shared" si="1"/>
        <v/>
      </c>
    </row>
    <row r="49" spans="1:9" ht="14.25" customHeight="1" x14ac:dyDescent="0.3">
      <c r="A49" s="44"/>
      <c r="B49" s="45" t="str">
        <f>IFERROR(VLOOKUP(A49,'Paste - Mentors'!$A:$B,2,0),"")</f>
        <v/>
      </c>
      <c r="C49" s="44"/>
      <c r="D49" s="44"/>
      <c r="E49" s="44" t="str">
        <f>IFERROR(VLOOKUP(A49,'Paste - Mentors'!$A:$G,7,0),"")</f>
        <v/>
      </c>
      <c r="F49" s="44" t="str">
        <f>IFERROR(VLOOKUP(A49,'Paste - Mentors'!$A:$K,11,0),"")</f>
        <v/>
      </c>
      <c r="G49" s="44" t="str">
        <f>IF(A49="","",IF(COUNTIF('Paste - Mentors'!$A:$A,A49)&gt;0,"Registered","Not Found"))</f>
        <v/>
      </c>
      <c r="H49" s="46" t="str">
        <f>IF(A49="","",COUNTIF('Intern Monitoring'!$D$4:$D$203,B49))</f>
        <v/>
      </c>
      <c r="I49" s="47" t="str">
        <f t="shared" si="1"/>
        <v/>
      </c>
    </row>
    <row r="50" spans="1:9" ht="14.25" customHeight="1" x14ac:dyDescent="0.3">
      <c r="A50" s="44"/>
      <c r="B50" s="45" t="str">
        <f>IFERROR(VLOOKUP(A50,'Paste - Mentors'!$A:$B,2,0),"")</f>
        <v/>
      </c>
      <c r="C50" s="44"/>
      <c r="D50" s="44"/>
      <c r="E50" s="44" t="str">
        <f>IFERROR(VLOOKUP(A50,'Paste - Mentors'!$A:$G,7,0),"")</f>
        <v/>
      </c>
      <c r="F50" s="44" t="str">
        <f>IFERROR(VLOOKUP(A50,'Paste - Mentors'!$A:$K,11,0),"")</f>
        <v/>
      </c>
      <c r="G50" s="44" t="str">
        <f>IF(A50="","",IF(COUNTIF('Paste - Mentors'!$A:$A,A50)&gt;0,"Registered","Not Found"))</f>
        <v/>
      </c>
      <c r="H50" s="46" t="str">
        <f>IF(A50="","",COUNTIF('Intern Monitoring'!$D$4:$D$203,B50))</f>
        <v/>
      </c>
      <c r="I50" s="47" t="str">
        <f t="shared" si="1"/>
        <v/>
      </c>
    </row>
    <row r="51" spans="1:9" ht="14.25" customHeight="1" x14ac:dyDescent="0.3">
      <c r="A51" s="44"/>
      <c r="B51" s="45" t="str">
        <f>IFERROR(VLOOKUP(A51,'Paste - Mentors'!$A:$B,2,0),"")</f>
        <v/>
      </c>
      <c r="C51" s="44"/>
      <c r="D51" s="44"/>
      <c r="E51" s="44" t="str">
        <f>IFERROR(VLOOKUP(A51,'Paste - Mentors'!$A:$G,7,0),"")</f>
        <v/>
      </c>
      <c r="F51" s="44" t="str">
        <f>IFERROR(VLOOKUP(A51,'Paste - Mentors'!$A:$K,11,0),"")</f>
        <v/>
      </c>
      <c r="G51" s="44" t="str">
        <f>IF(A51="","",IF(COUNTIF('Paste - Mentors'!$A:$A,A51)&gt;0,"Registered","Not Found"))</f>
        <v/>
      </c>
      <c r="H51" s="46" t="str">
        <f>IF(A51="","",COUNTIF('Intern Monitoring'!$D$4:$D$203,B51))</f>
        <v/>
      </c>
      <c r="I51" s="47" t="str">
        <f t="shared" si="1"/>
        <v/>
      </c>
    </row>
    <row r="52" spans="1:9" ht="14.25" customHeight="1" x14ac:dyDescent="0.3">
      <c r="A52" s="44"/>
      <c r="B52" s="45" t="str">
        <f>IFERROR(VLOOKUP(A52,'Paste - Mentors'!$A:$B,2,0),"")</f>
        <v/>
      </c>
      <c r="C52" s="44"/>
      <c r="D52" s="44"/>
      <c r="E52" s="44" t="str">
        <f>IFERROR(VLOOKUP(A52,'Paste - Mentors'!$A:$G,7,0),"")</f>
        <v/>
      </c>
      <c r="F52" s="44" t="str">
        <f>IFERROR(VLOOKUP(A52,'Paste - Mentors'!$A:$K,11,0),"")</f>
        <v/>
      </c>
      <c r="G52" s="44" t="str">
        <f>IF(A52="","",IF(COUNTIF('Paste - Mentors'!$A:$A,A52)&gt;0,"Registered","Not Found"))</f>
        <v/>
      </c>
      <c r="H52" s="46" t="str">
        <f>IF(A52="","",COUNTIF('Intern Monitoring'!$D$4:$D$203,B52))</f>
        <v/>
      </c>
      <c r="I52" s="47" t="str">
        <f t="shared" si="1"/>
        <v/>
      </c>
    </row>
    <row r="53" spans="1:9" ht="14.25" customHeight="1" x14ac:dyDescent="0.3">
      <c r="A53" s="44"/>
      <c r="B53" s="45" t="str">
        <f>IFERROR(VLOOKUP(A53,'Paste - Mentors'!$A:$B,2,0),"")</f>
        <v/>
      </c>
      <c r="C53" s="44"/>
      <c r="D53" s="44"/>
      <c r="E53" s="44" t="str">
        <f>IFERROR(VLOOKUP(A53,'Paste - Mentors'!$A:$G,7,0),"")</f>
        <v/>
      </c>
      <c r="F53" s="44" t="str">
        <f>IFERROR(VLOOKUP(A53,'Paste - Mentors'!$A:$K,11,0),"")</f>
        <v/>
      </c>
      <c r="G53" s="44" t="str">
        <f>IF(A53="","",IF(COUNTIF('Paste - Mentors'!$A:$A,A53)&gt;0,"Registered","Not Found"))</f>
        <v/>
      </c>
      <c r="H53" s="46" t="str">
        <f>IF(A53="","",COUNTIF('Intern Monitoring'!$D$4:$D$203,B53))</f>
        <v/>
      </c>
      <c r="I53" s="47" t="str">
        <f t="shared" si="1"/>
        <v/>
      </c>
    </row>
    <row r="54" spans="1:9" ht="14.25" customHeight="1" x14ac:dyDescent="0.3">
      <c r="A54" s="44"/>
      <c r="B54" s="45" t="str">
        <f>IFERROR(VLOOKUP(A54,'Paste - Mentors'!$A:$B,2,0),"")</f>
        <v/>
      </c>
      <c r="C54" s="44"/>
      <c r="D54" s="44"/>
      <c r="E54" s="44" t="str">
        <f>IFERROR(VLOOKUP(A54,'Paste - Mentors'!$A:$G,7,0),"")</f>
        <v/>
      </c>
      <c r="F54" s="44" t="str">
        <f>IFERROR(VLOOKUP(A54,'Paste - Mentors'!$A:$K,11,0),"")</f>
        <v/>
      </c>
      <c r="G54" s="44" t="str">
        <f>IF(A54="","",IF(COUNTIF('Paste - Mentors'!$A:$A,A54)&gt;0,"Registered","Not Found"))</f>
        <v/>
      </c>
      <c r="H54" s="46" t="str">
        <f>IF(A54="","",COUNTIF('Intern Monitoring'!$D$4:$D$203,B54))</f>
        <v/>
      </c>
      <c r="I54" s="47" t="str">
        <f t="shared" si="1"/>
        <v/>
      </c>
    </row>
    <row r="55" spans="1:9" ht="14.25" customHeight="1" x14ac:dyDescent="0.3">
      <c r="A55" s="44"/>
      <c r="B55" s="45" t="str">
        <f>IFERROR(VLOOKUP(A55,'Paste - Mentors'!$A:$B,2,0),"")</f>
        <v/>
      </c>
      <c r="C55" s="44"/>
      <c r="D55" s="44"/>
      <c r="E55" s="44" t="str">
        <f>IFERROR(VLOOKUP(A55,'Paste - Mentors'!$A:$G,7,0),"")</f>
        <v/>
      </c>
      <c r="F55" s="44" t="str">
        <f>IFERROR(VLOOKUP(A55,'Paste - Mentors'!$A:$K,11,0),"")</f>
        <v/>
      </c>
      <c r="G55" s="44" t="str">
        <f>IF(A55="","",IF(COUNTIF('Paste - Mentors'!$A:$A,A55)&gt;0,"Registered","Not Found"))</f>
        <v/>
      </c>
      <c r="H55" s="46" t="str">
        <f>IF(A55="","",COUNTIF('Intern Monitoring'!$D$4:$D$203,B55))</f>
        <v/>
      </c>
      <c r="I55" s="47" t="str">
        <f t="shared" si="1"/>
        <v/>
      </c>
    </row>
    <row r="56" spans="1:9" ht="14.25" customHeight="1" x14ac:dyDescent="0.3">
      <c r="A56" s="44"/>
      <c r="B56" s="45" t="str">
        <f>IFERROR(VLOOKUP(A56,'Paste - Mentors'!$A:$B,2,0),"")</f>
        <v/>
      </c>
      <c r="C56" s="44"/>
      <c r="D56" s="44"/>
      <c r="E56" s="44" t="str">
        <f>IFERROR(VLOOKUP(A56,'Paste - Mentors'!$A:$G,7,0),"")</f>
        <v/>
      </c>
      <c r="F56" s="44" t="str">
        <f>IFERROR(VLOOKUP(A56,'Paste - Mentors'!$A:$K,11,0),"")</f>
        <v/>
      </c>
      <c r="G56" s="44" t="str">
        <f>IF(A56="","",IF(COUNTIF('Paste - Mentors'!$A:$A,A56)&gt;0,"Registered","Not Found"))</f>
        <v/>
      </c>
      <c r="H56" s="46" t="str">
        <f>IF(A56="","",COUNTIF('Intern Monitoring'!$D$4:$D$203,B56))</f>
        <v/>
      </c>
      <c r="I56" s="47" t="str">
        <f t="shared" si="1"/>
        <v/>
      </c>
    </row>
    <row r="57" spans="1:9" ht="14.25" customHeight="1" x14ac:dyDescent="0.3">
      <c r="A57" s="44"/>
      <c r="B57" s="45" t="str">
        <f>IFERROR(VLOOKUP(A57,'Paste - Mentors'!$A:$B,2,0),"")</f>
        <v/>
      </c>
      <c r="C57" s="44"/>
      <c r="D57" s="44"/>
      <c r="E57" s="44" t="str">
        <f>IFERROR(VLOOKUP(A57,'Paste - Mentors'!$A:$G,7,0),"")</f>
        <v/>
      </c>
      <c r="F57" s="44" t="str">
        <f>IFERROR(VLOOKUP(A57,'Paste - Mentors'!$A:$K,11,0),"")</f>
        <v/>
      </c>
      <c r="G57" s="44" t="str">
        <f>IF(A57="","",IF(COUNTIF('Paste - Mentors'!$A:$A,A57)&gt;0,"Registered","Not Found"))</f>
        <v/>
      </c>
      <c r="H57" s="46" t="str">
        <f>IF(A57="","",COUNTIF('Intern Monitoring'!$D$4:$D$203,B57))</f>
        <v/>
      </c>
      <c r="I57" s="47" t="str">
        <f t="shared" si="1"/>
        <v/>
      </c>
    </row>
    <row r="58" spans="1:9" ht="14.25" customHeight="1" x14ac:dyDescent="0.3">
      <c r="A58" s="44"/>
      <c r="B58" s="45" t="str">
        <f>IFERROR(VLOOKUP(A58,'Paste - Mentors'!$A:$B,2,0),"")</f>
        <v/>
      </c>
      <c r="C58" s="44"/>
      <c r="D58" s="44"/>
      <c r="E58" s="44" t="str">
        <f>IFERROR(VLOOKUP(A58,'Paste - Mentors'!$A:$G,7,0),"")</f>
        <v/>
      </c>
      <c r="F58" s="44" t="str">
        <f>IFERROR(VLOOKUP(A58,'Paste - Mentors'!$A:$K,11,0),"")</f>
        <v/>
      </c>
      <c r="G58" s="44" t="str">
        <f>IF(A58="","",IF(COUNTIF('Paste - Mentors'!$A:$A,A58)&gt;0,"Registered","Not Found"))</f>
        <v/>
      </c>
      <c r="H58" s="46" t="str">
        <f>IF(A58="","",COUNTIF('Intern Monitoring'!$D$4:$D$203,B58))</f>
        <v/>
      </c>
      <c r="I58" s="47" t="str">
        <f t="shared" si="1"/>
        <v/>
      </c>
    </row>
    <row r="59" spans="1:9" ht="14.25" customHeight="1" x14ac:dyDescent="0.3">
      <c r="A59" s="44"/>
      <c r="B59" s="45" t="str">
        <f>IFERROR(VLOOKUP(A59,'Paste - Mentors'!$A:$B,2,0),"")</f>
        <v/>
      </c>
      <c r="C59" s="44"/>
      <c r="D59" s="44"/>
      <c r="E59" s="44" t="str">
        <f>IFERROR(VLOOKUP(A59,'Paste - Mentors'!$A:$G,7,0),"")</f>
        <v/>
      </c>
      <c r="F59" s="44" t="str">
        <f>IFERROR(VLOOKUP(A59,'Paste - Mentors'!$A:$K,11,0),"")</f>
        <v/>
      </c>
      <c r="G59" s="44" t="str">
        <f>IF(A59="","",IF(COUNTIF('Paste - Mentors'!$A:$A,A59)&gt;0,"Registered","Not Found"))</f>
        <v/>
      </c>
      <c r="H59" s="46" t="str">
        <f>IF(A59="","",COUNTIF('Intern Monitoring'!$D$4:$D$203,B59))</f>
        <v/>
      </c>
      <c r="I59" s="47" t="str">
        <f t="shared" si="1"/>
        <v/>
      </c>
    </row>
    <row r="60" spans="1:9" ht="14.25" customHeight="1" x14ac:dyDescent="0.3">
      <c r="A60" s="44"/>
      <c r="B60" s="45" t="str">
        <f>IFERROR(VLOOKUP(A60,'Paste - Mentors'!$A:$B,2,0),"")</f>
        <v/>
      </c>
      <c r="C60" s="44"/>
      <c r="D60" s="44"/>
      <c r="E60" s="44" t="str">
        <f>IFERROR(VLOOKUP(A60,'Paste - Mentors'!$A:$G,7,0),"")</f>
        <v/>
      </c>
      <c r="F60" s="44" t="str">
        <f>IFERROR(VLOOKUP(A60,'Paste - Mentors'!$A:$K,11,0),"")</f>
        <v/>
      </c>
      <c r="G60" s="44" t="str">
        <f>IF(A60="","",IF(COUNTIF('Paste - Mentors'!$A:$A,A60)&gt;0,"Registered","Not Found"))</f>
        <v/>
      </c>
      <c r="H60" s="46" t="str">
        <f>IF(A60="","",COUNTIF('Intern Monitoring'!$D$4:$D$203,B60))</f>
        <v/>
      </c>
      <c r="I60" s="47" t="str">
        <f t="shared" si="1"/>
        <v/>
      </c>
    </row>
    <row r="61" spans="1:9" ht="14.25" customHeight="1" x14ac:dyDescent="0.3">
      <c r="A61" s="44"/>
      <c r="B61" s="45" t="str">
        <f>IFERROR(VLOOKUP(A61,'Paste - Mentors'!$A:$B,2,0),"")</f>
        <v/>
      </c>
      <c r="C61" s="44"/>
      <c r="D61" s="44"/>
      <c r="E61" s="44" t="str">
        <f>IFERROR(VLOOKUP(A61,'Paste - Mentors'!$A:$G,7,0),"")</f>
        <v/>
      </c>
      <c r="F61" s="44" t="str">
        <f>IFERROR(VLOOKUP(A61,'Paste - Mentors'!$A:$K,11,0),"")</f>
        <v/>
      </c>
      <c r="G61" s="44" t="str">
        <f>IF(A61="","",IF(COUNTIF('Paste - Mentors'!$A:$A,A61)&gt;0,"Registered","Not Found"))</f>
        <v/>
      </c>
      <c r="H61" s="46" t="str">
        <f>IF(A61="","",COUNTIF('Intern Monitoring'!$D$4:$D$203,B61))</f>
        <v/>
      </c>
      <c r="I61" s="47" t="str">
        <f t="shared" si="1"/>
        <v/>
      </c>
    </row>
    <row r="62" spans="1:9" ht="14.25" customHeight="1" x14ac:dyDescent="0.3">
      <c r="A62" s="44"/>
      <c r="B62" s="45" t="str">
        <f>IFERROR(VLOOKUP(A62,'Paste - Mentors'!$A:$B,2,0),"")</f>
        <v/>
      </c>
      <c r="C62" s="44"/>
      <c r="D62" s="44"/>
      <c r="E62" s="44" t="str">
        <f>IFERROR(VLOOKUP(A62,'Paste - Mentors'!$A:$G,7,0),"")</f>
        <v/>
      </c>
      <c r="F62" s="44" t="str">
        <f>IFERROR(VLOOKUP(A62,'Paste - Mentors'!$A:$K,11,0),"")</f>
        <v/>
      </c>
      <c r="G62" s="44" t="str">
        <f>IF(A62="","",IF(COUNTIF('Paste - Mentors'!$A:$A,A62)&gt;0,"Registered","Not Found"))</f>
        <v/>
      </c>
      <c r="H62" s="46" t="str">
        <f>IF(A62="","",COUNTIF('Intern Monitoring'!$D$4:$D$203,B62))</f>
        <v/>
      </c>
      <c r="I62" s="47" t="str">
        <f t="shared" si="1"/>
        <v/>
      </c>
    </row>
    <row r="63" spans="1:9" ht="14.25" customHeight="1" x14ac:dyDescent="0.3">
      <c r="A63" s="44"/>
      <c r="B63" s="45" t="str">
        <f>IFERROR(VLOOKUP(A63,'Paste - Mentors'!$A:$B,2,0),"")</f>
        <v/>
      </c>
      <c r="C63" s="44"/>
      <c r="D63" s="44"/>
      <c r="E63" s="44" t="str">
        <f>IFERROR(VLOOKUP(A63,'Paste - Mentors'!$A:$G,7,0),"")</f>
        <v/>
      </c>
      <c r="F63" s="44" t="str">
        <f>IFERROR(VLOOKUP(A63,'Paste - Mentors'!$A:$K,11,0),"")</f>
        <v/>
      </c>
      <c r="G63" s="44" t="str">
        <f>IF(A63="","",IF(COUNTIF('Paste - Mentors'!$A:$A,A63)&gt;0,"Registered","Not Found"))</f>
        <v/>
      </c>
      <c r="H63" s="46" t="str">
        <f>IF(A63="","",COUNTIF('Intern Monitoring'!$D$4:$D$203,B63))</f>
        <v/>
      </c>
      <c r="I63" s="47" t="str">
        <f t="shared" si="1"/>
        <v/>
      </c>
    </row>
    <row r="64" spans="1:9" ht="14.25" customHeight="1" x14ac:dyDescent="0.3">
      <c r="A64" s="44"/>
      <c r="B64" s="45" t="str">
        <f>IFERROR(VLOOKUP(A64,'Paste - Mentors'!$A:$B,2,0),"")</f>
        <v/>
      </c>
      <c r="C64" s="44"/>
      <c r="D64" s="44"/>
      <c r="E64" s="44" t="str">
        <f>IFERROR(VLOOKUP(A64,'Paste - Mentors'!$A:$G,7,0),"")</f>
        <v/>
      </c>
      <c r="F64" s="44" t="str">
        <f>IFERROR(VLOOKUP(A64,'Paste - Mentors'!$A:$K,11,0),"")</f>
        <v/>
      </c>
      <c r="G64" s="44" t="str">
        <f>IF(A64="","",IF(COUNTIF('Paste - Mentors'!$A:$A,A64)&gt;0,"Registered","Not Found"))</f>
        <v/>
      </c>
      <c r="H64" s="46" t="str">
        <f>IF(A64="","",COUNTIF('Intern Monitoring'!$D$4:$D$203,B64))</f>
        <v/>
      </c>
      <c r="I64" s="47" t="str">
        <f t="shared" si="1"/>
        <v/>
      </c>
    </row>
    <row r="65" spans="1:9" ht="14.25" customHeight="1" x14ac:dyDescent="0.3">
      <c r="A65" s="44"/>
      <c r="B65" s="45" t="str">
        <f>IFERROR(VLOOKUP(A65,'Paste - Mentors'!$A:$B,2,0),"")</f>
        <v/>
      </c>
      <c r="C65" s="44"/>
      <c r="D65" s="44"/>
      <c r="E65" s="44" t="str">
        <f>IFERROR(VLOOKUP(A65,'Paste - Mentors'!$A:$G,7,0),"")</f>
        <v/>
      </c>
      <c r="F65" s="44" t="str">
        <f>IFERROR(VLOOKUP(A65,'Paste - Mentors'!$A:$K,11,0),"")</f>
        <v/>
      </c>
      <c r="G65" s="44" t="str">
        <f>IF(A65="","",IF(COUNTIF('Paste - Mentors'!$A:$A,A65)&gt;0,"Registered","Not Found"))</f>
        <v/>
      </c>
      <c r="H65" s="46" t="str">
        <f>IF(A65="","",COUNTIF('Intern Monitoring'!$D$4:$D$203,B65))</f>
        <v/>
      </c>
      <c r="I65" s="47" t="str">
        <f t="shared" si="1"/>
        <v/>
      </c>
    </row>
    <row r="66" spans="1:9" ht="14.25" customHeight="1" x14ac:dyDescent="0.3">
      <c r="A66" s="44"/>
      <c r="B66" s="45" t="str">
        <f>IFERROR(VLOOKUP(A66,'Paste - Mentors'!$A:$B,2,0),"")</f>
        <v/>
      </c>
      <c r="C66" s="44"/>
      <c r="D66" s="44"/>
      <c r="E66" s="44" t="str">
        <f>IFERROR(VLOOKUP(A66,'Paste - Mentors'!$A:$G,7,0),"")</f>
        <v/>
      </c>
      <c r="F66" s="44" t="str">
        <f>IFERROR(VLOOKUP(A66,'Paste - Mentors'!$A:$K,11,0),"")</f>
        <v/>
      </c>
      <c r="G66" s="44" t="str">
        <f>IF(A66="","",IF(COUNTIF('Paste - Mentors'!$A:$A,A66)&gt;0,"Registered","Not Found"))</f>
        <v/>
      </c>
      <c r="H66" s="46" t="str">
        <f>IF(A66="","",COUNTIF('Intern Monitoring'!$D$4:$D$203,B66))</f>
        <v/>
      </c>
      <c r="I66" s="47" t="str">
        <f t="shared" si="1"/>
        <v/>
      </c>
    </row>
    <row r="67" spans="1:9" ht="14.25" customHeight="1" x14ac:dyDescent="0.3">
      <c r="A67" s="44"/>
      <c r="B67" s="45" t="str">
        <f>IFERROR(VLOOKUP(A67,'Paste - Mentors'!$A:$B,2,0),"")</f>
        <v/>
      </c>
      <c r="C67" s="44"/>
      <c r="D67" s="44"/>
      <c r="E67" s="44" t="str">
        <f>IFERROR(VLOOKUP(A67,'Paste - Mentors'!$A:$G,7,0),"")</f>
        <v/>
      </c>
      <c r="F67" s="44" t="str">
        <f>IFERROR(VLOOKUP(A67,'Paste - Mentors'!$A:$K,11,0),"")</f>
        <v/>
      </c>
      <c r="G67" s="44" t="str">
        <f>IF(A67="","",IF(COUNTIF('Paste - Mentors'!$A:$A,A67)&gt;0,"Registered","Not Found"))</f>
        <v/>
      </c>
      <c r="H67" s="46" t="str">
        <f>IF(A67="","",COUNTIF('Intern Monitoring'!$D$4:$D$203,B67))</f>
        <v/>
      </c>
      <c r="I67" s="47" t="str">
        <f t="shared" si="1"/>
        <v/>
      </c>
    </row>
    <row r="68" spans="1:9" ht="14.25" customHeight="1" x14ac:dyDescent="0.3">
      <c r="A68" s="44"/>
      <c r="B68" s="45" t="str">
        <f>IFERROR(VLOOKUP(A68,'Paste - Mentors'!$A:$B,2,0),"")</f>
        <v/>
      </c>
      <c r="C68" s="44"/>
      <c r="D68" s="44"/>
      <c r="E68" s="44" t="str">
        <f>IFERROR(VLOOKUP(A68,'Paste - Mentors'!$A:$G,7,0),"")</f>
        <v/>
      </c>
      <c r="F68" s="44" t="str">
        <f>IFERROR(VLOOKUP(A68,'Paste - Mentors'!$A:$K,11,0),"")</f>
        <v/>
      </c>
      <c r="G68" s="44" t="str">
        <f>IF(A68="","",IF(COUNTIF('Paste - Mentors'!$A:$A,A68)&gt;0,"Registered","Not Found"))</f>
        <v/>
      </c>
      <c r="H68" s="46" t="str">
        <f>IF(A68="","",COUNTIF('Intern Monitoring'!$D$4:$D$203,B68))</f>
        <v/>
      </c>
      <c r="I68" s="47" t="str">
        <f t="shared" ref="I68:I99" si="2">IF(A68="","",IFERROR(IF(C68="",3,C68)-IF(H68="",0,H68),"-"))</f>
        <v/>
      </c>
    </row>
    <row r="69" spans="1:9" ht="14.25" customHeight="1" x14ac:dyDescent="0.3">
      <c r="A69" s="44"/>
      <c r="B69" s="45" t="str">
        <f>IFERROR(VLOOKUP(A69,'Paste - Mentors'!$A:$B,2,0),"")</f>
        <v/>
      </c>
      <c r="C69" s="44"/>
      <c r="D69" s="44"/>
      <c r="E69" s="44" t="str">
        <f>IFERROR(VLOOKUP(A69,'Paste - Mentors'!$A:$G,7,0),"")</f>
        <v/>
      </c>
      <c r="F69" s="44" t="str">
        <f>IFERROR(VLOOKUP(A69,'Paste - Mentors'!$A:$K,11,0),"")</f>
        <v/>
      </c>
      <c r="G69" s="44" t="str">
        <f>IF(A69="","",IF(COUNTIF('Paste - Mentors'!$A:$A,A69)&gt;0,"Registered","Not Found"))</f>
        <v/>
      </c>
      <c r="H69" s="46" t="str">
        <f>IF(A69="","",COUNTIF('Intern Monitoring'!$D$4:$D$203,B69))</f>
        <v/>
      </c>
      <c r="I69" s="47" t="str">
        <f t="shared" si="2"/>
        <v/>
      </c>
    </row>
    <row r="70" spans="1:9" ht="14.25" customHeight="1" x14ac:dyDescent="0.3">
      <c r="A70" s="44"/>
      <c r="B70" s="45" t="str">
        <f>IFERROR(VLOOKUP(A70,'Paste - Mentors'!$A:$B,2,0),"")</f>
        <v/>
      </c>
      <c r="C70" s="44"/>
      <c r="D70" s="44"/>
      <c r="E70" s="44" t="str">
        <f>IFERROR(VLOOKUP(A70,'Paste - Mentors'!$A:$G,7,0),"")</f>
        <v/>
      </c>
      <c r="F70" s="44" t="str">
        <f>IFERROR(VLOOKUP(A70,'Paste - Mentors'!$A:$K,11,0),"")</f>
        <v/>
      </c>
      <c r="G70" s="44" t="str">
        <f>IF(A70="","",IF(COUNTIF('Paste - Mentors'!$A:$A,A70)&gt;0,"Registered","Not Found"))</f>
        <v/>
      </c>
      <c r="H70" s="46" t="str">
        <f>IF(A70="","",COUNTIF('Intern Monitoring'!$D$4:$D$203,B70))</f>
        <v/>
      </c>
      <c r="I70" s="47" t="str">
        <f t="shared" si="2"/>
        <v/>
      </c>
    </row>
    <row r="71" spans="1:9" ht="14.25" customHeight="1" x14ac:dyDescent="0.3">
      <c r="A71" s="44"/>
      <c r="B71" s="45" t="str">
        <f>IFERROR(VLOOKUP(A71,'Paste - Mentors'!$A:$B,2,0),"")</f>
        <v/>
      </c>
      <c r="C71" s="44"/>
      <c r="D71" s="44"/>
      <c r="E71" s="44" t="str">
        <f>IFERROR(VLOOKUP(A71,'Paste - Mentors'!$A:$G,7,0),"")</f>
        <v/>
      </c>
      <c r="F71" s="44" t="str">
        <f>IFERROR(VLOOKUP(A71,'Paste - Mentors'!$A:$K,11,0),"")</f>
        <v/>
      </c>
      <c r="G71" s="44" t="str">
        <f>IF(A71="","",IF(COUNTIF('Paste - Mentors'!$A:$A,A71)&gt;0,"Registered","Not Found"))</f>
        <v/>
      </c>
      <c r="H71" s="46" t="str">
        <f>IF(A71="","",COUNTIF('Intern Monitoring'!$D$4:$D$203,B71))</f>
        <v/>
      </c>
      <c r="I71" s="47" t="str">
        <f t="shared" si="2"/>
        <v/>
      </c>
    </row>
    <row r="72" spans="1:9" ht="14.25" customHeight="1" x14ac:dyDescent="0.3">
      <c r="A72" s="44"/>
      <c r="B72" s="45" t="str">
        <f>IFERROR(VLOOKUP(A72,'Paste - Mentors'!$A:$B,2,0),"")</f>
        <v/>
      </c>
      <c r="C72" s="44"/>
      <c r="D72" s="44"/>
      <c r="E72" s="44" t="str">
        <f>IFERROR(VLOOKUP(A72,'Paste - Mentors'!$A:$G,7,0),"")</f>
        <v/>
      </c>
      <c r="F72" s="44" t="str">
        <f>IFERROR(VLOOKUP(A72,'Paste - Mentors'!$A:$K,11,0),"")</f>
        <v/>
      </c>
      <c r="G72" s="44" t="str">
        <f>IF(A72="","",IF(COUNTIF('Paste - Mentors'!$A:$A,A72)&gt;0,"Registered","Not Found"))</f>
        <v/>
      </c>
      <c r="H72" s="46" t="str">
        <f>IF(A72="","",COUNTIF('Intern Monitoring'!$D$4:$D$203,B72))</f>
        <v/>
      </c>
      <c r="I72" s="47" t="str">
        <f t="shared" si="2"/>
        <v/>
      </c>
    </row>
    <row r="73" spans="1:9" ht="14.25" customHeight="1" x14ac:dyDescent="0.3">
      <c r="A73" s="44"/>
      <c r="B73" s="45" t="str">
        <f>IFERROR(VLOOKUP(A73,'Paste - Mentors'!$A:$B,2,0),"")</f>
        <v/>
      </c>
      <c r="C73" s="44"/>
      <c r="D73" s="44"/>
      <c r="E73" s="44" t="str">
        <f>IFERROR(VLOOKUP(A73,'Paste - Mentors'!$A:$G,7,0),"")</f>
        <v/>
      </c>
      <c r="F73" s="44" t="str">
        <f>IFERROR(VLOOKUP(A73,'Paste - Mentors'!$A:$K,11,0),"")</f>
        <v/>
      </c>
      <c r="G73" s="44" t="str">
        <f>IF(A73="","",IF(COUNTIF('Paste - Mentors'!$A:$A,A73)&gt;0,"Registered","Not Found"))</f>
        <v/>
      </c>
      <c r="H73" s="46" t="str">
        <f>IF(A73="","",COUNTIF('Intern Monitoring'!$D$4:$D$203,B73))</f>
        <v/>
      </c>
      <c r="I73" s="47" t="str">
        <f t="shared" si="2"/>
        <v/>
      </c>
    </row>
    <row r="74" spans="1:9" ht="14.25" customHeight="1" x14ac:dyDescent="0.3">
      <c r="A74" s="44"/>
      <c r="B74" s="45" t="str">
        <f>IFERROR(VLOOKUP(A74,'Paste - Mentors'!$A:$B,2,0),"")</f>
        <v/>
      </c>
      <c r="C74" s="44"/>
      <c r="D74" s="44"/>
      <c r="E74" s="44" t="str">
        <f>IFERROR(VLOOKUP(A74,'Paste - Mentors'!$A:$G,7,0),"")</f>
        <v/>
      </c>
      <c r="F74" s="44" t="str">
        <f>IFERROR(VLOOKUP(A74,'Paste - Mentors'!$A:$K,11,0),"")</f>
        <v/>
      </c>
      <c r="G74" s="44" t="str">
        <f>IF(A74="","",IF(COUNTIF('Paste - Mentors'!$A:$A,A74)&gt;0,"Registered","Not Found"))</f>
        <v/>
      </c>
      <c r="H74" s="46" t="str">
        <f>IF(A74="","",COUNTIF('Intern Monitoring'!$D$4:$D$203,B74))</f>
        <v/>
      </c>
      <c r="I74" s="47" t="str">
        <f t="shared" si="2"/>
        <v/>
      </c>
    </row>
    <row r="75" spans="1:9" ht="14.25" customHeight="1" x14ac:dyDescent="0.3">
      <c r="A75" s="44"/>
      <c r="B75" s="45" t="str">
        <f>IFERROR(VLOOKUP(A75,'Paste - Mentors'!$A:$B,2,0),"")</f>
        <v/>
      </c>
      <c r="C75" s="44"/>
      <c r="D75" s="44"/>
      <c r="E75" s="44" t="str">
        <f>IFERROR(VLOOKUP(A75,'Paste - Mentors'!$A:$G,7,0),"")</f>
        <v/>
      </c>
      <c r="F75" s="44" t="str">
        <f>IFERROR(VLOOKUP(A75,'Paste - Mentors'!$A:$K,11,0),"")</f>
        <v/>
      </c>
      <c r="G75" s="44" t="str">
        <f>IF(A75="","",IF(COUNTIF('Paste - Mentors'!$A:$A,A75)&gt;0,"Registered","Not Found"))</f>
        <v/>
      </c>
      <c r="H75" s="46" t="str">
        <f>IF(A75="","",COUNTIF('Intern Monitoring'!$D$4:$D$203,B75))</f>
        <v/>
      </c>
      <c r="I75" s="47" t="str">
        <f t="shared" si="2"/>
        <v/>
      </c>
    </row>
    <row r="76" spans="1:9" ht="14.25" customHeight="1" x14ac:dyDescent="0.3">
      <c r="A76" s="44"/>
      <c r="B76" s="45" t="str">
        <f>IFERROR(VLOOKUP(A76,'Paste - Mentors'!$A:$B,2,0),"")</f>
        <v/>
      </c>
      <c r="C76" s="44"/>
      <c r="D76" s="44"/>
      <c r="E76" s="44" t="str">
        <f>IFERROR(VLOOKUP(A76,'Paste - Mentors'!$A:$G,7,0),"")</f>
        <v/>
      </c>
      <c r="F76" s="44" t="str">
        <f>IFERROR(VLOOKUP(A76,'Paste - Mentors'!$A:$K,11,0),"")</f>
        <v/>
      </c>
      <c r="G76" s="44" t="str">
        <f>IF(A76="","",IF(COUNTIF('Paste - Mentors'!$A:$A,A76)&gt;0,"Registered","Not Found"))</f>
        <v/>
      </c>
      <c r="H76" s="46" t="str">
        <f>IF(A76="","",COUNTIF('Intern Monitoring'!$D$4:$D$203,B76))</f>
        <v/>
      </c>
      <c r="I76" s="47" t="str">
        <f t="shared" si="2"/>
        <v/>
      </c>
    </row>
    <row r="77" spans="1:9" ht="14.25" customHeight="1" x14ac:dyDescent="0.3">
      <c r="A77" s="44"/>
      <c r="B77" s="45" t="str">
        <f>IFERROR(VLOOKUP(A77,'Paste - Mentors'!$A:$B,2,0),"")</f>
        <v/>
      </c>
      <c r="C77" s="44"/>
      <c r="D77" s="44"/>
      <c r="E77" s="44" t="str">
        <f>IFERROR(VLOOKUP(A77,'Paste - Mentors'!$A:$G,7,0),"")</f>
        <v/>
      </c>
      <c r="F77" s="44" t="str">
        <f>IFERROR(VLOOKUP(A77,'Paste - Mentors'!$A:$K,11,0),"")</f>
        <v/>
      </c>
      <c r="G77" s="44" t="str">
        <f>IF(A77="","",IF(COUNTIF('Paste - Mentors'!$A:$A,A77)&gt;0,"Registered","Not Found"))</f>
        <v/>
      </c>
      <c r="H77" s="46" t="str">
        <f>IF(A77="","",COUNTIF('Intern Monitoring'!$D$4:$D$203,B77))</f>
        <v/>
      </c>
      <c r="I77" s="47" t="str">
        <f t="shared" si="2"/>
        <v/>
      </c>
    </row>
    <row r="78" spans="1:9" ht="14.25" customHeight="1" x14ac:dyDescent="0.3">
      <c r="A78" s="44"/>
      <c r="B78" s="45" t="str">
        <f>IFERROR(VLOOKUP(A78,'Paste - Mentors'!$A:$B,2,0),"")</f>
        <v/>
      </c>
      <c r="C78" s="44"/>
      <c r="D78" s="44"/>
      <c r="E78" s="44" t="str">
        <f>IFERROR(VLOOKUP(A78,'Paste - Mentors'!$A:$G,7,0),"")</f>
        <v/>
      </c>
      <c r="F78" s="44" t="str">
        <f>IFERROR(VLOOKUP(A78,'Paste - Mentors'!$A:$K,11,0),"")</f>
        <v/>
      </c>
      <c r="G78" s="44" t="str">
        <f>IF(A78="","",IF(COUNTIF('Paste - Mentors'!$A:$A,A78)&gt;0,"Registered","Not Found"))</f>
        <v/>
      </c>
      <c r="H78" s="46" t="str">
        <f>IF(A78="","",COUNTIF('Intern Monitoring'!$D$4:$D$203,B78))</f>
        <v/>
      </c>
      <c r="I78" s="47" t="str">
        <f t="shared" si="2"/>
        <v/>
      </c>
    </row>
    <row r="79" spans="1:9" ht="14.25" customHeight="1" x14ac:dyDescent="0.3">
      <c r="A79" s="44"/>
      <c r="B79" s="45" t="str">
        <f>IFERROR(VLOOKUP(A79,'Paste - Mentors'!$A:$B,2,0),"")</f>
        <v/>
      </c>
      <c r="C79" s="44"/>
      <c r="D79" s="44"/>
      <c r="E79" s="44" t="str">
        <f>IFERROR(VLOOKUP(A79,'Paste - Mentors'!$A:$G,7,0),"")</f>
        <v/>
      </c>
      <c r="F79" s="44" t="str">
        <f>IFERROR(VLOOKUP(A79,'Paste - Mentors'!$A:$K,11,0),"")</f>
        <v/>
      </c>
      <c r="G79" s="44" t="str">
        <f>IF(A79="","",IF(COUNTIF('Paste - Mentors'!$A:$A,A79)&gt;0,"Registered","Not Found"))</f>
        <v/>
      </c>
      <c r="H79" s="46" t="str">
        <f>IF(A79="","",COUNTIF('Intern Monitoring'!$D$4:$D$203,B79))</f>
        <v/>
      </c>
      <c r="I79" s="47" t="str">
        <f t="shared" si="2"/>
        <v/>
      </c>
    </row>
    <row r="80" spans="1:9" ht="14.25" customHeight="1" x14ac:dyDescent="0.3">
      <c r="A80" s="44"/>
      <c r="B80" s="45" t="str">
        <f>IFERROR(VLOOKUP(A80,'Paste - Mentors'!$A:$B,2,0),"")</f>
        <v/>
      </c>
      <c r="C80" s="44"/>
      <c r="D80" s="44"/>
      <c r="E80" s="44" t="str">
        <f>IFERROR(VLOOKUP(A80,'Paste - Mentors'!$A:$G,7,0),"")</f>
        <v/>
      </c>
      <c r="F80" s="44" t="str">
        <f>IFERROR(VLOOKUP(A80,'Paste - Mentors'!$A:$K,11,0),"")</f>
        <v/>
      </c>
      <c r="G80" s="44" t="str">
        <f>IF(A80="","",IF(COUNTIF('Paste - Mentors'!$A:$A,A80)&gt;0,"Registered","Not Found"))</f>
        <v/>
      </c>
      <c r="H80" s="46" t="str">
        <f>IF(A80="","",COUNTIF('Intern Monitoring'!$D$4:$D$203,B80))</f>
        <v/>
      </c>
      <c r="I80" s="47" t="str">
        <f t="shared" si="2"/>
        <v/>
      </c>
    </row>
    <row r="81" spans="1:9" ht="14.25" customHeight="1" x14ac:dyDescent="0.3">
      <c r="A81" s="44"/>
      <c r="B81" s="45" t="str">
        <f>IFERROR(VLOOKUP(A81,'Paste - Mentors'!$A:$B,2,0),"")</f>
        <v/>
      </c>
      <c r="C81" s="44"/>
      <c r="D81" s="44"/>
      <c r="E81" s="44" t="str">
        <f>IFERROR(VLOOKUP(A81,'Paste - Mentors'!$A:$G,7,0),"")</f>
        <v/>
      </c>
      <c r="F81" s="44" t="str">
        <f>IFERROR(VLOOKUP(A81,'Paste - Mentors'!$A:$K,11,0),"")</f>
        <v/>
      </c>
      <c r="G81" s="44" t="str">
        <f>IF(A81="","",IF(COUNTIF('Paste - Mentors'!$A:$A,A81)&gt;0,"Registered","Not Found"))</f>
        <v/>
      </c>
      <c r="H81" s="46" t="str">
        <f>IF(A81="","",COUNTIF('Intern Monitoring'!$D$4:$D$203,B81))</f>
        <v/>
      </c>
      <c r="I81" s="47" t="str">
        <f t="shared" si="2"/>
        <v/>
      </c>
    </row>
    <row r="82" spans="1:9" ht="14.25" customHeight="1" x14ac:dyDescent="0.3">
      <c r="A82" s="44"/>
      <c r="B82" s="45" t="str">
        <f>IFERROR(VLOOKUP(A82,'Paste - Mentors'!$A:$B,2,0),"")</f>
        <v/>
      </c>
      <c r="C82" s="44"/>
      <c r="D82" s="44"/>
      <c r="E82" s="44" t="str">
        <f>IFERROR(VLOOKUP(A82,'Paste - Mentors'!$A:$G,7,0),"")</f>
        <v/>
      </c>
      <c r="F82" s="44" t="str">
        <f>IFERROR(VLOOKUP(A82,'Paste - Mentors'!$A:$K,11,0),"")</f>
        <v/>
      </c>
      <c r="G82" s="44" t="str">
        <f>IF(A82="","",IF(COUNTIF('Paste - Mentors'!$A:$A,A82)&gt;0,"Registered","Not Found"))</f>
        <v/>
      </c>
      <c r="H82" s="46" t="str">
        <f>IF(A82="","",COUNTIF('Intern Monitoring'!$D$4:$D$203,B82))</f>
        <v/>
      </c>
      <c r="I82" s="47" t="str">
        <f t="shared" si="2"/>
        <v/>
      </c>
    </row>
    <row r="83" spans="1:9" ht="14.25" customHeight="1" x14ac:dyDescent="0.3">
      <c r="A83" s="44"/>
      <c r="B83" s="45" t="str">
        <f>IFERROR(VLOOKUP(A83,'Paste - Mentors'!$A:$B,2,0),"")</f>
        <v/>
      </c>
      <c r="C83" s="44"/>
      <c r="D83" s="44"/>
      <c r="E83" s="44" t="str">
        <f>IFERROR(VLOOKUP(A83,'Paste - Mentors'!$A:$G,7,0),"")</f>
        <v/>
      </c>
      <c r="F83" s="44" t="str">
        <f>IFERROR(VLOOKUP(A83,'Paste - Mentors'!$A:$K,11,0),"")</f>
        <v/>
      </c>
      <c r="G83" s="44" t="str">
        <f>IF(A83="","",IF(COUNTIF('Paste - Mentors'!$A:$A,A83)&gt;0,"Registered","Not Found"))</f>
        <v/>
      </c>
      <c r="H83" s="46" t="str">
        <f>IF(A83="","",COUNTIF('Intern Monitoring'!$D$4:$D$203,B83))</f>
        <v/>
      </c>
      <c r="I83" s="47" t="str">
        <f t="shared" si="2"/>
        <v/>
      </c>
    </row>
    <row r="84" spans="1:9" ht="14.25" customHeight="1" x14ac:dyDescent="0.3">
      <c r="A84" s="44"/>
      <c r="B84" s="45" t="str">
        <f>IFERROR(VLOOKUP(A84,'Paste - Mentors'!$A:$B,2,0),"")</f>
        <v/>
      </c>
      <c r="C84" s="44"/>
      <c r="D84" s="44"/>
      <c r="E84" s="44" t="str">
        <f>IFERROR(VLOOKUP(A84,'Paste - Mentors'!$A:$G,7,0),"")</f>
        <v/>
      </c>
      <c r="F84" s="44" t="str">
        <f>IFERROR(VLOOKUP(A84,'Paste - Mentors'!$A:$K,11,0),"")</f>
        <v/>
      </c>
      <c r="G84" s="44" t="str">
        <f>IF(A84="","",IF(COUNTIF('Paste - Mentors'!$A:$A,A84)&gt;0,"Registered","Not Found"))</f>
        <v/>
      </c>
      <c r="H84" s="46" t="str">
        <f>IF(A84="","",COUNTIF('Intern Monitoring'!$D$4:$D$203,B84))</f>
        <v/>
      </c>
      <c r="I84" s="47" t="str">
        <f t="shared" si="2"/>
        <v/>
      </c>
    </row>
    <row r="85" spans="1:9" ht="14.25" customHeight="1" x14ac:dyDescent="0.3">
      <c r="A85" s="44"/>
      <c r="B85" s="45" t="str">
        <f>IFERROR(VLOOKUP(A85,'Paste - Mentors'!$A:$B,2,0),"")</f>
        <v/>
      </c>
      <c r="C85" s="44"/>
      <c r="D85" s="44"/>
      <c r="E85" s="44" t="str">
        <f>IFERROR(VLOOKUP(A85,'Paste - Mentors'!$A:$G,7,0),"")</f>
        <v/>
      </c>
      <c r="F85" s="44" t="str">
        <f>IFERROR(VLOOKUP(A85,'Paste - Mentors'!$A:$K,11,0),"")</f>
        <v/>
      </c>
      <c r="G85" s="44" t="str">
        <f>IF(A85="","",IF(COUNTIF('Paste - Mentors'!$A:$A,A85)&gt;0,"Registered","Not Found"))</f>
        <v/>
      </c>
      <c r="H85" s="46" t="str">
        <f>IF(A85="","",COUNTIF('Intern Monitoring'!$D$4:$D$203,B85))</f>
        <v/>
      </c>
      <c r="I85" s="47" t="str">
        <f t="shared" si="2"/>
        <v/>
      </c>
    </row>
    <row r="86" spans="1:9" ht="14.25" customHeight="1" x14ac:dyDescent="0.3">
      <c r="A86" s="44"/>
      <c r="B86" s="45" t="str">
        <f>IFERROR(VLOOKUP(A86,'Paste - Mentors'!$A:$B,2,0),"")</f>
        <v/>
      </c>
      <c r="C86" s="44"/>
      <c r="D86" s="44"/>
      <c r="E86" s="44" t="str">
        <f>IFERROR(VLOOKUP(A86,'Paste - Mentors'!$A:$G,7,0),"")</f>
        <v/>
      </c>
      <c r="F86" s="44" t="str">
        <f>IFERROR(VLOOKUP(A86,'Paste - Mentors'!$A:$K,11,0),"")</f>
        <v/>
      </c>
      <c r="G86" s="44" t="str">
        <f>IF(A86="","",IF(COUNTIF('Paste - Mentors'!$A:$A,A86)&gt;0,"Registered","Not Found"))</f>
        <v/>
      </c>
      <c r="H86" s="46" t="str">
        <f>IF(A86="","",COUNTIF('Intern Monitoring'!$D$4:$D$203,B86))</f>
        <v/>
      </c>
      <c r="I86" s="47" t="str">
        <f t="shared" si="2"/>
        <v/>
      </c>
    </row>
    <row r="87" spans="1:9" ht="14.25" customHeight="1" x14ac:dyDescent="0.3">
      <c r="A87" s="44"/>
      <c r="B87" s="45" t="str">
        <f>IFERROR(VLOOKUP(A87,'Paste - Mentors'!$A:$B,2,0),"")</f>
        <v/>
      </c>
      <c r="C87" s="44"/>
      <c r="D87" s="44"/>
      <c r="E87" s="44" t="str">
        <f>IFERROR(VLOOKUP(A87,'Paste - Mentors'!$A:$G,7,0),"")</f>
        <v/>
      </c>
      <c r="F87" s="44" t="str">
        <f>IFERROR(VLOOKUP(A87,'Paste - Mentors'!$A:$K,11,0),"")</f>
        <v/>
      </c>
      <c r="G87" s="44" t="str">
        <f>IF(A87="","",IF(COUNTIF('Paste - Mentors'!$A:$A,A87)&gt;0,"Registered","Not Found"))</f>
        <v/>
      </c>
      <c r="H87" s="46" t="str">
        <f>IF(A87="","",COUNTIF('Intern Monitoring'!$D$4:$D$203,B87))</f>
        <v/>
      </c>
      <c r="I87" s="47" t="str">
        <f t="shared" si="2"/>
        <v/>
      </c>
    </row>
    <row r="88" spans="1:9" ht="14.25" customHeight="1" x14ac:dyDescent="0.3">
      <c r="A88" s="44"/>
      <c r="B88" s="45" t="str">
        <f>IFERROR(VLOOKUP(A88,'Paste - Mentors'!$A:$B,2,0),"")</f>
        <v/>
      </c>
      <c r="C88" s="44"/>
      <c r="D88" s="44"/>
      <c r="E88" s="44" t="str">
        <f>IFERROR(VLOOKUP(A88,'Paste - Mentors'!$A:$G,7,0),"")</f>
        <v/>
      </c>
      <c r="F88" s="44" t="str">
        <f>IFERROR(VLOOKUP(A88,'Paste - Mentors'!$A:$K,11,0),"")</f>
        <v/>
      </c>
      <c r="G88" s="44" t="str">
        <f>IF(A88="","",IF(COUNTIF('Paste - Mentors'!$A:$A,A88)&gt;0,"Registered","Not Found"))</f>
        <v/>
      </c>
      <c r="H88" s="46" t="str">
        <f>IF(A88="","",COUNTIF('Intern Monitoring'!$D$4:$D$203,B88))</f>
        <v/>
      </c>
      <c r="I88" s="47" t="str">
        <f t="shared" si="2"/>
        <v/>
      </c>
    </row>
    <row r="89" spans="1:9" ht="14.25" customHeight="1" x14ac:dyDescent="0.3">
      <c r="A89" s="44"/>
      <c r="B89" s="45" t="str">
        <f>IFERROR(VLOOKUP(A89,'Paste - Mentors'!$A:$B,2,0),"")</f>
        <v/>
      </c>
      <c r="C89" s="44"/>
      <c r="D89" s="44"/>
      <c r="E89" s="44" t="str">
        <f>IFERROR(VLOOKUP(A89,'Paste - Mentors'!$A:$G,7,0),"")</f>
        <v/>
      </c>
      <c r="F89" s="44" t="str">
        <f>IFERROR(VLOOKUP(A89,'Paste - Mentors'!$A:$K,11,0),"")</f>
        <v/>
      </c>
      <c r="G89" s="44" t="str">
        <f>IF(A89="","",IF(COUNTIF('Paste - Mentors'!$A:$A,A89)&gt;0,"Registered","Not Found"))</f>
        <v/>
      </c>
      <c r="H89" s="46" t="str">
        <f>IF(A89="","",COUNTIF('Intern Monitoring'!$D$4:$D$203,B89))</f>
        <v/>
      </c>
      <c r="I89" s="47" t="str">
        <f t="shared" si="2"/>
        <v/>
      </c>
    </row>
    <row r="90" spans="1:9" ht="14.25" customHeight="1" x14ac:dyDescent="0.3">
      <c r="A90" s="44"/>
      <c r="B90" s="45" t="str">
        <f>IFERROR(VLOOKUP(A90,'Paste - Mentors'!$A:$B,2,0),"")</f>
        <v/>
      </c>
      <c r="C90" s="44"/>
      <c r="D90" s="44"/>
      <c r="E90" s="44" t="str">
        <f>IFERROR(VLOOKUP(A90,'Paste - Mentors'!$A:$G,7,0),"")</f>
        <v/>
      </c>
      <c r="F90" s="44" t="str">
        <f>IFERROR(VLOOKUP(A90,'Paste - Mentors'!$A:$K,11,0),"")</f>
        <v/>
      </c>
      <c r="G90" s="44" t="str">
        <f>IF(A90="","",IF(COUNTIF('Paste - Mentors'!$A:$A,A90)&gt;0,"Registered","Not Found"))</f>
        <v/>
      </c>
      <c r="H90" s="46" t="str">
        <f>IF(A90="","",COUNTIF('Intern Monitoring'!$D$4:$D$203,B90))</f>
        <v/>
      </c>
      <c r="I90" s="47" t="str">
        <f t="shared" si="2"/>
        <v/>
      </c>
    </row>
    <row r="91" spans="1:9" ht="14.25" customHeight="1" x14ac:dyDescent="0.3">
      <c r="A91" s="44"/>
      <c r="B91" s="45" t="str">
        <f>IFERROR(VLOOKUP(A91,'Paste - Mentors'!$A:$B,2,0),"")</f>
        <v/>
      </c>
      <c r="C91" s="44"/>
      <c r="D91" s="44"/>
      <c r="E91" s="44" t="str">
        <f>IFERROR(VLOOKUP(A91,'Paste - Mentors'!$A:$G,7,0),"")</f>
        <v/>
      </c>
      <c r="F91" s="44" t="str">
        <f>IFERROR(VLOOKUP(A91,'Paste - Mentors'!$A:$K,11,0),"")</f>
        <v/>
      </c>
      <c r="G91" s="44" t="str">
        <f>IF(A91="","",IF(COUNTIF('Paste - Mentors'!$A:$A,A91)&gt;0,"Registered","Not Found"))</f>
        <v/>
      </c>
      <c r="H91" s="46" t="str">
        <f>IF(A91="","",COUNTIF('Intern Monitoring'!$D$4:$D$203,B91))</f>
        <v/>
      </c>
      <c r="I91" s="47" t="str">
        <f t="shared" si="2"/>
        <v/>
      </c>
    </row>
    <row r="92" spans="1:9" ht="14.25" customHeight="1" x14ac:dyDescent="0.3">
      <c r="A92" s="44"/>
      <c r="B92" s="45" t="str">
        <f>IFERROR(VLOOKUP(A92,'Paste - Mentors'!$A:$B,2,0),"")</f>
        <v/>
      </c>
      <c r="C92" s="44"/>
      <c r="D92" s="44"/>
      <c r="E92" s="44" t="str">
        <f>IFERROR(VLOOKUP(A92,'Paste - Mentors'!$A:$G,7,0),"")</f>
        <v/>
      </c>
      <c r="F92" s="44" t="str">
        <f>IFERROR(VLOOKUP(A92,'Paste - Mentors'!$A:$K,11,0),"")</f>
        <v/>
      </c>
      <c r="G92" s="44" t="str">
        <f>IF(A92="","",IF(COUNTIF('Paste - Mentors'!$A:$A,A92)&gt;0,"Registered","Not Found"))</f>
        <v/>
      </c>
      <c r="H92" s="46" t="str">
        <f>IF(A92="","",COUNTIF('Intern Monitoring'!$D$4:$D$203,B92))</f>
        <v/>
      </c>
      <c r="I92" s="47" t="str">
        <f t="shared" si="2"/>
        <v/>
      </c>
    </row>
    <row r="93" spans="1:9" ht="14.25" customHeight="1" x14ac:dyDescent="0.3">
      <c r="A93" s="44"/>
      <c r="B93" s="45" t="str">
        <f>IFERROR(VLOOKUP(A93,'Paste - Mentors'!$A:$B,2,0),"")</f>
        <v/>
      </c>
      <c r="C93" s="44"/>
      <c r="D93" s="44"/>
      <c r="E93" s="44" t="str">
        <f>IFERROR(VLOOKUP(A93,'Paste - Mentors'!$A:$G,7,0),"")</f>
        <v/>
      </c>
      <c r="F93" s="44" t="str">
        <f>IFERROR(VLOOKUP(A93,'Paste - Mentors'!$A:$K,11,0),"")</f>
        <v/>
      </c>
      <c r="G93" s="44" t="str">
        <f>IF(A93="","",IF(COUNTIF('Paste - Mentors'!$A:$A,A93)&gt;0,"Registered","Not Found"))</f>
        <v/>
      </c>
      <c r="H93" s="46" t="str">
        <f>IF(A93="","",COUNTIF('Intern Monitoring'!$D$4:$D$203,B93))</f>
        <v/>
      </c>
      <c r="I93" s="47" t="str">
        <f t="shared" si="2"/>
        <v/>
      </c>
    </row>
    <row r="94" spans="1:9" ht="14.25" customHeight="1" x14ac:dyDescent="0.3">
      <c r="A94" s="44"/>
      <c r="B94" s="45" t="str">
        <f>IFERROR(VLOOKUP(A94,'Paste - Mentors'!$A:$B,2,0),"")</f>
        <v/>
      </c>
      <c r="C94" s="44"/>
      <c r="D94" s="44"/>
      <c r="E94" s="44" t="str">
        <f>IFERROR(VLOOKUP(A94,'Paste - Mentors'!$A:$G,7,0),"")</f>
        <v/>
      </c>
      <c r="F94" s="44" t="str">
        <f>IFERROR(VLOOKUP(A94,'Paste - Mentors'!$A:$K,11,0),"")</f>
        <v/>
      </c>
      <c r="G94" s="44" t="str">
        <f>IF(A94="","",IF(COUNTIF('Paste - Mentors'!$A:$A,A94)&gt;0,"Registered","Not Found"))</f>
        <v/>
      </c>
      <c r="H94" s="46" t="str">
        <f>IF(A94="","",COUNTIF('Intern Monitoring'!$D$4:$D$203,B94))</f>
        <v/>
      </c>
      <c r="I94" s="47" t="str">
        <f t="shared" si="2"/>
        <v/>
      </c>
    </row>
    <row r="95" spans="1:9" ht="14.25" customHeight="1" x14ac:dyDescent="0.3">
      <c r="A95" s="44"/>
      <c r="B95" s="45" t="str">
        <f>IFERROR(VLOOKUP(A95,'Paste - Mentors'!$A:$B,2,0),"")</f>
        <v/>
      </c>
      <c r="C95" s="44"/>
      <c r="D95" s="44"/>
      <c r="E95" s="44" t="str">
        <f>IFERROR(VLOOKUP(A95,'Paste - Mentors'!$A:$G,7,0),"")</f>
        <v/>
      </c>
      <c r="F95" s="44" t="str">
        <f>IFERROR(VLOOKUP(A95,'Paste - Mentors'!$A:$K,11,0),"")</f>
        <v/>
      </c>
      <c r="G95" s="44" t="str">
        <f>IF(A95="","",IF(COUNTIF('Paste - Mentors'!$A:$A,A95)&gt;0,"Registered","Not Found"))</f>
        <v/>
      </c>
      <c r="H95" s="46" t="str">
        <f>IF(A95="","",COUNTIF('Intern Monitoring'!$D$4:$D$203,B95))</f>
        <v/>
      </c>
      <c r="I95" s="47" t="str">
        <f t="shared" si="2"/>
        <v/>
      </c>
    </row>
    <row r="96" spans="1:9" ht="14.25" customHeight="1" x14ac:dyDescent="0.3">
      <c r="A96" s="44"/>
      <c r="B96" s="45" t="str">
        <f>IFERROR(VLOOKUP(A96,'Paste - Mentors'!$A:$B,2,0),"")</f>
        <v/>
      </c>
      <c r="C96" s="44"/>
      <c r="D96" s="44"/>
      <c r="E96" s="44" t="str">
        <f>IFERROR(VLOOKUP(A96,'Paste - Mentors'!$A:$G,7,0),"")</f>
        <v/>
      </c>
      <c r="F96" s="44" t="str">
        <f>IFERROR(VLOOKUP(A96,'Paste - Mentors'!$A:$K,11,0),"")</f>
        <v/>
      </c>
      <c r="G96" s="44" t="str">
        <f>IF(A96="","",IF(COUNTIF('Paste - Mentors'!$A:$A,A96)&gt;0,"Registered","Not Found"))</f>
        <v/>
      </c>
      <c r="H96" s="46" t="str">
        <f>IF(A96="","",COUNTIF('Intern Monitoring'!$D$4:$D$203,B96))</f>
        <v/>
      </c>
      <c r="I96" s="47" t="str">
        <f t="shared" si="2"/>
        <v/>
      </c>
    </row>
    <row r="97" spans="1:9" ht="14.25" customHeight="1" x14ac:dyDescent="0.3">
      <c r="A97" s="44"/>
      <c r="B97" s="45" t="str">
        <f>IFERROR(VLOOKUP(A97,'Paste - Mentors'!$A:$B,2,0),"")</f>
        <v/>
      </c>
      <c r="C97" s="44"/>
      <c r="D97" s="44"/>
      <c r="E97" s="44" t="str">
        <f>IFERROR(VLOOKUP(A97,'Paste - Mentors'!$A:$G,7,0),"")</f>
        <v/>
      </c>
      <c r="F97" s="44" t="str">
        <f>IFERROR(VLOOKUP(A97,'Paste - Mentors'!$A:$K,11,0),"")</f>
        <v/>
      </c>
      <c r="G97" s="44" t="str">
        <f>IF(A97="","",IF(COUNTIF('Paste - Mentors'!$A:$A,A97)&gt;0,"Registered","Not Found"))</f>
        <v/>
      </c>
      <c r="H97" s="46" t="str">
        <f>IF(A97="","",COUNTIF('Intern Monitoring'!$D$4:$D$203,B97))</f>
        <v/>
      </c>
      <c r="I97" s="47" t="str">
        <f t="shared" si="2"/>
        <v/>
      </c>
    </row>
    <row r="98" spans="1:9" ht="14.25" customHeight="1" x14ac:dyDescent="0.3">
      <c r="A98" s="44"/>
      <c r="B98" s="45" t="str">
        <f>IFERROR(VLOOKUP(A98,'Paste - Mentors'!$A:$B,2,0),"")</f>
        <v/>
      </c>
      <c r="C98" s="44"/>
      <c r="D98" s="44"/>
      <c r="E98" s="44" t="str">
        <f>IFERROR(VLOOKUP(A98,'Paste - Mentors'!$A:$G,7,0),"")</f>
        <v/>
      </c>
      <c r="F98" s="44" t="str">
        <f>IFERROR(VLOOKUP(A98,'Paste - Mentors'!$A:$K,11,0),"")</f>
        <v/>
      </c>
      <c r="G98" s="44" t="str">
        <f>IF(A98="","",IF(COUNTIF('Paste - Mentors'!$A:$A,A98)&gt;0,"Registered","Not Found"))</f>
        <v/>
      </c>
      <c r="H98" s="46" t="str">
        <f>IF(A98="","",COUNTIF('Intern Monitoring'!$D$4:$D$203,B98))</f>
        <v/>
      </c>
      <c r="I98" s="47" t="str">
        <f t="shared" si="2"/>
        <v/>
      </c>
    </row>
    <row r="99" spans="1:9" ht="14.25" customHeight="1" x14ac:dyDescent="0.3">
      <c r="A99" s="44"/>
      <c r="B99" s="45" t="str">
        <f>IFERROR(VLOOKUP(A99,'Paste - Mentors'!$A:$B,2,0),"")</f>
        <v/>
      </c>
      <c r="C99" s="44"/>
      <c r="D99" s="44"/>
      <c r="E99" s="44" t="str">
        <f>IFERROR(VLOOKUP(A99,'Paste - Mentors'!$A:$G,7,0),"")</f>
        <v/>
      </c>
      <c r="F99" s="44" t="str">
        <f>IFERROR(VLOOKUP(A99,'Paste - Mentors'!$A:$K,11,0),"")</f>
        <v/>
      </c>
      <c r="G99" s="44" t="str">
        <f>IF(A99="","",IF(COUNTIF('Paste - Mentors'!$A:$A,A99)&gt;0,"Registered","Not Found"))</f>
        <v/>
      </c>
      <c r="H99" s="46" t="str">
        <f>IF(A99="","",COUNTIF('Intern Monitoring'!$D$4:$D$203,B99))</f>
        <v/>
      </c>
      <c r="I99" s="47" t="str">
        <f t="shared" si="2"/>
        <v/>
      </c>
    </row>
    <row r="100" spans="1:9" ht="14.25" customHeight="1" x14ac:dyDescent="0.3">
      <c r="A100" s="44"/>
      <c r="B100" s="45" t="str">
        <f>IFERROR(VLOOKUP(A100,'Paste - Mentors'!$A:$B,2,0),"")</f>
        <v/>
      </c>
      <c r="C100" s="44"/>
      <c r="D100" s="44"/>
      <c r="E100" s="44" t="str">
        <f>IFERROR(VLOOKUP(A100,'Paste - Mentors'!$A:$G,7,0),"")</f>
        <v/>
      </c>
      <c r="F100" s="44" t="str">
        <f>IFERROR(VLOOKUP(A100,'Paste - Mentors'!$A:$K,11,0),"")</f>
        <v/>
      </c>
      <c r="G100" s="44" t="str">
        <f>IF(A100="","",IF(COUNTIF('Paste - Mentors'!$A:$A,A100)&gt;0,"Registered","Not Found"))</f>
        <v/>
      </c>
      <c r="H100" s="46" t="str">
        <f>IF(A100="","",COUNTIF('Intern Monitoring'!$D$4:$D$203,B100))</f>
        <v/>
      </c>
      <c r="I100" s="47" t="str">
        <f t="shared" ref="I100:I131" si="3">IF(A100="","",IFERROR(IF(C100="",3,C100)-IF(H100="",0,H100),"-"))</f>
        <v/>
      </c>
    </row>
    <row r="101" spans="1:9" ht="14.25" customHeight="1" x14ac:dyDescent="0.3">
      <c r="A101" s="44"/>
      <c r="B101" s="45" t="str">
        <f>IFERROR(VLOOKUP(A101,'Paste - Mentors'!$A:$B,2,0),"")</f>
        <v/>
      </c>
      <c r="C101" s="44"/>
      <c r="D101" s="44"/>
      <c r="E101" s="44" t="str">
        <f>IFERROR(VLOOKUP(A101,'Paste - Mentors'!$A:$G,7,0),"")</f>
        <v/>
      </c>
      <c r="F101" s="44" t="str">
        <f>IFERROR(VLOOKUP(A101,'Paste - Mentors'!$A:$K,11,0),"")</f>
        <v/>
      </c>
      <c r="G101" s="44" t="str">
        <f>IF(A101="","",IF(COUNTIF('Paste - Mentors'!$A:$A,A101)&gt;0,"Registered","Not Found"))</f>
        <v/>
      </c>
      <c r="H101" s="46" t="str">
        <f>IF(A101="","",COUNTIF('Intern Monitoring'!$D$4:$D$203,B101))</f>
        <v/>
      </c>
      <c r="I101" s="47" t="str">
        <f t="shared" si="3"/>
        <v/>
      </c>
    </row>
    <row r="102" spans="1:9" ht="14.25" customHeight="1" x14ac:dyDescent="0.3">
      <c r="A102" s="44"/>
      <c r="B102" s="45" t="str">
        <f>IFERROR(VLOOKUP(A102,'Paste - Mentors'!$A:$B,2,0),"")</f>
        <v/>
      </c>
      <c r="C102" s="44"/>
      <c r="D102" s="44"/>
      <c r="E102" s="44" t="str">
        <f>IFERROR(VLOOKUP(A102,'Paste - Mentors'!$A:$G,7,0),"")</f>
        <v/>
      </c>
      <c r="F102" s="44" t="str">
        <f>IFERROR(VLOOKUP(A102,'Paste - Mentors'!$A:$K,11,0),"")</f>
        <v/>
      </c>
      <c r="G102" s="44" t="str">
        <f>IF(A102="","",IF(COUNTIF('Paste - Mentors'!$A:$A,A102)&gt;0,"Registered","Not Found"))</f>
        <v/>
      </c>
      <c r="H102" s="46" t="str">
        <f>IF(A102="","",COUNTIF('Intern Monitoring'!$D$4:$D$203,B102))</f>
        <v/>
      </c>
      <c r="I102" s="47" t="str">
        <f t="shared" si="3"/>
        <v/>
      </c>
    </row>
    <row r="103" spans="1:9" ht="14.25" customHeight="1" x14ac:dyDescent="0.3">
      <c r="A103" s="44"/>
      <c r="B103" s="45" t="str">
        <f>IFERROR(VLOOKUP(A103,'Paste - Mentors'!$A:$B,2,0),"")</f>
        <v/>
      </c>
      <c r="C103" s="44"/>
      <c r="D103" s="44"/>
      <c r="E103" s="44" t="str">
        <f>IFERROR(VLOOKUP(A103,'Paste - Mentors'!$A:$G,7,0),"")</f>
        <v/>
      </c>
      <c r="F103" s="44" t="str">
        <f>IFERROR(VLOOKUP(A103,'Paste - Mentors'!$A:$K,11,0),"")</f>
        <v/>
      </c>
      <c r="G103" s="44" t="str">
        <f>IF(A103="","",IF(COUNTIF('Paste - Mentors'!$A:$A,A103)&gt;0,"Registered","Not Found"))</f>
        <v/>
      </c>
      <c r="H103" s="46" t="str">
        <f>IF(A103="","",COUNTIF('Intern Monitoring'!$D$4:$D$203,B103))</f>
        <v/>
      </c>
      <c r="I103" s="47" t="str">
        <f t="shared" si="3"/>
        <v/>
      </c>
    </row>
    <row r="104" spans="1:9" ht="14.25" customHeight="1" x14ac:dyDescent="0.3">
      <c r="A104" s="44"/>
      <c r="B104" s="45" t="str">
        <f>IFERROR(VLOOKUP(A104,'Paste - Mentors'!$A:$B,2,0),"")</f>
        <v/>
      </c>
      <c r="C104" s="44"/>
      <c r="D104" s="44"/>
      <c r="E104" s="44" t="str">
        <f>IFERROR(VLOOKUP(A104,'Paste - Mentors'!$A:$G,7,0),"")</f>
        <v/>
      </c>
      <c r="F104" s="44" t="str">
        <f>IFERROR(VLOOKUP(A104,'Paste - Mentors'!$A:$K,11,0),"")</f>
        <v/>
      </c>
      <c r="G104" s="44" t="str">
        <f>IF(A104="","",IF(COUNTIF('Paste - Mentors'!$A:$A,A104)&gt;0,"Registered","Not Found"))</f>
        <v/>
      </c>
      <c r="H104" s="46" t="str">
        <f>IF(A104="","",COUNTIF('Intern Monitoring'!$D$4:$D$203,B104))</f>
        <v/>
      </c>
      <c r="I104" s="47" t="str">
        <f t="shared" si="3"/>
        <v/>
      </c>
    </row>
    <row r="105" spans="1:9" ht="14.25" customHeight="1" x14ac:dyDescent="0.3">
      <c r="A105" s="44"/>
      <c r="B105" s="45" t="str">
        <f>IFERROR(VLOOKUP(A105,'Paste - Mentors'!$A:$B,2,0),"")</f>
        <v/>
      </c>
      <c r="C105" s="44"/>
      <c r="D105" s="44"/>
      <c r="E105" s="44" t="str">
        <f>IFERROR(VLOOKUP(A105,'Paste - Mentors'!$A:$G,7,0),"")</f>
        <v/>
      </c>
      <c r="F105" s="44" t="str">
        <f>IFERROR(VLOOKUP(A105,'Paste - Mentors'!$A:$K,11,0),"")</f>
        <v/>
      </c>
      <c r="G105" s="44" t="str">
        <f>IF(A105="","",IF(COUNTIF('Paste - Mentors'!$A:$A,A105)&gt;0,"Registered","Not Found"))</f>
        <v/>
      </c>
      <c r="H105" s="46" t="str">
        <f>IF(A105="","",COUNTIF('Intern Monitoring'!$D$4:$D$203,B105))</f>
        <v/>
      </c>
      <c r="I105" s="47" t="str">
        <f t="shared" si="3"/>
        <v/>
      </c>
    </row>
    <row r="106" spans="1:9" ht="14.25" customHeight="1" x14ac:dyDescent="0.3">
      <c r="A106" s="44"/>
      <c r="B106" s="45" t="str">
        <f>IFERROR(VLOOKUP(A106,'Paste - Mentors'!$A:$B,2,0),"")</f>
        <v/>
      </c>
      <c r="C106" s="44"/>
      <c r="D106" s="44"/>
      <c r="E106" s="44" t="str">
        <f>IFERROR(VLOOKUP(A106,'Paste - Mentors'!$A:$G,7,0),"")</f>
        <v/>
      </c>
      <c r="F106" s="44" t="str">
        <f>IFERROR(VLOOKUP(A106,'Paste - Mentors'!$A:$K,11,0),"")</f>
        <v/>
      </c>
      <c r="G106" s="44" t="str">
        <f>IF(A106="","",IF(COUNTIF('Paste - Mentors'!$A:$A,A106)&gt;0,"Registered","Not Found"))</f>
        <v/>
      </c>
      <c r="H106" s="46" t="str">
        <f>IF(A106="","",COUNTIF('Intern Monitoring'!$D$4:$D$203,B106))</f>
        <v/>
      </c>
      <c r="I106" s="47" t="str">
        <f t="shared" si="3"/>
        <v/>
      </c>
    </row>
    <row r="107" spans="1:9" ht="14.25" customHeight="1" x14ac:dyDescent="0.3">
      <c r="A107" s="44"/>
      <c r="B107" s="45" t="str">
        <f>IFERROR(VLOOKUP(A107,'Paste - Mentors'!$A:$B,2,0),"")</f>
        <v/>
      </c>
      <c r="C107" s="44"/>
      <c r="D107" s="44"/>
      <c r="E107" s="44" t="str">
        <f>IFERROR(VLOOKUP(A107,'Paste - Mentors'!$A:$G,7,0),"")</f>
        <v/>
      </c>
      <c r="F107" s="44" t="str">
        <f>IFERROR(VLOOKUP(A107,'Paste - Mentors'!$A:$K,11,0),"")</f>
        <v/>
      </c>
      <c r="G107" s="44" t="str">
        <f>IF(A107="","",IF(COUNTIF('Paste - Mentors'!$A:$A,A107)&gt;0,"Registered","Not Found"))</f>
        <v/>
      </c>
      <c r="H107" s="46" t="str">
        <f>IF(A107="","",COUNTIF('Intern Monitoring'!$D$4:$D$203,B107))</f>
        <v/>
      </c>
      <c r="I107" s="47" t="str">
        <f t="shared" si="3"/>
        <v/>
      </c>
    </row>
    <row r="108" spans="1:9" ht="14.25" customHeight="1" x14ac:dyDescent="0.3">
      <c r="A108" s="44"/>
      <c r="B108" s="45" t="str">
        <f>IFERROR(VLOOKUP(A108,'Paste - Mentors'!$A:$B,2,0),"")</f>
        <v/>
      </c>
      <c r="C108" s="44"/>
      <c r="D108" s="44"/>
      <c r="E108" s="44" t="str">
        <f>IFERROR(VLOOKUP(A108,'Paste - Mentors'!$A:$G,7,0),"")</f>
        <v/>
      </c>
      <c r="F108" s="44" t="str">
        <f>IFERROR(VLOOKUP(A108,'Paste - Mentors'!$A:$K,11,0),"")</f>
        <v/>
      </c>
      <c r="G108" s="44" t="str">
        <f>IF(A108="","",IF(COUNTIF('Paste - Mentors'!$A:$A,A108)&gt;0,"Registered","Not Found"))</f>
        <v/>
      </c>
      <c r="H108" s="46" t="str">
        <f>IF(A108="","",COUNTIF('Intern Monitoring'!$D$4:$D$203,B108))</f>
        <v/>
      </c>
      <c r="I108" s="47" t="str">
        <f t="shared" si="3"/>
        <v/>
      </c>
    </row>
    <row r="109" spans="1:9" ht="14.25" customHeight="1" x14ac:dyDescent="0.3">
      <c r="A109" s="44"/>
      <c r="B109" s="45" t="str">
        <f>IFERROR(VLOOKUP(A109,'Paste - Mentors'!$A:$B,2,0),"")</f>
        <v/>
      </c>
      <c r="C109" s="44"/>
      <c r="D109" s="44"/>
      <c r="E109" s="44" t="str">
        <f>IFERROR(VLOOKUP(A109,'Paste - Mentors'!$A:$G,7,0),"")</f>
        <v/>
      </c>
      <c r="F109" s="44" t="str">
        <f>IFERROR(VLOOKUP(A109,'Paste - Mentors'!$A:$K,11,0),"")</f>
        <v/>
      </c>
      <c r="G109" s="44" t="str">
        <f>IF(A109="","",IF(COUNTIF('Paste - Mentors'!$A:$A,A109)&gt;0,"Registered","Not Found"))</f>
        <v/>
      </c>
      <c r="H109" s="46" t="str">
        <f>IF(A109="","",COUNTIF('Intern Monitoring'!$D$4:$D$203,B109))</f>
        <v/>
      </c>
      <c r="I109" s="47" t="str">
        <f t="shared" si="3"/>
        <v/>
      </c>
    </row>
    <row r="110" spans="1:9" ht="14.25" customHeight="1" x14ac:dyDescent="0.3">
      <c r="A110" s="44"/>
      <c r="B110" s="45" t="str">
        <f>IFERROR(VLOOKUP(A110,'Paste - Mentors'!$A:$B,2,0),"")</f>
        <v/>
      </c>
      <c r="C110" s="44"/>
      <c r="D110" s="44"/>
      <c r="E110" s="44" t="str">
        <f>IFERROR(VLOOKUP(A110,'Paste - Mentors'!$A:$G,7,0),"")</f>
        <v/>
      </c>
      <c r="F110" s="44" t="str">
        <f>IFERROR(VLOOKUP(A110,'Paste - Mentors'!$A:$K,11,0),"")</f>
        <v/>
      </c>
      <c r="G110" s="44" t="str">
        <f>IF(A110="","",IF(COUNTIF('Paste - Mentors'!$A:$A,A110)&gt;0,"Registered","Not Found"))</f>
        <v/>
      </c>
      <c r="H110" s="46" t="str">
        <f>IF(A110="","",COUNTIF('Intern Monitoring'!$D$4:$D$203,B110))</f>
        <v/>
      </c>
      <c r="I110" s="47" t="str">
        <f t="shared" si="3"/>
        <v/>
      </c>
    </row>
    <row r="111" spans="1:9" ht="14.25" customHeight="1" x14ac:dyDescent="0.3">
      <c r="A111" s="44"/>
      <c r="B111" s="45" t="str">
        <f>IFERROR(VLOOKUP(A111,'Paste - Mentors'!$A:$B,2,0),"")</f>
        <v/>
      </c>
      <c r="C111" s="44"/>
      <c r="D111" s="44"/>
      <c r="E111" s="44" t="str">
        <f>IFERROR(VLOOKUP(A111,'Paste - Mentors'!$A:$G,7,0),"")</f>
        <v/>
      </c>
      <c r="F111" s="44" t="str">
        <f>IFERROR(VLOOKUP(A111,'Paste - Mentors'!$A:$K,11,0),"")</f>
        <v/>
      </c>
      <c r="G111" s="44" t="str">
        <f>IF(A111="","",IF(COUNTIF('Paste - Mentors'!$A:$A,A111)&gt;0,"Registered","Not Found"))</f>
        <v/>
      </c>
      <c r="H111" s="46" t="str">
        <f>IF(A111="","",COUNTIF('Intern Monitoring'!$D$4:$D$203,B111))</f>
        <v/>
      </c>
      <c r="I111" s="47" t="str">
        <f t="shared" si="3"/>
        <v/>
      </c>
    </row>
    <row r="112" spans="1:9" ht="14.25" customHeight="1" x14ac:dyDescent="0.3">
      <c r="A112" s="44"/>
      <c r="B112" s="45" t="str">
        <f>IFERROR(VLOOKUP(A112,'Paste - Mentors'!$A:$B,2,0),"")</f>
        <v/>
      </c>
      <c r="C112" s="44"/>
      <c r="D112" s="44"/>
      <c r="E112" s="44" t="str">
        <f>IFERROR(VLOOKUP(A112,'Paste - Mentors'!$A:$G,7,0),"")</f>
        <v/>
      </c>
      <c r="F112" s="44" t="str">
        <f>IFERROR(VLOOKUP(A112,'Paste - Mentors'!$A:$K,11,0),"")</f>
        <v/>
      </c>
      <c r="G112" s="44" t="str">
        <f>IF(A112="","",IF(COUNTIF('Paste - Mentors'!$A:$A,A112)&gt;0,"Registered","Not Found"))</f>
        <v/>
      </c>
      <c r="H112" s="46" t="str">
        <f>IF(A112="","",COUNTIF('Intern Monitoring'!$D$4:$D$203,B112))</f>
        <v/>
      </c>
      <c r="I112" s="47" t="str">
        <f t="shared" si="3"/>
        <v/>
      </c>
    </row>
    <row r="113" spans="1:9" ht="14.25" customHeight="1" x14ac:dyDescent="0.3">
      <c r="A113" s="44"/>
      <c r="B113" s="45" t="str">
        <f>IFERROR(VLOOKUP(A113,'Paste - Mentors'!$A:$B,2,0),"")</f>
        <v/>
      </c>
      <c r="C113" s="44"/>
      <c r="D113" s="44"/>
      <c r="E113" s="44" t="str">
        <f>IFERROR(VLOOKUP(A113,'Paste - Mentors'!$A:$G,7,0),"")</f>
        <v/>
      </c>
      <c r="F113" s="44" t="str">
        <f>IFERROR(VLOOKUP(A113,'Paste - Mentors'!$A:$K,11,0),"")</f>
        <v/>
      </c>
      <c r="G113" s="44" t="str">
        <f>IF(A113="","",IF(COUNTIF('Paste - Mentors'!$A:$A,A113)&gt;0,"Registered","Not Found"))</f>
        <v/>
      </c>
      <c r="H113" s="46" t="str">
        <f>IF(A113="","",COUNTIF('Intern Monitoring'!$D$4:$D$203,B113))</f>
        <v/>
      </c>
      <c r="I113" s="47" t="str">
        <f t="shared" si="3"/>
        <v/>
      </c>
    </row>
    <row r="114" spans="1:9" ht="14.25" customHeight="1" x14ac:dyDescent="0.3">
      <c r="A114" s="44"/>
      <c r="B114" s="45" t="str">
        <f>IFERROR(VLOOKUP(A114,'Paste - Mentors'!$A:$B,2,0),"")</f>
        <v/>
      </c>
      <c r="C114" s="44"/>
      <c r="D114" s="44"/>
      <c r="E114" s="44" t="str">
        <f>IFERROR(VLOOKUP(A114,'Paste - Mentors'!$A:$G,7,0),"")</f>
        <v/>
      </c>
      <c r="F114" s="44" t="str">
        <f>IFERROR(VLOOKUP(A114,'Paste - Mentors'!$A:$K,11,0),"")</f>
        <v/>
      </c>
      <c r="G114" s="44" t="str">
        <f>IF(A114="","",IF(COUNTIF('Paste - Mentors'!$A:$A,A114)&gt;0,"Registered","Not Found"))</f>
        <v/>
      </c>
      <c r="H114" s="46" t="str">
        <f>IF(A114="","",COUNTIF('Intern Monitoring'!$D$4:$D$203,B114))</f>
        <v/>
      </c>
      <c r="I114" s="47" t="str">
        <f t="shared" si="3"/>
        <v/>
      </c>
    </row>
    <row r="115" spans="1:9" ht="14.25" customHeight="1" x14ac:dyDescent="0.3">
      <c r="A115" s="44"/>
      <c r="B115" s="45" t="str">
        <f>IFERROR(VLOOKUP(A115,'Paste - Mentors'!$A:$B,2,0),"")</f>
        <v/>
      </c>
      <c r="C115" s="44"/>
      <c r="D115" s="44"/>
      <c r="E115" s="44" t="str">
        <f>IFERROR(VLOOKUP(A115,'Paste - Mentors'!$A:$G,7,0),"")</f>
        <v/>
      </c>
      <c r="F115" s="44" t="str">
        <f>IFERROR(VLOOKUP(A115,'Paste - Mentors'!$A:$K,11,0),"")</f>
        <v/>
      </c>
      <c r="G115" s="44" t="str">
        <f>IF(A115="","",IF(COUNTIF('Paste - Mentors'!$A:$A,A115)&gt;0,"Registered","Not Found"))</f>
        <v/>
      </c>
      <c r="H115" s="46" t="str">
        <f>IF(A115="","",COUNTIF('Intern Monitoring'!$D$4:$D$203,B115))</f>
        <v/>
      </c>
      <c r="I115" s="47" t="str">
        <f t="shared" si="3"/>
        <v/>
      </c>
    </row>
    <row r="116" spans="1:9" ht="14.25" customHeight="1" x14ac:dyDescent="0.3">
      <c r="A116" s="44"/>
      <c r="B116" s="45" t="str">
        <f>IFERROR(VLOOKUP(A116,'Paste - Mentors'!$A:$B,2,0),"")</f>
        <v/>
      </c>
      <c r="C116" s="44"/>
      <c r="D116" s="44"/>
      <c r="E116" s="44" t="str">
        <f>IFERROR(VLOOKUP(A116,'Paste - Mentors'!$A:$G,7,0),"")</f>
        <v/>
      </c>
      <c r="F116" s="44" t="str">
        <f>IFERROR(VLOOKUP(A116,'Paste - Mentors'!$A:$K,11,0),"")</f>
        <v/>
      </c>
      <c r="G116" s="44" t="str">
        <f>IF(A116="","",IF(COUNTIF('Paste - Mentors'!$A:$A,A116)&gt;0,"Registered","Not Found"))</f>
        <v/>
      </c>
      <c r="H116" s="46" t="str">
        <f>IF(A116="","",COUNTIF('Intern Monitoring'!$D$4:$D$203,B116))</f>
        <v/>
      </c>
      <c r="I116" s="47" t="str">
        <f t="shared" si="3"/>
        <v/>
      </c>
    </row>
    <row r="117" spans="1:9" ht="14.25" customHeight="1" x14ac:dyDescent="0.3">
      <c r="A117" s="44"/>
      <c r="B117" s="45" t="str">
        <f>IFERROR(VLOOKUP(A117,'Paste - Mentors'!$A:$B,2,0),"")</f>
        <v/>
      </c>
      <c r="C117" s="44"/>
      <c r="D117" s="44"/>
      <c r="E117" s="44" t="str">
        <f>IFERROR(VLOOKUP(A117,'Paste - Mentors'!$A:$G,7,0),"")</f>
        <v/>
      </c>
      <c r="F117" s="44" t="str">
        <f>IFERROR(VLOOKUP(A117,'Paste - Mentors'!$A:$K,11,0),"")</f>
        <v/>
      </c>
      <c r="G117" s="44" t="str">
        <f>IF(A117="","",IF(COUNTIF('Paste - Mentors'!$A:$A,A117)&gt;0,"Registered","Not Found"))</f>
        <v/>
      </c>
      <c r="H117" s="46" t="str">
        <f>IF(A117="","",COUNTIF('Intern Monitoring'!$D$4:$D$203,B117))</f>
        <v/>
      </c>
      <c r="I117" s="47" t="str">
        <f t="shared" si="3"/>
        <v/>
      </c>
    </row>
    <row r="118" spans="1:9" ht="14.25" customHeight="1" x14ac:dyDescent="0.3">
      <c r="A118" s="44"/>
      <c r="B118" s="45" t="str">
        <f>IFERROR(VLOOKUP(A118,'Paste - Mentors'!$A:$B,2,0),"")</f>
        <v/>
      </c>
      <c r="C118" s="44"/>
      <c r="D118" s="44"/>
      <c r="E118" s="44" t="str">
        <f>IFERROR(VLOOKUP(A118,'Paste - Mentors'!$A:$G,7,0),"")</f>
        <v/>
      </c>
      <c r="F118" s="44" t="str">
        <f>IFERROR(VLOOKUP(A118,'Paste - Mentors'!$A:$K,11,0),"")</f>
        <v/>
      </c>
      <c r="G118" s="44" t="str">
        <f>IF(A118="","",IF(COUNTIF('Paste - Mentors'!$A:$A,A118)&gt;0,"Registered","Not Found"))</f>
        <v/>
      </c>
      <c r="H118" s="46" t="str">
        <f>IF(A118="","",COUNTIF('Intern Monitoring'!$D$4:$D$203,B118))</f>
        <v/>
      </c>
      <c r="I118" s="47" t="str">
        <f t="shared" si="3"/>
        <v/>
      </c>
    </row>
    <row r="119" spans="1:9" ht="14.25" customHeight="1" x14ac:dyDescent="0.3">
      <c r="A119" s="44"/>
      <c r="B119" s="45" t="str">
        <f>IFERROR(VLOOKUP(A119,'Paste - Mentors'!$A:$B,2,0),"")</f>
        <v/>
      </c>
      <c r="C119" s="44"/>
      <c r="D119" s="44"/>
      <c r="E119" s="44" t="str">
        <f>IFERROR(VLOOKUP(A119,'Paste - Mentors'!$A:$G,7,0),"")</f>
        <v/>
      </c>
      <c r="F119" s="44" t="str">
        <f>IFERROR(VLOOKUP(A119,'Paste - Mentors'!$A:$K,11,0),"")</f>
        <v/>
      </c>
      <c r="G119" s="44" t="str">
        <f>IF(A119="","",IF(COUNTIF('Paste - Mentors'!$A:$A,A119)&gt;0,"Registered","Not Found"))</f>
        <v/>
      </c>
      <c r="H119" s="46" t="str">
        <f>IF(A119="","",COUNTIF('Intern Monitoring'!$D$4:$D$203,B119))</f>
        <v/>
      </c>
      <c r="I119" s="47" t="str">
        <f t="shared" si="3"/>
        <v/>
      </c>
    </row>
    <row r="120" spans="1:9" ht="14.25" customHeight="1" x14ac:dyDescent="0.3">
      <c r="A120" s="44"/>
      <c r="B120" s="45" t="str">
        <f>IFERROR(VLOOKUP(A120,'Paste - Mentors'!$A:$B,2,0),"")</f>
        <v/>
      </c>
      <c r="C120" s="44"/>
      <c r="D120" s="44"/>
      <c r="E120" s="44" t="str">
        <f>IFERROR(VLOOKUP(A120,'Paste - Mentors'!$A:$G,7,0),"")</f>
        <v/>
      </c>
      <c r="F120" s="44" t="str">
        <f>IFERROR(VLOOKUP(A120,'Paste - Mentors'!$A:$K,11,0),"")</f>
        <v/>
      </c>
      <c r="G120" s="44" t="str">
        <f>IF(A120="","",IF(COUNTIF('Paste - Mentors'!$A:$A,A120)&gt;0,"Registered","Not Found"))</f>
        <v/>
      </c>
      <c r="H120" s="46" t="str">
        <f>IF(A120="","",COUNTIF('Intern Monitoring'!$D$4:$D$203,B120))</f>
        <v/>
      </c>
      <c r="I120" s="47" t="str">
        <f t="shared" si="3"/>
        <v/>
      </c>
    </row>
    <row r="121" spans="1:9" ht="14.25" customHeight="1" x14ac:dyDescent="0.3">
      <c r="A121" s="44"/>
      <c r="B121" s="45" t="str">
        <f>IFERROR(VLOOKUP(A121,'Paste - Mentors'!$A:$B,2,0),"")</f>
        <v/>
      </c>
      <c r="C121" s="44"/>
      <c r="D121" s="44"/>
      <c r="E121" s="44" t="str">
        <f>IFERROR(VLOOKUP(A121,'Paste - Mentors'!$A:$G,7,0),"")</f>
        <v/>
      </c>
      <c r="F121" s="44" t="str">
        <f>IFERROR(VLOOKUP(A121,'Paste - Mentors'!$A:$K,11,0),"")</f>
        <v/>
      </c>
      <c r="G121" s="44" t="str">
        <f>IF(A121="","",IF(COUNTIF('Paste - Mentors'!$A:$A,A121)&gt;0,"Registered","Not Found"))</f>
        <v/>
      </c>
      <c r="H121" s="46" t="str">
        <f>IF(A121="","",COUNTIF('Intern Monitoring'!$D$4:$D$203,B121))</f>
        <v/>
      </c>
      <c r="I121" s="47" t="str">
        <f t="shared" si="3"/>
        <v/>
      </c>
    </row>
    <row r="122" spans="1:9" ht="14.25" customHeight="1" x14ac:dyDescent="0.3">
      <c r="A122" s="44"/>
      <c r="B122" s="45" t="str">
        <f>IFERROR(VLOOKUP(A122,'Paste - Mentors'!$A:$B,2,0),"")</f>
        <v/>
      </c>
      <c r="C122" s="44"/>
      <c r="D122" s="44"/>
      <c r="E122" s="44" t="str">
        <f>IFERROR(VLOOKUP(A122,'Paste - Mentors'!$A:$G,7,0),"")</f>
        <v/>
      </c>
      <c r="F122" s="44" t="str">
        <f>IFERROR(VLOOKUP(A122,'Paste - Mentors'!$A:$K,11,0),"")</f>
        <v/>
      </c>
      <c r="G122" s="44" t="str">
        <f>IF(A122="","",IF(COUNTIF('Paste - Mentors'!$A:$A,A122)&gt;0,"Registered","Not Found"))</f>
        <v/>
      </c>
      <c r="H122" s="46" t="str">
        <f>IF(A122="","",COUNTIF('Intern Monitoring'!$D$4:$D$203,B122))</f>
        <v/>
      </c>
      <c r="I122" s="47" t="str">
        <f t="shared" si="3"/>
        <v/>
      </c>
    </row>
    <row r="123" spans="1:9" ht="14.25" customHeight="1" x14ac:dyDescent="0.3">
      <c r="A123" s="44"/>
      <c r="B123" s="45" t="str">
        <f>IFERROR(VLOOKUP(A123,'Paste - Mentors'!$A:$B,2,0),"")</f>
        <v/>
      </c>
      <c r="C123" s="44"/>
      <c r="D123" s="44"/>
      <c r="E123" s="44" t="str">
        <f>IFERROR(VLOOKUP(A123,'Paste - Mentors'!$A:$G,7,0),"")</f>
        <v/>
      </c>
      <c r="F123" s="44" t="str">
        <f>IFERROR(VLOOKUP(A123,'Paste - Mentors'!$A:$K,11,0),"")</f>
        <v/>
      </c>
      <c r="G123" s="44" t="str">
        <f>IF(A123="","",IF(COUNTIF('Paste - Mentors'!$A:$A,A123)&gt;0,"Registered","Not Found"))</f>
        <v/>
      </c>
      <c r="H123" s="46" t="str">
        <f>IF(A123="","",COUNTIF('Intern Monitoring'!$D$4:$D$203,B123))</f>
        <v/>
      </c>
      <c r="I123" s="47" t="str">
        <f t="shared" si="3"/>
        <v/>
      </c>
    </row>
    <row r="124" spans="1:9" ht="14.25" customHeight="1" x14ac:dyDescent="0.3">
      <c r="A124" s="44"/>
      <c r="B124" s="45" t="str">
        <f>IFERROR(VLOOKUP(A124,'Paste - Mentors'!$A:$B,2,0),"")</f>
        <v/>
      </c>
      <c r="C124" s="44"/>
      <c r="D124" s="44"/>
      <c r="E124" s="44" t="str">
        <f>IFERROR(VLOOKUP(A124,'Paste - Mentors'!$A:$G,7,0),"")</f>
        <v/>
      </c>
      <c r="F124" s="44" t="str">
        <f>IFERROR(VLOOKUP(A124,'Paste - Mentors'!$A:$K,11,0),"")</f>
        <v/>
      </c>
      <c r="G124" s="44" t="str">
        <f>IF(A124="","",IF(COUNTIF('Paste - Mentors'!$A:$A,A124)&gt;0,"Registered","Not Found"))</f>
        <v/>
      </c>
      <c r="H124" s="46" t="str">
        <f>IF(A124="","",COUNTIF('Intern Monitoring'!$D$4:$D$203,B124))</f>
        <v/>
      </c>
      <c r="I124" s="47" t="str">
        <f t="shared" si="3"/>
        <v/>
      </c>
    </row>
    <row r="125" spans="1:9" ht="14.25" customHeight="1" x14ac:dyDescent="0.3">
      <c r="A125" s="44"/>
      <c r="B125" s="45" t="str">
        <f>IFERROR(VLOOKUP(A125,'Paste - Mentors'!$A:$B,2,0),"")</f>
        <v/>
      </c>
      <c r="C125" s="44"/>
      <c r="D125" s="44"/>
      <c r="E125" s="44" t="str">
        <f>IFERROR(VLOOKUP(A125,'Paste - Mentors'!$A:$G,7,0),"")</f>
        <v/>
      </c>
      <c r="F125" s="44" t="str">
        <f>IFERROR(VLOOKUP(A125,'Paste - Mentors'!$A:$K,11,0),"")</f>
        <v/>
      </c>
      <c r="G125" s="44" t="str">
        <f>IF(A125="","",IF(COUNTIF('Paste - Mentors'!$A:$A,A125)&gt;0,"Registered","Not Found"))</f>
        <v/>
      </c>
      <c r="H125" s="46" t="str">
        <f>IF(A125="","",COUNTIF('Intern Monitoring'!$D$4:$D$203,B125))</f>
        <v/>
      </c>
      <c r="I125" s="47" t="str">
        <f t="shared" si="3"/>
        <v/>
      </c>
    </row>
    <row r="126" spans="1:9" ht="14.25" customHeight="1" x14ac:dyDescent="0.3">
      <c r="A126" s="44"/>
      <c r="B126" s="45" t="str">
        <f>IFERROR(VLOOKUP(A126,'Paste - Mentors'!$A:$B,2,0),"")</f>
        <v/>
      </c>
      <c r="C126" s="44"/>
      <c r="D126" s="44"/>
      <c r="E126" s="44" t="str">
        <f>IFERROR(VLOOKUP(A126,'Paste - Mentors'!$A:$G,7,0),"")</f>
        <v/>
      </c>
      <c r="F126" s="44" t="str">
        <f>IFERROR(VLOOKUP(A126,'Paste - Mentors'!$A:$K,11,0),"")</f>
        <v/>
      </c>
      <c r="G126" s="44" t="str">
        <f>IF(A126="","",IF(COUNTIF('Paste - Mentors'!$A:$A,A126)&gt;0,"Registered","Not Found"))</f>
        <v/>
      </c>
      <c r="H126" s="46" t="str">
        <f>IF(A126="","",COUNTIF('Intern Monitoring'!$D$4:$D$203,B126))</f>
        <v/>
      </c>
      <c r="I126" s="47" t="str">
        <f t="shared" si="3"/>
        <v/>
      </c>
    </row>
    <row r="127" spans="1:9" ht="14.25" customHeight="1" x14ac:dyDescent="0.3">
      <c r="A127" s="44"/>
      <c r="B127" s="45" t="str">
        <f>IFERROR(VLOOKUP(A127,'Paste - Mentors'!$A:$B,2,0),"")</f>
        <v/>
      </c>
      <c r="C127" s="44"/>
      <c r="D127" s="44"/>
      <c r="E127" s="44" t="str">
        <f>IFERROR(VLOOKUP(A127,'Paste - Mentors'!$A:$G,7,0),"")</f>
        <v/>
      </c>
      <c r="F127" s="44" t="str">
        <f>IFERROR(VLOOKUP(A127,'Paste - Mentors'!$A:$K,11,0),"")</f>
        <v/>
      </c>
      <c r="G127" s="44" t="str">
        <f>IF(A127="","",IF(COUNTIF('Paste - Mentors'!$A:$A,A127)&gt;0,"Registered","Not Found"))</f>
        <v/>
      </c>
      <c r="H127" s="46" t="str">
        <f>IF(A127="","",COUNTIF('Intern Monitoring'!$D$4:$D$203,B127))</f>
        <v/>
      </c>
      <c r="I127" s="47" t="str">
        <f t="shared" si="3"/>
        <v/>
      </c>
    </row>
    <row r="128" spans="1:9" ht="14.25" customHeight="1" x14ac:dyDescent="0.3">
      <c r="A128" s="44"/>
      <c r="B128" s="45" t="str">
        <f>IFERROR(VLOOKUP(A128,'Paste - Mentors'!$A:$B,2,0),"")</f>
        <v/>
      </c>
      <c r="C128" s="44"/>
      <c r="D128" s="44"/>
      <c r="E128" s="44" t="str">
        <f>IFERROR(VLOOKUP(A128,'Paste - Mentors'!$A:$G,7,0),"")</f>
        <v/>
      </c>
      <c r="F128" s="44" t="str">
        <f>IFERROR(VLOOKUP(A128,'Paste - Mentors'!$A:$K,11,0),"")</f>
        <v/>
      </c>
      <c r="G128" s="44" t="str">
        <f>IF(A128="","",IF(COUNTIF('Paste - Mentors'!$A:$A,A128)&gt;0,"Registered","Not Found"))</f>
        <v/>
      </c>
      <c r="H128" s="46" t="str">
        <f>IF(A128="","",COUNTIF('Intern Monitoring'!$D$4:$D$203,B128))</f>
        <v/>
      </c>
      <c r="I128" s="47" t="str">
        <f t="shared" si="3"/>
        <v/>
      </c>
    </row>
    <row r="129" spans="1:9" ht="14.25" customHeight="1" x14ac:dyDescent="0.3">
      <c r="A129" s="44"/>
      <c r="B129" s="45" t="str">
        <f>IFERROR(VLOOKUP(A129,'Paste - Mentors'!$A:$B,2,0),"")</f>
        <v/>
      </c>
      <c r="C129" s="44"/>
      <c r="D129" s="44"/>
      <c r="E129" s="44" t="str">
        <f>IFERROR(VLOOKUP(A129,'Paste - Mentors'!$A:$G,7,0),"")</f>
        <v/>
      </c>
      <c r="F129" s="44" t="str">
        <f>IFERROR(VLOOKUP(A129,'Paste - Mentors'!$A:$K,11,0),"")</f>
        <v/>
      </c>
      <c r="G129" s="44" t="str">
        <f>IF(A129="","",IF(COUNTIF('Paste - Mentors'!$A:$A,A129)&gt;0,"Registered","Not Found"))</f>
        <v/>
      </c>
      <c r="H129" s="46" t="str">
        <f>IF(A129="","",COUNTIF('Intern Monitoring'!$D$4:$D$203,B129))</f>
        <v/>
      </c>
      <c r="I129" s="47" t="str">
        <f t="shared" si="3"/>
        <v/>
      </c>
    </row>
    <row r="130" spans="1:9" ht="14.25" customHeight="1" x14ac:dyDescent="0.3">
      <c r="A130" s="44"/>
      <c r="B130" s="45" t="str">
        <f>IFERROR(VLOOKUP(A130,'Paste - Mentors'!$A:$B,2,0),"")</f>
        <v/>
      </c>
      <c r="C130" s="44"/>
      <c r="D130" s="44"/>
      <c r="E130" s="44" t="str">
        <f>IFERROR(VLOOKUP(A130,'Paste - Mentors'!$A:$G,7,0),"")</f>
        <v/>
      </c>
      <c r="F130" s="44" t="str">
        <f>IFERROR(VLOOKUP(A130,'Paste - Mentors'!$A:$K,11,0),"")</f>
        <v/>
      </c>
      <c r="G130" s="44" t="str">
        <f>IF(A130="","",IF(COUNTIF('Paste - Mentors'!$A:$A,A130)&gt;0,"Registered","Not Found"))</f>
        <v/>
      </c>
      <c r="H130" s="46" t="str">
        <f>IF(A130="","",COUNTIF('Intern Monitoring'!$D$4:$D$203,B130))</f>
        <v/>
      </c>
      <c r="I130" s="47" t="str">
        <f t="shared" si="3"/>
        <v/>
      </c>
    </row>
    <row r="131" spans="1:9" ht="14.25" customHeight="1" x14ac:dyDescent="0.3">
      <c r="A131" s="44"/>
      <c r="B131" s="45" t="str">
        <f>IFERROR(VLOOKUP(A131,'Paste - Mentors'!$A:$B,2,0),"")</f>
        <v/>
      </c>
      <c r="C131" s="44"/>
      <c r="D131" s="44"/>
      <c r="E131" s="44" t="str">
        <f>IFERROR(VLOOKUP(A131,'Paste - Mentors'!$A:$G,7,0),"")</f>
        <v/>
      </c>
      <c r="F131" s="44" t="str">
        <f>IFERROR(VLOOKUP(A131,'Paste - Mentors'!$A:$K,11,0),"")</f>
        <v/>
      </c>
      <c r="G131" s="44" t="str">
        <f>IF(A131="","",IF(COUNTIF('Paste - Mentors'!$A:$A,A131)&gt;0,"Registered","Not Found"))</f>
        <v/>
      </c>
      <c r="H131" s="46" t="str">
        <f>IF(A131="","",COUNTIF('Intern Monitoring'!$D$4:$D$203,B131))</f>
        <v/>
      </c>
      <c r="I131" s="47" t="str">
        <f t="shared" si="3"/>
        <v/>
      </c>
    </row>
    <row r="132" spans="1:9" ht="14.25" customHeight="1" x14ac:dyDescent="0.3">
      <c r="A132" s="44"/>
      <c r="B132" s="45" t="str">
        <f>IFERROR(VLOOKUP(A132,'Paste - Mentors'!$A:$B,2,0),"")</f>
        <v/>
      </c>
      <c r="C132" s="44"/>
      <c r="D132" s="44"/>
      <c r="E132" s="44" t="str">
        <f>IFERROR(VLOOKUP(A132,'Paste - Mentors'!$A:$G,7,0),"")</f>
        <v/>
      </c>
      <c r="F132" s="44" t="str">
        <f>IFERROR(VLOOKUP(A132,'Paste - Mentors'!$A:$K,11,0),"")</f>
        <v/>
      </c>
      <c r="G132" s="44" t="str">
        <f>IF(A132="","",IF(COUNTIF('Paste - Mentors'!$A:$A,A132)&gt;0,"Registered","Not Found"))</f>
        <v/>
      </c>
      <c r="H132" s="46" t="str">
        <f>IF(A132="","",COUNTIF('Intern Monitoring'!$D$4:$D$203,B132))</f>
        <v/>
      </c>
      <c r="I132" s="47" t="str">
        <f t="shared" ref="I132:I163" si="4">IF(A132="","",IFERROR(IF(C132="",3,C132)-IF(H132="",0,H132),"-"))</f>
        <v/>
      </c>
    </row>
    <row r="133" spans="1:9" ht="14.25" customHeight="1" x14ac:dyDescent="0.3">
      <c r="A133" s="44"/>
      <c r="B133" s="45" t="str">
        <f>IFERROR(VLOOKUP(A133,'Paste - Mentors'!$A:$B,2,0),"")</f>
        <v/>
      </c>
      <c r="C133" s="44"/>
      <c r="D133" s="44"/>
      <c r="E133" s="44" t="str">
        <f>IFERROR(VLOOKUP(A133,'Paste - Mentors'!$A:$G,7,0),"")</f>
        <v/>
      </c>
      <c r="F133" s="44" t="str">
        <f>IFERROR(VLOOKUP(A133,'Paste - Mentors'!$A:$K,11,0),"")</f>
        <v/>
      </c>
      <c r="G133" s="44" t="str">
        <f>IF(A133="","",IF(COUNTIF('Paste - Mentors'!$A:$A,A133)&gt;0,"Registered","Not Found"))</f>
        <v/>
      </c>
      <c r="H133" s="46" t="str">
        <f>IF(A133="","",COUNTIF('Intern Monitoring'!$D$4:$D$203,B133))</f>
        <v/>
      </c>
      <c r="I133" s="47" t="str">
        <f t="shared" si="4"/>
        <v/>
      </c>
    </row>
    <row r="134" spans="1:9" ht="14.25" customHeight="1" x14ac:dyDescent="0.3">
      <c r="A134" s="44"/>
      <c r="B134" s="45" t="str">
        <f>IFERROR(VLOOKUP(A134,'Paste - Mentors'!$A:$B,2,0),"")</f>
        <v/>
      </c>
      <c r="C134" s="44"/>
      <c r="D134" s="44"/>
      <c r="E134" s="44" t="str">
        <f>IFERROR(VLOOKUP(A134,'Paste - Mentors'!$A:$G,7,0),"")</f>
        <v/>
      </c>
      <c r="F134" s="44" t="str">
        <f>IFERROR(VLOOKUP(A134,'Paste - Mentors'!$A:$K,11,0),"")</f>
        <v/>
      </c>
      <c r="G134" s="44" t="str">
        <f>IF(A134="","",IF(COUNTIF('Paste - Mentors'!$A:$A,A134)&gt;0,"Registered","Not Found"))</f>
        <v/>
      </c>
      <c r="H134" s="46" t="str">
        <f>IF(A134="","",COUNTIF('Intern Monitoring'!$D$4:$D$203,B134))</f>
        <v/>
      </c>
      <c r="I134" s="47" t="str">
        <f t="shared" si="4"/>
        <v/>
      </c>
    </row>
    <row r="135" spans="1:9" ht="14.25" customHeight="1" x14ac:dyDescent="0.3">
      <c r="A135" s="44"/>
      <c r="B135" s="45" t="str">
        <f>IFERROR(VLOOKUP(A135,'Paste - Mentors'!$A:$B,2,0),"")</f>
        <v/>
      </c>
      <c r="C135" s="44"/>
      <c r="D135" s="44"/>
      <c r="E135" s="44" t="str">
        <f>IFERROR(VLOOKUP(A135,'Paste - Mentors'!$A:$G,7,0),"")</f>
        <v/>
      </c>
      <c r="F135" s="44" t="str">
        <f>IFERROR(VLOOKUP(A135,'Paste - Mentors'!$A:$K,11,0),"")</f>
        <v/>
      </c>
      <c r="G135" s="44" t="str">
        <f>IF(A135="","",IF(COUNTIF('Paste - Mentors'!$A:$A,A135)&gt;0,"Registered","Not Found"))</f>
        <v/>
      </c>
      <c r="H135" s="46" t="str">
        <f>IF(A135="","",COUNTIF('Intern Monitoring'!$D$4:$D$203,B135))</f>
        <v/>
      </c>
      <c r="I135" s="47" t="str">
        <f t="shared" si="4"/>
        <v/>
      </c>
    </row>
    <row r="136" spans="1:9" ht="14.25" customHeight="1" x14ac:dyDescent="0.3">
      <c r="A136" s="44"/>
      <c r="B136" s="45" t="str">
        <f>IFERROR(VLOOKUP(A136,'Paste - Mentors'!$A:$B,2,0),"")</f>
        <v/>
      </c>
      <c r="C136" s="44"/>
      <c r="D136" s="44"/>
      <c r="E136" s="44" t="str">
        <f>IFERROR(VLOOKUP(A136,'Paste - Mentors'!$A:$G,7,0),"")</f>
        <v/>
      </c>
      <c r="F136" s="44" t="str">
        <f>IFERROR(VLOOKUP(A136,'Paste - Mentors'!$A:$K,11,0),"")</f>
        <v/>
      </c>
      <c r="G136" s="44" t="str">
        <f>IF(A136="","",IF(COUNTIF('Paste - Mentors'!$A:$A,A136)&gt;0,"Registered","Not Found"))</f>
        <v/>
      </c>
      <c r="H136" s="46" t="str">
        <f>IF(A136="","",COUNTIF('Intern Monitoring'!$D$4:$D$203,B136))</f>
        <v/>
      </c>
      <c r="I136" s="47" t="str">
        <f t="shared" si="4"/>
        <v/>
      </c>
    </row>
    <row r="137" spans="1:9" ht="14.25" customHeight="1" x14ac:dyDescent="0.3">
      <c r="A137" s="44"/>
      <c r="B137" s="45" t="str">
        <f>IFERROR(VLOOKUP(A137,'Paste - Mentors'!$A:$B,2,0),"")</f>
        <v/>
      </c>
      <c r="C137" s="44"/>
      <c r="D137" s="44"/>
      <c r="E137" s="44" t="str">
        <f>IFERROR(VLOOKUP(A137,'Paste - Mentors'!$A:$G,7,0),"")</f>
        <v/>
      </c>
      <c r="F137" s="44" t="str">
        <f>IFERROR(VLOOKUP(A137,'Paste - Mentors'!$A:$K,11,0),"")</f>
        <v/>
      </c>
      <c r="G137" s="44" t="str">
        <f>IF(A137="","",IF(COUNTIF('Paste - Mentors'!$A:$A,A137)&gt;0,"Registered","Not Found"))</f>
        <v/>
      </c>
      <c r="H137" s="46" t="str">
        <f>IF(A137="","",COUNTIF('Intern Monitoring'!$D$4:$D$203,B137))</f>
        <v/>
      </c>
      <c r="I137" s="47" t="str">
        <f t="shared" si="4"/>
        <v/>
      </c>
    </row>
    <row r="138" spans="1:9" ht="14.25" customHeight="1" x14ac:dyDescent="0.3">
      <c r="A138" s="44"/>
      <c r="B138" s="45" t="str">
        <f>IFERROR(VLOOKUP(A138,'Paste - Mentors'!$A:$B,2,0),"")</f>
        <v/>
      </c>
      <c r="C138" s="44"/>
      <c r="D138" s="44"/>
      <c r="E138" s="44" t="str">
        <f>IFERROR(VLOOKUP(A138,'Paste - Mentors'!$A:$G,7,0),"")</f>
        <v/>
      </c>
      <c r="F138" s="44" t="str">
        <f>IFERROR(VLOOKUP(A138,'Paste - Mentors'!$A:$K,11,0),"")</f>
        <v/>
      </c>
      <c r="G138" s="44" t="str">
        <f>IF(A138="","",IF(COUNTIF('Paste - Mentors'!$A:$A,A138)&gt;0,"Registered","Not Found"))</f>
        <v/>
      </c>
      <c r="H138" s="46" t="str">
        <f>IF(A138="","",COUNTIF('Intern Monitoring'!$D$4:$D$203,B138))</f>
        <v/>
      </c>
      <c r="I138" s="47" t="str">
        <f t="shared" si="4"/>
        <v/>
      </c>
    </row>
    <row r="139" spans="1:9" ht="14.25" customHeight="1" x14ac:dyDescent="0.3">
      <c r="A139" s="44"/>
      <c r="B139" s="45" t="str">
        <f>IFERROR(VLOOKUP(A139,'Paste - Mentors'!$A:$B,2,0),"")</f>
        <v/>
      </c>
      <c r="C139" s="44"/>
      <c r="D139" s="44"/>
      <c r="E139" s="44" t="str">
        <f>IFERROR(VLOOKUP(A139,'Paste - Mentors'!$A:$G,7,0),"")</f>
        <v/>
      </c>
      <c r="F139" s="44" t="str">
        <f>IFERROR(VLOOKUP(A139,'Paste - Mentors'!$A:$K,11,0),"")</f>
        <v/>
      </c>
      <c r="G139" s="44" t="str">
        <f>IF(A139="","",IF(COUNTIF('Paste - Mentors'!$A:$A,A139)&gt;0,"Registered","Not Found"))</f>
        <v/>
      </c>
      <c r="H139" s="46" t="str">
        <f>IF(A139="","",COUNTIF('Intern Monitoring'!$D$4:$D$203,B139))</f>
        <v/>
      </c>
      <c r="I139" s="47" t="str">
        <f t="shared" si="4"/>
        <v/>
      </c>
    </row>
    <row r="140" spans="1:9" ht="14.25" customHeight="1" x14ac:dyDescent="0.3">
      <c r="A140" s="44"/>
      <c r="B140" s="45" t="str">
        <f>IFERROR(VLOOKUP(A140,'Paste - Mentors'!$A:$B,2,0),"")</f>
        <v/>
      </c>
      <c r="C140" s="44"/>
      <c r="D140" s="44"/>
      <c r="E140" s="44" t="str">
        <f>IFERROR(VLOOKUP(A140,'Paste - Mentors'!$A:$G,7,0),"")</f>
        <v/>
      </c>
      <c r="F140" s="44" t="str">
        <f>IFERROR(VLOOKUP(A140,'Paste - Mentors'!$A:$K,11,0),"")</f>
        <v/>
      </c>
      <c r="G140" s="44" t="str">
        <f>IF(A140="","",IF(COUNTIF('Paste - Mentors'!$A:$A,A140)&gt;0,"Registered","Not Found"))</f>
        <v/>
      </c>
      <c r="H140" s="46" t="str">
        <f>IF(A140="","",COUNTIF('Intern Monitoring'!$D$4:$D$203,B140))</f>
        <v/>
      </c>
      <c r="I140" s="47" t="str">
        <f t="shared" si="4"/>
        <v/>
      </c>
    </row>
    <row r="141" spans="1:9" ht="14.25" customHeight="1" x14ac:dyDescent="0.3">
      <c r="A141" s="44"/>
      <c r="B141" s="45" t="str">
        <f>IFERROR(VLOOKUP(A141,'Paste - Mentors'!$A:$B,2,0),"")</f>
        <v/>
      </c>
      <c r="C141" s="44"/>
      <c r="D141" s="44"/>
      <c r="E141" s="44" t="str">
        <f>IFERROR(VLOOKUP(A141,'Paste - Mentors'!$A:$G,7,0),"")</f>
        <v/>
      </c>
      <c r="F141" s="44" t="str">
        <f>IFERROR(VLOOKUP(A141,'Paste - Mentors'!$A:$K,11,0),"")</f>
        <v/>
      </c>
      <c r="G141" s="44" t="str">
        <f>IF(A141="","",IF(COUNTIF('Paste - Mentors'!$A:$A,A141)&gt;0,"Registered","Not Found"))</f>
        <v/>
      </c>
      <c r="H141" s="46" t="str">
        <f>IF(A141="","",COUNTIF('Intern Monitoring'!$D$4:$D$203,B141))</f>
        <v/>
      </c>
      <c r="I141" s="47" t="str">
        <f t="shared" si="4"/>
        <v/>
      </c>
    </row>
    <row r="142" spans="1:9" ht="14.25" customHeight="1" x14ac:dyDescent="0.3">
      <c r="A142" s="44"/>
      <c r="B142" s="45" t="str">
        <f>IFERROR(VLOOKUP(A142,'Paste - Mentors'!$A:$B,2,0),"")</f>
        <v/>
      </c>
      <c r="C142" s="44"/>
      <c r="D142" s="44"/>
      <c r="E142" s="44" t="str">
        <f>IFERROR(VLOOKUP(A142,'Paste - Mentors'!$A:$G,7,0),"")</f>
        <v/>
      </c>
      <c r="F142" s="44" t="str">
        <f>IFERROR(VLOOKUP(A142,'Paste - Mentors'!$A:$K,11,0),"")</f>
        <v/>
      </c>
      <c r="G142" s="44" t="str">
        <f>IF(A142="","",IF(COUNTIF('Paste - Mentors'!$A:$A,A142)&gt;0,"Registered","Not Found"))</f>
        <v/>
      </c>
      <c r="H142" s="46" t="str">
        <f>IF(A142="","",COUNTIF('Intern Monitoring'!$D$4:$D$203,B142))</f>
        <v/>
      </c>
      <c r="I142" s="47" t="str">
        <f t="shared" si="4"/>
        <v/>
      </c>
    </row>
    <row r="143" spans="1:9" ht="14.25" customHeight="1" x14ac:dyDescent="0.3">
      <c r="A143" s="44"/>
      <c r="B143" s="45" t="str">
        <f>IFERROR(VLOOKUP(A143,'Paste - Mentors'!$A:$B,2,0),"")</f>
        <v/>
      </c>
      <c r="C143" s="44"/>
      <c r="D143" s="44"/>
      <c r="E143" s="44" t="str">
        <f>IFERROR(VLOOKUP(A143,'Paste - Mentors'!$A:$G,7,0),"")</f>
        <v/>
      </c>
      <c r="F143" s="44" t="str">
        <f>IFERROR(VLOOKUP(A143,'Paste - Mentors'!$A:$K,11,0),"")</f>
        <v/>
      </c>
      <c r="G143" s="44" t="str">
        <f>IF(A143="","",IF(COUNTIF('Paste - Mentors'!$A:$A,A143)&gt;0,"Registered","Not Found"))</f>
        <v/>
      </c>
      <c r="H143" s="46" t="str">
        <f>IF(A143="","",COUNTIF('Intern Monitoring'!$D$4:$D$203,B143))</f>
        <v/>
      </c>
      <c r="I143" s="47" t="str">
        <f t="shared" si="4"/>
        <v/>
      </c>
    </row>
    <row r="144" spans="1:9" ht="14.25" customHeight="1" x14ac:dyDescent="0.3">
      <c r="A144" s="44"/>
      <c r="B144" s="45" t="str">
        <f>IFERROR(VLOOKUP(A144,'Paste - Mentors'!$A:$B,2,0),"")</f>
        <v/>
      </c>
      <c r="C144" s="44"/>
      <c r="D144" s="44"/>
      <c r="E144" s="44" t="str">
        <f>IFERROR(VLOOKUP(A144,'Paste - Mentors'!$A:$G,7,0),"")</f>
        <v/>
      </c>
      <c r="F144" s="44" t="str">
        <f>IFERROR(VLOOKUP(A144,'Paste - Mentors'!$A:$K,11,0),"")</f>
        <v/>
      </c>
      <c r="G144" s="44" t="str">
        <f>IF(A144="","",IF(COUNTIF('Paste - Mentors'!$A:$A,A144)&gt;0,"Registered","Not Found"))</f>
        <v/>
      </c>
      <c r="H144" s="46" t="str">
        <f>IF(A144="","",COUNTIF('Intern Monitoring'!$D$4:$D$203,B144))</f>
        <v/>
      </c>
      <c r="I144" s="47" t="str">
        <f t="shared" si="4"/>
        <v/>
      </c>
    </row>
    <row r="145" spans="1:9" ht="14.25" customHeight="1" x14ac:dyDescent="0.3">
      <c r="A145" s="44"/>
      <c r="B145" s="45" t="str">
        <f>IFERROR(VLOOKUP(A145,'Paste - Mentors'!$A:$B,2,0),"")</f>
        <v/>
      </c>
      <c r="C145" s="44"/>
      <c r="D145" s="44"/>
      <c r="E145" s="44" t="str">
        <f>IFERROR(VLOOKUP(A145,'Paste - Mentors'!$A:$G,7,0),"")</f>
        <v/>
      </c>
      <c r="F145" s="44" t="str">
        <f>IFERROR(VLOOKUP(A145,'Paste - Mentors'!$A:$K,11,0),"")</f>
        <v/>
      </c>
      <c r="G145" s="44" t="str">
        <f>IF(A145="","",IF(COUNTIF('Paste - Mentors'!$A:$A,A145)&gt;0,"Registered","Not Found"))</f>
        <v/>
      </c>
      <c r="H145" s="46" t="str">
        <f>IF(A145="","",COUNTIF('Intern Monitoring'!$D$4:$D$203,B145))</f>
        <v/>
      </c>
      <c r="I145" s="47" t="str">
        <f t="shared" si="4"/>
        <v/>
      </c>
    </row>
    <row r="146" spans="1:9" ht="14.25" customHeight="1" x14ac:dyDescent="0.3">
      <c r="A146" s="44"/>
      <c r="B146" s="45" t="str">
        <f>IFERROR(VLOOKUP(A146,'Paste - Mentors'!$A:$B,2,0),"")</f>
        <v/>
      </c>
      <c r="C146" s="44"/>
      <c r="D146" s="44"/>
      <c r="E146" s="44" t="str">
        <f>IFERROR(VLOOKUP(A146,'Paste - Mentors'!$A:$G,7,0),"")</f>
        <v/>
      </c>
      <c r="F146" s="44" t="str">
        <f>IFERROR(VLOOKUP(A146,'Paste - Mentors'!$A:$K,11,0),"")</f>
        <v/>
      </c>
      <c r="G146" s="44" t="str">
        <f>IF(A146="","",IF(COUNTIF('Paste - Mentors'!$A:$A,A146)&gt;0,"Registered","Not Found"))</f>
        <v/>
      </c>
      <c r="H146" s="46" t="str">
        <f>IF(A146="","",COUNTIF('Intern Monitoring'!$D$4:$D$203,B146))</f>
        <v/>
      </c>
      <c r="I146" s="47" t="str">
        <f t="shared" si="4"/>
        <v/>
      </c>
    </row>
    <row r="147" spans="1:9" ht="14.25" customHeight="1" x14ac:dyDescent="0.3">
      <c r="A147" s="44"/>
      <c r="B147" s="45" t="str">
        <f>IFERROR(VLOOKUP(A147,'Paste - Mentors'!$A:$B,2,0),"")</f>
        <v/>
      </c>
      <c r="C147" s="44"/>
      <c r="D147" s="44"/>
      <c r="E147" s="44" t="str">
        <f>IFERROR(VLOOKUP(A147,'Paste - Mentors'!$A:$G,7,0),"")</f>
        <v/>
      </c>
      <c r="F147" s="44" t="str">
        <f>IFERROR(VLOOKUP(A147,'Paste - Mentors'!$A:$K,11,0),"")</f>
        <v/>
      </c>
      <c r="G147" s="44" t="str">
        <f>IF(A147="","",IF(COUNTIF('Paste - Mentors'!$A:$A,A147)&gt;0,"Registered","Not Found"))</f>
        <v/>
      </c>
      <c r="H147" s="46" t="str">
        <f>IF(A147="","",COUNTIF('Intern Monitoring'!$D$4:$D$203,B147))</f>
        <v/>
      </c>
      <c r="I147" s="47" t="str">
        <f t="shared" si="4"/>
        <v/>
      </c>
    </row>
    <row r="148" spans="1:9" ht="14.25" customHeight="1" x14ac:dyDescent="0.3">
      <c r="A148" s="44"/>
      <c r="B148" s="45" t="str">
        <f>IFERROR(VLOOKUP(A148,'Paste - Mentors'!$A:$B,2,0),"")</f>
        <v/>
      </c>
      <c r="C148" s="44"/>
      <c r="D148" s="44"/>
      <c r="E148" s="44" t="str">
        <f>IFERROR(VLOOKUP(A148,'Paste - Mentors'!$A:$G,7,0),"")</f>
        <v/>
      </c>
      <c r="F148" s="44" t="str">
        <f>IFERROR(VLOOKUP(A148,'Paste - Mentors'!$A:$K,11,0),"")</f>
        <v/>
      </c>
      <c r="G148" s="44" t="str">
        <f>IF(A148="","",IF(COUNTIF('Paste - Mentors'!$A:$A,A148)&gt;0,"Registered","Not Found"))</f>
        <v/>
      </c>
      <c r="H148" s="46" t="str">
        <f>IF(A148="","",COUNTIF('Intern Monitoring'!$D$4:$D$203,B148))</f>
        <v/>
      </c>
      <c r="I148" s="47" t="str">
        <f t="shared" si="4"/>
        <v/>
      </c>
    </row>
    <row r="149" spans="1:9" ht="14.25" customHeight="1" x14ac:dyDescent="0.3">
      <c r="A149" s="44"/>
      <c r="B149" s="45" t="str">
        <f>IFERROR(VLOOKUP(A149,'Paste - Mentors'!$A:$B,2,0),"")</f>
        <v/>
      </c>
      <c r="C149" s="44"/>
      <c r="D149" s="44"/>
      <c r="E149" s="44" t="str">
        <f>IFERROR(VLOOKUP(A149,'Paste - Mentors'!$A:$G,7,0),"")</f>
        <v/>
      </c>
      <c r="F149" s="44" t="str">
        <f>IFERROR(VLOOKUP(A149,'Paste - Mentors'!$A:$K,11,0),"")</f>
        <v/>
      </c>
      <c r="G149" s="44" t="str">
        <f>IF(A149="","",IF(COUNTIF('Paste - Mentors'!$A:$A,A149)&gt;0,"Registered","Not Found"))</f>
        <v/>
      </c>
      <c r="H149" s="46" t="str">
        <f>IF(A149="","",COUNTIF('Intern Monitoring'!$D$4:$D$203,B149))</f>
        <v/>
      </c>
      <c r="I149" s="47" t="str">
        <f t="shared" si="4"/>
        <v/>
      </c>
    </row>
    <row r="150" spans="1:9" ht="14.25" customHeight="1" x14ac:dyDescent="0.3">
      <c r="A150" s="44"/>
      <c r="B150" s="45" t="str">
        <f>IFERROR(VLOOKUP(A150,'Paste - Mentors'!$A:$B,2,0),"")</f>
        <v/>
      </c>
      <c r="C150" s="44"/>
      <c r="D150" s="44"/>
      <c r="E150" s="44" t="str">
        <f>IFERROR(VLOOKUP(A150,'Paste - Mentors'!$A:$G,7,0),"")</f>
        <v/>
      </c>
      <c r="F150" s="44" t="str">
        <f>IFERROR(VLOOKUP(A150,'Paste - Mentors'!$A:$K,11,0),"")</f>
        <v/>
      </c>
      <c r="G150" s="44" t="str">
        <f>IF(A150="","",IF(COUNTIF('Paste - Mentors'!$A:$A,A150)&gt;0,"Registered","Not Found"))</f>
        <v/>
      </c>
      <c r="H150" s="46" t="str">
        <f>IF(A150="","",COUNTIF('Intern Monitoring'!$D$4:$D$203,B150))</f>
        <v/>
      </c>
      <c r="I150" s="47" t="str">
        <f t="shared" si="4"/>
        <v/>
      </c>
    </row>
    <row r="151" spans="1:9" ht="14.25" customHeight="1" x14ac:dyDescent="0.3">
      <c r="A151" s="44"/>
      <c r="B151" s="45" t="str">
        <f>IFERROR(VLOOKUP(A151,'Paste - Mentors'!$A:$B,2,0),"")</f>
        <v/>
      </c>
      <c r="C151" s="44"/>
      <c r="D151" s="44"/>
      <c r="E151" s="44" t="str">
        <f>IFERROR(VLOOKUP(A151,'Paste - Mentors'!$A:$G,7,0),"")</f>
        <v/>
      </c>
      <c r="F151" s="44" t="str">
        <f>IFERROR(VLOOKUP(A151,'Paste - Mentors'!$A:$K,11,0),"")</f>
        <v/>
      </c>
      <c r="G151" s="44" t="str">
        <f>IF(A151="","",IF(COUNTIF('Paste - Mentors'!$A:$A,A151)&gt;0,"Registered","Not Found"))</f>
        <v/>
      </c>
      <c r="H151" s="46" t="str">
        <f>IF(A151="","",COUNTIF('Intern Monitoring'!$D$4:$D$203,B151))</f>
        <v/>
      </c>
      <c r="I151" s="47" t="str">
        <f t="shared" si="4"/>
        <v/>
      </c>
    </row>
    <row r="152" spans="1:9" ht="14.25" customHeight="1" x14ac:dyDescent="0.3">
      <c r="A152" s="44"/>
      <c r="B152" s="45" t="str">
        <f>IFERROR(VLOOKUP(A152,'Paste - Mentors'!$A:$B,2,0),"")</f>
        <v/>
      </c>
      <c r="C152" s="44"/>
      <c r="D152" s="44"/>
      <c r="E152" s="44" t="str">
        <f>IFERROR(VLOOKUP(A152,'Paste - Mentors'!$A:$G,7,0),"")</f>
        <v/>
      </c>
      <c r="F152" s="44" t="str">
        <f>IFERROR(VLOOKUP(A152,'Paste - Mentors'!$A:$K,11,0),"")</f>
        <v/>
      </c>
      <c r="G152" s="44" t="str">
        <f>IF(A152="","",IF(COUNTIF('Paste - Mentors'!$A:$A,A152)&gt;0,"Registered","Not Found"))</f>
        <v/>
      </c>
      <c r="H152" s="46" t="str">
        <f>IF(A152="","",COUNTIF('Intern Monitoring'!$D$4:$D$203,B152))</f>
        <v/>
      </c>
      <c r="I152" s="47" t="str">
        <f t="shared" si="4"/>
        <v/>
      </c>
    </row>
    <row r="153" spans="1:9" ht="14.25" customHeight="1" x14ac:dyDescent="0.3">
      <c r="A153" s="44"/>
      <c r="B153" s="45" t="str">
        <f>IFERROR(VLOOKUP(A153,'Paste - Mentors'!$A:$B,2,0),"")</f>
        <v/>
      </c>
      <c r="C153" s="44"/>
      <c r="D153" s="44"/>
      <c r="E153" s="44" t="str">
        <f>IFERROR(VLOOKUP(A153,'Paste - Mentors'!$A:$G,7,0),"")</f>
        <v/>
      </c>
      <c r="F153" s="44" t="str">
        <f>IFERROR(VLOOKUP(A153,'Paste - Mentors'!$A:$K,11,0),"")</f>
        <v/>
      </c>
      <c r="G153" s="44" t="str">
        <f>IF(A153="","",IF(COUNTIF('Paste - Mentors'!$A:$A,A153)&gt;0,"Registered","Not Found"))</f>
        <v/>
      </c>
      <c r="H153" s="46" t="str">
        <f>IF(A153="","",COUNTIF('Intern Monitoring'!$D$4:$D$203,B153))</f>
        <v/>
      </c>
      <c r="I153" s="47" t="str">
        <f t="shared" si="4"/>
        <v/>
      </c>
    </row>
    <row r="154" spans="1:9" ht="14.25" customHeight="1" x14ac:dyDescent="0.3">
      <c r="A154" s="44"/>
      <c r="B154" s="45" t="str">
        <f>IFERROR(VLOOKUP(A154,'Paste - Mentors'!$A:$B,2,0),"")</f>
        <v/>
      </c>
      <c r="C154" s="44"/>
      <c r="D154" s="44"/>
      <c r="E154" s="44" t="str">
        <f>IFERROR(VLOOKUP(A154,'Paste - Mentors'!$A:$G,7,0),"")</f>
        <v/>
      </c>
      <c r="F154" s="44" t="str">
        <f>IFERROR(VLOOKUP(A154,'Paste - Mentors'!$A:$K,11,0),"")</f>
        <v/>
      </c>
      <c r="G154" s="44" t="str">
        <f>IF(A154="","",IF(COUNTIF('Paste - Mentors'!$A:$A,A154)&gt;0,"Registered","Not Found"))</f>
        <v/>
      </c>
      <c r="H154" s="46" t="str">
        <f>IF(A154="","",COUNTIF('Intern Monitoring'!$D$4:$D$203,B154))</f>
        <v/>
      </c>
      <c r="I154" s="47" t="str">
        <f t="shared" si="4"/>
        <v/>
      </c>
    </row>
    <row r="155" spans="1:9" ht="14.25" customHeight="1" x14ac:dyDescent="0.3">
      <c r="A155" s="44"/>
      <c r="B155" s="45" t="str">
        <f>IFERROR(VLOOKUP(A155,'Paste - Mentors'!$A:$B,2,0),"")</f>
        <v/>
      </c>
      <c r="C155" s="44"/>
      <c r="D155" s="44"/>
      <c r="E155" s="44" t="str">
        <f>IFERROR(VLOOKUP(A155,'Paste - Mentors'!$A:$G,7,0),"")</f>
        <v/>
      </c>
      <c r="F155" s="44" t="str">
        <f>IFERROR(VLOOKUP(A155,'Paste - Mentors'!$A:$K,11,0),"")</f>
        <v/>
      </c>
      <c r="G155" s="44" t="str">
        <f>IF(A155="","",IF(COUNTIF('Paste - Mentors'!$A:$A,A155)&gt;0,"Registered","Not Found"))</f>
        <v/>
      </c>
      <c r="H155" s="46" t="str">
        <f>IF(A155="","",COUNTIF('Intern Monitoring'!$D$4:$D$203,B155))</f>
        <v/>
      </c>
      <c r="I155" s="47" t="str">
        <f t="shared" si="4"/>
        <v/>
      </c>
    </row>
    <row r="156" spans="1:9" ht="14.25" customHeight="1" x14ac:dyDescent="0.3">
      <c r="A156" s="44"/>
      <c r="B156" s="45" t="str">
        <f>IFERROR(VLOOKUP(A156,'Paste - Mentors'!$A:$B,2,0),"")</f>
        <v/>
      </c>
      <c r="C156" s="44"/>
      <c r="D156" s="44"/>
      <c r="E156" s="44" t="str">
        <f>IFERROR(VLOOKUP(A156,'Paste - Mentors'!$A:$G,7,0),"")</f>
        <v/>
      </c>
      <c r="F156" s="44" t="str">
        <f>IFERROR(VLOOKUP(A156,'Paste - Mentors'!$A:$K,11,0),"")</f>
        <v/>
      </c>
      <c r="G156" s="44" t="str">
        <f>IF(A156="","",IF(COUNTIF('Paste - Mentors'!$A:$A,A156)&gt;0,"Registered","Not Found"))</f>
        <v/>
      </c>
      <c r="H156" s="46" t="str">
        <f>IF(A156="","",COUNTIF('Intern Monitoring'!$D$4:$D$203,B156))</f>
        <v/>
      </c>
      <c r="I156" s="47" t="str">
        <f t="shared" si="4"/>
        <v/>
      </c>
    </row>
    <row r="157" spans="1:9" ht="14.25" customHeight="1" x14ac:dyDescent="0.3">
      <c r="A157" s="44"/>
      <c r="B157" s="45" t="str">
        <f>IFERROR(VLOOKUP(A157,'Paste - Mentors'!$A:$B,2,0),"")</f>
        <v/>
      </c>
      <c r="C157" s="44"/>
      <c r="D157" s="44"/>
      <c r="E157" s="44" t="str">
        <f>IFERROR(VLOOKUP(A157,'Paste - Mentors'!$A:$G,7,0),"")</f>
        <v/>
      </c>
      <c r="F157" s="44" t="str">
        <f>IFERROR(VLOOKUP(A157,'Paste - Mentors'!$A:$K,11,0),"")</f>
        <v/>
      </c>
      <c r="G157" s="44" t="str">
        <f>IF(A157="","",IF(COUNTIF('Paste - Mentors'!$A:$A,A157)&gt;0,"Registered","Not Found"))</f>
        <v/>
      </c>
      <c r="H157" s="46" t="str">
        <f>IF(A157="","",COUNTIF('Intern Monitoring'!$D$4:$D$203,B157))</f>
        <v/>
      </c>
      <c r="I157" s="47" t="str">
        <f t="shared" si="4"/>
        <v/>
      </c>
    </row>
    <row r="158" spans="1:9" ht="14.25" customHeight="1" x14ac:dyDescent="0.3">
      <c r="A158" s="44"/>
      <c r="B158" s="45" t="str">
        <f>IFERROR(VLOOKUP(A158,'Paste - Mentors'!$A:$B,2,0),"")</f>
        <v/>
      </c>
      <c r="C158" s="44"/>
      <c r="D158" s="44"/>
      <c r="E158" s="44" t="str">
        <f>IFERROR(VLOOKUP(A158,'Paste - Mentors'!$A:$G,7,0),"")</f>
        <v/>
      </c>
      <c r="F158" s="44" t="str">
        <f>IFERROR(VLOOKUP(A158,'Paste - Mentors'!$A:$K,11,0),"")</f>
        <v/>
      </c>
      <c r="G158" s="44" t="str">
        <f>IF(A158="","",IF(COUNTIF('Paste - Mentors'!$A:$A,A158)&gt;0,"Registered","Not Found"))</f>
        <v/>
      </c>
      <c r="H158" s="46" t="str">
        <f>IF(A158="","",COUNTIF('Intern Monitoring'!$D$4:$D$203,B158))</f>
        <v/>
      </c>
      <c r="I158" s="47" t="str">
        <f t="shared" si="4"/>
        <v/>
      </c>
    </row>
    <row r="159" spans="1:9" ht="14.25" customHeight="1" x14ac:dyDescent="0.3">
      <c r="A159" s="44"/>
      <c r="B159" s="45" t="str">
        <f>IFERROR(VLOOKUP(A159,'Paste - Mentors'!$A:$B,2,0),"")</f>
        <v/>
      </c>
      <c r="C159" s="44"/>
      <c r="D159" s="44"/>
      <c r="E159" s="44" t="str">
        <f>IFERROR(VLOOKUP(A159,'Paste - Mentors'!$A:$G,7,0),"")</f>
        <v/>
      </c>
      <c r="F159" s="44" t="str">
        <f>IFERROR(VLOOKUP(A159,'Paste - Mentors'!$A:$K,11,0),"")</f>
        <v/>
      </c>
      <c r="G159" s="44" t="str">
        <f>IF(A159="","",IF(COUNTIF('Paste - Mentors'!$A:$A,A159)&gt;0,"Registered","Not Found"))</f>
        <v/>
      </c>
      <c r="H159" s="46" t="str">
        <f>IF(A159="","",COUNTIF('Intern Monitoring'!$D$4:$D$203,B159))</f>
        <v/>
      </c>
      <c r="I159" s="47" t="str">
        <f t="shared" si="4"/>
        <v/>
      </c>
    </row>
    <row r="160" spans="1:9" ht="14.25" customHeight="1" x14ac:dyDescent="0.3">
      <c r="A160" s="44"/>
      <c r="B160" s="45" t="str">
        <f>IFERROR(VLOOKUP(A160,'Paste - Mentors'!$A:$B,2,0),"")</f>
        <v/>
      </c>
      <c r="C160" s="44"/>
      <c r="D160" s="44"/>
      <c r="E160" s="44" t="str">
        <f>IFERROR(VLOOKUP(A160,'Paste - Mentors'!$A:$G,7,0),"")</f>
        <v/>
      </c>
      <c r="F160" s="44" t="str">
        <f>IFERROR(VLOOKUP(A160,'Paste - Mentors'!$A:$K,11,0),"")</f>
        <v/>
      </c>
      <c r="G160" s="44" t="str">
        <f>IF(A160="","",IF(COUNTIF('Paste - Mentors'!$A:$A,A160)&gt;0,"Registered","Not Found"))</f>
        <v/>
      </c>
      <c r="H160" s="46" t="str">
        <f>IF(A160="","",COUNTIF('Intern Monitoring'!$D$4:$D$203,B160))</f>
        <v/>
      </c>
      <c r="I160" s="47" t="str">
        <f t="shared" si="4"/>
        <v/>
      </c>
    </row>
    <row r="161" spans="1:9" ht="14.25" customHeight="1" x14ac:dyDescent="0.3">
      <c r="A161" s="44"/>
      <c r="B161" s="45" t="str">
        <f>IFERROR(VLOOKUP(A161,'Paste - Mentors'!$A:$B,2,0),"")</f>
        <v/>
      </c>
      <c r="C161" s="44"/>
      <c r="D161" s="44"/>
      <c r="E161" s="44" t="str">
        <f>IFERROR(VLOOKUP(A161,'Paste - Mentors'!$A:$G,7,0),"")</f>
        <v/>
      </c>
      <c r="F161" s="44" t="str">
        <f>IFERROR(VLOOKUP(A161,'Paste - Mentors'!$A:$K,11,0),"")</f>
        <v/>
      </c>
      <c r="G161" s="44" t="str">
        <f>IF(A161="","",IF(COUNTIF('Paste - Mentors'!$A:$A,A161)&gt;0,"Registered","Not Found"))</f>
        <v/>
      </c>
      <c r="H161" s="46" t="str">
        <f>IF(A161="","",COUNTIF('Intern Monitoring'!$D$4:$D$203,B161))</f>
        <v/>
      </c>
      <c r="I161" s="47" t="str">
        <f t="shared" si="4"/>
        <v/>
      </c>
    </row>
    <row r="162" spans="1:9" ht="14.25" customHeight="1" x14ac:dyDescent="0.3">
      <c r="A162" s="44"/>
      <c r="B162" s="45" t="str">
        <f>IFERROR(VLOOKUP(A162,'Paste - Mentors'!$A:$B,2,0),"")</f>
        <v/>
      </c>
      <c r="C162" s="44"/>
      <c r="D162" s="44"/>
      <c r="E162" s="44" t="str">
        <f>IFERROR(VLOOKUP(A162,'Paste - Mentors'!$A:$G,7,0),"")</f>
        <v/>
      </c>
      <c r="F162" s="44" t="str">
        <f>IFERROR(VLOOKUP(A162,'Paste - Mentors'!$A:$K,11,0),"")</f>
        <v/>
      </c>
      <c r="G162" s="44" t="str">
        <f>IF(A162="","",IF(COUNTIF('Paste - Mentors'!$A:$A,A162)&gt;0,"Registered","Not Found"))</f>
        <v/>
      </c>
      <c r="H162" s="46" t="str">
        <f>IF(A162="","",COUNTIF('Intern Monitoring'!$D$4:$D$203,B162))</f>
        <v/>
      </c>
      <c r="I162" s="47" t="str">
        <f t="shared" si="4"/>
        <v/>
      </c>
    </row>
    <row r="163" spans="1:9" ht="14.25" customHeight="1" x14ac:dyDescent="0.3">
      <c r="A163" s="44"/>
      <c r="B163" s="45" t="str">
        <f>IFERROR(VLOOKUP(A163,'Paste - Mentors'!$A:$B,2,0),"")</f>
        <v/>
      </c>
      <c r="C163" s="44"/>
      <c r="D163" s="44"/>
      <c r="E163" s="44" t="str">
        <f>IFERROR(VLOOKUP(A163,'Paste - Mentors'!$A:$G,7,0),"")</f>
        <v/>
      </c>
      <c r="F163" s="44" t="str">
        <f>IFERROR(VLOOKUP(A163,'Paste - Mentors'!$A:$K,11,0),"")</f>
        <v/>
      </c>
      <c r="G163" s="44" t="str">
        <f>IF(A163="","",IF(COUNTIF('Paste - Mentors'!$A:$A,A163)&gt;0,"Registered","Not Found"))</f>
        <v/>
      </c>
      <c r="H163" s="46" t="str">
        <f>IF(A163="","",COUNTIF('Intern Monitoring'!$D$4:$D$203,B163))</f>
        <v/>
      </c>
      <c r="I163" s="47" t="str">
        <f t="shared" si="4"/>
        <v/>
      </c>
    </row>
    <row r="164" spans="1:9" ht="14.25" customHeight="1" x14ac:dyDescent="0.3">
      <c r="A164" s="44"/>
      <c r="B164" s="45" t="str">
        <f>IFERROR(VLOOKUP(A164,'Paste - Mentors'!$A:$B,2,0),"")</f>
        <v/>
      </c>
      <c r="C164" s="44"/>
      <c r="D164" s="44"/>
      <c r="E164" s="44" t="str">
        <f>IFERROR(VLOOKUP(A164,'Paste - Mentors'!$A:$G,7,0),"")</f>
        <v/>
      </c>
      <c r="F164" s="44" t="str">
        <f>IFERROR(VLOOKUP(A164,'Paste - Mentors'!$A:$K,11,0),"")</f>
        <v/>
      </c>
      <c r="G164" s="44" t="str">
        <f>IF(A164="","",IF(COUNTIF('Paste - Mentors'!$A:$A,A164)&gt;0,"Registered","Not Found"))</f>
        <v/>
      </c>
      <c r="H164" s="46" t="str">
        <f>IF(A164="","",COUNTIF('Intern Monitoring'!$D$4:$D$203,B164))</f>
        <v/>
      </c>
      <c r="I164" s="47" t="str">
        <f t="shared" ref="I164:I195" si="5">IF(A164="","",IFERROR(IF(C164="",3,C164)-IF(H164="",0,H164),"-"))</f>
        <v/>
      </c>
    </row>
    <row r="165" spans="1:9" ht="14.25" customHeight="1" x14ac:dyDescent="0.3">
      <c r="A165" s="44"/>
      <c r="B165" s="45" t="str">
        <f>IFERROR(VLOOKUP(A165,'Paste - Mentors'!$A:$B,2,0),"")</f>
        <v/>
      </c>
      <c r="C165" s="44"/>
      <c r="D165" s="44"/>
      <c r="E165" s="44" t="str">
        <f>IFERROR(VLOOKUP(A165,'Paste - Mentors'!$A:$G,7,0),"")</f>
        <v/>
      </c>
      <c r="F165" s="44" t="str">
        <f>IFERROR(VLOOKUP(A165,'Paste - Mentors'!$A:$K,11,0),"")</f>
        <v/>
      </c>
      <c r="G165" s="44" t="str">
        <f>IF(A165="","",IF(COUNTIF('Paste - Mentors'!$A:$A,A165)&gt;0,"Registered","Not Found"))</f>
        <v/>
      </c>
      <c r="H165" s="46" t="str">
        <f>IF(A165="","",COUNTIF('Intern Monitoring'!$D$4:$D$203,B165))</f>
        <v/>
      </c>
      <c r="I165" s="47" t="str">
        <f t="shared" si="5"/>
        <v/>
      </c>
    </row>
    <row r="166" spans="1:9" ht="14.25" customHeight="1" x14ac:dyDescent="0.3">
      <c r="A166" s="44"/>
      <c r="B166" s="45" t="str">
        <f>IFERROR(VLOOKUP(A166,'Paste - Mentors'!$A:$B,2,0),"")</f>
        <v/>
      </c>
      <c r="C166" s="44"/>
      <c r="D166" s="44"/>
      <c r="E166" s="44" t="str">
        <f>IFERROR(VLOOKUP(A166,'Paste - Mentors'!$A:$G,7,0),"")</f>
        <v/>
      </c>
      <c r="F166" s="44" t="str">
        <f>IFERROR(VLOOKUP(A166,'Paste - Mentors'!$A:$K,11,0),"")</f>
        <v/>
      </c>
      <c r="G166" s="44" t="str">
        <f>IF(A166="","",IF(COUNTIF('Paste - Mentors'!$A:$A,A166)&gt;0,"Registered","Not Found"))</f>
        <v/>
      </c>
      <c r="H166" s="46" t="str">
        <f>IF(A166="","",COUNTIF('Intern Monitoring'!$D$4:$D$203,B166))</f>
        <v/>
      </c>
      <c r="I166" s="47" t="str">
        <f t="shared" si="5"/>
        <v/>
      </c>
    </row>
    <row r="167" spans="1:9" ht="14.25" customHeight="1" x14ac:dyDescent="0.3">
      <c r="A167" s="44"/>
      <c r="B167" s="45" t="str">
        <f>IFERROR(VLOOKUP(A167,'Paste - Mentors'!$A:$B,2,0),"")</f>
        <v/>
      </c>
      <c r="C167" s="44"/>
      <c r="D167" s="44"/>
      <c r="E167" s="44" t="str">
        <f>IFERROR(VLOOKUP(A167,'Paste - Mentors'!$A:$G,7,0),"")</f>
        <v/>
      </c>
      <c r="F167" s="44" t="str">
        <f>IFERROR(VLOOKUP(A167,'Paste - Mentors'!$A:$K,11,0),"")</f>
        <v/>
      </c>
      <c r="G167" s="44" t="str">
        <f>IF(A167="","",IF(COUNTIF('Paste - Mentors'!$A:$A,A167)&gt;0,"Registered","Not Found"))</f>
        <v/>
      </c>
      <c r="H167" s="46" t="str">
        <f>IF(A167="","",COUNTIF('Intern Monitoring'!$D$4:$D$203,B167))</f>
        <v/>
      </c>
      <c r="I167" s="47" t="str">
        <f t="shared" si="5"/>
        <v/>
      </c>
    </row>
    <row r="168" spans="1:9" ht="14.25" customHeight="1" x14ac:dyDescent="0.3">
      <c r="A168" s="44"/>
      <c r="B168" s="45" t="str">
        <f>IFERROR(VLOOKUP(A168,'Paste - Mentors'!$A:$B,2,0),"")</f>
        <v/>
      </c>
      <c r="C168" s="44"/>
      <c r="D168" s="44"/>
      <c r="E168" s="44" t="str">
        <f>IFERROR(VLOOKUP(A168,'Paste - Mentors'!$A:$G,7,0),"")</f>
        <v/>
      </c>
      <c r="F168" s="44" t="str">
        <f>IFERROR(VLOOKUP(A168,'Paste - Mentors'!$A:$K,11,0),"")</f>
        <v/>
      </c>
      <c r="G168" s="44" t="str">
        <f>IF(A168="","",IF(COUNTIF('Paste - Mentors'!$A:$A,A168)&gt;0,"Registered","Not Found"))</f>
        <v/>
      </c>
      <c r="H168" s="46" t="str">
        <f>IF(A168="","",COUNTIF('Intern Monitoring'!$D$4:$D$203,B168))</f>
        <v/>
      </c>
      <c r="I168" s="47" t="str">
        <f t="shared" si="5"/>
        <v/>
      </c>
    </row>
    <row r="169" spans="1:9" ht="14.25" customHeight="1" x14ac:dyDescent="0.3">
      <c r="A169" s="44"/>
      <c r="B169" s="45" t="str">
        <f>IFERROR(VLOOKUP(A169,'Paste - Mentors'!$A:$B,2,0),"")</f>
        <v/>
      </c>
      <c r="C169" s="44"/>
      <c r="D169" s="44"/>
      <c r="E169" s="44" t="str">
        <f>IFERROR(VLOOKUP(A169,'Paste - Mentors'!$A:$G,7,0),"")</f>
        <v/>
      </c>
      <c r="F169" s="44" t="str">
        <f>IFERROR(VLOOKUP(A169,'Paste - Mentors'!$A:$K,11,0),"")</f>
        <v/>
      </c>
      <c r="G169" s="44" t="str">
        <f>IF(A169="","",IF(COUNTIF('Paste - Mentors'!$A:$A,A169)&gt;0,"Registered","Not Found"))</f>
        <v/>
      </c>
      <c r="H169" s="46" t="str">
        <f>IF(A169="","",COUNTIF('Intern Monitoring'!$D$4:$D$203,B169))</f>
        <v/>
      </c>
      <c r="I169" s="47" t="str">
        <f t="shared" si="5"/>
        <v/>
      </c>
    </row>
    <row r="170" spans="1:9" ht="14.25" customHeight="1" x14ac:dyDescent="0.3">
      <c r="A170" s="44"/>
      <c r="B170" s="45" t="str">
        <f>IFERROR(VLOOKUP(A170,'Paste - Mentors'!$A:$B,2,0),"")</f>
        <v/>
      </c>
      <c r="C170" s="44"/>
      <c r="D170" s="44"/>
      <c r="E170" s="44" t="str">
        <f>IFERROR(VLOOKUP(A170,'Paste - Mentors'!$A:$G,7,0),"")</f>
        <v/>
      </c>
      <c r="F170" s="44" t="str">
        <f>IFERROR(VLOOKUP(A170,'Paste - Mentors'!$A:$K,11,0),"")</f>
        <v/>
      </c>
      <c r="G170" s="44" t="str">
        <f>IF(A170="","",IF(COUNTIF('Paste - Mentors'!$A:$A,A170)&gt;0,"Registered","Not Found"))</f>
        <v/>
      </c>
      <c r="H170" s="46" t="str">
        <f>IF(A170="","",COUNTIF('Intern Monitoring'!$D$4:$D$203,B170))</f>
        <v/>
      </c>
      <c r="I170" s="47" t="str">
        <f t="shared" si="5"/>
        <v/>
      </c>
    </row>
    <row r="171" spans="1:9" ht="14.25" customHeight="1" x14ac:dyDescent="0.3">
      <c r="A171" s="44"/>
      <c r="B171" s="45" t="str">
        <f>IFERROR(VLOOKUP(A171,'Paste - Mentors'!$A:$B,2,0),"")</f>
        <v/>
      </c>
      <c r="C171" s="44"/>
      <c r="D171" s="44"/>
      <c r="E171" s="44" t="str">
        <f>IFERROR(VLOOKUP(A171,'Paste - Mentors'!$A:$G,7,0),"")</f>
        <v/>
      </c>
      <c r="F171" s="44" t="str">
        <f>IFERROR(VLOOKUP(A171,'Paste - Mentors'!$A:$K,11,0),"")</f>
        <v/>
      </c>
      <c r="G171" s="44" t="str">
        <f>IF(A171="","",IF(COUNTIF('Paste - Mentors'!$A:$A,A171)&gt;0,"Registered","Not Found"))</f>
        <v/>
      </c>
      <c r="H171" s="46" t="str">
        <f>IF(A171="","",COUNTIF('Intern Monitoring'!$D$4:$D$203,B171))</f>
        <v/>
      </c>
      <c r="I171" s="47" t="str">
        <f t="shared" si="5"/>
        <v/>
      </c>
    </row>
    <row r="172" spans="1:9" ht="14.25" customHeight="1" x14ac:dyDescent="0.3">
      <c r="A172" s="44"/>
      <c r="B172" s="45" t="str">
        <f>IFERROR(VLOOKUP(A172,'Paste - Mentors'!$A:$B,2,0),"")</f>
        <v/>
      </c>
      <c r="C172" s="44"/>
      <c r="D172" s="44"/>
      <c r="E172" s="44" t="str">
        <f>IFERROR(VLOOKUP(A172,'Paste - Mentors'!$A:$G,7,0),"")</f>
        <v/>
      </c>
      <c r="F172" s="44" t="str">
        <f>IFERROR(VLOOKUP(A172,'Paste - Mentors'!$A:$K,11,0),"")</f>
        <v/>
      </c>
      <c r="G172" s="44" t="str">
        <f>IF(A172="","",IF(COUNTIF('Paste - Mentors'!$A:$A,A172)&gt;0,"Registered","Not Found"))</f>
        <v/>
      </c>
      <c r="H172" s="46" t="str">
        <f>IF(A172="","",COUNTIF('Intern Monitoring'!$D$4:$D$203,B172))</f>
        <v/>
      </c>
      <c r="I172" s="47" t="str">
        <f t="shared" si="5"/>
        <v/>
      </c>
    </row>
    <row r="173" spans="1:9" ht="14.25" customHeight="1" x14ac:dyDescent="0.3">
      <c r="A173" s="44"/>
      <c r="B173" s="45" t="str">
        <f>IFERROR(VLOOKUP(A173,'Paste - Mentors'!$A:$B,2,0),"")</f>
        <v/>
      </c>
      <c r="C173" s="44"/>
      <c r="D173" s="44"/>
      <c r="E173" s="44" t="str">
        <f>IFERROR(VLOOKUP(A173,'Paste - Mentors'!$A:$G,7,0),"")</f>
        <v/>
      </c>
      <c r="F173" s="44" t="str">
        <f>IFERROR(VLOOKUP(A173,'Paste - Mentors'!$A:$K,11,0),"")</f>
        <v/>
      </c>
      <c r="G173" s="44" t="str">
        <f>IF(A173="","",IF(COUNTIF('Paste - Mentors'!$A:$A,A173)&gt;0,"Registered","Not Found"))</f>
        <v/>
      </c>
      <c r="H173" s="46" t="str">
        <f>IF(A173="","",COUNTIF('Intern Monitoring'!$D$4:$D$203,B173))</f>
        <v/>
      </c>
      <c r="I173" s="47" t="str">
        <f t="shared" si="5"/>
        <v/>
      </c>
    </row>
    <row r="174" spans="1:9" ht="14.25" customHeight="1" x14ac:dyDescent="0.3">
      <c r="A174" s="44"/>
      <c r="B174" s="45" t="str">
        <f>IFERROR(VLOOKUP(A174,'Paste - Mentors'!$A:$B,2,0),"")</f>
        <v/>
      </c>
      <c r="C174" s="44"/>
      <c r="D174" s="44"/>
      <c r="E174" s="44" t="str">
        <f>IFERROR(VLOOKUP(A174,'Paste - Mentors'!$A:$G,7,0),"")</f>
        <v/>
      </c>
      <c r="F174" s="44" t="str">
        <f>IFERROR(VLOOKUP(A174,'Paste - Mentors'!$A:$K,11,0),"")</f>
        <v/>
      </c>
      <c r="G174" s="44" t="str">
        <f>IF(A174="","",IF(COUNTIF('Paste - Mentors'!$A:$A,A174)&gt;0,"Registered","Not Found"))</f>
        <v/>
      </c>
      <c r="H174" s="46" t="str">
        <f>IF(A174="","",COUNTIF('Intern Monitoring'!$D$4:$D$203,B174))</f>
        <v/>
      </c>
      <c r="I174" s="47" t="str">
        <f t="shared" si="5"/>
        <v/>
      </c>
    </row>
    <row r="175" spans="1:9" ht="14.25" customHeight="1" x14ac:dyDescent="0.3">
      <c r="A175" s="44"/>
      <c r="B175" s="45" t="str">
        <f>IFERROR(VLOOKUP(A175,'Paste - Mentors'!$A:$B,2,0),"")</f>
        <v/>
      </c>
      <c r="C175" s="44"/>
      <c r="D175" s="44"/>
      <c r="E175" s="44" t="str">
        <f>IFERROR(VLOOKUP(A175,'Paste - Mentors'!$A:$G,7,0),"")</f>
        <v/>
      </c>
      <c r="F175" s="44" t="str">
        <f>IFERROR(VLOOKUP(A175,'Paste - Mentors'!$A:$K,11,0),"")</f>
        <v/>
      </c>
      <c r="G175" s="44" t="str">
        <f>IF(A175="","",IF(COUNTIF('Paste - Mentors'!$A:$A,A175)&gt;0,"Registered","Not Found"))</f>
        <v/>
      </c>
      <c r="H175" s="46" t="str">
        <f>IF(A175="","",COUNTIF('Intern Monitoring'!$D$4:$D$203,B175))</f>
        <v/>
      </c>
      <c r="I175" s="47" t="str">
        <f t="shared" si="5"/>
        <v/>
      </c>
    </row>
    <row r="176" spans="1:9" ht="14.25" customHeight="1" x14ac:dyDescent="0.3">
      <c r="A176" s="44"/>
      <c r="B176" s="45" t="str">
        <f>IFERROR(VLOOKUP(A176,'Paste - Mentors'!$A:$B,2,0),"")</f>
        <v/>
      </c>
      <c r="C176" s="44"/>
      <c r="D176" s="44"/>
      <c r="E176" s="44" t="str">
        <f>IFERROR(VLOOKUP(A176,'Paste - Mentors'!$A:$G,7,0),"")</f>
        <v/>
      </c>
      <c r="F176" s="44" t="str">
        <f>IFERROR(VLOOKUP(A176,'Paste - Mentors'!$A:$K,11,0),"")</f>
        <v/>
      </c>
      <c r="G176" s="44" t="str">
        <f>IF(A176="","",IF(COUNTIF('Paste - Mentors'!$A:$A,A176)&gt;0,"Registered","Not Found"))</f>
        <v/>
      </c>
      <c r="H176" s="46" t="str">
        <f>IF(A176="","",COUNTIF('Intern Monitoring'!$D$4:$D$203,B176))</f>
        <v/>
      </c>
      <c r="I176" s="47" t="str">
        <f t="shared" si="5"/>
        <v/>
      </c>
    </row>
    <row r="177" spans="1:9" ht="14.25" customHeight="1" x14ac:dyDescent="0.3">
      <c r="A177" s="44"/>
      <c r="B177" s="45" t="str">
        <f>IFERROR(VLOOKUP(A177,'Paste - Mentors'!$A:$B,2,0),"")</f>
        <v/>
      </c>
      <c r="C177" s="44"/>
      <c r="D177" s="44"/>
      <c r="E177" s="44" t="str">
        <f>IFERROR(VLOOKUP(A177,'Paste - Mentors'!$A:$G,7,0),"")</f>
        <v/>
      </c>
      <c r="F177" s="44" t="str">
        <f>IFERROR(VLOOKUP(A177,'Paste - Mentors'!$A:$K,11,0),"")</f>
        <v/>
      </c>
      <c r="G177" s="44" t="str">
        <f>IF(A177="","",IF(COUNTIF('Paste - Mentors'!$A:$A,A177)&gt;0,"Registered","Not Found"))</f>
        <v/>
      </c>
      <c r="H177" s="46" t="str">
        <f>IF(A177="","",COUNTIF('Intern Monitoring'!$D$4:$D$203,B177))</f>
        <v/>
      </c>
      <c r="I177" s="47" t="str">
        <f t="shared" si="5"/>
        <v/>
      </c>
    </row>
    <row r="178" spans="1:9" ht="14.25" customHeight="1" x14ac:dyDescent="0.3">
      <c r="A178" s="44"/>
      <c r="B178" s="45" t="str">
        <f>IFERROR(VLOOKUP(A178,'Paste - Mentors'!$A:$B,2,0),"")</f>
        <v/>
      </c>
      <c r="C178" s="44"/>
      <c r="D178" s="44"/>
      <c r="E178" s="44" t="str">
        <f>IFERROR(VLOOKUP(A178,'Paste - Mentors'!$A:$G,7,0),"")</f>
        <v/>
      </c>
      <c r="F178" s="44" t="str">
        <f>IFERROR(VLOOKUP(A178,'Paste - Mentors'!$A:$K,11,0),"")</f>
        <v/>
      </c>
      <c r="G178" s="44" t="str">
        <f>IF(A178="","",IF(COUNTIF('Paste - Mentors'!$A:$A,A178)&gt;0,"Registered","Not Found"))</f>
        <v/>
      </c>
      <c r="H178" s="46" t="str">
        <f>IF(A178="","",COUNTIF('Intern Monitoring'!$D$4:$D$203,B178))</f>
        <v/>
      </c>
      <c r="I178" s="47" t="str">
        <f t="shared" si="5"/>
        <v/>
      </c>
    </row>
    <row r="179" spans="1:9" ht="14.25" customHeight="1" x14ac:dyDescent="0.3">
      <c r="A179" s="44"/>
      <c r="B179" s="45" t="str">
        <f>IFERROR(VLOOKUP(A179,'Paste - Mentors'!$A:$B,2,0),"")</f>
        <v/>
      </c>
      <c r="C179" s="44"/>
      <c r="D179" s="44"/>
      <c r="E179" s="44" t="str">
        <f>IFERROR(VLOOKUP(A179,'Paste - Mentors'!$A:$G,7,0),"")</f>
        <v/>
      </c>
      <c r="F179" s="44" t="str">
        <f>IFERROR(VLOOKUP(A179,'Paste - Mentors'!$A:$K,11,0),"")</f>
        <v/>
      </c>
      <c r="G179" s="44" t="str">
        <f>IF(A179="","",IF(COUNTIF('Paste - Mentors'!$A:$A,A179)&gt;0,"Registered","Not Found"))</f>
        <v/>
      </c>
      <c r="H179" s="46" t="str">
        <f>IF(A179="","",COUNTIF('Intern Monitoring'!$D$4:$D$203,B179))</f>
        <v/>
      </c>
      <c r="I179" s="47" t="str">
        <f t="shared" si="5"/>
        <v/>
      </c>
    </row>
    <row r="180" spans="1:9" ht="14.25" customHeight="1" x14ac:dyDescent="0.3">
      <c r="A180" s="44"/>
      <c r="B180" s="45" t="str">
        <f>IFERROR(VLOOKUP(A180,'Paste - Mentors'!$A:$B,2,0),"")</f>
        <v/>
      </c>
      <c r="C180" s="44"/>
      <c r="D180" s="44"/>
      <c r="E180" s="44" t="str">
        <f>IFERROR(VLOOKUP(A180,'Paste - Mentors'!$A:$G,7,0),"")</f>
        <v/>
      </c>
      <c r="F180" s="44" t="str">
        <f>IFERROR(VLOOKUP(A180,'Paste - Mentors'!$A:$K,11,0),"")</f>
        <v/>
      </c>
      <c r="G180" s="44" t="str">
        <f>IF(A180="","",IF(COUNTIF('Paste - Mentors'!$A:$A,A180)&gt;0,"Registered","Not Found"))</f>
        <v/>
      </c>
      <c r="H180" s="46" t="str">
        <f>IF(A180="","",COUNTIF('Intern Monitoring'!$D$4:$D$203,B180))</f>
        <v/>
      </c>
      <c r="I180" s="47" t="str">
        <f t="shared" si="5"/>
        <v/>
      </c>
    </row>
    <row r="181" spans="1:9" ht="14.25" customHeight="1" x14ac:dyDescent="0.3">
      <c r="A181" s="44"/>
      <c r="B181" s="45" t="str">
        <f>IFERROR(VLOOKUP(A181,'Paste - Mentors'!$A:$B,2,0),"")</f>
        <v/>
      </c>
      <c r="C181" s="44"/>
      <c r="D181" s="44"/>
      <c r="E181" s="44" t="str">
        <f>IFERROR(VLOOKUP(A181,'Paste - Mentors'!$A:$G,7,0),"")</f>
        <v/>
      </c>
      <c r="F181" s="44" t="str">
        <f>IFERROR(VLOOKUP(A181,'Paste - Mentors'!$A:$K,11,0),"")</f>
        <v/>
      </c>
      <c r="G181" s="44" t="str">
        <f>IF(A181="","",IF(COUNTIF('Paste - Mentors'!$A:$A,A181)&gt;0,"Registered","Not Found"))</f>
        <v/>
      </c>
      <c r="H181" s="46" t="str">
        <f>IF(A181="","",COUNTIF('Intern Monitoring'!$D$4:$D$203,B181))</f>
        <v/>
      </c>
      <c r="I181" s="47" t="str">
        <f t="shared" si="5"/>
        <v/>
      </c>
    </row>
    <row r="182" spans="1:9" ht="14.25" customHeight="1" x14ac:dyDescent="0.3">
      <c r="A182" s="44"/>
      <c r="B182" s="45" t="str">
        <f>IFERROR(VLOOKUP(A182,'Paste - Mentors'!$A:$B,2,0),"")</f>
        <v/>
      </c>
      <c r="C182" s="44"/>
      <c r="D182" s="44"/>
      <c r="E182" s="44" t="str">
        <f>IFERROR(VLOOKUP(A182,'Paste - Mentors'!$A:$G,7,0),"")</f>
        <v/>
      </c>
      <c r="F182" s="44" t="str">
        <f>IFERROR(VLOOKUP(A182,'Paste - Mentors'!$A:$K,11,0),"")</f>
        <v/>
      </c>
      <c r="G182" s="44" t="str">
        <f>IF(A182="","",IF(COUNTIF('Paste - Mentors'!$A:$A,A182)&gt;0,"Registered","Not Found"))</f>
        <v/>
      </c>
      <c r="H182" s="46" t="str">
        <f>IF(A182="","",COUNTIF('Intern Monitoring'!$D$4:$D$203,B182))</f>
        <v/>
      </c>
      <c r="I182" s="47" t="str">
        <f t="shared" si="5"/>
        <v/>
      </c>
    </row>
    <row r="183" spans="1:9" ht="14.25" customHeight="1" x14ac:dyDescent="0.3">
      <c r="A183" s="44"/>
      <c r="B183" s="45" t="str">
        <f>IFERROR(VLOOKUP(A183,'Paste - Mentors'!$A:$B,2,0),"")</f>
        <v/>
      </c>
      <c r="C183" s="44"/>
      <c r="D183" s="44"/>
      <c r="E183" s="44" t="str">
        <f>IFERROR(VLOOKUP(A183,'Paste - Mentors'!$A:$G,7,0),"")</f>
        <v/>
      </c>
      <c r="F183" s="44" t="str">
        <f>IFERROR(VLOOKUP(A183,'Paste - Mentors'!$A:$K,11,0),"")</f>
        <v/>
      </c>
      <c r="G183" s="44" t="str">
        <f>IF(A183="","",IF(COUNTIF('Paste - Mentors'!$A:$A,A183)&gt;0,"Registered","Not Found"))</f>
        <v/>
      </c>
      <c r="H183" s="46" t="str">
        <f>IF(A183="","",COUNTIF('Intern Monitoring'!$D$4:$D$203,B183))</f>
        <v/>
      </c>
      <c r="I183" s="47" t="str">
        <f t="shared" si="5"/>
        <v/>
      </c>
    </row>
    <row r="184" spans="1:9" ht="14.25" customHeight="1" x14ac:dyDescent="0.3">
      <c r="A184" s="44"/>
      <c r="B184" s="45" t="str">
        <f>IFERROR(VLOOKUP(A184,'Paste - Mentors'!$A:$B,2,0),"")</f>
        <v/>
      </c>
      <c r="C184" s="44"/>
      <c r="D184" s="44"/>
      <c r="E184" s="44" t="str">
        <f>IFERROR(VLOOKUP(A184,'Paste - Mentors'!$A:$G,7,0),"")</f>
        <v/>
      </c>
      <c r="F184" s="44" t="str">
        <f>IFERROR(VLOOKUP(A184,'Paste - Mentors'!$A:$K,11,0),"")</f>
        <v/>
      </c>
      <c r="G184" s="44" t="str">
        <f>IF(A184="","",IF(COUNTIF('Paste - Mentors'!$A:$A,A184)&gt;0,"Registered","Not Found"))</f>
        <v/>
      </c>
      <c r="H184" s="46" t="str">
        <f>IF(A184="","",COUNTIF('Intern Monitoring'!$D$4:$D$203,B184))</f>
        <v/>
      </c>
      <c r="I184" s="47" t="str">
        <f t="shared" si="5"/>
        <v/>
      </c>
    </row>
    <row r="185" spans="1:9" ht="14.25" customHeight="1" x14ac:dyDescent="0.3">
      <c r="A185" s="44"/>
      <c r="B185" s="45" t="str">
        <f>IFERROR(VLOOKUP(A185,'Paste - Mentors'!$A:$B,2,0),"")</f>
        <v/>
      </c>
      <c r="C185" s="44"/>
      <c r="D185" s="44"/>
      <c r="E185" s="44" t="str">
        <f>IFERROR(VLOOKUP(A185,'Paste - Mentors'!$A:$G,7,0),"")</f>
        <v/>
      </c>
      <c r="F185" s="44" t="str">
        <f>IFERROR(VLOOKUP(A185,'Paste - Mentors'!$A:$K,11,0),"")</f>
        <v/>
      </c>
      <c r="G185" s="44" t="str">
        <f>IF(A185="","",IF(COUNTIF('Paste - Mentors'!$A:$A,A185)&gt;0,"Registered","Not Found"))</f>
        <v/>
      </c>
      <c r="H185" s="46" t="str">
        <f>IF(A185="","",COUNTIF('Intern Monitoring'!$D$4:$D$203,B185))</f>
        <v/>
      </c>
      <c r="I185" s="47" t="str">
        <f t="shared" si="5"/>
        <v/>
      </c>
    </row>
    <row r="186" spans="1:9" ht="14.25" customHeight="1" x14ac:dyDescent="0.3">
      <c r="A186" s="44"/>
      <c r="B186" s="45" t="str">
        <f>IFERROR(VLOOKUP(A186,'Paste - Mentors'!$A:$B,2,0),"")</f>
        <v/>
      </c>
      <c r="C186" s="44"/>
      <c r="D186" s="44"/>
      <c r="E186" s="44" t="str">
        <f>IFERROR(VLOOKUP(A186,'Paste - Mentors'!$A:$G,7,0),"")</f>
        <v/>
      </c>
      <c r="F186" s="44" t="str">
        <f>IFERROR(VLOOKUP(A186,'Paste - Mentors'!$A:$K,11,0),"")</f>
        <v/>
      </c>
      <c r="G186" s="44" t="str">
        <f>IF(A186="","",IF(COUNTIF('Paste - Mentors'!$A:$A,A186)&gt;0,"Registered","Not Found"))</f>
        <v/>
      </c>
      <c r="H186" s="46" t="str">
        <f>IF(A186="","",COUNTIF('Intern Monitoring'!$D$4:$D$203,B186))</f>
        <v/>
      </c>
      <c r="I186" s="47" t="str">
        <f t="shared" si="5"/>
        <v/>
      </c>
    </row>
    <row r="187" spans="1:9" ht="14.25" customHeight="1" x14ac:dyDescent="0.3">
      <c r="A187" s="44"/>
      <c r="B187" s="45" t="str">
        <f>IFERROR(VLOOKUP(A187,'Paste - Mentors'!$A:$B,2,0),"")</f>
        <v/>
      </c>
      <c r="C187" s="44"/>
      <c r="D187" s="44"/>
      <c r="E187" s="44" t="str">
        <f>IFERROR(VLOOKUP(A187,'Paste - Mentors'!$A:$G,7,0),"")</f>
        <v/>
      </c>
      <c r="F187" s="44" t="str">
        <f>IFERROR(VLOOKUP(A187,'Paste - Mentors'!$A:$K,11,0),"")</f>
        <v/>
      </c>
      <c r="G187" s="44" t="str">
        <f>IF(A187="","",IF(COUNTIF('Paste - Mentors'!$A:$A,A187)&gt;0,"Registered","Not Found"))</f>
        <v/>
      </c>
      <c r="H187" s="46" t="str">
        <f>IF(A187="","",COUNTIF('Intern Monitoring'!$D$4:$D$203,B187))</f>
        <v/>
      </c>
      <c r="I187" s="47" t="str">
        <f t="shared" si="5"/>
        <v/>
      </c>
    </row>
    <row r="188" spans="1:9" ht="14.25" customHeight="1" x14ac:dyDescent="0.3">
      <c r="A188" s="44"/>
      <c r="B188" s="45" t="str">
        <f>IFERROR(VLOOKUP(A188,'Paste - Mentors'!$A:$B,2,0),"")</f>
        <v/>
      </c>
      <c r="C188" s="44"/>
      <c r="D188" s="44"/>
      <c r="E188" s="44" t="str">
        <f>IFERROR(VLOOKUP(A188,'Paste - Mentors'!$A:$G,7,0),"")</f>
        <v/>
      </c>
      <c r="F188" s="44" t="str">
        <f>IFERROR(VLOOKUP(A188,'Paste - Mentors'!$A:$K,11,0),"")</f>
        <v/>
      </c>
      <c r="G188" s="44" t="str">
        <f>IF(A188="","",IF(COUNTIF('Paste - Mentors'!$A:$A,A188)&gt;0,"Registered","Not Found"))</f>
        <v/>
      </c>
      <c r="H188" s="46" t="str">
        <f>IF(A188="","",COUNTIF('Intern Monitoring'!$D$4:$D$203,B188))</f>
        <v/>
      </c>
      <c r="I188" s="47" t="str">
        <f t="shared" si="5"/>
        <v/>
      </c>
    </row>
    <row r="189" spans="1:9" ht="14.25" customHeight="1" x14ac:dyDescent="0.3">
      <c r="A189" s="44"/>
      <c r="B189" s="45" t="str">
        <f>IFERROR(VLOOKUP(A189,'Paste - Mentors'!$A:$B,2,0),"")</f>
        <v/>
      </c>
      <c r="C189" s="44"/>
      <c r="D189" s="44"/>
      <c r="E189" s="44" t="str">
        <f>IFERROR(VLOOKUP(A189,'Paste - Mentors'!$A:$G,7,0),"")</f>
        <v/>
      </c>
      <c r="F189" s="44" t="str">
        <f>IFERROR(VLOOKUP(A189,'Paste - Mentors'!$A:$K,11,0),"")</f>
        <v/>
      </c>
      <c r="G189" s="44" t="str">
        <f>IF(A189="","",IF(COUNTIF('Paste - Mentors'!$A:$A,A189)&gt;0,"Registered","Not Found"))</f>
        <v/>
      </c>
      <c r="H189" s="46" t="str">
        <f>IF(A189="","",COUNTIF('Intern Monitoring'!$D$4:$D$203,B189))</f>
        <v/>
      </c>
      <c r="I189" s="47" t="str">
        <f t="shared" si="5"/>
        <v/>
      </c>
    </row>
    <row r="190" spans="1:9" ht="14.25" customHeight="1" x14ac:dyDescent="0.3">
      <c r="A190" s="44"/>
      <c r="B190" s="45" t="str">
        <f>IFERROR(VLOOKUP(A190,'Paste - Mentors'!$A:$B,2,0),"")</f>
        <v/>
      </c>
      <c r="C190" s="44"/>
      <c r="D190" s="44"/>
      <c r="E190" s="44" t="str">
        <f>IFERROR(VLOOKUP(A190,'Paste - Mentors'!$A:$G,7,0),"")</f>
        <v/>
      </c>
      <c r="F190" s="44" t="str">
        <f>IFERROR(VLOOKUP(A190,'Paste - Mentors'!$A:$K,11,0),"")</f>
        <v/>
      </c>
      <c r="G190" s="44" t="str">
        <f>IF(A190="","",IF(COUNTIF('Paste - Mentors'!$A:$A,A190)&gt;0,"Registered","Not Found"))</f>
        <v/>
      </c>
      <c r="H190" s="46" t="str">
        <f>IF(A190="","",COUNTIF('Intern Monitoring'!$D$4:$D$203,B190))</f>
        <v/>
      </c>
      <c r="I190" s="47" t="str">
        <f t="shared" si="5"/>
        <v/>
      </c>
    </row>
    <row r="191" spans="1:9" ht="14.25" customHeight="1" x14ac:dyDescent="0.3">
      <c r="A191" s="44"/>
      <c r="B191" s="45" t="str">
        <f>IFERROR(VLOOKUP(A191,'Paste - Mentors'!$A:$B,2,0),"")</f>
        <v/>
      </c>
      <c r="C191" s="44"/>
      <c r="D191" s="44"/>
      <c r="E191" s="44" t="str">
        <f>IFERROR(VLOOKUP(A191,'Paste - Mentors'!$A:$G,7,0),"")</f>
        <v/>
      </c>
      <c r="F191" s="44" t="str">
        <f>IFERROR(VLOOKUP(A191,'Paste - Mentors'!$A:$K,11,0),"")</f>
        <v/>
      </c>
      <c r="G191" s="44" t="str">
        <f>IF(A191="","",IF(COUNTIF('Paste - Mentors'!$A:$A,A191)&gt;0,"Registered","Not Found"))</f>
        <v/>
      </c>
      <c r="H191" s="46" t="str">
        <f>IF(A191="","",COUNTIF('Intern Monitoring'!$D$4:$D$203,B191))</f>
        <v/>
      </c>
      <c r="I191" s="47" t="str">
        <f t="shared" si="5"/>
        <v/>
      </c>
    </row>
    <row r="192" spans="1:9" ht="14.25" customHeight="1" x14ac:dyDescent="0.3">
      <c r="A192" s="44"/>
      <c r="B192" s="45" t="str">
        <f>IFERROR(VLOOKUP(A192,'Paste - Mentors'!$A:$B,2,0),"")</f>
        <v/>
      </c>
      <c r="C192" s="44"/>
      <c r="D192" s="44"/>
      <c r="E192" s="44" t="str">
        <f>IFERROR(VLOOKUP(A192,'Paste - Mentors'!$A:$G,7,0),"")</f>
        <v/>
      </c>
      <c r="F192" s="44" t="str">
        <f>IFERROR(VLOOKUP(A192,'Paste - Mentors'!$A:$K,11,0),"")</f>
        <v/>
      </c>
      <c r="G192" s="44" t="str">
        <f>IF(A192="","",IF(COUNTIF('Paste - Mentors'!$A:$A,A192)&gt;0,"Registered","Not Found"))</f>
        <v/>
      </c>
      <c r="H192" s="46" t="str">
        <f>IF(A192="","",COUNTIF('Intern Monitoring'!$D$4:$D$203,B192))</f>
        <v/>
      </c>
      <c r="I192" s="47" t="str">
        <f t="shared" si="5"/>
        <v/>
      </c>
    </row>
    <row r="193" spans="1:9" ht="14.25" customHeight="1" x14ac:dyDescent="0.3">
      <c r="A193" s="44"/>
      <c r="B193" s="45" t="str">
        <f>IFERROR(VLOOKUP(A193,'Paste - Mentors'!$A:$B,2,0),"")</f>
        <v/>
      </c>
      <c r="C193" s="44"/>
      <c r="D193" s="44"/>
      <c r="E193" s="44" t="str">
        <f>IFERROR(VLOOKUP(A193,'Paste - Mentors'!$A:$G,7,0),"")</f>
        <v/>
      </c>
      <c r="F193" s="44" t="str">
        <f>IFERROR(VLOOKUP(A193,'Paste - Mentors'!$A:$K,11,0),"")</f>
        <v/>
      </c>
      <c r="G193" s="44" t="str">
        <f>IF(A193="","",IF(COUNTIF('Paste - Mentors'!$A:$A,A193)&gt;0,"Registered","Not Found"))</f>
        <v/>
      </c>
      <c r="H193" s="46" t="str">
        <f>IF(A193="","",COUNTIF('Intern Monitoring'!$D$4:$D$203,B193))</f>
        <v/>
      </c>
      <c r="I193" s="47" t="str">
        <f t="shared" si="5"/>
        <v/>
      </c>
    </row>
    <row r="194" spans="1:9" ht="14.25" customHeight="1" x14ac:dyDescent="0.3">
      <c r="A194" s="44"/>
      <c r="B194" s="45" t="str">
        <f>IFERROR(VLOOKUP(A194,'Paste - Mentors'!$A:$B,2,0),"")</f>
        <v/>
      </c>
      <c r="C194" s="44"/>
      <c r="D194" s="44"/>
      <c r="E194" s="44" t="str">
        <f>IFERROR(VLOOKUP(A194,'Paste - Mentors'!$A:$G,7,0),"")</f>
        <v/>
      </c>
      <c r="F194" s="44" t="str">
        <f>IFERROR(VLOOKUP(A194,'Paste - Mentors'!$A:$K,11,0),"")</f>
        <v/>
      </c>
      <c r="G194" s="44" t="str">
        <f>IF(A194="","",IF(COUNTIF('Paste - Mentors'!$A:$A,A194)&gt;0,"Registered","Not Found"))</f>
        <v/>
      </c>
      <c r="H194" s="46" t="str">
        <f>IF(A194="","",COUNTIF('Intern Monitoring'!$D$4:$D$203,B194))</f>
        <v/>
      </c>
      <c r="I194" s="47" t="str">
        <f t="shared" si="5"/>
        <v/>
      </c>
    </row>
    <row r="195" spans="1:9" ht="14.25" customHeight="1" x14ac:dyDescent="0.3">
      <c r="A195" s="44"/>
      <c r="B195" s="45" t="str">
        <f>IFERROR(VLOOKUP(A195,'Paste - Mentors'!$A:$B,2,0),"")</f>
        <v/>
      </c>
      <c r="C195" s="44"/>
      <c r="D195" s="44"/>
      <c r="E195" s="44" t="str">
        <f>IFERROR(VLOOKUP(A195,'Paste - Mentors'!$A:$G,7,0),"")</f>
        <v/>
      </c>
      <c r="F195" s="44" t="str">
        <f>IFERROR(VLOOKUP(A195,'Paste - Mentors'!$A:$K,11,0),"")</f>
        <v/>
      </c>
      <c r="G195" s="44" t="str">
        <f>IF(A195="","",IF(COUNTIF('Paste - Mentors'!$A:$A,A195)&gt;0,"Registered","Not Found"))</f>
        <v/>
      </c>
      <c r="H195" s="46" t="str">
        <f>IF(A195="","",COUNTIF('Intern Monitoring'!$D$4:$D$203,B195))</f>
        <v/>
      </c>
      <c r="I195" s="47" t="str">
        <f t="shared" si="5"/>
        <v/>
      </c>
    </row>
    <row r="196" spans="1:9" ht="14.25" customHeight="1" x14ac:dyDescent="0.3">
      <c r="A196" s="44"/>
      <c r="B196" s="45" t="str">
        <f>IFERROR(VLOOKUP(A196,'Paste - Mentors'!$A:$B,2,0),"")</f>
        <v/>
      </c>
      <c r="C196" s="44"/>
      <c r="D196" s="44"/>
      <c r="E196" s="44" t="str">
        <f>IFERROR(VLOOKUP(A196,'Paste - Mentors'!$A:$G,7,0),"")</f>
        <v/>
      </c>
      <c r="F196" s="44" t="str">
        <f>IFERROR(VLOOKUP(A196,'Paste - Mentors'!$A:$K,11,0),"")</f>
        <v/>
      </c>
      <c r="G196" s="44" t="str">
        <f>IF(A196="","",IF(COUNTIF('Paste - Mentors'!$A:$A,A196)&gt;0,"Registered","Not Found"))</f>
        <v/>
      </c>
      <c r="H196" s="46" t="str">
        <f>IF(A196="","",COUNTIF('Intern Monitoring'!$D$4:$D$203,B196))</f>
        <v/>
      </c>
      <c r="I196" s="47" t="str">
        <f t="shared" ref="I196:I227" si="6">IF(A196="","",IFERROR(IF(C196="",3,C196)-IF(H196="",0,H196),"-"))</f>
        <v/>
      </c>
    </row>
    <row r="197" spans="1:9" ht="14.25" customHeight="1" x14ac:dyDescent="0.3">
      <c r="A197" s="44"/>
      <c r="B197" s="45" t="str">
        <f>IFERROR(VLOOKUP(A197,'Paste - Mentors'!$A:$B,2,0),"")</f>
        <v/>
      </c>
      <c r="C197" s="44"/>
      <c r="D197" s="44"/>
      <c r="E197" s="44" t="str">
        <f>IFERROR(VLOOKUP(A197,'Paste - Mentors'!$A:$G,7,0),"")</f>
        <v/>
      </c>
      <c r="F197" s="44" t="str">
        <f>IFERROR(VLOOKUP(A197,'Paste - Mentors'!$A:$K,11,0),"")</f>
        <v/>
      </c>
      <c r="G197" s="44" t="str">
        <f>IF(A197="","",IF(COUNTIF('Paste - Mentors'!$A:$A,A197)&gt;0,"Registered","Not Found"))</f>
        <v/>
      </c>
      <c r="H197" s="46" t="str">
        <f>IF(A197="","",COUNTIF('Intern Monitoring'!$D$4:$D$203,B197))</f>
        <v/>
      </c>
      <c r="I197" s="47" t="str">
        <f t="shared" si="6"/>
        <v/>
      </c>
    </row>
    <row r="198" spans="1:9" ht="14.25" customHeight="1" x14ac:dyDescent="0.3">
      <c r="A198" s="44"/>
      <c r="B198" s="45" t="str">
        <f>IFERROR(VLOOKUP(A198,'Paste - Mentors'!$A:$B,2,0),"")</f>
        <v/>
      </c>
      <c r="C198" s="44"/>
      <c r="D198" s="44"/>
      <c r="E198" s="44" t="str">
        <f>IFERROR(VLOOKUP(A198,'Paste - Mentors'!$A:$G,7,0),"")</f>
        <v/>
      </c>
      <c r="F198" s="44" t="str">
        <f>IFERROR(VLOOKUP(A198,'Paste - Mentors'!$A:$K,11,0),"")</f>
        <v/>
      </c>
      <c r="G198" s="44" t="str">
        <f>IF(A198="","",IF(COUNTIF('Paste - Mentors'!$A:$A,A198)&gt;0,"Registered","Not Found"))</f>
        <v/>
      </c>
      <c r="H198" s="46" t="str">
        <f>IF(A198="","",COUNTIF('Intern Monitoring'!$D$4:$D$203,B198))</f>
        <v/>
      </c>
      <c r="I198" s="47" t="str">
        <f t="shared" si="6"/>
        <v/>
      </c>
    </row>
    <row r="199" spans="1:9" ht="14.25" customHeight="1" x14ac:dyDescent="0.3">
      <c r="A199" s="44"/>
      <c r="B199" s="45" t="str">
        <f>IFERROR(VLOOKUP(A199,'Paste - Mentors'!$A:$B,2,0),"")</f>
        <v/>
      </c>
      <c r="C199" s="44"/>
      <c r="D199" s="44"/>
      <c r="E199" s="44" t="str">
        <f>IFERROR(VLOOKUP(A199,'Paste - Mentors'!$A:$G,7,0),"")</f>
        <v/>
      </c>
      <c r="F199" s="44" t="str">
        <f>IFERROR(VLOOKUP(A199,'Paste - Mentors'!$A:$K,11,0),"")</f>
        <v/>
      </c>
      <c r="G199" s="44" t="str">
        <f>IF(A199="","",IF(COUNTIF('Paste - Mentors'!$A:$A,A199)&gt;0,"Registered","Not Found"))</f>
        <v/>
      </c>
      <c r="H199" s="46" t="str">
        <f>IF(A199="","",COUNTIF('Intern Monitoring'!$D$4:$D$203,B199))</f>
        <v/>
      </c>
      <c r="I199" s="47" t="str">
        <f t="shared" si="6"/>
        <v/>
      </c>
    </row>
    <row r="200" spans="1:9" ht="14.25" customHeight="1" x14ac:dyDescent="0.3">
      <c r="A200" s="44"/>
      <c r="B200" s="45" t="str">
        <f>IFERROR(VLOOKUP(A200,'Paste - Mentors'!$A:$B,2,0),"")</f>
        <v/>
      </c>
      <c r="C200" s="44"/>
      <c r="D200" s="44"/>
      <c r="E200" s="44" t="str">
        <f>IFERROR(VLOOKUP(A200,'Paste - Mentors'!$A:$G,7,0),"")</f>
        <v/>
      </c>
      <c r="F200" s="44" t="str">
        <f>IFERROR(VLOOKUP(A200,'Paste - Mentors'!$A:$K,11,0),"")</f>
        <v/>
      </c>
      <c r="G200" s="44" t="str">
        <f>IF(A200="","",IF(COUNTIF('Paste - Mentors'!$A:$A,A200)&gt;0,"Registered","Not Found"))</f>
        <v/>
      </c>
      <c r="H200" s="46" t="str">
        <f>IF(A200="","",COUNTIF('Intern Monitoring'!$D$4:$D$203,B200))</f>
        <v/>
      </c>
      <c r="I200" s="47" t="str">
        <f t="shared" si="6"/>
        <v/>
      </c>
    </row>
    <row r="201" spans="1:9" ht="14.25" customHeight="1" x14ac:dyDescent="0.3">
      <c r="A201" s="44"/>
      <c r="B201" s="45" t="str">
        <f>IFERROR(VLOOKUP(A201,'Paste - Mentors'!$A:$B,2,0),"")</f>
        <v/>
      </c>
      <c r="C201" s="44"/>
      <c r="D201" s="44"/>
      <c r="E201" s="44" t="str">
        <f>IFERROR(VLOOKUP(A201,'Paste - Mentors'!$A:$G,7,0),"")</f>
        <v/>
      </c>
      <c r="F201" s="44" t="str">
        <f>IFERROR(VLOOKUP(A201,'Paste - Mentors'!$A:$K,11,0),"")</f>
        <v/>
      </c>
      <c r="G201" s="44" t="str">
        <f>IF(A201="","",IF(COUNTIF('Paste - Mentors'!$A:$A,A201)&gt;0,"Registered","Not Found"))</f>
        <v/>
      </c>
      <c r="H201" s="46" t="str">
        <f>IF(A201="","",COUNTIF('Intern Monitoring'!$D$4:$D$203,B201))</f>
        <v/>
      </c>
      <c r="I201" s="47" t="str">
        <f t="shared" si="6"/>
        <v/>
      </c>
    </row>
    <row r="202" spans="1:9" ht="14.25" customHeight="1" x14ac:dyDescent="0.3">
      <c r="A202" s="44"/>
      <c r="B202" s="45" t="str">
        <f>IFERROR(VLOOKUP(A202,'Paste - Mentors'!$A:$B,2,0),"")</f>
        <v/>
      </c>
      <c r="C202" s="44"/>
      <c r="D202" s="44"/>
      <c r="E202" s="44" t="str">
        <f>IFERROR(VLOOKUP(A202,'Paste - Mentors'!$A:$G,7,0),"")</f>
        <v/>
      </c>
      <c r="F202" s="44" t="str">
        <f>IFERROR(VLOOKUP(A202,'Paste - Mentors'!$A:$K,11,0),"")</f>
        <v/>
      </c>
      <c r="G202" s="44" t="str">
        <f>IF(A202="","",IF(COUNTIF('Paste - Mentors'!$A:$A,A202)&gt;0,"Registered","Not Found"))</f>
        <v/>
      </c>
      <c r="H202" s="46" t="str">
        <f>IF(A202="","",COUNTIF('Intern Monitoring'!$D$4:$D$203,B202))</f>
        <v/>
      </c>
      <c r="I202" s="47" t="str">
        <f t="shared" si="6"/>
        <v/>
      </c>
    </row>
    <row r="203" spans="1:9" ht="14.25" customHeight="1" x14ac:dyDescent="0.3">
      <c r="A203" s="44"/>
      <c r="B203" s="45" t="str">
        <f>IFERROR(VLOOKUP(A203,'Paste - Mentors'!$A:$B,2,0),"")</f>
        <v/>
      </c>
      <c r="C203" s="44"/>
      <c r="D203" s="44"/>
      <c r="E203" s="44" t="str">
        <f>IFERROR(VLOOKUP(A203,'Paste - Mentors'!$A:$G,7,0),"")</f>
        <v/>
      </c>
      <c r="F203" s="44" t="str">
        <f>IFERROR(VLOOKUP(A203,'Paste - Mentors'!$A:$K,11,0),"")</f>
        <v/>
      </c>
      <c r="G203" s="44" t="str">
        <f>IF(A203="","",IF(COUNTIF('Paste - Mentors'!$A:$A,A203)&gt;0,"Registered","Not Found"))</f>
        <v/>
      </c>
      <c r="H203" s="46" t="str">
        <f>IF(A203="","",COUNTIF('Intern Monitoring'!$D$4:$D$203,B203))</f>
        <v/>
      </c>
      <c r="I203" s="47" t="str">
        <f t="shared" si="6"/>
        <v/>
      </c>
    </row>
    <row r="204" spans="1:9" ht="14.25" customHeight="1" x14ac:dyDescent="0.3">
      <c r="A204" s="44"/>
      <c r="B204" s="45" t="str">
        <f>IFERROR(VLOOKUP(A204,'Paste - Mentors'!$A:$B,2,0),"")</f>
        <v/>
      </c>
      <c r="C204" s="44"/>
      <c r="D204" s="44"/>
      <c r="E204" s="44" t="str">
        <f>IFERROR(VLOOKUP(A204,'Paste - Mentors'!$A:$G,7,0),"")</f>
        <v/>
      </c>
      <c r="F204" s="44" t="str">
        <f>IFERROR(VLOOKUP(A204,'Paste - Mentors'!$A:$K,11,0),"")</f>
        <v/>
      </c>
      <c r="G204" s="44" t="str">
        <f>IF(A204="","",IF(COUNTIF('Paste - Mentors'!$A:$A,A204)&gt;0,"Registered","Not Found"))</f>
        <v/>
      </c>
      <c r="H204" s="44" t="str">
        <f>IF(A204="","",COUNTIF('Intern Monitoring'!$D$4:$D$203,B204))</f>
        <v/>
      </c>
      <c r="I204" s="44" t="str">
        <f t="shared" ref="I204:I235" si="7">IF(A204="","",IF(C204="",3,C204)-H204)</f>
        <v/>
      </c>
    </row>
    <row r="205" spans="1:9" ht="14.25" customHeight="1" x14ac:dyDescent="0.3">
      <c r="A205" s="44"/>
      <c r="B205" s="45" t="str">
        <f>IFERROR(VLOOKUP(A205,'Paste - Mentors'!$A:$B,2,0),"")</f>
        <v/>
      </c>
      <c r="C205" s="44"/>
      <c r="D205" s="44"/>
      <c r="E205" s="44" t="str">
        <f>IFERROR(VLOOKUP(A205,'Paste - Mentors'!$A:$G,7,0),"")</f>
        <v/>
      </c>
      <c r="F205" s="44" t="str">
        <f>IFERROR(VLOOKUP(A205,'Paste - Mentors'!$A:$K,11,0),"")</f>
        <v/>
      </c>
      <c r="G205" s="44" t="str">
        <f>IF(A205="","",IF(COUNTIF('Paste - Mentors'!$A:$A,A205)&gt;0,"Registered","Not Found"))</f>
        <v/>
      </c>
      <c r="H205" s="44" t="str">
        <f>IF(A205="","",COUNTIF('Intern Monitoring'!$D$4:$D$203,B205))</f>
        <v/>
      </c>
      <c r="I205" s="44" t="str">
        <f t="shared" si="7"/>
        <v/>
      </c>
    </row>
    <row r="206" spans="1:9" ht="14.25" customHeight="1" x14ac:dyDescent="0.3">
      <c r="A206" s="44"/>
      <c r="B206" s="45" t="str">
        <f>IFERROR(VLOOKUP(A206,'Paste - Mentors'!$A:$B,2,0),"")</f>
        <v/>
      </c>
      <c r="C206" s="44"/>
      <c r="D206" s="44"/>
      <c r="E206" s="44" t="str">
        <f>IFERROR(VLOOKUP(A206,'Paste - Mentors'!$A:$G,7,0),"")</f>
        <v/>
      </c>
      <c r="F206" s="44" t="str">
        <f>IFERROR(VLOOKUP(A206,'Paste - Mentors'!$A:$K,11,0),"")</f>
        <v/>
      </c>
      <c r="G206" s="44" t="str">
        <f>IF(A206="","",IF(COUNTIF('Paste - Mentors'!$A:$A,A206)&gt;0,"Registered","Not Found"))</f>
        <v/>
      </c>
      <c r="H206" s="44" t="str">
        <f>IF(A206="","",COUNTIF('Intern Monitoring'!$D$4:$D$203,B206))</f>
        <v/>
      </c>
      <c r="I206" s="44" t="str">
        <f t="shared" si="7"/>
        <v/>
      </c>
    </row>
    <row r="207" spans="1:9" ht="14.25" customHeight="1" x14ac:dyDescent="0.3">
      <c r="A207" s="44"/>
      <c r="B207" s="45" t="str">
        <f>IFERROR(VLOOKUP(A207,'Paste - Mentors'!$A:$B,2,0),"")</f>
        <v/>
      </c>
      <c r="C207" s="44"/>
      <c r="D207" s="44"/>
      <c r="E207" s="44" t="str">
        <f>IFERROR(VLOOKUP(A207,'Paste - Mentors'!$A:$G,7,0),"")</f>
        <v/>
      </c>
      <c r="F207" s="44" t="str">
        <f>IFERROR(VLOOKUP(A207,'Paste - Mentors'!$A:$K,11,0),"")</f>
        <v/>
      </c>
      <c r="G207" s="44" t="str">
        <f>IF(A207="","",IF(COUNTIF('Paste - Mentors'!$A:$A,A207)&gt;0,"Registered","Not Found"))</f>
        <v/>
      </c>
      <c r="H207" s="44" t="str">
        <f>IF(A207="","",COUNTIF('Intern Monitoring'!$D$4:$D$203,B207))</f>
        <v/>
      </c>
      <c r="I207" s="44" t="str">
        <f t="shared" si="7"/>
        <v/>
      </c>
    </row>
    <row r="208" spans="1:9" ht="14.25" customHeight="1" x14ac:dyDescent="0.3">
      <c r="A208" s="44"/>
      <c r="B208" s="45" t="str">
        <f>IFERROR(VLOOKUP(A208,'Paste - Mentors'!$A:$B,2,0),"")</f>
        <v/>
      </c>
      <c r="C208" s="44"/>
      <c r="D208" s="44"/>
      <c r="E208" s="44" t="str">
        <f>IFERROR(VLOOKUP(A208,'Paste - Mentors'!$A:$G,7,0),"")</f>
        <v/>
      </c>
      <c r="F208" s="44" t="str">
        <f>IFERROR(VLOOKUP(A208,'Paste - Mentors'!$A:$K,11,0),"")</f>
        <v/>
      </c>
      <c r="G208" s="44" t="str">
        <f>IF(A208="","",IF(COUNTIF('Paste - Mentors'!$A:$A,A208)&gt;0,"Registered","Not Found"))</f>
        <v/>
      </c>
      <c r="H208" s="44" t="str">
        <f>IF(A208="","",COUNTIF('Intern Monitoring'!$D$4:$D$203,B208))</f>
        <v/>
      </c>
      <c r="I208" s="44" t="str">
        <f t="shared" si="7"/>
        <v/>
      </c>
    </row>
    <row r="209" spans="1:9" ht="14.25" customHeight="1" x14ac:dyDescent="0.3">
      <c r="A209" s="44"/>
      <c r="B209" s="45" t="str">
        <f>IFERROR(VLOOKUP(A209,'Paste - Mentors'!$A:$B,2,0),"")</f>
        <v/>
      </c>
      <c r="C209" s="44"/>
      <c r="D209" s="44"/>
      <c r="E209" s="44" t="str">
        <f>IFERROR(VLOOKUP(A209,'Paste - Mentors'!$A:$G,7,0),"")</f>
        <v/>
      </c>
      <c r="F209" s="44" t="str">
        <f>IFERROR(VLOOKUP(A209,'Paste - Mentors'!$A:$K,11,0),"")</f>
        <v/>
      </c>
      <c r="G209" s="44" t="str">
        <f>IF(A209="","",IF(COUNTIF('Paste - Mentors'!$A:$A,A209)&gt;0,"Registered","Not Found"))</f>
        <v/>
      </c>
      <c r="H209" s="44" t="str">
        <f>IF(A209="","",COUNTIF('Intern Monitoring'!$D$4:$D$203,B209))</f>
        <v/>
      </c>
      <c r="I209" s="44" t="str">
        <f t="shared" si="7"/>
        <v/>
      </c>
    </row>
    <row r="210" spans="1:9" ht="14.25" customHeight="1" x14ac:dyDescent="0.3">
      <c r="A210" s="44"/>
      <c r="B210" s="45" t="str">
        <f>IFERROR(VLOOKUP(A210,'Paste - Mentors'!$A:$B,2,0),"")</f>
        <v/>
      </c>
      <c r="C210" s="44"/>
      <c r="D210" s="44"/>
      <c r="E210" s="44" t="str">
        <f>IFERROR(VLOOKUP(A210,'Paste - Mentors'!$A:$G,7,0),"")</f>
        <v/>
      </c>
      <c r="F210" s="44" t="str">
        <f>IFERROR(VLOOKUP(A210,'Paste - Mentors'!$A:$K,11,0),"")</f>
        <v/>
      </c>
      <c r="G210" s="44" t="str">
        <f>IF(A210="","",IF(COUNTIF('Paste - Mentors'!$A:$A,A210)&gt;0,"Registered","Not Found"))</f>
        <v/>
      </c>
      <c r="H210" s="44" t="str">
        <f>IF(A210="","",COUNTIF('Intern Monitoring'!$D$4:$D$203,B210))</f>
        <v/>
      </c>
      <c r="I210" s="44" t="str">
        <f t="shared" si="7"/>
        <v/>
      </c>
    </row>
    <row r="211" spans="1:9" ht="14.25" customHeight="1" x14ac:dyDescent="0.3">
      <c r="A211" s="44"/>
      <c r="B211" s="45" t="str">
        <f>IFERROR(VLOOKUP(A211,'Paste - Mentors'!$A:$B,2,0),"")</f>
        <v/>
      </c>
      <c r="C211" s="44"/>
      <c r="D211" s="44"/>
      <c r="E211" s="44" t="str">
        <f>IFERROR(VLOOKUP(A211,'Paste - Mentors'!$A:$G,7,0),"")</f>
        <v/>
      </c>
      <c r="F211" s="44" t="str">
        <f>IFERROR(VLOOKUP(A211,'Paste - Mentors'!$A:$K,11,0),"")</f>
        <v/>
      </c>
      <c r="G211" s="44" t="str">
        <f>IF(A211="","",IF(COUNTIF('Paste - Mentors'!$A:$A,A211)&gt;0,"Registered","Not Found"))</f>
        <v/>
      </c>
      <c r="H211" s="44" t="str">
        <f>IF(A211="","",COUNTIF('Intern Monitoring'!$D$4:$D$203,B211))</f>
        <v/>
      </c>
      <c r="I211" s="44" t="str">
        <f t="shared" si="7"/>
        <v/>
      </c>
    </row>
    <row r="212" spans="1:9" ht="14.25" customHeight="1" x14ac:dyDescent="0.3">
      <c r="A212" s="44"/>
      <c r="B212" s="45" t="str">
        <f>IFERROR(VLOOKUP(A212,'Paste - Mentors'!$A:$B,2,0),"")</f>
        <v/>
      </c>
      <c r="C212" s="44"/>
      <c r="D212" s="44"/>
      <c r="E212" s="44" t="str">
        <f>IFERROR(VLOOKUP(A212,'Paste - Mentors'!$A:$G,7,0),"")</f>
        <v/>
      </c>
      <c r="F212" s="44" t="str">
        <f>IFERROR(VLOOKUP(A212,'Paste - Mentors'!$A:$K,11,0),"")</f>
        <v/>
      </c>
      <c r="G212" s="44" t="str">
        <f>IF(A212="","",IF(COUNTIF('Paste - Mentors'!$A:$A,A212)&gt;0,"Registered","Not Found"))</f>
        <v/>
      </c>
      <c r="H212" s="44" t="str">
        <f>IF(A212="","",COUNTIF('Intern Monitoring'!$D$4:$D$203,B212))</f>
        <v/>
      </c>
      <c r="I212" s="44" t="str">
        <f t="shared" si="7"/>
        <v/>
      </c>
    </row>
    <row r="213" spans="1:9" ht="14.25" customHeight="1" x14ac:dyDescent="0.3">
      <c r="A213" s="44"/>
      <c r="B213" s="45" t="str">
        <f>IFERROR(VLOOKUP(A213,'Paste - Mentors'!$A:$B,2,0),"")</f>
        <v/>
      </c>
      <c r="C213" s="44"/>
      <c r="D213" s="44"/>
      <c r="E213" s="44" t="str">
        <f>IFERROR(VLOOKUP(A213,'Paste - Mentors'!$A:$G,7,0),"")</f>
        <v/>
      </c>
      <c r="F213" s="44" t="str">
        <f>IFERROR(VLOOKUP(A213,'Paste - Mentors'!$A:$K,11,0),"")</f>
        <v/>
      </c>
      <c r="G213" s="44" t="str">
        <f>IF(A213="","",IF(COUNTIF('Paste - Mentors'!$A:$A,A213)&gt;0,"Registered","Not Found"))</f>
        <v/>
      </c>
      <c r="H213" s="44" t="str">
        <f>IF(A213="","",COUNTIF('Intern Monitoring'!$D$4:$D$203,B213))</f>
        <v/>
      </c>
      <c r="I213" s="44" t="str">
        <f t="shared" si="7"/>
        <v/>
      </c>
    </row>
    <row r="214" spans="1:9" ht="14.25" customHeight="1" x14ac:dyDescent="0.3">
      <c r="A214" s="44"/>
      <c r="B214" s="45" t="str">
        <f>IFERROR(VLOOKUP(A214,'Paste - Mentors'!$A:$B,2,0),"")</f>
        <v/>
      </c>
      <c r="C214" s="44"/>
      <c r="D214" s="44"/>
      <c r="E214" s="44" t="str">
        <f>IFERROR(VLOOKUP(A214,'Paste - Mentors'!$A:$G,7,0),"")</f>
        <v/>
      </c>
      <c r="F214" s="44" t="str">
        <f>IFERROR(VLOOKUP(A214,'Paste - Mentors'!$A:$K,11,0),"")</f>
        <v/>
      </c>
      <c r="G214" s="44" t="str">
        <f>IF(A214="","",IF(COUNTIF('Paste - Mentors'!$A:$A,A214)&gt;0,"Registered","Not Found"))</f>
        <v/>
      </c>
      <c r="H214" s="44" t="str">
        <f>IF(A214="","",COUNTIF('Intern Monitoring'!$D$4:$D$203,B214))</f>
        <v/>
      </c>
      <c r="I214" s="44" t="str">
        <f t="shared" si="7"/>
        <v/>
      </c>
    </row>
    <row r="215" spans="1:9" ht="14.25" customHeight="1" x14ac:dyDescent="0.3">
      <c r="A215" s="44"/>
      <c r="B215" s="45" t="str">
        <f>IFERROR(VLOOKUP(A215,'Paste - Mentors'!$A:$B,2,0),"")</f>
        <v/>
      </c>
      <c r="C215" s="44"/>
      <c r="D215" s="44"/>
      <c r="E215" s="44" t="str">
        <f>IFERROR(VLOOKUP(A215,'Paste - Mentors'!$A:$G,7,0),"")</f>
        <v/>
      </c>
      <c r="F215" s="44" t="str">
        <f>IFERROR(VLOOKUP(A215,'Paste - Mentors'!$A:$K,11,0),"")</f>
        <v/>
      </c>
      <c r="G215" s="44" t="str">
        <f>IF(A215="","",IF(COUNTIF('Paste - Mentors'!$A:$A,A215)&gt;0,"Registered","Not Found"))</f>
        <v/>
      </c>
      <c r="H215" s="44" t="str">
        <f>IF(A215="","",COUNTIF('Intern Monitoring'!$D$4:$D$203,B215))</f>
        <v/>
      </c>
      <c r="I215" s="44" t="str">
        <f t="shared" si="7"/>
        <v/>
      </c>
    </row>
    <row r="216" spans="1:9" ht="14.25" customHeight="1" x14ac:dyDescent="0.3">
      <c r="A216" s="44"/>
      <c r="B216" s="45" t="str">
        <f>IFERROR(VLOOKUP(A216,'Paste - Mentors'!$A:$B,2,0),"")</f>
        <v/>
      </c>
      <c r="C216" s="44"/>
      <c r="D216" s="44"/>
      <c r="E216" s="44" t="str">
        <f>IFERROR(VLOOKUP(A216,'Paste - Mentors'!$A:$G,7,0),"")</f>
        <v/>
      </c>
      <c r="F216" s="44" t="str">
        <f>IFERROR(VLOOKUP(A216,'Paste - Mentors'!$A:$K,11,0),"")</f>
        <v/>
      </c>
      <c r="G216" s="44" t="str">
        <f>IF(A216="","",IF(COUNTIF('Paste - Mentors'!$A:$A,A216)&gt;0,"Registered","Not Found"))</f>
        <v/>
      </c>
      <c r="H216" s="44" t="str">
        <f>IF(A216="","",COUNTIF('Intern Monitoring'!$D$4:$D$203,B216))</f>
        <v/>
      </c>
      <c r="I216" s="44" t="str">
        <f t="shared" si="7"/>
        <v/>
      </c>
    </row>
    <row r="217" spans="1:9" ht="14.25" customHeight="1" x14ac:dyDescent="0.3">
      <c r="A217" s="44"/>
      <c r="B217" s="45" t="str">
        <f>IFERROR(VLOOKUP(A217,'Paste - Mentors'!$A:$B,2,0),"")</f>
        <v/>
      </c>
      <c r="C217" s="44"/>
      <c r="D217" s="44"/>
      <c r="E217" s="44" t="str">
        <f>IFERROR(VLOOKUP(A217,'Paste - Mentors'!$A:$G,7,0),"")</f>
        <v/>
      </c>
      <c r="F217" s="44" t="str">
        <f>IFERROR(VLOOKUP(A217,'Paste - Mentors'!$A:$K,11,0),"")</f>
        <v/>
      </c>
      <c r="G217" s="44" t="str">
        <f>IF(A217="","",IF(COUNTIF('Paste - Mentors'!$A:$A,A217)&gt;0,"Registered","Not Found"))</f>
        <v/>
      </c>
      <c r="H217" s="44" t="str">
        <f>IF(A217="","",COUNTIF('Intern Monitoring'!$D$4:$D$203,B217))</f>
        <v/>
      </c>
      <c r="I217" s="44" t="str">
        <f t="shared" si="7"/>
        <v/>
      </c>
    </row>
    <row r="218" spans="1:9" ht="14.25" customHeight="1" x14ac:dyDescent="0.3">
      <c r="A218" s="44"/>
      <c r="B218" s="45" t="str">
        <f>IFERROR(VLOOKUP(A218,'Paste - Mentors'!$A:$B,2,0),"")</f>
        <v/>
      </c>
      <c r="C218" s="44"/>
      <c r="D218" s="44"/>
      <c r="E218" s="44" t="str">
        <f>IFERROR(VLOOKUP(A218,'Paste - Mentors'!$A:$G,7,0),"")</f>
        <v/>
      </c>
      <c r="F218" s="44" t="str">
        <f>IFERROR(VLOOKUP(A218,'Paste - Mentors'!$A:$K,11,0),"")</f>
        <v/>
      </c>
      <c r="G218" s="44" t="str">
        <f>IF(A218="","",IF(COUNTIF('Paste - Mentors'!$A:$A,A218)&gt;0,"Registered","Not Found"))</f>
        <v/>
      </c>
      <c r="H218" s="44" t="str">
        <f>IF(A218="","",COUNTIF('Intern Monitoring'!$D$4:$D$203,B218))</f>
        <v/>
      </c>
      <c r="I218" s="44" t="str">
        <f t="shared" si="7"/>
        <v/>
      </c>
    </row>
    <row r="219" spans="1:9" ht="14.25" customHeight="1" x14ac:dyDescent="0.3">
      <c r="A219" s="44"/>
      <c r="B219" s="45" t="str">
        <f>IFERROR(VLOOKUP(A219,'Paste - Mentors'!$A:$B,2,0),"")</f>
        <v/>
      </c>
      <c r="C219" s="44"/>
      <c r="D219" s="44"/>
      <c r="E219" s="44" t="str">
        <f>IFERROR(VLOOKUP(A219,'Paste - Mentors'!$A:$G,7,0),"")</f>
        <v/>
      </c>
      <c r="F219" s="44" t="str">
        <f>IFERROR(VLOOKUP(A219,'Paste - Mentors'!$A:$K,11,0),"")</f>
        <v/>
      </c>
      <c r="G219" s="44" t="str">
        <f>IF(A219="","",IF(COUNTIF('Paste - Mentors'!$A:$A,A219)&gt;0,"Registered","Not Found"))</f>
        <v/>
      </c>
      <c r="H219" s="44" t="str">
        <f>IF(A219="","",COUNTIF('Intern Monitoring'!$D$4:$D$203,B219))</f>
        <v/>
      </c>
      <c r="I219" s="44" t="str">
        <f t="shared" si="7"/>
        <v/>
      </c>
    </row>
    <row r="220" spans="1:9" ht="14.25" customHeight="1" x14ac:dyDescent="0.3">
      <c r="A220" s="44"/>
      <c r="B220" s="45" t="str">
        <f>IFERROR(VLOOKUP(A220,'Paste - Mentors'!$A:$B,2,0),"")</f>
        <v/>
      </c>
      <c r="C220" s="44"/>
      <c r="D220" s="44"/>
      <c r="E220" s="44" t="str">
        <f>IFERROR(VLOOKUP(A220,'Paste - Mentors'!$A:$G,7,0),"")</f>
        <v/>
      </c>
      <c r="F220" s="44" t="str">
        <f>IFERROR(VLOOKUP(A220,'Paste - Mentors'!$A:$K,11,0),"")</f>
        <v/>
      </c>
      <c r="G220" s="44" t="str">
        <f>IF(A220="","",IF(COUNTIF('Paste - Mentors'!$A:$A,A220)&gt;0,"Registered","Not Found"))</f>
        <v/>
      </c>
      <c r="H220" s="44" t="str">
        <f>IF(A220="","",COUNTIF('Intern Monitoring'!$D$4:$D$203,B220))</f>
        <v/>
      </c>
      <c r="I220" s="44" t="str">
        <f t="shared" si="7"/>
        <v/>
      </c>
    </row>
    <row r="221" spans="1:9" ht="14.25" customHeight="1" x14ac:dyDescent="0.3">
      <c r="A221" s="44"/>
      <c r="B221" s="45" t="str">
        <f>IFERROR(VLOOKUP(A221,'Paste - Mentors'!$A:$B,2,0),"")</f>
        <v/>
      </c>
      <c r="C221" s="44"/>
      <c r="D221" s="44"/>
      <c r="E221" s="44" t="str">
        <f>IFERROR(VLOOKUP(A221,'Paste - Mentors'!$A:$G,7,0),"")</f>
        <v/>
      </c>
      <c r="F221" s="44" t="str">
        <f>IFERROR(VLOOKUP(A221,'Paste - Mentors'!$A:$K,11,0),"")</f>
        <v/>
      </c>
      <c r="G221" s="44" t="str">
        <f>IF(A221="","",IF(COUNTIF('Paste - Mentors'!$A:$A,A221)&gt;0,"Registered","Not Found"))</f>
        <v/>
      </c>
      <c r="H221" s="44" t="str">
        <f>IF(A221="","",COUNTIF('Intern Monitoring'!$D$4:$D$203,B221))</f>
        <v/>
      </c>
      <c r="I221" s="44" t="str">
        <f t="shared" si="7"/>
        <v/>
      </c>
    </row>
    <row r="222" spans="1:9" ht="14.25" customHeight="1" x14ac:dyDescent="0.3">
      <c r="A222" s="44"/>
      <c r="B222" s="45" t="str">
        <f>IFERROR(VLOOKUP(A222,'Paste - Mentors'!$A:$B,2,0),"")</f>
        <v/>
      </c>
      <c r="C222" s="44"/>
      <c r="D222" s="44"/>
      <c r="E222" s="44" t="str">
        <f>IFERROR(VLOOKUP(A222,'Paste - Mentors'!$A:$G,7,0),"")</f>
        <v/>
      </c>
      <c r="F222" s="44" t="str">
        <f>IFERROR(VLOOKUP(A222,'Paste - Mentors'!$A:$K,11,0),"")</f>
        <v/>
      </c>
      <c r="G222" s="44" t="str">
        <f>IF(A222="","",IF(COUNTIF('Paste - Mentors'!$A:$A,A222)&gt;0,"Registered","Not Found"))</f>
        <v/>
      </c>
      <c r="H222" s="44" t="str">
        <f>IF(A222="","",COUNTIF('Intern Monitoring'!$D$4:$D$203,B222))</f>
        <v/>
      </c>
      <c r="I222" s="44" t="str">
        <f t="shared" si="7"/>
        <v/>
      </c>
    </row>
    <row r="223" spans="1:9" ht="14.25" customHeight="1" x14ac:dyDescent="0.3">
      <c r="A223" s="44"/>
      <c r="B223" s="45" t="str">
        <f>IFERROR(VLOOKUP(A223,'Paste - Mentors'!$A:$B,2,0),"")</f>
        <v/>
      </c>
      <c r="C223" s="44"/>
      <c r="D223" s="44"/>
      <c r="E223" s="44" t="str">
        <f>IFERROR(VLOOKUP(A223,'Paste - Mentors'!$A:$G,7,0),"")</f>
        <v/>
      </c>
      <c r="F223" s="44" t="str">
        <f>IFERROR(VLOOKUP(A223,'Paste - Mentors'!$A:$K,11,0),"")</f>
        <v/>
      </c>
      <c r="G223" s="44" t="str">
        <f>IF(A223="","",IF(COUNTIF('Paste - Mentors'!$A:$A,A223)&gt;0,"Registered","Not Found"))</f>
        <v/>
      </c>
      <c r="H223" s="44" t="str">
        <f>IF(A223="","",COUNTIF('Intern Monitoring'!$D$4:$D$203,B223))</f>
        <v/>
      </c>
      <c r="I223" s="44" t="str">
        <f t="shared" si="7"/>
        <v/>
      </c>
    </row>
    <row r="224" spans="1:9" ht="14.25" customHeight="1" x14ac:dyDescent="0.3">
      <c r="A224" s="44"/>
      <c r="B224" s="45" t="str">
        <f>IFERROR(VLOOKUP(A224,'Paste - Mentors'!$A:$B,2,0),"")</f>
        <v/>
      </c>
      <c r="C224" s="44"/>
      <c r="D224" s="44"/>
      <c r="E224" s="44" t="str">
        <f>IFERROR(VLOOKUP(A224,'Paste - Mentors'!$A:$G,7,0),"")</f>
        <v/>
      </c>
      <c r="F224" s="44" t="str">
        <f>IFERROR(VLOOKUP(A224,'Paste - Mentors'!$A:$K,11,0),"")</f>
        <v/>
      </c>
      <c r="G224" s="44" t="str">
        <f>IF(A224="","",IF(COUNTIF('Paste - Mentors'!$A:$A,A224)&gt;0,"Registered","Not Found"))</f>
        <v/>
      </c>
      <c r="H224" s="44" t="str">
        <f>IF(A224="","",COUNTIF('Intern Monitoring'!$D$4:$D$203,B224))</f>
        <v/>
      </c>
      <c r="I224" s="44" t="str">
        <f t="shared" si="7"/>
        <v/>
      </c>
    </row>
    <row r="225" spans="1:9" ht="14.25" customHeight="1" x14ac:dyDescent="0.3">
      <c r="A225" s="44"/>
      <c r="B225" s="45" t="str">
        <f>IFERROR(VLOOKUP(A225,'Paste - Mentors'!$A:$B,2,0),"")</f>
        <v/>
      </c>
      <c r="C225" s="44"/>
      <c r="D225" s="44"/>
      <c r="E225" s="44" t="str">
        <f>IFERROR(VLOOKUP(A225,'Paste - Mentors'!$A:$G,7,0),"")</f>
        <v/>
      </c>
      <c r="F225" s="44" t="str">
        <f>IFERROR(VLOOKUP(A225,'Paste - Mentors'!$A:$K,11,0),"")</f>
        <v/>
      </c>
      <c r="G225" s="44" t="str">
        <f>IF(A225="","",IF(COUNTIF('Paste - Mentors'!$A:$A,A225)&gt;0,"Registered","Not Found"))</f>
        <v/>
      </c>
      <c r="H225" s="44" t="str">
        <f>IF(A225="","",COUNTIF('Intern Monitoring'!$D$4:$D$203,B225))</f>
        <v/>
      </c>
      <c r="I225" s="44" t="str">
        <f t="shared" si="7"/>
        <v/>
      </c>
    </row>
    <row r="226" spans="1:9" ht="14.25" customHeight="1" x14ac:dyDescent="0.3">
      <c r="A226" s="44"/>
      <c r="B226" s="45" t="str">
        <f>IFERROR(VLOOKUP(A226,'Paste - Mentors'!$A:$B,2,0),"")</f>
        <v/>
      </c>
      <c r="C226" s="44"/>
      <c r="D226" s="44"/>
      <c r="E226" s="44" t="str">
        <f>IFERROR(VLOOKUP(A226,'Paste - Mentors'!$A:$G,7,0),"")</f>
        <v/>
      </c>
      <c r="F226" s="44" t="str">
        <f>IFERROR(VLOOKUP(A226,'Paste - Mentors'!$A:$K,11,0),"")</f>
        <v/>
      </c>
      <c r="G226" s="44" t="str">
        <f>IF(A226="","",IF(COUNTIF('Paste - Mentors'!$A:$A,A226)&gt;0,"Registered","Not Found"))</f>
        <v/>
      </c>
      <c r="H226" s="44" t="str">
        <f>IF(A226="","",COUNTIF('Intern Monitoring'!$D$4:$D$203,B226))</f>
        <v/>
      </c>
      <c r="I226" s="44" t="str">
        <f t="shared" si="7"/>
        <v/>
      </c>
    </row>
    <row r="227" spans="1:9" ht="14.25" customHeight="1" x14ac:dyDescent="0.3">
      <c r="A227" s="44"/>
      <c r="B227" s="45" t="str">
        <f>IFERROR(VLOOKUP(A227,'Paste - Mentors'!$A:$B,2,0),"")</f>
        <v/>
      </c>
      <c r="C227" s="44"/>
      <c r="D227" s="44"/>
      <c r="E227" s="44" t="str">
        <f>IFERROR(VLOOKUP(A227,'Paste - Mentors'!$A:$G,7,0),"")</f>
        <v/>
      </c>
      <c r="F227" s="44" t="str">
        <f>IFERROR(VLOOKUP(A227,'Paste - Mentors'!$A:$K,11,0),"")</f>
        <v/>
      </c>
      <c r="G227" s="44" t="str">
        <f>IF(A227="","",IF(COUNTIF('Paste - Mentors'!$A:$A,A227)&gt;0,"Registered","Not Found"))</f>
        <v/>
      </c>
      <c r="H227" s="44" t="str">
        <f>IF(A227="","",COUNTIF('Intern Monitoring'!$D$4:$D$203,B227))</f>
        <v/>
      </c>
      <c r="I227" s="44" t="str">
        <f t="shared" si="7"/>
        <v/>
      </c>
    </row>
    <row r="228" spans="1:9" ht="14.25" customHeight="1" x14ac:dyDescent="0.3">
      <c r="A228" s="44"/>
      <c r="B228" s="45" t="str">
        <f>IFERROR(VLOOKUP(A228,'Paste - Mentors'!$A:$B,2,0),"")</f>
        <v/>
      </c>
      <c r="C228" s="44"/>
      <c r="D228" s="44"/>
      <c r="E228" s="44" t="str">
        <f>IFERROR(VLOOKUP(A228,'Paste - Mentors'!$A:$G,7,0),"")</f>
        <v/>
      </c>
      <c r="F228" s="44" t="str">
        <f>IFERROR(VLOOKUP(A228,'Paste - Mentors'!$A:$K,11,0),"")</f>
        <v/>
      </c>
      <c r="G228" s="44" t="str">
        <f>IF(A228="","",IF(COUNTIF('Paste - Mentors'!$A:$A,A228)&gt;0,"Registered","Not Found"))</f>
        <v/>
      </c>
      <c r="H228" s="44" t="str">
        <f>IF(A228="","",COUNTIF('Intern Monitoring'!$D$4:$D$203,B228))</f>
        <v/>
      </c>
      <c r="I228" s="44" t="str">
        <f t="shared" si="7"/>
        <v/>
      </c>
    </row>
    <row r="229" spans="1:9" ht="14.25" customHeight="1" x14ac:dyDescent="0.3">
      <c r="A229" s="44"/>
      <c r="B229" s="45" t="str">
        <f>IFERROR(VLOOKUP(A229,'Paste - Mentors'!$A:$B,2,0),"")</f>
        <v/>
      </c>
      <c r="C229" s="44"/>
      <c r="D229" s="44"/>
      <c r="E229" s="44" t="str">
        <f>IFERROR(VLOOKUP(A229,'Paste - Mentors'!$A:$G,7,0),"")</f>
        <v/>
      </c>
      <c r="F229" s="44" t="str">
        <f>IFERROR(VLOOKUP(A229,'Paste - Mentors'!$A:$K,11,0),"")</f>
        <v/>
      </c>
      <c r="G229" s="44" t="str">
        <f>IF(A229="","",IF(COUNTIF('Paste - Mentors'!$A:$A,A229)&gt;0,"Registered","Not Found"))</f>
        <v/>
      </c>
      <c r="H229" s="44" t="str">
        <f>IF(A229="","",COUNTIF('Intern Monitoring'!$D$4:$D$203,B229))</f>
        <v/>
      </c>
      <c r="I229" s="44" t="str">
        <f t="shared" si="7"/>
        <v/>
      </c>
    </row>
    <row r="230" spans="1:9" ht="14.25" customHeight="1" x14ac:dyDescent="0.3">
      <c r="A230" s="44"/>
      <c r="B230" s="45" t="str">
        <f>IFERROR(VLOOKUP(A230,'Paste - Mentors'!$A:$B,2,0),"")</f>
        <v/>
      </c>
      <c r="C230" s="44"/>
      <c r="D230" s="44"/>
      <c r="E230" s="44" t="str">
        <f>IFERROR(VLOOKUP(A230,'Paste - Mentors'!$A:$G,7,0),"")</f>
        <v/>
      </c>
      <c r="F230" s="44" t="str">
        <f>IFERROR(VLOOKUP(A230,'Paste - Mentors'!$A:$K,11,0),"")</f>
        <v/>
      </c>
      <c r="G230" s="44" t="str">
        <f>IF(A230="","",IF(COUNTIF('Paste - Mentors'!$A:$A,A230)&gt;0,"Registered","Not Found"))</f>
        <v/>
      </c>
      <c r="H230" s="44" t="str">
        <f>IF(A230="","",COUNTIF('Intern Monitoring'!$D$4:$D$203,B230))</f>
        <v/>
      </c>
      <c r="I230" s="44" t="str">
        <f t="shared" si="7"/>
        <v/>
      </c>
    </row>
    <row r="231" spans="1:9" ht="14.25" customHeight="1" x14ac:dyDescent="0.3">
      <c r="A231" s="44"/>
      <c r="B231" s="45" t="str">
        <f>IFERROR(VLOOKUP(A231,'Paste - Mentors'!$A:$B,2,0),"")</f>
        <v/>
      </c>
      <c r="C231" s="44"/>
      <c r="D231" s="44"/>
      <c r="E231" s="44" t="str">
        <f>IFERROR(VLOOKUP(A231,'Paste - Mentors'!$A:$G,7,0),"")</f>
        <v/>
      </c>
      <c r="F231" s="44" t="str">
        <f>IFERROR(VLOOKUP(A231,'Paste - Mentors'!$A:$K,11,0),"")</f>
        <v/>
      </c>
      <c r="G231" s="44" t="str">
        <f>IF(A231="","",IF(COUNTIF('Paste - Mentors'!$A:$A,A231)&gt;0,"Registered","Not Found"))</f>
        <v/>
      </c>
      <c r="H231" s="44" t="str">
        <f>IF(A231="","",COUNTIF('Intern Monitoring'!$D$4:$D$203,B231))</f>
        <v/>
      </c>
      <c r="I231" s="44" t="str">
        <f t="shared" si="7"/>
        <v/>
      </c>
    </row>
    <row r="232" spans="1:9" ht="14.25" customHeight="1" x14ac:dyDescent="0.3">
      <c r="A232" s="44"/>
      <c r="B232" s="45" t="str">
        <f>IFERROR(VLOOKUP(A232,'Paste - Mentors'!$A:$B,2,0),"")</f>
        <v/>
      </c>
      <c r="C232" s="44"/>
      <c r="D232" s="44"/>
      <c r="E232" s="44" t="str">
        <f>IFERROR(VLOOKUP(A232,'Paste - Mentors'!$A:$G,7,0),"")</f>
        <v/>
      </c>
      <c r="F232" s="44" t="str">
        <f>IFERROR(VLOOKUP(A232,'Paste - Mentors'!$A:$K,11,0),"")</f>
        <v/>
      </c>
      <c r="G232" s="44" t="str">
        <f>IF(A232="","",IF(COUNTIF('Paste - Mentors'!$A:$A,A232)&gt;0,"Registered","Not Found"))</f>
        <v/>
      </c>
      <c r="H232" s="44" t="str">
        <f>IF(A232="","",COUNTIF('Intern Monitoring'!$D$4:$D$203,B232))</f>
        <v/>
      </c>
      <c r="I232" s="44" t="str">
        <f t="shared" si="7"/>
        <v/>
      </c>
    </row>
    <row r="233" spans="1:9" ht="14.25" customHeight="1" x14ac:dyDescent="0.3">
      <c r="A233" s="44"/>
      <c r="B233" s="45" t="str">
        <f>IFERROR(VLOOKUP(A233,'Paste - Mentors'!$A:$B,2,0),"")</f>
        <v/>
      </c>
      <c r="C233" s="44"/>
      <c r="D233" s="44"/>
      <c r="E233" s="44" t="str">
        <f>IFERROR(VLOOKUP(A233,'Paste - Mentors'!$A:$G,7,0),"")</f>
        <v/>
      </c>
      <c r="F233" s="44" t="str">
        <f>IFERROR(VLOOKUP(A233,'Paste - Mentors'!$A:$K,11,0),"")</f>
        <v/>
      </c>
      <c r="G233" s="44" t="str">
        <f>IF(A233="","",IF(COUNTIF('Paste - Mentors'!$A:$A,A233)&gt;0,"Registered","Not Found"))</f>
        <v/>
      </c>
      <c r="H233" s="44" t="str">
        <f>IF(A233="","",COUNTIF('Intern Monitoring'!$D$4:$D$203,B233))</f>
        <v/>
      </c>
      <c r="I233" s="44" t="str">
        <f t="shared" si="7"/>
        <v/>
      </c>
    </row>
    <row r="234" spans="1:9" ht="14.25" customHeight="1" x14ac:dyDescent="0.3">
      <c r="A234" s="44"/>
      <c r="B234" s="45" t="str">
        <f>IFERROR(VLOOKUP(A234,'Paste - Mentors'!$A:$B,2,0),"")</f>
        <v/>
      </c>
      <c r="C234" s="44"/>
      <c r="D234" s="44"/>
      <c r="E234" s="44" t="str">
        <f>IFERROR(VLOOKUP(A234,'Paste - Mentors'!$A:$G,7,0),"")</f>
        <v/>
      </c>
      <c r="F234" s="44" t="str">
        <f>IFERROR(VLOOKUP(A234,'Paste - Mentors'!$A:$K,11,0),"")</f>
        <v/>
      </c>
      <c r="G234" s="44" t="str">
        <f>IF(A234="","",IF(COUNTIF('Paste - Mentors'!$A:$A,A234)&gt;0,"Registered","Not Found"))</f>
        <v/>
      </c>
      <c r="H234" s="44" t="str">
        <f>IF(A234="","",COUNTIF('Intern Monitoring'!$D$4:$D$203,B234))</f>
        <v/>
      </c>
      <c r="I234" s="44" t="str">
        <f t="shared" si="7"/>
        <v/>
      </c>
    </row>
    <row r="235" spans="1:9" ht="14.25" customHeight="1" x14ac:dyDescent="0.3">
      <c r="A235" s="44"/>
      <c r="B235" s="45" t="str">
        <f>IFERROR(VLOOKUP(A235,'Paste - Mentors'!$A:$B,2,0),"")</f>
        <v/>
      </c>
      <c r="C235" s="44"/>
      <c r="D235" s="44"/>
      <c r="E235" s="44" t="str">
        <f>IFERROR(VLOOKUP(A235,'Paste - Mentors'!$A:$G,7,0),"")</f>
        <v/>
      </c>
      <c r="F235" s="44" t="str">
        <f>IFERROR(VLOOKUP(A235,'Paste - Mentors'!$A:$K,11,0),"")</f>
        <v/>
      </c>
      <c r="G235" s="44" t="str">
        <f>IF(A235="","",IF(COUNTIF('Paste - Mentors'!$A:$A,A235)&gt;0,"Registered","Not Found"))</f>
        <v/>
      </c>
      <c r="H235" s="44" t="str">
        <f>IF(A235="","",COUNTIF('Intern Monitoring'!$D$4:$D$203,B235))</f>
        <v/>
      </c>
      <c r="I235" s="44" t="str">
        <f t="shared" si="7"/>
        <v/>
      </c>
    </row>
    <row r="236" spans="1:9" ht="14.25" customHeight="1" x14ac:dyDescent="0.3">
      <c r="A236" s="44"/>
      <c r="B236" s="45" t="str">
        <f>IFERROR(VLOOKUP(A236,'Paste - Mentors'!$A:$B,2,0),"")</f>
        <v/>
      </c>
      <c r="C236" s="44"/>
      <c r="D236" s="44"/>
      <c r="E236" s="44" t="str">
        <f>IFERROR(VLOOKUP(A236,'Paste - Mentors'!$A:$G,7,0),"")</f>
        <v/>
      </c>
      <c r="F236" s="44" t="str">
        <f>IFERROR(VLOOKUP(A236,'Paste - Mentors'!$A:$K,11,0),"")</f>
        <v/>
      </c>
      <c r="G236" s="44" t="str">
        <f>IF(A236="","",IF(COUNTIF('Paste - Mentors'!$A:$A,A236)&gt;0,"Registered","Not Found"))</f>
        <v/>
      </c>
      <c r="H236" s="44" t="str">
        <f>IF(A236="","",COUNTIF('Intern Monitoring'!$D$4:$D$203,B236))</f>
        <v/>
      </c>
      <c r="I236" s="44" t="str">
        <f t="shared" ref="I236:I267" si="8">IF(A236="","",IF(C236="",3,C236)-H236)</f>
        <v/>
      </c>
    </row>
    <row r="237" spans="1:9" ht="14.25" customHeight="1" x14ac:dyDescent="0.3">
      <c r="A237" s="44"/>
      <c r="B237" s="45" t="str">
        <f>IFERROR(VLOOKUP(A237,'Paste - Mentors'!$A:$B,2,0),"")</f>
        <v/>
      </c>
      <c r="C237" s="44"/>
      <c r="D237" s="44"/>
      <c r="E237" s="44" t="str">
        <f>IFERROR(VLOOKUP(A237,'Paste - Mentors'!$A:$G,7,0),"")</f>
        <v/>
      </c>
      <c r="F237" s="44" t="str">
        <f>IFERROR(VLOOKUP(A237,'Paste - Mentors'!$A:$K,11,0),"")</f>
        <v/>
      </c>
      <c r="G237" s="44" t="str">
        <f>IF(A237="","",IF(COUNTIF('Paste - Mentors'!$A:$A,A237)&gt;0,"Registered","Not Found"))</f>
        <v/>
      </c>
      <c r="H237" s="44" t="str">
        <f>IF(A237="","",COUNTIF('Intern Monitoring'!$D$4:$D$203,B237))</f>
        <v/>
      </c>
      <c r="I237" s="44" t="str">
        <f t="shared" si="8"/>
        <v/>
      </c>
    </row>
    <row r="238" spans="1:9" ht="14.25" customHeight="1" x14ac:dyDescent="0.3">
      <c r="A238" s="44"/>
      <c r="B238" s="45" t="str">
        <f>IFERROR(VLOOKUP(A238,'Paste - Mentors'!$A:$B,2,0),"")</f>
        <v/>
      </c>
      <c r="C238" s="44"/>
      <c r="D238" s="44"/>
      <c r="E238" s="44" t="str">
        <f>IFERROR(VLOOKUP(A238,'Paste - Mentors'!$A:$G,7,0),"")</f>
        <v/>
      </c>
      <c r="F238" s="44" t="str">
        <f>IFERROR(VLOOKUP(A238,'Paste - Mentors'!$A:$K,11,0),"")</f>
        <v/>
      </c>
      <c r="G238" s="44" t="str">
        <f>IF(A238="","",IF(COUNTIF('Paste - Mentors'!$A:$A,A238)&gt;0,"Registered","Not Found"))</f>
        <v/>
      </c>
      <c r="H238" s="44" t="str">
        <f>IF(A238="","",COUNTIF('Intern Monitoring'!$D$4:$D$203,B238))</f>
        <v/>
      </c>
      <c r="I238" s="44" t="str">
        <f t="shared" si="8"/>
        <v/>
      </c>
    </row>
    <row r="239" spans="1:9" ht="14.25" customHeight="1" x14ac:dyDescent="0.3">
      <c r="A239" s="44"/>
      <c r="B239" s="45" t="str">
        <f>IFERROR(VLOOKUP(A239,'Paste - Mentors'!$A:$B,2,0),"")</f>
        <v/>
      </c>
      <c r="C239" s="44"/>
      <c r="D239" s="44"/>
      <c r="E239" s="44" t="str">
        <f>IFERROR(VLOOKUP(A239,'Paste - Mentors'!$A:$G,7,0),"")</f>
        <v/>
      </c>
      <c r="F239" s="44" t="str">
        <f>IFERROR(VLOOKUP(A239,'Paste - Mentors'!$A:$K,11,0),"")</f>
        <v/>
      </c>
      <c r="G239" s="44" t="str">
        <f>IF(A239="","",IF(COUNTIF('Paste - Mentors'!$A:$A,A239)&gt;0,"Registered","Not Found"))</f>
        <v/>
      </c>
      <c r="H239" s="44" t="str">
        <f>IF(A239="","",COUNTIF('Intern Monitoring'!$D$4:$D$203,B239))</f>
        <v/>
      </c>
      <c r="I239" s="44" t="str">
        <f t="shared" si="8"/>
        <v/>
      </c>
    </row>
    <row r="240" spans="1:9" ht="14.25" customHeight="1" x14ac:dyDescent="0.3">
      <c r="A240" s="44"/>
      <c r="B240" s="45" t="str">
        <f>IFERROR(VLOOKUP(A240,'Paste - Mentors'!$A:$B,2,0),"")</f>
        <v/>
      </c>
      <c r="C240" s="44"/>
      <c r="D240" s="44"/>
      <c r="E240" s="44" t="str">
        <f>IFERROR(VLOOKUP(A240,'Paste - Mentors'!$A:$G,7,0),"")</f>
        <v/>
      </c>
      <c r="F240" s="44" t="str">
        <f>IFERROR(VLOOKUP(A240,'Paste - Mentors'!$A:$K,11,0),"")</f>
        <v/>
      </c>
      <c r="G240" s="44" t="str">
        <f>IF(A240="","",IF(COUNTIF('Paste - Mentors'!$A:$A,A240)&gt;0,"Registered","Not Found"))</f>
        <v/>
      </c>
      <c r="H240" s="44" t="str">
        <f>IF(A240="","",COUNTIF('Intern Monitoring'!$D$4:$D$203,B240))</f>
        <v/>
      </c>
      <c r="I240" s="44" t="str">
        <f t="shared" si="8"/>
        <v/>
      </c>
    </row>
    <row r="241" spans="1:9" ht="14.25" customHeight="1" x14ac:dyDescent="0.3">
      <c r="A241" s="44"/>
      <c r="B241" s="45" t="str">
        <f>IFERROR(VLOOKUP(A241,'Paste - Mentors'!$A:$B,2,0),"")</f>
        <v/>
      </c>
      <c r="C241" s="44"/>
      <c r="D241" s="44"/>
      <c r="E241" s="44" t="str">
        <f>IFERROR(VLOOKUP(A241,'Paste - Mentors'!$A:$G,7,0),"")</f>
        <v/>
      </c>
      <c r="F241" s="44" t="str">
        <f>IFERROR(VLOOKUP(A241,'Paste - Mentors'!$A:$K,11,0),"")</f>
        <v/>
      </c>
      <c r="G241" s="44" t="str">
        <f>IF(A241="","",IF(COUNTIF('Paste - Mentors'!$A:$A,A241)&gt;0,"Registered","Not Found"))</f>
        <v/>
      </c>
      <c r="H241" s="44" t="str">
        <f>IF(A241="","",COUNTIF('Intern Monitoring'!$D$4:$D$203,B241))</f>
        <v/>
      </c>
      <c r="I241" s="44" t="str">
        <f t="shared" si="8"/>
        <v/>
      </c>
    </row>
    <row r="242" spans="1:9" ht="14.25" customHeight="1" x14ac:dyDescent="0.3">
      <c r="A242" s="44"/>
      <c r="B242" s="45" t="str">
        <f>IFERROR(VLOOKUP(A242,'Paste - Mentors'!$A:$B,2,0),"")</f>
        <v/>
      </c>
      <c r="C242" s="44"/>
      <c r="D242" s="44"/>
      <c r="E242" s="44" t="str">
        <f>IFERROR(VLOOKUP(A242,'Paste - Mentors'!$A:$G,7,0),"")</f>
        <v/>
      </c>
      <c r="F242" s="44" t="str">
        <f>IFERROR(VLOOKUP(A242,'Paste - Mentors'!$A:$K,11,0),"")</f>
        <v/>
      </c>
      <c r="G242" s="44" t="str">
        <f>IF(A242="","",IF(COUNTIF('Paste - Mentors'!$A:$A,A242)&gt;0,"Registered","Not Found"))</f>
        <v/>
      </c>
      <c r="H242" s="44" t="str">
        <f>IF(A242="","",COUNTIF('Intern Monitoring'!$D$4:$D$203,B242))</f>
        <v/>
      </c>
      <c r="I242" s="44" t="str">
        <f t="shared" si="8"/>
        <v/>
      </c>
    </row>
    <row r="243" spans="1:9" ht="14.25" customHeight="1" x14ac:dyDescent="0.3">
      <c r="A243" s="44"/>
      <c r="B243" s="45" t="str">
        <f>IFERROR(VLOOKUP(A243,'Paste - Mentors'!$A:$B,2,0),"")</f>
        <v/>
      </c>
      <c r="C243" s="44"/>
      <c r="D243" s="44"/>
      <c r="E243" s="44" t="str">
        <f>IFERROR(VLOOKUP(A243,'Paste - Mentors'!$A:$G,7,0),"")</f>
        <v/>
      </c>
      <c r="F243" s="44" t="str">
        <f>IFERROR(VLOOKUP(A243,'Paste - Mentors'!$A:$K,11,0),"")</f>
        <v/>
      </c>
      <c r="G243" s="44" t="str">
        <f>IF(A243="","",IF(COUNTIF('Paste - Mentors'!$A:$A,A243)&gt;0,"Registered","Not Found"))</f>
        <v/>
      </c>
      <c r="H243" s="44" t="str">
        <f>IF(A243="","",COUNTIF('Intern Monitoring'!$D$4:$D$203,B243))</f>
        <v/>
      </c>
      <c r="I243" s="44" t="str">
        <f t="shared" si="8"/>
        <v/>
      </c>
    </row>
    <row r="244" spans="1:9" ht="14.25" customHeight="1" x14ac:dyDescent="0.3">
      <c r="A244" s="44"/>
      <c r="B244" s="45" t="str">
        <f>IFERROR(VLOOKUP(A244,'Paste - Mentors'!$A:$B,2,0),"")</f>
        <v/>
      </c>
      <c r="C244" s="44"/>
      <c r="D244" s="44"/>
      <c r="E244" s="44" t="str">
        <f>IFERROR(VLOOKUP(A244,'Paste - Mentors'!$A:$G,7,0),"")</f>
        <v/>
      </c>
      <c r="F244" s="44" t="str">
        <f>IFERROR(VLOOKUP(A244,'Paste - Mentors'!$A:$K,11,0),"")</f>
        <v/>
      </c>
      <c r="G244" s="44" t="str">
        <f>IF(A244="","",IF(COUNTIF('Paste - Mentors'!$A:$A,A244)&gt;0,"Registered","Not Found"))</f>
        <v/>
      </c>
      <c r="H244" s="44" t="str">
        <f>IF(A244="","",COUNTIF('Intern Monitoring'!$D$4:$D$203,B244))</f>
        <v/>
      </c>
      <c r="I244" s="44" t="str">
        <f t="shared" si="8"/>
        <v/>
      </c>
    </row>
    <row r="245" spans="1:9" ht="14.25" customHeight="1" x14ac:dyDescent="0.3">
      <c r="A245" s="44"/>
      <c r="B245" s="45" t="str">
        <f>IFERROR(VLOOKUP(A245,'Paste - Mentors'!$A:$B,2,0),"")</f>
        <v/>
      </c>
      <c r="C245" s="44"/>
      <c r="D245" s="44"/>
      <c r="E245" s="44" t="str">
        <f>IFERROR(VLOOKUP(A245,'Paste - Mentors'!$A:$G,7,0),"")</f>
        <v/>
      </c>
      <c r="F245" s="44" t="str">
        <f>IFERROR(VLOOKUP(A245,'Paste - Mentors'!$A:$K,11,0),"")</f>
        <v/>
      </c>
      <c r="G245" s="44" t="str">
        <f>IF(A245="","",IF(COUNTIF('Paste - Mentors'!$A:$A,A245)&gt;0,"Registered","Not Found"))</f>
        <v/>
      </c>
      <c r="H245" s="44" t="str">
        <f>IF(A245="","",COUNTIF('Intern Monitoring'!$D$4:$D$203,B245))</f>
        <v/>
      </c>
      <c r="I245" s="44" t="str">
        <f t="shared" si="8"/>
        <v/>
      </c>
    </row>
    <row r="246" spans="1:9" ht="14.25" customHeight="1" x14ac:dyDescent="0.3">
      <c r="A246" s="44"/>
      <c r="B246" s="45" t="str">
        <f>IFERROR(VLOOKUP(A246,'Paste - Mentors'!$A:$B,2,0),"")</f>
        <v/>
      </c>
      <c r="C246" s="44"/>
      <c r="D246" s="44"/>
      <c r="E246" s="44" t="str">
        <f>IFERROR(VLOOKUP(A246,'Paste - Mentors'!$A:$G,7,0),"")</f>
        <v/>
      </c>
      <c r="F246" s="44" t="str">
        <f>IFERROR(VLOOKUP(A246,'Paste - Mentors'!$A:$K,11,0),"")</f>
        <v/>
      </c>
      <c r="G246" s="44" t="str">
        <f>IF(A246="","",IF(COUNTIF('Paste - Mentors'!$A:$A,A246)&gt;0,"Registered","Not Found"))</f>
        <v/>
      </c>
      <c r="H246" s="44" t="str">
        <f>IF(A246="","",COUNTIF('Intern Monitoring'!$D$4:$D$203,B246))</f>
        <v/>
      </c>
      <c r="I246" s="44" t="str">
        <f t="shared" si="8"/>
        <v/>
      </c>
    </row>
    <row r="247" spans="1:9" ht="14.25" customHeight="1" x14ac:dyDescent="0.3">
      <c r="A247" s="44"/>
      <c r="B247" s="45" t="str">
        <f>IFERROR(VLOOKUP(A247,'Paste - Mentors'!$A:$B,2,0),"")</f>
        <v/>
      </c>
      <c r="C247" s="44"/>
      <c r="D247" s="44"/>
      <c r="E247" s="44" t="str">
        <f>IFERROR(VLOOKUP(A247,'Paste - Mentors'!$A:$G,7,0),"")</f>
        <v/>
      </c>
      <c r="F247" s="44" t="str">
        <f>IFERROR(VLOOKUP(A247,'Paste - Mentors'!$A:$K,11,0),"")</f>
        <v/>
      </c>
      <c r="G247" s="44" t="str">
        <f>IF(A247="","",IF(COUNTIF('Paste - Mentors'!$A:$A,A247)&gt;0,"Registered","Not Found"))</f>
        <v/>
      </c>
      <c r="H247" s="44" t="str">
        <f>IF(A247="","",COUNTIF('Intern Monitoring'!$D$4:$D$203,B247))</f>
        <v/>
      </c>
      <c r="I247" s="44" t="str">
        <f t="shared" si="8"/>
        <v/>
      </c>
    </row>
    <row r="248" spans="1:9" ht="14.25" customHeight="1" x14ac:dyDescent="0.3">
      <c r="A248" s="44"/>
      <c r="B248" s="45" t="str">
        <f>IFERROR(VLOOKUP(A248,'Paste - Mentors'!$A:$B,2,0),"")</f>
        <v/>
      </c>
      <c r="C248" s="44"/>
      <c r="D248" s="44"/>
      <c r="E248" s="44" t="str">
        <f>IFERROR(VLOOKUP(A248,'Paste - Mentors'!$A:$G,7,0),"")</f>
        <v/>
      </c>
      <c r="F248" s="44" t="str">
        <f>IFERROR(VLOOKUP(A248,'Paste - Mentors'!$A:$K,11,0),"")</f>
        <v/>
      </c>
      <c r="G248" s="44" t="str">
        <f>IF(A248="","",IF(COUNTIF('Paste - Mentors'!$A:$A,A248)&gt;0,"Registered","Not Found"))</f>
        <v/>
      </c>
      <c r="H248" s="44" t="str">
        <f>IF(A248="","",COUNTIF('Intern Monitoring'!$D$4:$D$203,B248))</f>
        <v/>
      </c>
      <c r="I248" s="44" t="str">
        <f t="shared" si="8"/>
        <v/>
      </c>
    </row>
    <row r="249" spans="1:9" ht="14.25" customHeight="1" x14ac:dyDescent="0.3">
      <c r="A249" s="44"/>
      <c r="B249" s="45" t="str">
        <f>IFERROR(VLOOKUP(A249,'Paste - Mentors'!$A:$B,2,0),"")</f>
        <v/>
      </c>
      <c r="C249" s="44"/>
      <c r="D249" s="44"/>
      <c r="E249" s="44" t="str">
        <f>IFERROR(VLOOKUP(A249,'Paste - Mentors'!$A:$G,7,0),"")</f>
        <v/>
      </c>
      <c r="F249" s="44" t="str">
        <f>IFERROR(VLOOKUP(A249,'Paste - Mentors'!$A:$K,11,0),"")</f>
        <v/>
      </c>
      <c r="G249" s="44" t="str">
        <f>IF(A249="","",IF(COUNTIF('Paste - Mentors'!$A:$A,A249)&gt;0,"Registered","Not Found"))</f>
        <v/>
      </c>
      <c r="H249" s="44" t="str">
        <f>IF(A249="","",COUNTIF('Intern Monitoring'!$D$4:$D$203,B249))</f>
        <v/>
      </c>
      <c r="I249" s="44" t="str">
        <f t="shared" si="8"/>
        <v/>
      </c>
    </row>
    <row r="250" spans="1:9" ht="14.25" customHeight="1" x14ac:dyDescent="0.3">
      <c r="A250" s="44"/>
      <c r="B250" s="45" t="str">
        <f>IFERROR(VLOOKUP(A250,'Paste - Mentors'!$A:$B,2,0),"")</f>
        <v/>
      </c>
      <c r="C250" s="44"/>
      <c r="D250" s="44"/>
      <c r="E250" s="44" t="str">
        <f>IFERROR(VLOOKUP(A250,'Paste - Mentors'!$A:$G,7,0),"")</f>
        <v/>
      </c>
      <c r="F250" s="44" t="str">
        <f>IFERROR(VLOOKUP(A250,'Paste - Mentors'!$A:$K,11,0),"")</f>
        <v/>
      </c>
      <c r="G250" s="44" t="str">
        <f>IF(A250="","",IF(COUNTIF('Paste - Mentors'!$A:$A,A250)&gt;0,"Registered","Not Found"))</f>
        <v/>
      </c>
      <c r="H250" s="44" t="str">
        <f>IF(A250="","",COUNTIF('Intern Monitoring'!$D$4:$D$203,B250))</f>
        <v/>
      </c>
      <c r="I250" s="44" t="str">
        <f t="shared" si="8"/>
        <v/>
      </c>
    </row>
    <row r="251" spans="1:9" ht="14.25" customHeight="1" x14ac:dyDescent="0.3">
      <c r="A251" s="44"/>
      <c r="B251" s="45" t="str">
        <f>IFERROR(VLOOKUP(A251,'Paste - Mentors'!$A:$B,2,0),"")</f>
        <v/>
      </c>
      <c r="C251" s="44"/>
      <c r="D251" s="44"/>
      <c r="E251" s="44" t="str">
        <f>IFERROR(VLOOKUP(A251,'Paste - Mentors'!$A:$G,7,0),"")</f>
        <v/>
      </c>
      <c r="F251" s="44" t="str">
        <f>IFERROR(VLOOKUP(A251,'Paste - Mentors'!$A:$K,11,0),"")</f>
        <v/>
      </c>
      <c r="G251" s="44" t="str">
        <f>IF(A251="","",IF(COUNTIF('Paste - Mentors'!$A:$A,A251)&gt;0,"Registered","Not Found"))</f>
        <v/>
      </c>
      <c r="H251" s="44" t="str">
        <f>IF(A251="","",COUNTIF('Intern Monitoring'!$D$4:$D$203,B251))</f>
        <v/>
      </c>
      <c r="I251" s="44" t="str">
        <f t="shared" si="8"/>
        <v/>
      </c>
    </row>
    <row r="252" spans="1:9" ht="14.25" customHeight="1" x14ac:dyDescent="0.3">
      <c r="A252" s="44"/>
      <c r="B252" s="45" t="str">
        <f>IFERROR(VLOOKUP(A252,'Paste - Mentors'!$A:$B,2,0),"")</f>
        <v/>
      </c>
      <c r="C252" s="44"/>
      <c r="D252" s="44"/>
      <c r="E252" s="44" t="str">
        <f>IFERROR(VLOOKUP(A252,'Paste - Mentors'!$A:$G,7,0),"")</f>
        <v/>
      </c>
      <c r="F252" s="44" t="str">
        <f>IFERROR(VLOOKUP(A252,'Paste - Mentors'!$A:$K,11,0),"")</f>
        <v/>
      </c>
      <c r="G252" s="44" t="str">
        <f>IF(A252="","",IF(COUNTIF('Paste - Mentors'!$A:$A,A252)&gt;0,"Registered","Not Found"))</f>
        <v/>
      </c>
      <c r="H252" s="44" t="str">
        <f>IF(A252="","",COUNTIF('Intern Monitoring'!$D$4:$D$203,B252))</f>
        <v/>
      </c>
      <c r="I252" s="44" t="str">
        <f t="shared" si="8"/>
        <v/>
      </c>
    </row>
    <row r="253" spans="1:9" ht="14.25" customHeight="1" x14ac:dyDescent="0.3">
      <c r="A253" s="44"/>
      <c r="B253" s="45" t="str">
        <f>IFERROR(VLOOKUP(A253,'Paste - Mentors'!$A:$B,2,0),"")</f>
        <v/>
      </c>
      <c r="C253" s="44"/>
      <c r="D253" s="44"/>
      <c r="E253" s="44" t="str">
        <f>IFERROR(VLOOKUP(A253,'Paste - Mentors'!$A:$G,7,0),"")</f>
        <v/>
      </c>
      <c r="F253" s="44" t="str">
        <f>IFERROR(VLOOKUP(A253,'Paste - Mentors'!$A:$K,11,0),"")</f>
        <v/>
      </c>
      <c r="G253" s="44" t="str">
        <f>IF(A253="","",IF(COUNTIF('Paste - Mentors'!$A:$A,A253)&gt;0,"Registered","Not Found"))</f>
        <v/>
      </c>
      <c r="H253" s="44" t="str">
        <f>IF(A253="","",COUNTIF('Intern Monitoring'!$D$4:$D$203,B253))</f>
        <v/>
      </c>
      <c r="I253" s="44" t="str">
        <f t="shared" si="8"/>
        <v/>
      </c>
    </row>
    <row r="254" spans="1:9" ht="14.25" customHeight="1" x14ac:dyDescent="0.3">
      <c r="A254" s="44"/>
      <c r="B254" s="45" t="str">
        <f>IFERROR(VLOOKUP(A254,'Paste - Mentors'!$A:$B,2,0),"")</f>
        <v/>
      </c>
      <c r="C254" s="44"/>
      <c r="D254" s="44"/>
      <c r="E254" s="44" t="str">
        <f>IFERROR(VLOOKUP(A254,'Paste - Mentors'!$A:$G,7,0),"")</f>
        <v/>
      </c>
      <c r="F254" s="44" t="str">
        <f>IFERROR(VLOOKUP(A254,'Paste - Mentors'!$A:$K,11,0),"")</f>
        <v/>
      </c>
      <c r="G254" s="44" t="str">
        <f>IF(A254="","",IF(COUNTIF('Paste - Mentors'!$A:$A,A254)&gt;0,"Registered","Not Found"))</f>
        <v/>
      </c>
      <c r="H254" s="44" t="str">
        <f>IF(A254="","",COUNTIF('Intern Monitoring'!$D$4:$D$203,B254))</f>
        <v/>
      </c>
      <c r="I254" s="44" t="str">
        <f t="shared" si="8"/>
        <v/>
      </c>
    </row>
    <row r="255" spans="1:9" ht="14.25" customHeight="1" x14ac:dyDescent="0.3">
      <c r="A255" s="44"/>
      <c r="B255" s="45" t="str">
        <f>IFERROR(VLOOKUP(A255,'Paste - Mentors'!$A:$B,2,0),"")</f>
        <v/>
      </c>
      <c r="C255" s="44"/>
      <c r="D255" s="44"/>
      <c r="E255" s="44" t="str">
        <f>IFERROR(VLOOKUP(A255,'Paste - Mentors'!$A:$G,7,0),"")</f>
        <v/>
      </c>
      <c r="F255" s="44" t="str">
        <f>IFERROR(VLOOKUP(A255,'Paste - Mentors'!$A:$K,11,0),"")</f>
        <v/>
      </c>
      <c r="G255" s="44" t="str">
        <f>IF(A255="","",IF(COUNTIF('Paste - Mentors'!$A:$A,A255)&gt;0,"Registered","Not Found"))</f>
        <v/>
      </c>
      <c r="H255" s="44" t="str">
        <f>IF(A255="","",COUNTIF('Intern Monitoring'!$D$4:$D$203,B255))</f>
        <v/>
      </c>
      <c r="I255" s="44" t="str">
        <f t="shared" si="8"/>
        <v/>
      </c>
    </row>
    <row r="256" spans="1:9" ht="14.25" customHeight="1" x14ac:dyDescent="0.3">
      <c r="A256" s="44"/>
      <c r="B256" s="45" t="str">
        <f>IFERROR(VLOOKUP(A256,'Paste - Mentors'!$A:$B,2,0),"")</f>
        <v/>
      </c>
      <c r="C256" s="44"/>
      <c r="D256" s="44"/>
      <c r="E256" s="44" t="str">
        <f>IFERROR(VLOOKUP(A256,'Paste - Mentors'!$A:$G,7,0),"")</f>
        <v/>
      </c>
      <c r="F256" s="44" t="str">
        <f>IFERROR(VLOOKUP(A256,'Paste - Mentors'!$A:$K,11,0),"")</f>
        <v/>
      </c>
      <c r="G256" s="44" t="str">
        <f>IF(A256="","",IF(COUNTIF('Paste - Mentors'!$A:$A,A256)&gt;0,"Registered","Not Found"))</f>
        <v/>
      </c>
      <c r="H256" s="44" t="str">
        <f>IF(A256="","",COUNTIF('Intern Monitoring'!$D$4:$D$203,B256))</f>
        <v/>
      </c>
      <c r="I256" s="44" t="str">
        <f t="shared" si="8"/>
        <v/>
      </c>
    </row>
    <row r="257" spans="1:9" ht="14.25" customHeight="1" x14ac:dyDescent="0.3">
      <c r="A257" s="44"/>
      <c r="B257" s="45" t="str">
        <f>IFERROR(VLOOKUP(A257,'Paste - Mentors'!$A:$B,2,0),"")</f>
        <v/>
      </c>
      <c r="C257" s="44"/>
      <c r="D257" s="44"/>
      <c r="E257" s="44" t="str">
        <f>IFERROR(VLOOKUP(A257,'Paste - Mentors'!$A:$G,7,0),"")</f>
        <v/>
      </c>
      <c r="F257" s="44" t="str">
        <f>IFERROR(VLOOKUP(A257,'Paste - Mentors'!$A:$K,11,0),"")</f>
        <v/>
      </c>
      <c r="G257" s="44" t="str">
        <f>IF(A257="","",IF(COUNTIF('Paste - Mentors'!$A:$A,A257)&gt;0,"Registered","Not Found"))</f>
        <v/>
      </c>
      <c r="H257" s="44" t="str">
        <f>IF(A257="","",COUNTIF('Intern Monitoring'!$D$4:$D$203,B257))</f>
        <v/>
      </c>
      <c r="I257" s="44" t="str">
        <f t="shared" si="8"/>
        <v/>
      </c>
    </row>
    <row r="258" spans="1:9" ht="14.25" customHeight="1" x14ac:dyDescent="0.3">
      <c r="A258" s="44"/>
      <c r="B258" s="45" t="str">
        <f>IFERROR(VLOOKUP(A258,'Paste - Mentors'!$A:$B,2,0),"")</f>
        <v/>
      </c>
      <c r="C258" s="44"/>
      <c r="D258" s="44"/>
      <c r="E258" s="44" t="str">
        <f>IFERROR(VLOOKUP(A258,'Paste - Mentors'!$A:$G,7,0),"")</f>
        <v/>
      </c>
      <c r="F258" s="44" t="str">
        <f>IFERROR(VLOOKUP(A258,'Paste - Mentors'!$A:$K,11,0),"")</f>
        <v/>
      </c>
      <c r="G258" s="44" t="str">
        <f>IF(A258="","",IF(COUNTIF('Paste - Mentors'!$A:$A,A258)&gt;0,"Registered","Not Found"))</f>
        <v/>
      </c>
      <c r="H258" s="44" t="str">
        <f>IF(A258="","",COUNTIF('Intern Monitoring'!$D$4:$D$203,B258))</f>
        <v/>
      </c>
      <c r="I258" s="44" t="str">
        <f t="shared" si="8"/>
        <v/>
      </c>
    </row>
    <row r="259" spans="1:9" ht="14.25" customHeight="1" x14ac:dyDescent="0.3">
      <c r="A259" s="44"/>
      <c r="B259" s="45" t="str">
        <f>IFERROR(VLOOKUP(A259,'Paste - Mentors'!$A:$B,2,0),"")</f>
        <v/>
      </c>
      <c r="C259" s="44"/>
      <c r="D259" s="44"/>
      <c r="E259" s="44" t="str">
        <f>IFERROR(VLOOKUP(A259,'Paste - Mentors'!$A:$G,7,0),"")</f>
        <v/>
      </c>
      <c r="F259" s="44" t="str">
        <f>IFERROR(VLOOKUP(A259,'Paste - Mentors'!$A:$K,11,0),"")</f>
        <v/>
      </c>
      <c r="G259" s="44" t="str">
        <f>IF(A259="","",IF(COUNTIF('Paste - Mentors'!$A:$A,A259)&gt;0,"Registered","Not Found"))</f>
        <v/>
      </c>
      <c r="H259" s="44" t="str">
        <f>IF(A259="","",COUNTIF('Intern Monitoring'!$D$4:$D$203,B259))</f>
        <v/>
      </c>
      <c r="I259" s="44" t="str">
        <f t="shared" si="8"/>
        <v/>
      </c>
    </row>
    <row r="260" spans="1:9" ht="14.25" customHeight="1" x14ac:dyDescent="0.3">
      <c r="A260" s="44"/>
      <c r="B260" s="45" t="str">
        <f>IFERROR(VLOOKUP(A260,'Paste - Mentors'!$A:$B,2,0),"")</f>
        <v/>
      </c>
      <c r="C260" s="44"/>
      <c r="D260" s="44"/>
      <c r="E260" s="44" t="str">
        <f>IFERROR(VLOOKUP(A260,'Paste - Mentors'!$A:$G,7,0),"")</f>
        <v/>
      </c>
      <c r="F260" s="44" t="str">
        <f>IFERROR(VLOOKUP(A260,'Paste - Mentors'!$A:$K,11,0),"")</f>
        <v/>
      </c>
      <c r="G260" s="44" t="str">
        <f>IF(A260="","",IF(COUNTIF('Paste - Mentors'!$A:$A,A260)&gt;0,"Registered","Not Found"))</f>
        <v/>
      </c>
      <c r="H260" s="44" t="str">
        <f>IF(A260="","",COUNTIF('Intern Monitoring'!$D$4:$D$203,B260))</f>
        <v/>
      </c>
      <c r="I260" s="44" t="str">
        <f t="shared" si="8"/>
        <v/>
      </c>
    </row>
    <row r="261" spans="1:9" ht="14.25" customHeight="1" x14ac:dyDescent="0.3">
      <c r="A261" s="44"/>
      <c r="B261" s="45" t="str">
        <f>IFERROR(VLOOKUP(A261,'Paste - Mentors'!$A:$B,2,0),"")</f>
        <v/>
      </c>
      <c r="C261" s="44"/>
      <c r="D261" s="44"/>
      <c r="E261" s="44" t="str">
        <f>IFERROR(VLOOKUP(A261,'Paste - Mentors'!$A:$G,7,0),"")</f>
        <v/>
      </c>
      <c r="F261" s="44" t="str">
        <f>IFERROR(VLOOKUP(A261,'Paste - Mentors'!$A:$K,11,0),"")</f>
        <v/>
      </c>
      <c r="G261" s="44" t="str">
        <f>IF(A261="","",IF(COUNTIF('Paste - Mentors'!$A:$A,A261)&gt;0,"Registered","Not Found"))</f>
        <v/>
      </c>
      <c r="H261" s="44" t="str">
        <f>IF(A261="","",COUNTIF('Intern Monitoring'!$D$4:$D$203,B261))</f>
        <v/>
      </c>
      <c r="I261" s="44" t="str">
        <f t="shared" si="8"/>
        <v/>
      </c>
    </row>
    <row r="262" spans="1:9" ht="14.25" customHeight="1" x14ac:dyDescent="0.3">
      <c r="A262" s="44"/>
      <c r="B262" s="45" t="str">
        <f>IFERROR(VLOOKUP(A262,'Paste - Mentors'!$A:$B,2,0),"")</f>
        <v/>
      </c>
      <c r="C262" s="44"/>
      <c r="D262" s="44"/>
      <c r="E262" s="44" t="str">
        <f>IFERROR(VLOOKUP(A262,'Paste - Mentors'!$A:$G,7,0),"")</f>
        <v/>
      </c>
      <c r="F262" s="44" t="str">
        <f>IFERROR(VLOOKUP(A262,'Paste - Mentors'!$A:$K,11,0),"")</f>
        <v/>
      </c>
      <c r="G262" s="44" t="str">
        <f>IF(A262="","",IF(COUNTIF('Paste - Mentors'!$A:$A,A262)&gt;0,"Registered","Not Found"))</f>
        <v/>
      </c>
      <c r="H262" s="44" t="str">
        <f>IF(A262="","",COUNTIF('Intern Monitoring'!$D$4:$D$203,B262))</f>
        <v/>
      </c>
      <c r="I262" s="44" t="str">
        <f t="shared" si="8"/>
        <v/>
      </c>
    </row>
    <row r="263" spans="1:9" ht="14.25" customHeight="1" x14ac:dyDescent="0.3">
      <c r="A263" s="44"/>
      <c r="B263" s="45" t="str">
        <f>IFERROR(VLOOKUP(A263,'Paste - Mentors'!$A:$B,2,0),"")</f>
        <v/>
      </c>
      <c r="C263" s="44"/>
      <c r="D263" s="44"/>
      <c r="E263" s="44" t="str">
        <f>IFERROR(VLOOKUP(A263,'Paste - Mentors'!$A:$G,7,0),"")</f>
        <v/>
      </c>
      <c r="F263" s="44" t="str">
        <f>IFERROR(VLOOKUP(A263,'Paste - Mentors'!$A:$K,11,0),"")</f>
        <v/>
      </c>
      <c r="G263" s="44" t="str">
        <f>IF(A263="","",IF(COUNTIF('Paste - Mentors'!$A:$A,A263)&gt;0,"Registered","Not Found"))</f>
        <v/>
      </c>
      <c r="H263" s="44" t="str">
        <f>IF(A263="","",COUNTIF('Intern Monitoring'!$D$4:$D$203,B263))</f>
        <v/>
      </c>
      <c r="I263" s="44" t="str">
        <f t="shared" si="8"/>
        <v/>
      </c>
    </row>
    <row r="264" spans="1:9" ht="14.25" customHeight="1" x14ac:dyDescent="0.3">
      <c r="A264" s="44"/>
      <c r="B264" s="45" t="str">
        <f>IFERROR(VLOOKUP(A264,'Paste - Mentors'!$A:$B,2,0),"")</f>
        <v/>
      </c>
      <c r="C264" s="44"/>
      <c r="D264" s="44"/>
      <c r="E264" s="44" t="str">
        <f>IFERROR(VLOOKUP(A264,'Paste - Mentors'!$A:$G,7,0),"")</f>
        <v/>
      </c>
      <c r="F264" s="44" t="str">
        <f>IFERROR(VLOOKUP(A264,'Paste - Mentors'!$A:$K,11,0),"")</f>
        <v/>
      </c>
      <c r="G264" s="44" t="str">
        <f>IF(A264="","",IF(COUNTIF('Paste - Mentors'!$A:$A,A264)&gt;0,"Registered","Not Found"))</f>
        <v/>
      </c>
      <c r="H264" s="44" t="str">
        <f>IF(A264="","",COUNTIF('Intern Monitoring'!$D$4:$D$203,B264))</f>
        <v/>
      </c>
      <c r="I264" s="44" t="str">
        <f t="shared" si="8"/>
        <v/>
      </c>
    </row>
    <row r="265" spans="1:9" ht="14.25" customHeight="1" x14ac:dyDescent="0.3">
      <c r="A265" s="44"/>
      <c r="B265" s="45" t="str">
        <f>IFERROR(VLOOKUP(A265,'Paste - Mentors'!$A:$B,2,0),"")</f>
        <v/>
      </c>
      <c r="C265" s="44"/>
      <c r="D265" s="44"/>
      <c r="E265" s="44" t="str">
        <f>IFERROR(VLOOKUP(A265,'Paste - Mentors'!$A:$G,7,0),"")</f>
        <v/>
      </c>
      <c r="F265" s="44" t="str">
        <f>IFERROR(VLOOKUP(A265,'Paste - Mentors'!$A:$K,11,0),"")</f>
        <v/>
      </c>
      <c r="G265" s="44" t="str">
        <f>IF(A265="","",IF(COUNTIF('Paste - Mentors'!$A:$A,A265)&gt;0,"Registered","Not Found"))</f>
        <v/>
      </c>
      <c r="H265" s="44" t="str">
        <f>IF(A265="","",COUNTIF('Intern Monitoring'!$D$4:$D$203,B265))</f>
        <v/>
      </c>
      <c r="I265" s="44" t="str">
        <f t="shared" si="8"/>
        <v/>
      </c>
    </row>
    <row r="266" spans="1:9" ht="14.25" customHeight="1" x14ac:dyDescent="0.3">
      <c r="A266" s="44"/>
      <c r="B266" s="45" t="str">
        <f>IFERROR(VLOOKUP(A266,'Paste - Mentors'!$A:$B,2,0),"")</f>
        <v/>
      </c>
      <c r="C266" s="44"/>
      <c r="D266" s="44"/>
      <c r="E266" s="44" t="str">
        <f>IFERROR(VLOOKUP(A266,'Paste - Mentors'!$A:$G,7,0),"")</f>
        <v/>
      </c>
      <c r="F266" s="44" t="str">
        <f>IFERROR(VLOOKUP(A266,'Paste - Mentors'!$A:$K,11,0),"")</f>
        <v/>
      </c>
      <c r="G266" s="44" t="str">
        <f>IF(A266="","",IF(COUNTIF('Paste - Mentors'!$A:$A,A266)&gt;0,"Registered","Not Found"))</f>
        <v/>
      </c>
      <c r="H266" s="44" t="str">
        <f>IF(A266="","",COUNTIF('Intern Monitoring'!$D$4:$D$203,B266))</f>
        <v/>
      </c>
      <c r="I266" s="44" t="str">
        <f t="shared" si="8"/>
        <v/>
      </c>
    </row>
    <row r="267" spans="1:9" ht="14.25" customHeight="1" x14ac:dyDescent="0.3">
      <c r="A267" s="44"/>
      <c r="B267" s="45" t="str">
        <f>IFERROR(VLOOKUP(A267,'Paste - Mentors'!$A:$B,2,0),"")</f>
        <v/>
      </c>
      <c r="C267" s="44"/>
      <c r="D267" s="44"/>
      <c r="E267" s="44" t="str">
        <f>IFERROR(VLOOKUP(A267,'Paste - Mentors'!$A:$G,7,0),"")</f>
        <v/>
      </c>
      <c r="F267" s="44" t="str">
        <f>IFERROR(VLOOKUP(A267,'Paste - Mentors'!$A:$K,11,0),"")</f>
        <v/>
      </c>
      <c r="G267" s="44" t="str">
        <f>IF(A267="","",IF(COUNTIF('Paste - Mentors'!$A:$A,A267)&gt;0,"Registered","Not Found"))</f>
        <v/>
      </c>
      <c r="H267" s="44" t="str">
        <f>IF(A267="","",COUNTIF('Intern Monitoring'!$D$4:$D$203,B267))</f>
        <v/>
      </c>
      <c r="I267" s="44" t="str">
        <f t="shared" si="8"/>
        <v/>
      </c>
    </row>
    <row r="268" spans="1:9" ht="14.25" customHeight="1" x14ac:dyDescent="0.3">
      <c r="A268" s="44"/>
      <c r="B268" s="45" t="str">
        <f>IFERROR(VLOOKUP(A268,'Paste - Mentors'!$A:$B,2,0),"")</f>
        <v/>
      </c>
      <c r="C268" s="44"/>
      <c r="D268" s="44"/>
      <c r="E268" s="44" t="str">
        <f>IFERROR(VLOOKUP(A268,'Paste - Mentors'!$A:$G,7,0),"")</f>
        <v/>
      </c>
      <c r="F268" s="44" t="str">
        <f>IFERROR(VLOOKUP(A268,'Paste - Mentors'!$A:$K,11,0),"")</f>
        <v/>
      </c>
      <c r="G268" s="44" t="str">
        <f>IF(A268="","",IF(COUNTIF('Paste - Mentors'!$A:$A,A268)&gt;0,"Registered","Not Found"))</f>
        <v/>
      </c>
      <c r="H268" s="44" t="str">
        <f>IF(A268="","",COUNTIF('Intern Monitoring'!$D$4:$D$203,B268))</f>
        <v/>
      </c>
      <c r="I268" s="44" t="str">
        <f t="shared" ref="I268:I299" si="9">IF(A268="","",IF(C268="",3,C268)-H268)</f>
        <v/>
      </c>
    </row>
    <row r="269" spans="1:9" ht="14.25" customHeight="1" x14ac:dyDescent="0.3">
      <c r="A269" s="44"/>
      <c r="B269" s="45" t="str">
        <f>IFERROR(VLOOKUP(A269,'Paste - Mentors'!$A:$B,2,0),"")</f>
        <v/>
      </c>
      <c r="C269" s="44"/>
      <c r="D269" s="44"/>
      <c r="E269" s="44" t="str">
        <f>IFERROR(VLOOKUP(A269,'Paste - Mentors'!$A:$G,7,0),"")</f>
        <v/>
      </c>
      <c r="F269" s="44" t="str">
        <f>IFERROR(VLOOKUP(A269,'Paste - Mentors'!$A:$K,11,0),"")</f>
        <v/>
      </c>
      <c r="G269" s="44" t="str">
        <f>IF(A269="","",IF(COUNTIF('Paste - Mentors'!$A:$A,A269)&gt;0,"Registered","Not Found"))</f>
        <v/>
      </c>
      <c r="H269" s="44" t="str">
        <f>IF(A269="","",COUNTIF('Intern Monitoring'!$D$4:$D$203,B269))</f>
        <v/>
      </c>
      <c r="I269" s="44" t="str">
        <f t="shared" si="9"/>
        <v/>
      </c>
    </row>
    <row r="270" spans="1:9" ht="14.25" customHeight="1" x14ac:dyDescent="0.3">
      <c r="A270" s="44"/>
      <c r="B270" s="45" t="str">
        <f>IFERROR(VLOOKUP(A270,'Paste - Mentors'!$A:$B,2,0),"")</f>
        <v/>
      </c>
      <c r="C270" s="44"/>
      <c r="D270" s="44"/>
      <c r="E270" s="44" t="str">
        <f>IFERROR(VLOOKUP(A270,'Paste - Mentors'!$A:$G,7,0),"")</f>
        <v/>
      </c>
      <c r="F270" s="44" t="str">
        <f>IFERROR(VLOOKUP(A270,'Paste - Mentors'!$A:$K,11,0),"")</f>
        <v/>
      </c>
      <c r="G270" s="44" t="str">
        <f>IF(A270="","",IF(COUNTIF('Paste - Mentors'!$A:$A,A270)&gt;0,"Registered","Not Found"))</f>
        <v/>
      </c>
      <c r="H270" s="44" t="str">
        <f>IF(A270="","",COUNTIF('Intern Monitoring'!$D$4:$D$203,B270))</f>
        <v/>
      </c>
      <c r="I270" s="44" t="str">
        <f t="shared" si="9"/>
        <v/>
      </c>
    </row>
    <row r="271" spans="1:9" ht="14.25" customHeight="1" x14ac:dyDescent="0.3">
      <c r="A271" s="44"/>
      <c r="B271" s="45" t="str">
        <f>IFERROR(VLOOKUP(A271,'Paste - Mentors'!$A:$B,2,0),"")</f>
        <v/>
      </c>
      <c r="C271" s="44"/>
      <c r="D271" s="44"/>
      <c r="E271" s="44" t="str">
        <f>IFERROR(VLOOKUP(A271,'Paste - Mentors'!$A:$G,7,0),"")</f>
        <v/>
      </c>
      <c r="F271" s="44" t="str">
        <f>IFERROR(VLOOKUP(A271,'Paste - Mentors'!$A:$K,11,0),"")</f>
        <v/>
      </c>
      <c r="G271" s="44" t="str">
        <f>IF(A271="","",IF(COUNTIF('Paste - Mentors'!$A:$A,A271)&gt;0,"Registered","Not Found"))</f>
        <v/>
      </c>
      <c r="H271" s="44" t="str">
        <f>IF(A271="","",COUNTIF('Intern Monitoring'!$D$4:$D$203,B271))</f>
        <v/>
      </c>
      <c r="I271" s="44" t="str">
        <f t="shared" si="9"/>
        <v/>
      </c>
    </row>
    <row r="272" spans="1:9" ht="14.25" customHeight="1" x14ac:dyDescent="0.3">
      <c r="A272" s="44"/>
      <c r="B272" s="45" t="str">
        <f>IFERROR(VLOOKUP(A272,'Paste - Mentors'!$A:$B,2,0),"")</f>
        <v/>
      </c>
      <c r="C272" s="44"/>
      <c r="D272" s="44"/>
      <c r="E272" s="44" t="str">
        <f>IFERROR(VLOOKUP(A272,'Paste - Mentors'!$A:$G,7,0),"")</f>
        <v/>
      </c>
      <c r="F272" s="44" t="str">
        <f>IFERROR(VLOOKUP(A272,'Paste - Mentors'!$A:$K,11,0),"")</f>
        <v/>
      </c>
      <c r="G272" s="44" t="str">
        <f>IF(A272="","",IF(COUNTIF('Paste - Mentors'!$A:$A,A272)&gt;0,"Registered","Not Found"))</f>
        <v/>
      </c>
      <c r="H272" s="44" t="str">
        <f>IF(A272="","",COUNTIF('Intern Monitoring'!$D$4:$D$203,B272))</f>
        <v/>
      </c>
      <c r="I272" s="44" t="str">
        <f t="shared" si="9"/>
        <v/>
      </c>
    </row>
    <row r="273" spans="1:9" ht="14.25" customHeight="1" x14ac:dyDescent="0.3">
      <c r="A273" s="44"/>
      <c r="B273" s="45" t="str">
        <f>IFERROR(VLOOKUP(A273,'Paste - Mentors'!$A:$B,2,0),"")</f>
        <v/>
      </c>
      <c r="C273" s="44"/>
      <c r="D273" s="44"/>
      <c r="E273" s="44" t="str">
        <f>IFERROR(VLOOKUP(A273,'Paste - Mentors'!$A:$G,7,0),"")</f>
        <v/>
      </c>
      <c r="F273" s="44" t="str">
        <f>IFERROR(VLOOKUP(A273,'Paste - Mentors'!$A:$K,11,0),"")</f>
        <v/>
      </c>
      <c r="G273" s="44" t="str">
        <f>IF(A273="","",IF(COUNTIF('Paste - Mentors'!$A:$A,A273)&gt;0,"Registered","Not Found"))</f>
        <v/>
      </c>
      <c r="H273" s="44" t="str">
        <f>IF(A273="","",COUNTIF('Intern Monitoring'!$D$4:$D$203,B273))</f>
        <v/>
      </c>
      <c r="I273" s="44" t="str">
        <f t="shared" si="9"/>
        <v/>
      </c>
    </row>
    <row r="274" spans="1:9" ht="14.25" customHeight="1" x14ac:dyDescent="0.3">
      <c r="A274" s="44"/>
      <c r="B274" s="45" t="str">
        <f>IFERROR(VLOOKUP(A274,'Paste - Mentors'!$A:$B,2,0),"")</f>
        <v/>
      </c>
      <c r="C274" s="44"/>
      <c r="D274" s="44"/>
      <c r="E274" s="44" t="str">
        <f>IFERROR(VLOOKUP(A274,'Paste - Mentors'!$A:$G,7,0),"")</f>
        <v/>
      </c>
      <c r="F274" s="44" t="str">
        <f>IFERROR(VLOOKUP(A274,'Paste - Mentors'!$A:$K,11,0),"")</f>
        <v/>
      </c>
      <c r="G274" s="44" t="str">
        <f>IF(A274="","",IF(COUNTIF('Paste - Mentors'!$A:$A,A274)&gt;0,"Registered","Not Found"))</f>
        <v/>
      </c>
      <c r="H274" s="44" t="str">
        <f>IF(A274="","",COUNTIF('Intern Monitoring'!$D$4:$D$203,B274))</f>
        <v/>
      </c>
      <c r="I274" s="44" t="str">
        <f t="shared" si="9"/>
        <v/>
      </c>
    </row>
    <row r="275" spans="1:9" ht="14.25" customHeight="1" x14ac:dyDescent="0.3">
      <c r="A275" s="44"/>
      <c r="B275" s="45" t="str">
        <f>IFERROR(VLOOKUP(A275,'Paste - Mentors'!$A:$B,2,0),"")</f>
        <v/>
      </c>
      <c r="C275" s="44"/>
      <c r="D275" s="44"/>
      <c r="E275" s="44" t="str">
        <f>IFERROR(VLOOKUP(A275,'Paste - Mentors'!$A:$G,7,0),"")</f>
        <v/>
      </c>
      <c r="F275" s="44" t="str">
        <f>IFERROR(VLOOKUP(A275,'Paste - Mentors'!$A:$K,11,0),"")</f>
        <v/>
      </c>
      <c r="G275" s="44" t="str">
        <f>IF(A275="","",IF(COUNTIF('Paste - Mentors'!$A:$A,A275)&gt;0,"Registered","Not Found"))</f>
        <v/>
      </c>
      <c r="H275" s="44" t="str">
        <f>IF(A275="","",COUNTIF('Intern Monitoring'!$D$4:$D$203,B275))</f>
        <v/>
      </c>
      <c r="I275" s="44" t="str">
        <f t="shared" si="9"/>
        <v/>
      </c>
    </row>
    <row r="276" spans="1:9" ht="14.25" customHeight="1" x14ac:dyDescent="0.3">
      <c r="A276" s="44"/>
      <c r="B276" s="45" t="str">
        <f>IFERROR(VLOOKUP(A276,'Paste - Mentors'!$A:$B,2,0),"")</f>
        <v/>
      </c>
      <c r="C276" s="44"/>
      <c r="D276" s="44"/>
      <c r="E276" s="44" t="str">
        <f>IFERROR(VLOOKUP(A276,'Paste - Mentors'!$A:$G,7,0),"")</f>
        <v/>
      </c>
      <c r="F276" s="44" t="str">
        <f>IFERROR(VLOOKUP(A276,'Paste - Mentors'!$A:$K,11,0),"")</f>
        <v/>
      </c>
      <c r="G276" s="44" t="str">
        <f>IF(A276="","",IF(COUNTIF('Paste - Mentors'!$A:$A,A276)&gt;0,"Registered","Not Found"))</f>
        <v/>
      </c>
      <c r="H276" s="44" t="str">
        <f>IF(A276="","",COUNTIF('Intern Monitoring'!$D$4:$D$203,B276))</f>
        <v/>
      </c>
      <c r="I276" s="44" t="str">
        <f t="shared" si="9"/>
        <v/>
      </c>
    </row>
    <row r="277" spans="1:9" ht="14.25" customHeight="1" x14ac:dyDescent="0.3">
      <c r="A277" s="44"/>
      <c r="B277" s="45" t="str">
        <f>IFERROR(VLOOKUP(A277,'Paste - Mentors'!$A:$B,2,0),"")</f>
        <v/>
      </c>
      <c r="C277" s="44"/>
      <c r="D277" s="44"/>
      <c r="E277" s="44" t="str">
        <f>IFERROR(VLOOKUP(A277,'Paste - Mentors'!$A:$G,7,0),"")</f>
        <v/>
      </c>
      <c r="F277" s="44" t="str">
        <f>IFERROR(VLOOKUP(A277,'Paste - Mentors'!$A:$K,11,0),"")</f>
        <v/>
      </c>
      <c r="G277" s="44" t="str">
        <f>IF(A277="","",IF(COUNTIF('Paste - Mentors'!$A:$A,A277)&gt;0,"Registered","Not Found"))</f>
        <v/>
      </c>
      <c r="H277" s="44" t="str">
        <f>IF(A277="","",COUNTIF('Intern Monitoring'!$D$4:$D$203,B277))</f>
        <v/>
      </c>
      <c r="I277" s="44" t="str">
        <f t="shared" si="9"/>
        <v/>
      </c>
    </row>
    <row r="278" spans="1:9" ht="14.25" customHeight="1" x14ac:dyDescent="0.3">
      <c r="A278" s="44"/>
      <c r="B278" s="45" t="str">
        <f>IFERROR(VLOOKUP(A278,'Paste - Mentors'!$A:$B,2,0),"")</f>
        <v/>
      </c>
      <c r="C278" s="44"/>
      <c r="D278" s="44"/>
      <c r="E278" s="44" t="str">
        <f>IFERROR(VLOOKUP(A278,'Paste - Mentors'!$A:$G,7,0),"")</f>
        <v/>
      </c>
      <c r="F278" s="44" t="str">
        <f>IFERROR(VLOOKUP(A278,'Paste - Mentors'!$A:$K,11,0),"")</f>
        <v/>
      </c>
      <c r="G278" s="44" t="str">
        <f>IF(A278="","",IF(COUNTIF('Paste - Mentors'!$A:$A,A278)&gt;0,"Registered","Not Found"))</f>
        <v/>
      </c>
      <c r="H278" s="44" t="str">
        <f>IF(A278="","",COUNTIF('Intern Monitoring'!$D$4:$D$203,B278))</f>
        <v/>
      </c>
      <c r="I278" s="44" t="str">
        <f t="shared" si="9"/>
        <v/>
      </c>
    </row>
    <row r="279" spans="1:9" ht="14.25" customHeight="1" x14ac:dyDescent="0.3">
      <c r="A279" s="44"/>
      <c r="B279" s="45" t="str">
        <f>IFERROR(VLOOKUP(A279,'Paste - Mentors'!$A:$B,2,0),"")</f>
        <v/>
      </c>
      <c r="C279" s="44"/>
      <c r="D279" s="44"/>
      <c r="E279" s="44" t="str">
        <f>IFERROR(VLOOKUP(A279,'Paste - Mentors'!$A:$G,7,0),"")</f>
        <v/>
      </c>
      <c r="F279" s="44" t="str">
        <f>IFERROR(VLOOKUP(A279,'Paste - Mentors'!$A:$K,11,0),"")</f>
        <v/>
      </c>
      <c r="G279" s="44" t="str">
        <f>IF(A279="","",IF(COUNTIF('Paste - Mentors'!$A:$A,A279)&gt;0,"Registered","Not Found"))</f>
        <v/>
      </c>
      <c r="H279" s="44" t="str">
        <f>IF(A279="","",COUNTIF('Intern Monitoring'!$D$4:$D$203,B279))</f>
        <v/>
      </c>
      <c r="I279" s="44" t="str">
        <f t="shared" si="9"/>
        <v/>
      </c>
    </row>
    <row r="280" spans="1:9" ht="14.25" customHeight="1" x14ac:dyDescent="0.3">
      <c r="A280" s="44"/>
      <c r="B280" s="45" t="str">
        <f>IFERROR(VLOOKUP(A280,'Paste - Mentors'!$A:$B,2,0),"")</f>
        <v/>
      </c>
      <c r="C280" s="44"/>
      <c r="D280" s="44"/>
      <c r="E280" s="44" t="str">
        <f>IFERROR(VLOOKUP(A280,'Paste - Mentors'!$A:$G,7,0),"")</f>
        <v/>
      </c>
      <c r="F280" s="44" t="str">
        <f>IFERROR(VLOOKUP(A280,'Paste - Mentors'!$A:$K,11,0),"")</f>
        <v/>
      </c>
      <c r="G280" s="44" t="str">
        <f>IF(A280="","",IF(COUNTIF('Paste - Mentors'!$A:$A,A280)&gt;0,"Registered","Not Found"))</f>
        <v/>
      </c>
      <c r="H280" s="44" t="str">
        <f>IF(A280="","",COUNTIF('Intern Monitoring'!$D$4:$D$203,B280))</f>
        <v/>
      </c>
      <c r="I280" s="44" t="str">
        <f t="shared" si="9"/>
        <v/>
      </c>
    </row>
    <row r="281" spans="1:9" ht="14.25" customHeight="1" x14ac:dyDescent="0.3">
      <c r="A281" s="44"/>
      <c r="B281" s="45" t="str">
        <f>IFERROR(VLOOKUP(A281,'Paste - Mentors'!$A:$B,2,0),"")</f>
        <v/>
      </c>
      <c r="C281" s="44"/>
      <c r="D281" s="44"/>
      <c r="E281" s="44" t="str">
        <f>IFERROR(VLOOKUP(A281,'Paste - Mentors'!$A:$G,7,0),"")</f>
        <v/>
      </c>
      <c r="F281" s="44" t="str">
        <f>IFERROR(VLOOKUP(A281,'Paste - Mentors'!$A:$K,11,0),"")</f>
        <v/>
      </c>
      <c r="G281" s="44" t="str">
        <f>IF(A281="","",IF(COUNTIF('Paste - Mentors'!$A:$A,A281)&gt;0,"Registered","Not Found"))</f>
        <v/>
      </c>
      <c r="H281" s="44" t="str">
        <f>IF(A281="","",COUNTIF('Intern Monitoring'!$D$4:$D$203,B281))</f>
        <v/>
      </c>
      <c r="I281" s="44" t="str">
        <f t="shared" si="9"/>
        <v/>
      </c>
    </row>
    <row r="282" spans="1:9" ht="14.25" customHeight="1" x14ac:dyDescent="0.3">
      <c r="A282" s="44"/>
      <c r="B282" s="45" t="str">
        <f>IFERROR(VLOOKUP(A282,'Paste - Mentors'!$A:$B,2,0),"")</f>
        <v/>
      </c>
      <c r="C282" s="44"/>
      <c r="D282" s="44"/>
      <c r="E282" s="44" t="str">
        <f>IFERROR(VLOOKUP(A282,'Paste - Mentors'!$A:$G,7,0),"")</f>
        <v/>
      </c>
      <c r="F282" s="44" t="str">
        <f>IFERROR(VLOOKUP(A282,'Paste - Mentors'!$A:$K,11,0),"")</f>
        <v/>
      </c>
      <c r="G282" s="44" t="str">
        <f>IF(A282="","",IF(COUNTIF('Paste - Mentors'!$A:$A,A282)&gt;0,"Registered","Not Found"))</f>
        <v/>
      </c>
      <c r="H282" s="44" t="str">
        <f>IF(A282="","",COUNTIF('Intern Monitoring'!$D$4:$D$203,B282))</f>
        <v/>
      </c>
      <c r="I282" s="44" t="str">
        <f t="shared" si="9"/>
        <v/>
      </c>
    </row>
    <row r="283" spans="1:9" ht="14.25" customHeight="1" x14ac:dyDescent="0.3">
      <c r="A283" s="44"/>
      <c r="B283" s="45" t="str">
        <f>IFERROR(VLOOKUP(A283,'Paste - Mentors'!$A:$B,2,0),"")</f>
        <v/>
      </c>
      <c r="C283" s="44"/>
      <c r="D283" s="44"/>
      <c r="E283" s="44" t="str">
        <f>IFERROR(VLOOKUP(A283,'Paste - Mentors'!$A:$G,7,0),"")</f>
        <v/>
      </c>
      <c r="F283" s="44" t="str">
        <f>IFERROR(VLOOKUP(A283,'Paste - Mentors'!$A:$K,11,0),"")</f>
        <v/>
      </c>
      <c r="G283" s="44" t="str">
        <f>IF(A283="","",IF(COUNTIF('Paste - Mentors'!$A:$A,A283)&gt;0,"Registered","Not Found"))</f>
        <v/>
      </c>
      <c r="H283" s="44" t="str">
        <f>IF(A283="","",COUNTIF('Intern Monitoring'!$D$4:$D$203,B283))</f>
        <v/>
      </c>
      <c r="I283" s="44" t="str">
        <f t="shared" si="9"/>
        <v/>
      </c>
    </row>
    <row r="284" spans="1:9" ht="14.25" customHeight="1" x14ac:dyDescent="0.3">
      <c r="A284" s="44"/>
      <c r="B284" s="45" t="str">
        <f>IFERROR(VLOOKUP(A284,'Paste - Mentors'!$A:$B,2,0),"")</f>
        <v/>
      </c>
      <c r="C284" s="44"/>
      <c r="D284" s="44"/>
      <c r="E284" s="44" t="str">
        <f>IFERROR(VLOOKUP(A284,'Paste - Mentors'!$A:$G,7,0),"")</f>
        <v/>
      </c>
      <c r="F284" s="44" t="str">
        <f>IFERROR(VLOOKUP(A284,'Paste - Mentors'!$A:$K,11,0),"")</f>
        <v/>
      </c>
      <c r="G284" s="44" t="str">
        <f>IF(A284="","",IF(COUNTIF('Paste - Mentors'!$A:$A,A284)&gt;0,"Registered","Not Found"))</f>
        <v/>
      </c>
      <c r="H284" s="44" t="str">
        <f>IF(A284="","",COUNTIF('Intern Monitoring'!$D$4:$D$203,B284))</f>
        <v/>
      </c>
      <c r="I284" s="44" t="str">
        <f t="shared" si="9"/>
        <v/>
      </c>
    </row>
    <row r="285" spans="1:9" ht="14.25" customHeight="1" x14ac:dyDescent="0.3">
      <c r="A285" s="44"/>
      <c r="B285" s="45" t="str">
        <f>IFERROR(VLOOKUP(A285,'Paste - Mentors'!$A:$B,2,0),"")</f>
        <v/>
      </c>
      <c r="C285" s="44"/>
      <c r="D285" s="44"/>
      <c r="E285" s="44" t="str">
        <f>IFERROR(VLOOKUP(A285,'Paste - Mentors'!$A:$G,7,0),"")</f>
        <v/>
      </c>
      <c r="F285" s="44" t="str">
        <f>IFERROR(VLOOKUP(A285,'Paste - Mentors'!$A:$K,11,0),"")</f>
        <v/>
      </c>
      <c r="G285" s="44" t="str">
        <f>IF(A285="","",IF(COUNTIF('Paste - Mentors'!$A:$A,A285)&gt;0,"Registered","Not Found"))</f>
        <v/>
      </c>
      <c r="H285" s="44" t="str">
        <f>IF(A285="","",COUNTIF('Intern Monitoring'!$D$4:$D$203,B285))</f>
        <v/>
      </c>
      <c r="I285" s="44" t="str">
        <f t="shared" si="9"/>
        <v/>
      </c>
    </row>
    <row r="286" spans="1:9" ht="14.25" customHeight="1" x14ac:dyDescent="0.3">
      <c r="A286" s="44"/>
      <c r="B286" s="45" t="str">
        <f>IFERROR(VLOOKUP(A286,'Paste - Mentors'!$A:$B,2,0),"")</f>
        <v/>
      </c>
      <c r="C286" s="44"/>
      <c r="D286" s="44"/>
      <c r="E286" s="44" t="str">
        <f>IFERROR(VLOOKUP(A286,'Paste - Mentors'!$A:$G,7,0),"")</f>
        <v/>
      </c>
      <c r="F286" s="44" t="str">
        <f>IFERROR(VLOOKUP(A286,'Paste - Mentors'!$A:$K,11,0),"")</f>
        <v/>
      </c>
      <c r="G286" s="44" t="str">
        <f>IF(A286="","",IF(COUNTIF('Paste - Mentors'!$A:$A,A286)&gt;0,"Registered","Not Found"))</f>
        <v/>
      </c>
      <c r="H286" s="44" t="str">
        <f>IF(A286="","",COUNTIF('Intern Monitoring'!$D$4:$D$203,B286))</f>
        <v/>
      </c>
      <c r="I286" s="44" t="str">
        <f t="shared" si="9"/>
        <v/>
      </c>
    </row>
    <row r="287" spans="1:9" ht="14.25" customHeight="1" x14ac:dyDescent="0.3">
      <c r="A287" s="44"/>
      <c r="B287" s="45" t="str">
        <f>IFERROR(VLOOKUP(A287,'Paste - Mentors'!$A:$B,2,0),"")</f>
        <v/>
      </c>
      <c r="C287" s="44"/>
      <c r="D287" s="44"/>
      <c r="E287" s="44" t="str">
        <f>IFERROR(VLOOKUP(A287,'Paste - Mentors'!$A:$G,7,0),"")</f>
        <v/>
      </c>
      <c r="F287" s="44" t="str">
        <f>IFERROR(VLOOKUP(A287,'Paste - Mentors'!$A:$K,11,0),"")</f>
        <v/>
      </c>
      <c r="G287" s="44" t="str">
        <f>IF(A287="","",IF(COUNTIF('Paste - Mentors'!$A:$A,A287)&gt;0,"Registered","Not Found"))</f>
        <v/>
      </c>
      <c r="H287" s="44" t="str">
        <f>IF(A287="","",COUNTIF('Intern Monitoring'!$D$4:$D$203,B287))</f>
        <v/>
      </c>
      <c r="I287" s="44" t="str">
        <f t="shared" si="9"/>
        <v/>
      </c>
    </row>
    <row r="288" spans="1:9" ht="14.25" customHeight="1" x14ac:dyDescent="0.3">
      <c r="A288" s="44"/>
      <c r="B288" s="45" t="str">
        <f>IFERROR(VLOOKUP(A288,'Paste - Mentors'!$A:$B,2,0),"")</f>
        <v/>
      </c>
      <c r="C288" s="44"/>
      <c r="D288" s="44"/>
      <c r="E288" s="44" t="str">
        <f>IFERROR(VLOOKUP(A288,'Paste - Mentors'!$A:$G,7,0),"")</f>
        <v/>
      </c>
      <c r="F288" s="44" t="str">
        <f>IFERROR(VLOOKUP(A288,'Paste - Mentors'!$A:$K,11,0),"")</f>
        <v/>
      </c>
      <c r="G288" s="44" t="str">
        <f>IF(A288="","",IF(COUNTIF('Paste - Mentors'!$A:$A,A288)&gt;0,"Registered","Not Found"))</f>
        <v/>
      </c>
      <c r="H288" s="44" t="str">
        <f>IF(A288="","",COUNTIF('Intern Monitoring'!$D$4:$D$203,B288))</f>
        <v/>
      </c>
      <c r="I288" s="44" t="str">
        <f t="shared" si="9"/>
        <v/>
      </c>
    </row>
    <row r="289" spans="1:9" ht="14.25" customHeight="1" x14ac:dyDescent="0.3">
      <c r="A289" s="44"/>
      <c r="B289" s="45" t="str">
        <f>IFERROR(VLOOKUP(A289,'Paste - Mentors'!$A:$B,2,0),"")</f>
        <v/>
      </c>
      <c r="C289" s="44"/>
      <c r="D289" s="44"/>
      <c r="E289" s="44" t="str">
        <f>IFERROR(VLOOKUP(A289,'Paste - Mentors'!$A:$G,7,0),"")</f>
        <v/>
      </c>
      <c r="F289" s="44" t="str">
        <f>IFERROR(VLOOKUP(A289,'Paste - Mentors'!$A:$K,11,0),"")</f>
        <v/>
      </c>
      <c r="G289" s="44" t="str">
        <f>IF(A289="","",IF(COUNTIF('Paste - Mentors'!$A:$A,A289)&gt;0,"Registered","Not Found"))</f>
        <v/>
      </c>
      <c r="H289" s="44" t="str">
        <f>IF(A289="","",COUNTIF('Intern Monitoring'!$D$4:$D$203,B289))</f>
        <v/>
      </c>
      <c r="I289" s="44" t="str">
        <f t="shared" si="9"/>
        <v/>
      </c>
    </row>
    <row r="290" spans="1:9" ht="14.25" customHeight="1" x14ac:dyDescent="0.3">
      <c r="A290" s="44"/>
      <c r="B290" s="45" t="str">
        <f>IFERROR(VLOOKUP(A290,'Paste - Mentors'!$A:$B,2,0),"")</f>
        <v/>
      </c>
      <c r="C290" s="44"/>
      <c r="D290" s="44"/>
      <c r="E290" s="44" t="str">
        <f>IFERROR(VLOOKUP(A290,'Paste - Mentors'!$A:$G,7,0),"")</f>
        <v/>
      </c>
      <c r="F290" s="44" t="str">
        <f>IFERROR(VLOOKUP(A290,'Paste - Mentors'!$A:$K,11,0),"")</f>
        <v/>
      </c>
      <c r="G290" s="44" t="str">
        <f>IF(A290="","",IF(COUNTIF('Paste - Mentors'!$A:$A,A290)&gt;0,"Registered","Not Found"))</f>
        <v/>
      </c>
      <c r="H290" s="44" t="str">
        <f>IF(A290="","",COUNTIF('Intern Monitoring'!$D$4:$D$203,B290))</f>
        <v/>
      </c>
      <c r="I290" s="44" t="str">
        <f t="shared" si="9"/>
        <v/>
      </c>
    </row>
    <row r="291" spans="1:9" ht="14.25" customHeight="1" x14ac:dyDescent="0.3">
      <c r="A291" s="44"/>
      <c r="B291" s="45" t="str">
        <f>IFERROR(VLOOKUP(A291,'Paste - Mentors'!$A:$B,2,0),"")</f>
        <v/>
      </c>
      <c r="C291" s="44"/>
      <c r="D291" s="44"/>
      <c r="E291" s="44" t="str">
        <f>IFERROR(VLOOKUP(A291,'Paste - Mentors'!$A:$G,7,0),"")</f>
        <v/>
      </c>
      <c r="F291" s="44" t="str">
        <f>IFERROR(VLOOKUP(A291,'Paste - Mentors'!$A:$K,11,0),"")</f>
        <v/>
      </c>
      <c r="G291" s="44" t="str">
        <f>IF(A291="","",IF(COUNTIF('Paste - Mentors'!$A:$A,A291)&gt;0,"Registered","Not Found"))</f>
        <v/>
      </c>
      <c r="H291" s="44" t="str">
        <f>IF(A291="","",COUNTIF('Intern Monitoring'!$D$4:$D$203,B291))</f>
        <v/>
      </c>
      <c r="I291" s="44" t="str">
        <f t="shared" si="9"/>
        <v/>
      </c>
    </row>
    <row r="292" spans="1:9" ht="14.25" customHeight="1" x14ac:dyDescent="0.3">
      <c r="A292" s="44"/>
      <c r="B292" s="45" t="str">
        <f>IFERROR(VLOOKUP(A292,'Paste - Mentors'!$A:$B,2,0),"")</f>
        <v/>
      </c>
      <c r="C292" s="44"/>
      <c r="D292" s="44"/>
      <c r="E292" s="44" t="str">
        <f>IFERROR(VLOOKUP(A292,'Paste - Mentors'!$A:$G,7,0),"")</f>
        <v/>
      </c>
      <c r="F292" s="44" t="str">
        <f>IFERROR(VLOOKUP(A292,'Paste - Mentors'!$A:$K,11,0),"")</f>
        <v/>
      </c>
      <c r="G292" s="44" t="str">
        <f>IF(A292="","",IF(COUNTIF('Paste - Mentors'!$A:$A,A292)&gt;0,"Registered","Not Found"))</f>
        <v/>
      </c>
      <c r="H292" s="44" t="str">
        <f>IF(A292="","",COUNTIF('Intern Monitoring'!$D$4:$D$203,B292))</f>
        <v/>
      </c>
      <c r="I292" s="44" t="str">
        <f t="shared" si="9"/>
        <v/>
      </c>
    </row>
    <row r="293" spans="1:9" ht="14.25" customHeight="1" x14ac:dyDescent="0.3">
      <c r="A293" s="44"/>
      <c r="B293" s="45" t="str">
        <f>IFERROR(VLOOKUP(A293,'Paste - Mentors'!$A:$B,2,0),"")</f>
        <v/>
      </c>
      <c r="C293" s="44"/>
      <c r="D293" s="44"/>
      <c r="E293" s="44" t="str">
        <f>IFERROR(VLOOKUP(A293,'Paste - Mentors'!$A:$G,7,0),"")</f>
        <v/>
      </c>
      <c r="F293" s="44" t="str">
        <f>IFERROR(VLOOKUP(A293,'Paste - Mentors'!$A:$K,11,0),"")</f>
        <v/>
      </c>
      <c r="G293" s="44" t="str">
        <f>IF(A293="","",IF(COUNTIF('Paste - Mentors'!$A:$A,A293)&gt;0,"Registered","Not Found"))</f>
        <v/>
      </c>
      <c r="H293" s="44" t="str">
        <f>IF(A293="","",COUNTIF('Intern Monitoring'!$D$4:$D$203,B293))</f>
        <v/>
      </c>
      <c r="I293" s="44" t="str">
        <f t="shared" si="9"/>
        <v/>
      </c>
    </row>
    <row r="294" spans="1:9" ht="14.25" customHeight="1" x14ac:dyDescent="0.3">
      <c r="A294" s="44"/>
      <c r="B294" s="45" t="str">
        <f>IFERROR(VLOOKUP(A294,'Paste - Mentors'!$A:$B,2,0),"")</f>
        <v/>
      </c>
      <c r="C294" s="44"/>
      <c r="D294" s="44"/>
      <c r="E294" s="44" t="str">
        <f>IFERROR(VLOOKUP(A294,'Paste - Mentors'!$A:$G,7,0),"")</f>
        <v/>
      </c>
      <c r="F294" s="44" t="str">
        <f>IFERROR(VLOOKUP(A294,'Paste - Mentors'!$A:$K,11,0),"")</f>
        <v/>
      </c>
      <c r="G294" s="44" t="str">
        <f>IF(A294="","",IF(COUNTIF('Paste - Mentors'!$A:$A,A294)&gt;0,"Registered","Not Found"))</f>
        <v/>
      </c>
      <c r="H294" s="44" t="str">
        <f>IF(A294="","",COUNTIF('Intern Monitoring'!$D$4:$D$203,B294))</f>
        <v/>
      </c>
      <c r="I294" s="44" t="str">
        <f t="shared" si="9"/>
        <v/>
      </c>
    </row>
    <row r="295" spans="1:9" ht="14.25" customHeight="1" x14ac:dyDescent="0.3">
      <c r="A295" s="44"/>
      <c r="B295" s="45" t="str">
        <f>IFERROR(VLOOKUP(A295,'Paste - Mentors'!$A:$B,2,0),"")</f>
        <v/>
      </c>
      <c r="C295" s="44"/>
      <c r="D295" s="44"/>
      <c r="E295" s="44" t="str">
        <f>IFERROR(VLOOKUP(A295,'Paste - Mentors'!$A:$G,7,0),"")</f>
        <v/>
      </c>
      <c r="F295" s="44" t="str">
        <f>IFERROR(VLOOKUP(A295,'Paste - Mentors'!$A:$K,11,0),"")</f>
        <v/>
      </c>
      <c r="G295" s="44" t="str">
        <f>IF(A295="","",IF(COUNTIF('Paste - Mentors'!$A:$A,A295)&gt;0,"Registered","Not Found"))</f>
        <v/>
      </c>
      <c r="H295" s="44" t="str">
        <f>IF(A295="","",COUNTIF('Intern Monitoring'!$D$4:$D$203,B295))</f>
        <v/>
      </c>
      <c r="I295" s="44" t="str">
        <f t="shared" si="9"/>
        <v/>
      </c>
    </row>
    <row r="296" spans="1:9" ht="14.25" customHeight="1" x14ac:dyDescent="0.3">
      <c r="A296" s="44"/>
      <c r="B296" s="45" t="str">
        <f>IFERROR(VLOOKUP(A296,'Paste - Mentors'!$A:$B,2,0),"")</f>
        <v/>
      </c>
      <c r="C296" s="44"/>
      <c r="D296" s="44"/>
      <c r="E296" s="44" t="str">
        <f>IFERROR(VLOOKUP(A296,'Paste - Mentors'!$A:$G,7,0),"")</f>
        <v/>
      </c>
      <c r="F296" s="44" t="str">
        <f>IFERROR(VLOOKUP(A296,'Paste - Mentors'!$A:$K,11,0),"")</f>
        <v/>
      </c>
      <c r="G296" s="44" t="str">
        <f>IF(A296="","",IF(COUNTIF('Paste - Mentors'!$A:$A,A296)&gt;0,"Registered","Not Found"))</f>
        <v/>
      </c>
      <c r="H296" s="44" t="str">
        <f>IF(A296="","",COUNTIF('Intern Monitoring'!$D$4:$D$203,B296))</f>
        <v/>
      </c>
      <c r="I296" s="44" t="str">
        <f t="shared" si="9"/>
        <v/>
      </c>
    </row>
    <row r="297" spans="1:9" ht="14.25" customHeight="1" x14ac:dyDescent="0.3">
      <c r="A297" s="44"/>
      <c r="B297" s="45" t="str">
        <f>IFERROR(VLOOKUP(A297,'Paste - Mentors'!$A:$B,2,0),"")</f>
        <v/>
      </c>
      <c r="C297" s="44"/>
      <c r="D297" s="44"/>
      <c r="E297" s="44" t="str">
        <f>IFERROR(VLOOKUP(A297,'Paste - Mentors'!$A:$G,7,0),"")</f>
        <v/>
      </c>
      <c r="F297" s="44" t="str">
        <f>IFERROR(VLOOKUP(A297,'Paste - Mentors'!$A:$K,11,0),"")</f>
        <v/>
      </c>
      <c r="G297" s="44" t="str">
        <f>IF(A297="","",IF(COUNTIF('Paste - Mentors'!$A:$A,A297)&gt;0,"Registered","Not Found"))</f>
        <v/>
      </c>
      <c r="H297" s="44" t="str">
        <f>IF(A297="","",COUNTIF('Intern Monitoring'!$D$4:$D$203,B297))</f>
        <v/>
      </c>
      <c r="I297" s="44" t="str">
        <f t="shared" si="9"/>
        <v/>
      </c>
    </row>
    <row r="298" spans="1:9" ht="14.25" customHeight="1" x14ac:dyDescent="0.3">
      <c r="A298" s="44"/>
      <c r="B298" s="45" t="str">
        <f>IFERROR(VLOOKUP(A298,'Paste - Mentors'!$A:$B,2,0),"")</f>
        <v/>
      </c>
      <c r="C298" s="44"/>
      <c r="D298" s="44"/>
      <c r="E298" s="44" t="str">
        <f>IFERROR(VLOOKUP(A298,'Paste - Mentors'!$A:$G,7,0),"")</f>
        <v/>
      </c>
      <c r="F298" s="44" t="str">
        <f>IFERROR(VLOOKUP(A298,'Paste - Mentors'!$A:$K,11,0),"")</f>
        <v/>
      </c>
      <c r="G298" s="44" t="str">
        <f>IF(A298="","",IF(COUNTIF('Paste - Mentors'!$A:$A,A298)&gt;0,"Registered","Not Found"))</f>
        <v/>
      </c>
      <c r="H298" s="44" t="str">
        <f>IF(A298="","",COUNTIF('Intern Monitoring'!$D$4:$D$203,B298))</f>
        <v/>
      </c>
      <c r="I298" s="44" t="str">
        <f t="shared" si="9"/>
        <v/>
      </c>
    </row>
  </sheetData>
  <autoFilter ref="A3:I3" xr:uid="{00000000-0009-0000-0000-000005000000}"/>
  <conditionalFormatting sqref="G4:G298">
    <cfRule type="expression" dxfId="28" priority="2">
      <formula>G4="🚨 Not Found"</formula>
    </cfRule>
    <cfRule type="expression" dxfId="27" priority="3">
      <formula>G4="✅ Registered"</formula>
    </cfRule>
  </conditionalFormatting>
  <conditionalFormatting sqref="I4:I203">
    <cfRule type="expression" dxfId="26" priority="6">
      <formula>AND(A4&lt;&gt;"",I4&gt;0)</formula>
    </cfRule>
  </conditionalFormatting>
  <conditionalFormatting sqref="I4:I298">
    <cfRule type="expression" dxfId="25" priority="4">
      <formula>I4&lt;=0</formula>
    </cfRule>
    <cfRule type="expression" dxfId="24" priority="5">
      <formula>AND(I4&gt;0,I4&lt;=1)</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04"/>
  <sheetViews>
    <sheetView topLeftCell="A61" zoomScaleNormal="100" workbookViewId="0">
      <selection activeCell="A67" sqref="A67"/>
    </sheetView>
  </sheetViews>
  <sheetFormatPr defaultColWidth="8.6640625" defaultRowHeight="14.4" x14ac:dyDescent="0.3"/>
  <cols>
    <col min="1" max="1" width="34.77734375" customWidth="1"/>
    <col min="2" max="2" width="44.44140625" customWidth="1"/>
    <col min="3" max="3" width="39.5546875" customWidth="1"/>
  </cols>
  <sheetData>
    <row r="1" spans="1:3" ht="27.75" customHeight="1" x14ac:dyDescent="0.3">
      <c r="A1" s="57" t="s">
        <v>0</v>
      </c>
      <c r="B1" s="72">
        <f>COUNTA(A4:A203)</f>
        <v>63</v>
      </c>
    </row>
    <row r="2" spans="1:3" ht="14.25" customHeight="1" x14ac:dyDescent="0.3"/>
    <row r="3" spans="1:3" ht="30" customHeight="1" x14ac:dyDescent="0.3">
      <c r="A3" s="56" t="s">
        <v>1</v>
      </c>
      <c r="B3" s="56" t="s">
        <v>2</v>
      </c>
      <c r="C3" s="56" t="s">
        <v>3</v>
      </c>
    </row>
    <row r="4" spans="1:3" ht="17.399999999999999" customHeight="1" x14ac:dyDescent="0.3">
      <c r="A4" s="46" t="s">
        <v>4</v>
      </c>
      <c r="B4" s="54" t="s">
        <v>5</v>
      </c>
      <c r="C4" s="55" t="s">
        <v>6</v>
      </c>
    </row>
    <row r="5" spans="1:3" ht="14.25" customHeight="1" x14ac:dyDescent="0.3">
      <c r="A5" s="46" t="s">
        <v>7</v>
      </c>
      <c r="B5" s="54" t="s">
        <v>8</v>
      </c>
      <c r="C5" s="55" t="s">
        <v>6</v>
      </c>
    </row>
    <row r="6" spans="1:3" ht="14.25" customHeight="1" x14ac:dyDescent="0.3">
      <c r="A6" s="46" t="s">
        <v>9</v>
      </c>
      <c r="B6" s="54" t="s">
        <v>10</v>
      </c>
      <c r="C6" s="55" t="s">
        <v>6</v>
      </c>
    </row>
    <row r="7" spans="1:3" ht="14.25" customHeight="1" x14ac:dyDescent="0.3">
      <c r="A7" s="46" t="s">
        <v>11</v>
      </c>
      <c r="B7" s="54" t="s">
        <v>12</v>
      </c>
      <c r="C7" s="55" t="s">
        <v>6</v>
      </c>
    </row>
    <row r="8" spans="1:3" ht="14.25" customHeight="1" x14ac:dyDescent="0.3">
      <c r="A8" s="46" t="s">
        <v>13</v>
      </c>
      <c r="B8" s="54" t="s">
        <v>14</v>
      </c>
      <c r="C8" s="55" t="s">
        <v>6</v>
      </c>
    </row>
    <row r="9" spans="1:3" ht="14.25" customHeight="1" x14ac:dyDescent="0.3">
      <c r="A9" s="46" t="s">
        <v>15</v>
      </c>
      <c r="B9" s="54" t="s">
        <v>16</v>
      </c>
      <c r="C9" s="55" t="s">
        <v>6</v>
      </c>
    </row>
    <row r="10" spans="1:3" ht="14.25" customHeight="1" x14ac:dyDescent="0.3">
      <c r="A10" s="46" t="s">
        <v>17</v>
      </c>
      <c r="B10" s="54" t="s">
        <v>18</v>
      </c>
      <c r="C10" s="55" t="s">
        <v>6</v>
      </c>
    </row>
    <row r="11" spans="1:3" ht="14.25" customHeight="1" x14ac:dyDescent="0.3">
      <c r="A11" s="46" t="s">
        <v>19</v>
      </c>
      <c r="B11" s="54" t="s">
        <v>20</v>
      </c>
      <c r="C11" s="55" t="s">
        <v>6</v>
      </c>
    </row>
    <row r="12" spans="1:3" ht="14.25" customHeight="1" x14ac:dyDescent="0.3">
      <c r="A12" s="46" t="s">
        <v>21</v>
      </c>
      <c r="B12" s="54" t="s">
        <v>22</v>
      </c>
      <c r="C12" s="55" t="s">
        <v>6</v>
      </c>
    </row>
    <row r="13" spans="1:3" ht="14.25" customHeight="1" x14ac:dyDescent="0.3">
      <c r="A13" s="46" t="s">
        <v>23</v>
      </c>
      <c r="B13" s="54" t="s">
        <v>24</v>
      </c>
      <c r="C13" s="55" t="s">
        <v>6</v>
      </c>
    </row>
    <row r="14" spans="1:3" ht="14.25" customHeight="1" x14ac:dyDescent="0.3">
      <c r="A14" s="46" t="s">
        <v>25</v>
      </c>
      <c r="B14" s="54" t="s">
        <v>26</v>
      </c>
      <c r="C14" s="55" t="s">
        <v>6</v>
      </c>
    </row>
    <row r="15" spans="1:3" ht="14.25" customHeight="1" x14ac:dyDescent="0.3">
      <c r="A15" s="46" t="s">
        <v>27</v>
      </c>
      <c r="B15" s="54" t="s">
        <v>28</v>
      </c>
      <c r="C15" s="55" t="s">
        <v>6</v>
      </c>
    </row>
    <row r="16" spans="1:3" ht="14.25" customHeight="1" x14ac:dyDescent="0.3">
      <c r="A16" s="46" t="s">
        <v>29</v>
      </c>
      <c r="B16" s="54" t="s">
        <v>30</v>
      </c>
      <c r="C16" s="55" t="s">
        <v>6</v>
      </c>
    </row>
    <row r="17" spans="1:3" ht="14.25" customHeight="1" x14ac:dyDescent="0.3">
      <c r="A17" s="46" t="s">
        <v>31</v>
      </c>
      <c r="B17" s="54" t="s">
        <v>32</v>
      </c>
      <c r="C17" s="55" t="s">
        <v>6</v>
      </c>
    </row>
    <row r="18" spans="1:3" ht="14.25" customHeight="1" x14ac:dyDescent="0.3">
      <c r="A18" s="46" t="s">
        <v>33</v>
      </c>
      <c r="B18" s="54" t="s">
        <v>34</v>
      </c>
      <c r="C18" s="55" t="s">
        <v>6</v>
      </c>
    </row>
    <row r="19" spans="1:3" ht="14.25" customHeight="1" x14ac:dyDescent="0.3">
      <c r="A19" s="46" t="s">
        <v>35</v>
      </c>
      <c r="B19" s="54" t="s">
        <v>36</v>
      </c>
      <c r="C19" s="55" t="s">
        <v>6</v>
      </c>
    </row>
    <row r="20" spans="1:3" ht="14.25" customHeight="1" x14ac:dyDescent="0.3">
      <c r="A20" s="46" t="s">
        <v>37</v>
      </c>
      <c r="B20" s="54" t="s">
        <v>38</v>
      </c>
      <c r="C20" s="55" t="s">
        <v>6</v>
      </c>
    </row>
    <row r="21" spans="1:3" ht="14.25" customHeight="1" x14ac:dyDescent="0.3">
      <c r="A21" s="46" t="s">
        <v>39</v>
      </c>
      <c r="B21" s="54" t="s">
        <v>40</v>
      </c>
      <c r="C21" s="55" t="s">
        <v>6</v>
      </c>
    </row>
    <row r="22" spans="1:3" ht="14.25" customHeight="1" x14ac:dyDescent="0.3">
      <c r="A22" s="46" t="s">
        <v>41</v>
      </c>
      <c r="B22" s="54" t="s">
        <v>42</v>
      </c>
      <c r="C22" s="55" t="s">
        <v>6</v>
      </c>
    </row>
    <row r="23" spans="1:3" ht="14.25" customHeight="1" x14ac:dyDescent="0.3">
      <c r="A23" s="46" t="s">
        <v>43</v>
      </c>
      <c r="B23" s="54" t="s">
        <v>44</v>
      </c>
      <c r="C23" s="55" t="s">
        <v>6</v>
      </c>
    </row>
    <row r="24" spans="1:3" ht="14.25" customHeight="1" x14ac:dyDescent="0.3">
      <c r="A24" s="46" t="s">
        <v>45</v>
      </c>
      <c r="B24" s="54" t="s">
        <v>46</v>
      </c>
      <c r="C24" s="55" t="s">
        <v>6</v>
      </c>
    </row>
    <row r="25" spans="1:3" ht="14.25" customHeight="1" x14ac:dyDescent="0.3">
      <c r="A25" s="46" t="s">
        <v>47</v>
      </c>
      <c r="B25" s="54" t="s">
        <v>48</v>
      </c>
      <c r="C25" s="55" t="s">
        <v>6</v>
      </c>
    </row>
    <row r="26" spans="1:3" ht="14.25" customHeight="1" x14ac:dyDescent="0.3">
      <c r="A26" s="46" t="s">
        <v>49</v>
      </c>
      <c r="B26" s="54" t="s">
        <v>50</v>
      </c>
      <c r="C26" s="55" t="s">
        <v>6</v>
      </c>
    </row>
    <row r="27" spans="1:3" ht="14.25" customHeight="1" x14ac:dyDescent="0.3">
      <c r="A27" s="46" t="s">
        <v>51</v>
      </c>
      <c r="B27" s="54" t="s">
        <v>52</v>
      </c>
      <c r="C27" s="55" t="s">
        <v>6</v>
      </c>
    </row>
    <row r="28" spans="1:3" ht="14.25" customHeight="1" x14ac:dyDescent="0.3">
      <c r="A28" s="46" t="s">
        <v>53</v>
      </c>
      <c r="B28" s="54" t="s">
        <v>54</v>
      </c>
      <c r="C28" s="55" t="s">
        <v>6</v>
      </c>
    </row>
    <row r="29" spans="1:3" ht="14.25" customHeight="1" x14ac:dyDescent="0.3">
      <c r="A29" s="46" t="s">
        <v>55</v>
      </c>
      <c r="B29" s="54" t="s">
        <v>56</v>
      </c>
      <c r="C29" s="55" t="s">
        <v>6</v>
      </c>
    </row>
    <row r="30" spans="1:3" ht="14.25" customHeight="1" x14ac:dyDescent="0.3">
      <c r="A30" s="46" t="s">
        <v>57</v>
      </c>
      <c r="B30" s="54" t="s">
        <v>58</v>
      </c>
      <c r="C30" s="55" t="s">
        <v>6</v>
      </c>
    </row>
    <row r="31" spans="1:3" ht="14.25" customHeight="1" x14ac:dyDescent="0.3">
      <c r="A31" s="46" t="s">
        <v>59</v>
      </c>
      <c r="B31" s="54" t="s">
        <v>60</v>
      </c>
      <c r="C31" s="55" t="s">
        <v>6</v>
      </c>
    </row>
    <row r="32" spans="1:3" ht="14.25" customHeight="1" x14ac:dyDescent="0.3">
      <c r="A32" s="46" t="s">
        <v>61</v>
      </c>
      <c r="B32" s="54" t="s">
        <v>62</v>
      </c>
      <c r="C32" s="55" t="s">
        <v>6</v>
      </c>
    </row>
    <row r="33" spans="1:3" ht="14.25" customHeight="1" x14ac:dyDescent="0.3">
      <c r="A33" s="46" t="s">
        <v>63</v>
      </c>
      <c r="B33" s="54" t="s">
        <v>64</v>
      </c>
      <c r="C33" s="55" t="s">
        <v>6</v>
      </c>
    </row>
    <row r="34" spans="1:3" ht="14.25" customHeight="1" x14ac:dyDescent="0.3">
      <c r="A34" s="46" t="s">
        <v>65</v>
      </c>
      <c r="B34" s="54" t="s">
        <v>66</v>
      </c>
      <c r="C34" s="55" t="s">
        <v>6</v>
      </c>
    </row>
    <row r="35" spans="1:3" ht="14.25" customHeight="1" x14ac:dyDescent="0.3">
      <c r="A35" s="46" t="s">
        <v>67</v>
      </c>
      <c r="B35" s="54" t="s">
        <v>68</v>
      </c>
      <c r="C35" s="55" t="s">
        <v>6</v>
      </c>
    </row>
    <row r="36" spans="1:3" ht="14.25" customHeight="1" x14ac:dyDescent="0.3">
      <c r="A36" s="46" t="s">
        <v>69</v>
      </c>
      <c r="B36" s="54" t="s">
        <v>70</v>
      </c>
      <c r="C36" s="55" t="s">
        <v>6</v>
      </c>
    </row>
    <row r="37" spans="1:3" ht="14.25" customHeight="1" x14ac:dyDescent="0.3">
      <c r="A37" s="46" t="s">
        <v>71</v>
      </c>
      <c r="B37" s="54" t="s">
        <v>72</v>
      </c>
      <c r="C37" s="55" t="s">
        <v>6</v>
      </c>
    </row>
    <row r="38" spans="1:3" ht="14.25" customHeight="1" x14ac:dyDescent="0.3">
      <c r="A38" s="46" t="s">
        <v>73</v>
      </c>
      <c r="B38" s="54" t="s">
        <v>74</v>
      </c>
      <c r="C38" s="55" t="s">
        <v>6</v>
      </c>
    </row>
    <row r="39" spans="1:3" ht="14.25" customHeight="1" x14ac:dyDescent="0.3">
      <c r="A39" s="46" t="s">
        <v>75</v>
      </c>
      <c r="B39" s="54" t="s">
        <v>76</v>
      </c>
      <c r="C39" s="55" t="s">
        <v>6</v>
      </c>
    </row>
    <row r="40" spans="1:3" ht="14.25" customHeight="1" x14ac:dyDescent="0.3">
      <c r="A40" s="46" t="s">
        <v>77</v>
      </c>
      <c r="B40" s="54" t="s">
        <v>78</v>
      </c>
      <c r="C40" s="55" t="s">
        <v>6</v>
      </c>
    </row>
    <row r="41" spans="1:3" ht="14.25" customHeight="1" x14ac:dyDescent="0.3">
      <c r="A41" s="46" t="s">
        <v>79</v>
      </c>
      <c r="B41" s="54" t="s">
        <v>80</v>
      </c>
      <c r="C41" s="55" t="s">
        <v>6</v>
      </c>
    </row>
    <row r="42" spans="1:3" ht="14.25" customHeight="1" x14ac:dyDescent="0.3">
      <c r="A42" s="46" t="s">
        <v>81</v>
      </c>
      <c r="B42" s="54" t="s">
        <v>82</v>
      </c>
      <c r="C42" s="55" t="s">
        <v>6</v>
      </c>
    </row>
    <row r="43" spans="1:3" ht="14.25" customHeight="1" x14ac:dyDescent="0.3">
      <c r="A43" s="46" t="s">
        <v>83</v>
      </c>
      <c r="B43" s="54" t="s">
        <v>84</v>
      </c>
      <c r="C43" s="55" t="s">
        <v>6</v>
      </c>
    </row>
    <row r="44" spans="1:3" ht="14.25" customHeight="1" x14ac:dyDescent="0.3">
      <c r="A44" s="46" t="s">
        <v>85</v>
      </c>
      <c r="B44" s="54" t="s">
        <v>86</v>
      </c>
      <c r="C44" s="55" t="s">
        <v>6</v>
      </c>
    </row>
    <row r="45" spans="1:3" ht="14.25" customHeight="1" x14ac:dyDescent="0.3">
      <c r="A45" s="46" t="s">
        <v>87</v>
      </c>
      <c r="B45" s="54" t="s">
        <v>88</v>
      </c>
      <c r="C45" s="55" t="s">
        <v>6</v>
      </c>
    </row>
    <row r="46" spans="1:3" ht="14.25" customHeight="1" x14ac:dyDescent="0.3">
      <c r="A46" s="46" t="s">
        <v>89</v>
      </c>
      <c r="B46" s="54" t="s">
        <v>90</v>
      </c>
      <c r="C46" s="55" t="s">
        <v>6</v>
      </c>
    </row>
    <row r="47" spans="1:3" ht="14.25" customHeight="1" x14ac:dyDescent="0.3">
      <c r="A47" s="46" t="s">
        <v>91</v>
      </c>
      <c r="B47" s="54" t="s">
        <v>92</v>
      </c>
      <c r="C47" s="55" t="s">
        <v>6</v>
      </c>
    </row>
    <row r="48" spans="1:3" ht="14.25" customHeight="1" x14ac:dyDescent="0.3">
      <c r="A48" s="46" t="s">
        <v>93</v>
      </c>
      <c r="B48" s="54" t="s">
        <v>94</v>
      </c>
      <c r="C48" s="55" t="s">
        <v>6</v>
      </c>
    </row>
    <row r="49" spans="1:3" ht="14.25" customHeight="1" x14ac:dyDescent="0.3">
      <c r="A49" s="46" t="s">
        <v>95</v>
      </c>
      <c r="B49" s="54" t="s">
        <v>96</v>
      </c>
      <c r="C49" s="55" t="s">
        <v>6</v>
      </c>
    </row>
    <row r="50" spans="1:3" ht="14.25" customHeight="1" x14ac:dyDescent="0.3">
      <c r="A50" s="46" t="s">
        <v>97</v>
      </c>
      <c r="B50" s="54" t="s">
        <v>98</v>
      </c>
      <c r="C50" s="55" t="s">
        <v>6</v>
      </c>
    </row>
    <row r="51" spans="1:3" ht="14.25" customHeight="1" x14ac:dyDescent="0.3">
      <c r="A51" s="46" t="s">
        <v>99</v>
      </c>
      <c r="B51" s="54" t="s">
        <v>100</v>
      </c>
      <c r="C51" s="55" t="s">
        <v>6</v>
      </c>
    </row>
    <row r="52" spans="1:3" ht="14.25" customHeight="1" x14ac:dyDescent="0.3">
      <c r="A52" s="46" t="s">
        <v>101</v>
      </c>
      <c r="B52" s="54" t="s">
        <v>102</v>
      </c>
      <c r="C52" s="55" t="s">
        <v>6</v>
      </c>
    </row>
    <row r="53" spans="1:3" ht="14.25" customHeight="1" x14ac:dyDescent="0.3">
      <c r="A53" s="46" t="s">
        <v>103</v>
      </c>
      <c r="B53" s="54" t="s">
        <v>104</v>
      </c>
      <c r="C53" s="55" t="s">
        <v>6</v>
      </c>
    </row>
    <row r="54" spans="1:3" ht="14.25" customHeight="1" x14ac:dyDescent="0.3">
      <c r="A54" s="46" t="s">
        <v>105</v>
      </c>
      <c r="B54" s="54" t="s">
        <v>106</v>
      </c>
      <c r="C54" s="55" t="s">
        <v>6</v>
      </c>
    </row>
    <row r="55" spans="1:3" ht="14.25" customHeight="1" x14ac:dyDescent="0.3">
      <c r="A55" s="46" t="s">
        <v>107</v>
      </c>
      <c r="B55" s="54" t="s">
        <v>108</v>
      </c>
      <c r="C55" s="55" t="s">
        <v>6</v>
      </c>
    </row>
    <row r="56" spans="1:3" ht="14.25" customHeight="1" x14ac:dyDescent="0.3">
      <c r="A56" s="46" t="s">
        <v>109</v>
      </c>
      <c r="B56" s="54" t="s">
        <v>110</v>
      </c>
      <c r="C56" s="55" t="s">
        <v>6</v>
      </c>
    </row>
    <row r="57" spans="1:3" ht="14.25" customHeight="1" x14ac:dyDescent="0.3">
      <c r="A57" s="46" t="s">
        <v>111</v>
      </c>
      <c r="B57" s="54" t="s">
        <v>112</v>
      </c>
      <c r="C57" s="55" t="s">
        <v>6</v>
      </c>
    </row>
    <row r="58" spans="1:3" ht="14.25" customHeight="1" x14ac:dyDescent="0.3">
      <c r="A58" s="46" t="s">
        <v>113</v>
      </c>
      <c r="B58" s="54" t="s">
        <v>114</v>
      </c>
      <c r="C58" s="55" t="s">
        <v>6</v>
      </c>
    </row>
    <row r="59" spans="1:3" ht="14.25" customHeight="1" x14ac:dyDescent="0.3">
      <c r="A59" s="46" t="s">
        <v>115</v>
      </c>
      <c r="B59" s="54" t="s">
        <v>116</v>
      </c>
      <c r="C59" s="55" t="s">
        <v>6</v>
      </c>
    </row>
    <row r="60" spans="1:3" ht="14.25" customHeight="1" x14ac:dyDescent="0.3">
      <c r="A60" s="46" t="s">
        <v>117</v>
      </c>
      <c r="B60" s="54" t="s">
        <v>118</v>
      </c>
      <c r="C60" s="55" t="s">
        <v>6</v>
      </c>
    </row>
    <row r="61" spans="1:3" ht="14.25" customHeight="1" x14ac:dyDescent="0.3">
      <c r="A61" s="46" t="s">
        <v>119</v>
      </c>
      <c r="B61" s="54" t="s">
        <v>120</v>
      </c>
      <c r="C61" s="55" t="s">
        <v>6</v>
      </c>
    </row>
    <row r="62" spans="1:3" ht="14.25" customHeight="1" x14ac:dyDescent="0.3">
      <c r="A62" s="46" t="s">
        <v>121</v>
      </c>
      <c r="B62" s="54" t="s">
        <v>122</v>
      </c>
      <c r="C62" s="55" t="s">
        <v>6</v>
      </c>
    </row>
    <row r="63" spans="1:3" ht="14.25" customHeight="1" x14ac:dyDescent="0.3">
      <c r="A63" s="46" t="s">
        <v>123</v>
      </c>
      <c r="B63" s="54" t="s">
        <v>124</v>
      </c>
      <c r="C63" s="55" t="s">
        <v>6</v>
      </c>
    </row>
    <row r="64" spans="1:3" ht="14.25" customHeight="1" x14ac:dyDescent="0.3">
      <c r="A64" s="46" t="s">
        <v>125</v>
      </c>
      <c r="B64" s="54" t="s">
        <v>126</v>
      </c>
      <c r="C64" s="55" t="s">
        <v>6</v>
      </c>
    </row>
    <row r="65" spans="1:3" ht="14.25" customHeight="1" x14ac:dyDescent="0.3">
      <c r="A65" s="46" t="s">
        <v>127</v>
      </c>
      <c r="B65" s="54" t="s">
        <v>128</v>
      </c>
      <c r="C65" s="55" t="s">
        <v>6</v>
      </c>
    </row>
    <row r="66" spans="1:3" ht="14.25" customHeight="1" x14ac:dyDescent="0.3">
      <c r="A66" s="46" t="s">
        <v>129</v>
      </c>
      <c r="B66" s="54" t="s">
        <v>130</v>
      </c>
      <c r="C66" s="55" t="s">
        <v>6</v>
      </c>
    </row>
    <row r="67" spans="1:3" ht="14.25" customHeight="1" x14ac:dyDescent="0.3">
      <c r="A67" s="46"/>
      <c r="B67" s="54"/>
      <c r="C67" s="55"/>
    </row>
    <row r="68" spans="1:3" ht="14.25" customHeight="1" x14ac:dyDescent="0.3">
      <c r="A68" s="46"/>
      <c r="B68" s="54"/>
      <c r="C68" s="55"/>
    </row>
    <row r="69" spans="1:3" ht="14.25" customHeight="1" x14ac:dyDescent="0.3">
      <c r="A69" s="46"/>
      <c r="B69" s="54"/>
      <c r="C69" s="55"/>
    </row>
    <row r="70" spans="1:3" ht="14.25" customHeight="1" x14ac:dyDescent="0.3">
      <c r="A70" s="46"/>
      <c r="B70" s="54"/>
      <c r="C70" s="55"/>
    </row>
    <row r="71" spans="1:3" ht="14.25" customHeight="1" x14ac:dyDescent="0.3">
      <c r="A71" s="46"/>
      <c r="B71" s="54"/>
      <c r="C71" s="55"/>
    </row>
    <row r="72" spans="1:3" ht="14.25" customHeight="1" x14ac:dyDescent="0.3">
      <c r="A72" s="46"/>
      <c r="B72" s="54"/>
      <c r="C72" s="55"/>
    </row>
    <row r="73" spans="1:3" ht="14.25" customHeight="1" x14ac:dyDescent="0.3">
      <c r="A73" s="46"/>
      <c r="B73" s="54"/>
      <c r="C73" s="55"/>
    </row>
    <row r="74" spans="1:3" ht="14.25" customHeight="1" x14ac:dyDescent="0.3">
      <c r="A74" s="46"/>
      <c r="B74" s="54"/>
      <c r="C74" s="55"/>
    </row>
    <row r="75" spans="1:3" ht="14.25" customHeight="1" x14ac:dyDescent="0.3">
      <c r="A75" s="46"/>
      <c r="B75" s="54"/>
      <c r="C75" s="55"/>
    </row>
    <row r="76" spans="1:3" ht="14.25" customHeight="1" x14ac:dyDescent="0.3">
      <c r="A76" s="46"/>
      <c r="B76" s="54"/>
      <c r="C76" s="55"/>
    </row>
    <row r="77" spans="1:3" ht="14.25" customHeight="1" x14ac:dyDescent="0.3">
      <c r="A77" s="46"/>
      <c r="B77" s="54"/>
      <c r="C77" s="55"/>
    </row>
    <row r="78" spans="1:3" ht="14.25" customHeight="1" x14ac:dyDescent="0.3">
      <c r="A78" s="46"/>
      <c r="B78" s="54"/>
      <c r="C78" s="55"/>
    </row>
    <row r="79" spans="1:3" ht="14.25" customHeight="1" x14ac:dyDescent="0.3">
      <c r="A79" s="46"/>
      <c r="B79" s="54"/>
      <c r="C79" s="55"/>
    </row>
    <row r="80" spans="1:3" ht="14.25" customHeight="1" x14ac:dyDescent="0.3">
      <c r="A80" s="46"/>
      <c r="B80" s="54"/>
      <c r="C80" s="55"/>
    </row>
    <row r="81" spans="1:3" ht="14.25" customHeight="1" x14ac:dyDescent="0.3">
      <c r="A81" s="46"/>
      <c r="B81" s="54"/>
      <c r="C81" s="55"/>
    </row>
    <row r="82" spans="1:3" ht="14.25" customHeight="1" x14ac:dyDescent="0.3">
      <c r="A82" s="46"/>
      <c r="B82" s="54"/>
      <c r="C82" s="55"/>
    </row>
    <row r="83" spans="1:3" ht="14.25" customHeight="1" x14ac:dyDescent="0.3">
      <c r="A83" s="46"/>
      <c r="B83" s="54"/>
      <c r="C83" s="55"/>
    </row>
    <row r="84" spans="1:3" ht="14.25" customHeight="1" x14ac:dyDescent="0.3">
      <c r="A84" s="46"/>
      <c r="B84" s="54"/>
      <c r="C84" s="55"/>
    </row>
    <row r="85" spans="1:3" ht="14.25" customHeight="1" x14ac:dyDescent="0.3">
      <c r="A85" s="46"/>
      <c r="B85" s="54"/>
      <c r="C85" s="55"/>
    </row>
    <row r="86" spans="1:3" ht="14.25" customHeight="1" x14ac:dyDescent="0.3">
      <c r="A86" s="46"/>
      <c r="B86" s="54"/>
      <c r="C86" s="55"/>
    </row>
    <row r="87" spans="1:3" ht="14.25" customHeight="1" x14ac:dyDescent="0.3">
      <c r="A87" s="46"/>
      <c r="B87" s="54"/>
      <c r="C87" s="55"/>
    </row>
    <row r="88" spans="1:3" ht="14.25" customHeight="1" x14ac:dyDescent="0.3">
      <c r="A88" s="46"/>
      <c r="B88" s="54"/>
      <c r="C88" s="55"/>
    </row>
    <row r="89" spans="1:3" ht="14.25" customHeight="1" x14ac:dyDescent="0.3">
      <c r="A89" s="46"/>
      <c r="B89" s="54"/>
      <c r="C89" s="55"/>
    </row>
    <row r="90" spans="1:3" ht="14.25" customHeight="1" x14ac:dyDescent="0.3">
      <c r="A90" s="46"/>
      <c r="B90" s="54"/>
      <c r="C90" s="55"/>
    </row>
    <row r="91" spans="1:3" ht="14.25" customHeight="1" x14ac:dyDescent="0.3">
      <c r="A91" s="46"/>
      <c r="B91" s="54"/>
      <c r="C91" s="55"/>
    </row>
    <row r="92" spans="1:3" ht="14.25" customHeight="1" x14ac:dyDescent="0.3">
      <c r="A92" s="46"/>
      <c r="B92" s="54"/>
      <c r="C92" s="55"/>
    </row>
    <row r="93" spans="1:3" ht="14.25" customHeight="1" x14ac:dyDescent="0.3">
      <c r="A93" s="46"/>
      <c r="B93" s="54"/>
      <c r="C93" s="55"/>
    </row>
    <row r="94" spans="1:3" ht="14.25" customHeight="1" x14ac:dyDescent="0.3">
      <c r="A94" s="46"/>
      <c r="B94" s="54"/>
      <c r="C94" s="55"/>
    </row>
    <row r="95" spans="1:3" ht="14.25" customHeight="1" x14ac:dyDescent="0.3">
      <c r="A95" s="46"/>
      <c r="B95" s="54"/>
      <c r="C95" s="55"/>
    </row>
    <row r="96" spans="1:3" ht="14.25" customHeight="1" x14ac:dyDescent="0.3">
      <c r="A96" s="46"/>
      <c r="B96" s="54"/>
      <c r="C96" s="55"/>
    </row>
    <row r="97" spans="1:3" ht="14.25" customHeight="1" x14ac:dyDescent="0.3">
      <c r="A97" s="46"/>
      <c r="B97" s="54"/>
      <c r="C97" s="55"/>
    </row>
    <row r="98" spans="1:3" ht="14.25" customHeight="1" x14ac:dyDescent="0.3">
      <c r="A98" s="46"/>
      <c r="B98" s="54"/>
      <c r="C98" s="55"/>
    </row>
    <row r="99" spans="1:3" ht="14.25" customHeight="1" x14ac:dyDescent="0.3">
      <c r="A99" s="46"/>
      <c r="B99" s="54"/>
      <c r="C99" s="55"/>
    </row>
    <row r="100" spans="1:3" ht="14.25" customHeight="1" x14ac:dyDescent="0.3">
      <c r="A100" s="46"/>
      <c r="B100" s="54"/>
      <c r="C100" s="55"/>
    </row>
    <row r="101" spans="1:3" ht="14.25" customHeight="1" x14ac:dyDescent="0.3">
      <c r="A101" s="46"/>
      <c r="B101" s="54"/>
      <c r="C101" s="55"/>
    </row>
    <row r="102" spans="1:3" ht="14.25" customHeight="1" x14ac:dyDescent="0.3">
      <c r="A102" s="46"/>
      <c r="B102" s="54"/>
      <c r="C102" s="55"/>
    </row>
    <row r="103" spans="1:3" ht="14.25" customHeight="1" x14ac:dyDescent="0.3">
      <c r="A103" s="46"/>
      <c r="B103" s="54"/>
      <c r="C103" s="55"/>
    </row>
    <row r="104" spans="1:3" ht="14.25" customHeight="1" x14ac:dyDescent="0.3">
      <c r="A104" s="46"/>
      <c r="B104" s="54"/>
      <c r="C104" s="55"/>
    </row>
    <row r="105" spans="1:3" ht="14.25" customHeight="1" x14ac:dyDescent="0.3">
      <c r="A105" s="46"/>
      <c r="B105" s="54"/>
      <c r="C105" s="55"/>
    </row>
    <row r="106" spans="1:3" ht="14.25" customHeight="1" x14ac:dyDescent="0.3">
      <c r="A106" s="46"/>
      <c r="B106" s="54"/>
      <c r="C106" s="55"/>
    </row>
    <row r="107" spans="1:3" ht="14.25" customHeight="1" x14ac:dyDescent="0.3">
      <c r="A107" s="46"/>
      <c r="B107" s="54"/>
      <c r="C107" s="55"/>
    </row>
    <row r="108" spans="1:3" ht="14.25" customHeight="1" x14ac:dyDescent="0.3">
      <c r="A108" s="46"/>
      <c r="B108" s="54"/>
      <c r="C108" s="55"/>
    </row>
    <row r="109" spans="1:3" ht="14.25" customHeight="1" x14ac:dyDescent="0.3">
      <c r="A109" s="46"/>
      <c r="B109" s="54"/>
      <c r="C109" s="55"/>
    </row>
    <row r="110" spans="1:3" ht="14.25" customHeight="1" x14ac:dyDescent="0.3">
      <c r="A110" s="46"/>
      <c r="B110" s="54"/>
      <c r="C110" s="55"/>
    </row>
    <row r="111" spans="1:3" ht="14.25" customHeight="1" x14ac:dyDescent="0.3">
      <c r="A111" s="46"/>
      <c r="B111" s="54"/>
      <c r="C111" s="55"/>
    </row>
    <row r="112" spans="1:3" ht="14.25" customHeight="1" x14ac:dyDescent="0.3">
      <c r="A112" s="46"/>
      <c r="B112" s="54"/>
      <c r="C112" s="55"/>
    </row>
    <row r="113" spans="1:3" ht="14.25" customHeight="1" x14ac:dyDescent="0.3">
      <c r="A113" s="46"/>
      <c r="B113" s="54"/>
      <c r="C113" s="55"/>
    </row>
    <row r="114" spans="1:3" ht="14.25" customHeight="1" x14ac:dyDescent="0.3">
      <c r="A114" s="46"/>
      <c r="B114" s="54"/>
      <c r="C114" s="55"/>
    </row>
    <row r="115" spans="1:3" ht="14.25" customHeight="1" x14ac:dyDescent="0.3">
      <c r="A115" s="46"/>
      <c r="B115" s="54"/>
      <c r="C115" s="55"/>
    </row>
    <row r="116" spans="1:3" ht="14.25" customHeight="1" x14ac:dyDescent="0.3">
      <c r="A116" s="46"/>
      <c r="B116" s="54"/>
      <c r="C116" s="55"/>
    </row>
    <row r="117" spans="1:3" ht="14.25" customHeight="1" x14ac:dyDescent="0.3">
      <c r="A117" s="46"/>
      <c r="B117" s="54"/>
      <c r="C117" s="55"/>
    </row>
    <row r="118" spans="1:3" ht="14.25" customHeight="1" x14ac:dyDescent="0.3">
      <c r="A118" s="46"/>
      <c r="B118" s="54"/>
      <c r="C118" s="55"/>
    </row>
    <row r="119" spans="1:3" ht="14.25" customHeight="1" x14ac:dyDescent="0.3">
      <c r="A119" s="46"/>
      <c r="B119" s="54"/>
      <c r="C119" s="55"/>
    </row>
    <row r="120" spans="1:3" ht="14.25" customHeight="1" x14ac:dyDescent="0.3">
      <c r="A120" s="46"/>
      <c r="B120" s="54"/>
      <c r="C120" s="55"/>
    </row>
    <row r="121" spans="1:3" ht="14.25" customHeight="1" x14ac:dyDescent="0.3">
      <c r="A121" s="46"/>
      <c r="B121" s="54"/>
      <c r="C121" s="55"/>
    </row>
    <row r="122" spans="1:3" ht="14.25" customHeight="1" x14ac:dyDescent="0.3">
      <c r="A122" s="46"/>
      <c r="B122" s="54"/>
      <c r="C122" s="55"/>
    </row>
    <row r="123" spans="1:3" ht="14.25" customHeight="1" x14ac:dyDescent="0.3">
      <c r="A123" s="46"/>
      <c r="B123" s="54"/>
      <c r="C123" s="55"/>
    </row>
    <row r="124" spans="1:3" ht="14.25" customHeight="1" x14ac:dyDescent="0.3">
      <c r="A124" s="46"/>
      <c r="B124" s="54"/>
      <c r="C124" s="55"/>
    </row>
    <row r="125" spans="1:3" ht="14.25" customHeight="1" x14ac:dyDescent="0.3">
      <c r="A125" s="46"/>
      <c r="B125" s="54"/>
      <c r="C125" s="55"/>
    </row>
    <row r="126" spans="1:3" ht="14.25" customHeight="1" x14ac:dyDescent="0.3">
      <c r="A126" s="46"/>
      <c r="B126" s="54"/>
      <c r="C126" s="55"/>
    </row>
    <row r="127" spans="1:3" ht="14.25" customHeight="1" x14ac:dyDescent="0.3">
      <c r="A127" s="46"/>
      <c r="B127" s="54"/>
      <c r="C127" s="55"/>
    </row>
    <row r="128" spans="1:3" ht="14.25" customHeight="1" x14ac:dyDescent="0.3">
      <c r="A128" s="46"/>
      <c r="B128" s="54"/>
      <c r="C128" s="55"/>
    </row>
    <row r="129" spans="1:3" ht="14.25" customHeight="1" x14ac:dyDescent="0.3">
      <c r="A129" s="46"/>
      <c r="B129" s="54"/>
      <c r="C129" s="55"/>
    </row>
    <row r="130" spans="1:3" ht="14.25" customHeight="1" x14ac:dyDescent="0.3">
      <c r="A130" s="46"/>
      <c r="B130" s="54"/>
      <c r="C130" s="55"/>
    </row>
    <row r="131" spans="1:3" ht="14.25" customHeight="1" x14ac:dyDescent="0.3">
      <c r="A131" s="46"/>
      <c r="B131" s="54"/>
      <c r="C131" s="55"/>
    </row>
    <row r="132" spans="1:3" ht="14.25" customHeight="1" x14ac:dyDescent="0.3">
      <c r="A132" s="46"/>
      <c r="B132" s="54"/>
      <c r="C132" s="55"/>
    </row>
    <row r="133" spans="1:3" ht="14.25" customHeight="1" x14ac:dyDescent="0.3">
      <c r="A133" s="46"/>
      <c r="B133" s="54"/>
      <c r="C133" s="55"/>
    </row>
    <row r="134" spans="1:3" ht="14.25" customHeight="1" x14ac:dyDescent="0.3">
      <c r="A134" s="46"/>
      <c r="B134" s="54"/>
      <c r="C134" s="55"/>
    </row>
    <row r="135" spans="1:3" ht="14.25" customHeight="1" x14ac:dyDescent="0.3">
      <c r="A135" s="46"/>
      <c r="B135" s="54"/>
      <c r="C135" s="55"/>
    </row>
    <row r="136" spans="1:3" ht="14.25" customHeight="1" x14ac:dyDescent="0.3">
      <c r="A136" s="46"/>
      <c r="B136" s="54"/>
      <c r="C136" s="55"/>
    </row>
    <row r="137" spans="1:3" ht="14.25" customHeight="1" x14ac:dyDescent="0.3">
      <c r="A137" s="46"/>
      <c r="B137" s="54"/>
      <c r="C137" s="55"/>
    </row>
    <row r="138" spans="1:3" ht="14.25" customHeight="1" x14ac:dyDescent="0.3">
      <c r="A138" s="46"/>
      <c r="B138" s="54"/>
      <c r="C138" s="55"/>
    </row>
    <row r="139" spans="1:3" ht="14.25" customHeight="1" x14ac:dyDescent="0.3">
      <c r="A139" s="46"/>
      <c r="B139" s="54"/>
      <c r="C139" s="55"/>
    </row>
    <row r="140" spans="1:3" ht="14.25" customHeight="1" x14ac:dyDescent="0.3">
      <c r="A140" s="46"/>
      <c r="B140" s="54"/>
      <c r="C140" s="55"/>
    </row>
    <row r="141" spans="1:3" ht="14.25" customHeight="1" x14ac:dyDescent="0.3">
      <c r="A141" s="46"/>
      <c r="B141" s="54"/>
      <c r="C141" s="55"/>
    </row>
    <row r="142" spans="1:3" ht="14.25" customHeight="1" x14ac:dyDescent="0.3">
      <c r="A142" s="46"/>
      <c r="B142" s="54"/>
      <c r="C142" s="55"/>
    </row>
    <row r="143" spans="1:3" ht="14.25" customHeight="1" x14ac:dyDescent="0.3">
      <c r="A143" s="46"/>
      <c r="B143" s="54"/>
      <c r="C143" s="55"/>
    </row>
    <row r="144" spans="1:3" ht="14.25" customHeight="1" x14ac:dyDescent="0.3">
      <c r="A144" s="46"/>
      <c r="B144" s="54"/>
      <c r="C144" s="55"/>
    </row>
    <row r="145" spans="1:3" ht="14.25" customHeight="1" x14ac:dyDescent="0.3">
      <c r="A145" s="46"/>
      <c r="B145" s="54"/>
      <c r="C145" s="55"/>
    </row>
    <row r="146" spans="1:3" ht="14.25" customHeight="1" x14ac:dyDescent="0.3">
      <c r="A146" s="46"/>
      <c r="B146" s="54"/>
      <c r="C146" s="55"/>
    </row>
    <row r="147" spans="1:3" ht="14.25" customHeight="1" x14ac:dyDescent="0.3">
      <c r="A147" s="46"/>
      <c r="B147" s="54"/>
      <c r="C147" s="55"/>
    </row>
    <row r="148" spans="1:3" ht="14.25" customHeight="1" x14ac:dyDescent="0.3">
      <c r="A148" s="46"/>
      <c r="B148" s="54"/>
      <c r="C148" s="55"/>
    </row>
    <row r="149" spans="1:3" ht="14.25" customHeight="1" x14ac:dyDescent="0.3">
      <c r="A149" s="46"/>
      <c r="B149" s="54"/>
      <c r="C149" s="55"/>
    </row>
    <row r="150" spans="1:3" ht="14.25" customHeight="1" x14ac:dyDescent="0.3">
      <c r="A150" s="46"/>
      <c r="B150" s="54"/>
      <c r="C150" s="55"/>
    </row>
    <row r="151" spans="1:3" ht="14.25" customHeight="1" x14ac:dyDescent="0.3">
      <c r="A151" s="46"/>
      <c r="B151" s="54"/>
      <c r="C151" s="55"/>
    </row>
    <row r="152" spans="1:3" ht="14.25" customHeight="1" x14ac:dyDescent="0.3">
      <c r="A152" s="46"/>
      <c r="B152" s="54"/>
      <c r="C152" s="55"/>
    </row>
    <row r="153" spans="1:3" ht="14.25" customHeight="1" x14ac:dyDescent="0.3">
      <c r="A153" s="46"/>
      <c r="B153" s="54"/>
      <c r="C153" s="55"/>
    </row>
    <row r="154" spans="1:3" ht="14.25" customHeight="1" x14ac:dyDescent="0.3">
      <c r="A154" s="46"/>
      <c r="B154" s="54"/>
      <c r="C154" s="55"/>
    </row>
    <row r="155" spans="1:3" ht="14.25" customHeight="1" x14ac:dyDescent="0.3">
      <c r="A155" s="46"/>
      <c r="B155" s="54"/>
      <c r="C155" s="55"/>
    </row>
    <row r="156" spans="1:3" ht="14.25" customHeight="1" x14ac:dyDescent="0.3">
      <c r="A156" s="46"/>
      <c r="B156" s="54"/>
      <c r="C156" s="55"/>
    </row>
    <row r="157" spans="1:3" ht="14.25" customHeight="1" x14ac:dyDescent="0.3">
      <c r="A157" s="46"/>
      <c r="B157" s="54"/>
      <c r="C157" s="55"/>
    </row>
    <row r="158" spans="1:3" ht="14.25" customHeight="1" x14ac:dyDescent="0.3">
      <c r="A158" s="46"/>
      <c r="B158" s="54"/>
      <c r="C158" s="55"/>
    </row>
    <row r="159" spans="1:3" ht="14.25" customHeight="1" x14ac:dyDescent="0.3">
      <c r="A159" s="46"/>
      <c r="B159" s="54"/>
      <c r="C159" s="55"/>
    </row>
    <row r="160" spans="1:3" ht="14.25" customHeight="1" x14ac:dyDescent="0.3">
      <c r="A160" s="46"/>
      <c r="B160" s="54"/>
      <c r="C160" s="55"/>
    </row>
    <row r="161" spans="1:3" ht="14.25" customHeight="1" x14ac:dyDescent="0.3">
      <c r="A161" s="46"/>
      <c r="B161" s="54"/>
      <c r="C161" s="55"/>
    </row>
    <row r="162" spans="1:3" ht="14.25" customHeight="1" x14ac:dyDescent="0.3">
      <c r="A162" s="46"/>
      <c r="B162" s="54"/>
      <c r="C162" s="55"/>
    </row>
    <row r="163" spans="1:3" ht="14.25" customHeight="1" x14ac:dyDescent="0.3">
      <c r="A163" s="46"/>
      <c r="B163" s="54"/>
      <c r="C163" s="55"/>
    </row>
    <row r="164" spans="1:3" ht="14.25" customHeight="1" x14ac:dyDescent="0.3">
      <c r="A164" s="46"/>
      <c r="B164" s="54"/>
      <c r="C164" s="55"/>
    </row>
    <row r="165" spans="1:3" ht="14.25" customHeight="1" x14ac:dyDescent="0.3">
      <c r="A165" s="46"/>
      <c r="B165" s="54"/>
      <c r="C165" s="55"/>
    </row>
    <row r="166" spans="1:3" ht="14.25" customHeight="1" x14ac:dyDescent="0.3">
      <c r="A166" s="46"/>
      <c r="B166" s="54"/>
      <c r="C166" s="55"/>
    </row>
    <row r="167" spans="1:3" ht="14.25" customHeight="1" x14ac:dyDescent="0.3">
      <c r="A167" s="46"/>
      <c r="B167" s="54"/>
      <c r="C167" s="55"/>
    </row>
    <row r="168" spans="1:3" ht="14.25" customHeight="1" x14ac:dyDescent="0.3">
      <c r="A168" s="46"/>
      <c r="B168" s="54"/>
      <c r="C168" s="55"/>
    </row>
    <row r="169" spans="1:3" ht="14.25" customHeight="1" x14ac:dyDescent="0.3">
      <c r="A169" s="46"/>
      <c r="B169" s="54"/>
      <c r="C169" s="55"/>
    </row>
    <row r="170" spans="1:3" ht="14.25" customHeight="1" x14ac:dyDescent="0.3">
      <c r="A170" s="46"/>
      <c r="B170" s="54"/>
      <c r="C170" s="55"/>
    </row>
    <row r="171" spans="1:3" ht="14.25" customHeight="1" x14ac:dyDescent="0.3">
      <c r="A171" s="46"/>
      <c r="B171" s="54"/>
      <c r="C171" s="55"/>
    </row>
    <row r="172" spans="1:3" ht="14.25" customHeight="1" x14ac:dyDescent="0.3">
      <c r="A172" s="46"/>
      <c r="B172" s="54"/>
      <c r="C172" s="55"/>
    </row>
    <row r="173" spans="1:3" ht="14.25" customHeight="1" x14ac:dyDescent="0.3">
      <c r="A173" s="46"/>
      <c r="B173" s="54"/>
      <c r="C173" s="55"/>
    </row>
    <row r="174" spans="1:3" ht="14.25" customHeight="1" x14ac:dyDescent="0.3">
      <c r="A174" s="46"/>
      <c r="B174" s="54"/>
      <c r="C174" s="55"/>
    </row>
    <row r="175" spans="1:3" ht="14.25" customHeight="1" x14ac:dyDescent="0.3">
      <c r="A175" s="46"/>
      <c r="B175" s="54"/>
      <c r="C175" s="55"/>
    </row>
    <row r="176" spans="1:3" ht="14.25" customHeight="1" x14ac:dyDescent="0.3">
      <c r="A176" s="46"/>
      <c r="B176" s="54"/>
      <c r="C176" s="55"/>
    </row>
    <row r="177" spans="1:3" ht="14.25" customHeight="1" x14ac:dyDescent="0.3">
      <c r="A177" s="46"/>
      <c r="B177" s="54"/>
      <c r="C177" s="55"/>
    </row>
    <row r="178" spans="1:3" ht="14.25" customHeight="1" x14ac:dyDescent="0.3">
      <c r="A178" s="46"/>
      <c r="B178" s="54"/>
      <c r="C178" s="55"/>
    </row>
    <row r="179" spans="1:3" ht="14.25" customHeight="1" x14ac:dyDescent="0.3">
      <c r="A179" s="46"/>
      <c r="B179" s="54"/>
      <c r="C179" s="55"/>
    </row>
    <row r="180" spans="1:3" ht="14.25" customHeight="1" x14ac:dyDescent="0.3">
      <c r="A180" s="46"/>
      <c r="B180" s="54"/>
      <c r="C180" s="55"/>
    </row>
    <row r="181" spans="1:3" ht="14.25" customHeight="1" x14ac:dyDescent="0.3">
      <c r="A181" s="46"/>
      <c r="B181" s="54"/>
      <c r="C181" s="55"/>
    </row>
    <row r="182" spans="1:3" ht="14.25" customHeight="1" x14ac:dyDescent="0.3">
      <c r="A182" s="46"/>
      <c r="B182" s="54"/>
      <c r="C182" s="55"/>
    </row>
    <row r="183" spans="1:3" ht="14.25" customHeight="1" x14ac:dyDescent="0.3">
      <c r="A183" s="46"/>
      <c r="B183" s="54"/>
      <c r="C183" s="55"/>
    </row>
    <row r="184" spans="1:3" ht="14.25" customHeight="1" x14ac:dyDescent="0.3">
      <c r="A184" s="46"/>
      <c r="B184" s="54"/>
      <c r="C184" s="55"/>
    </row>
    <row r="185" spans="1:3" ht="14.25" customHeight="1" x14ac:dyDescent="0.3">
      <c r="A185" s="46"/>
      <c r="B185" s="54"/>
      <c r="C185" s="55"/>
    </row>
    <row r="186" spans="1:3" ht="14.25" customHeight="1" x14ac:dyDescent="0.3">
      <c r="A186" s="46"/>
      <c r="B186" s="54"/>
      <c r="C186" s="55"/>
    </row>
    <row r="187" spans="1:3" ht="14.25" customHeight="1" x14ac:dyDescent="0.3">
      <c r="A187" s="46"/>
      <c r="B187" s="54"/>
      <c r="C187" s="55"/>
    </row>
    <row r="188" spans="1:3" ht="14.25" customHeight="1" x14ac:dyDescent="0.3">
      <c r="A188" s="46"/>
      <c r="B188" s="54"/>
      <c r="C188" s="55"/>
    </row>
    <row r="189" spans="1:3" ht="14.25" customHeight="1" x14ac:dyDescent="0.3">
      <c r="A189" s="46"/>
      <c r="B189" s="54"/>
      <c r="C189" s="55"/>
    </row>
    <row r="190" spans="1:3" ht="14.25" customHeight="1" x14ac:dyDescent="0.3">
      <c r="A190" s="46"/>
      <c r="B190" s="54"/>
      <c r="C190" s="55"/>
    </row>
    <row r="191" spans="1:3" ht="14.25" customHeight="1" x14ac:dyDescent="0.3">
      <c r="A191" s="46"/>
      <c r="B191" s="54"/>
      <c r="C191" s="55"/>
    </row>
    <row r="192" spans="1:3" ht="14.25" customHeight="1" x14ac:dyDescent="0.3">
      <c r="A192" s="46"/>
      <c r="B192" s="54"/>
      <c r="C192" s="55"/>
    </row>
    <row r="193" spans="1:3" ht="14.25" customHeight="1" x14ac:dyDescent="0.3">
      <c r="A193" s="46"/>
      <c r="B193" s="54"/>
      <c r="C193" s="55"/>
    </row>
    <row r="194" spans="1:3" ht="14.25" customHeight="1" x14ac:dyDescent="0.3">
      <c r="A194" s="46"/>
      <c r="B194" s="54"/>
      <c r="C194" s="55"/>
    </row>
    <row r="195" spans="1:3" ht="14.25" customHeight="1" x14ac:dyDescent="0.3">
      <c r="A195" s="46"/>
      <c r="B195" s="54"/>
      <c r="C195" s="55"/>
    </row>
    <row r="196" spans="1:3" ht="14.25" customHeight="1" x14ac:dyDescent="0.3">
      <c r="A196" s="46"/>
      <c r="B196" s="54"/>
      <c r="C196" s="55"/>
    </row>
    <row r="197" spans="1:3" ht="14.25" customHeight="1" x14ac:dyDescent="0.3">
      <c r="A197" s="46"/>
      <c r="B197" s="54"/>
      <c r="C197" s="55"/>
    </row>
    <row r="198" spans="1:3" ht="14.25" customHeight="1" x14ac:dyDescent="0.3">
      <c r="A198" s="46"/>
      <c r="B198" s="54"/>
      <c r="C198" s="55"/>
    </row>
    <row r="199" spans="1:3" ht="14.25" customHeight="1" x14ac:dyDescent="0.3">
      <c r="A199" s="46"/>
      <c r="B199" s="54"/>
      <c r="C199" s="55"/>
    </row>
    <row r="200" spans="1:3" ht="14.25" customHeight="1" x14ac:dyDescent="0.3">
      <c r="A200" s="46"/>
      <c r="B200" s="54"/>
      <c r="C200" s="55"/>
    </row>
    <row r="201" spans="1:3" ht="14.25" customHeight="1" x14ac:dyDescent="0.3">
      <c r="A201" s="46"/>
      <c r="B201" s="54"/>
      <c r="C201" s="55"/>
    </row>
    <row r="202" spans="1:3" ht="14.25" customHeight="1" x14ac:dyDescent="0.3">
      <c r="A202" s="46"/>
      <c r="B202" s="54"/>
      <c r="C202" s="55"/>
    </row>
    <row r="203" spans="1:3" ht="14.25" customHeight="1" x14ac:dyDescent="0.3">
      <c r="A203" s="46"/>
      <c r="B203" s="54"/>
      <c r="C203" s="55"/>
    </row>
    <row r="204" spans="1:3" ht="14.25" customHeight="1" x14ac:dyDescent="0.3"/>
  </sheetData>
  <dataValidations count="1">
    <dataValidation type="list" allowBlank="1" showErrorMessage="1" errorTitle="Invalid Cohort" error="Please select a valid cohort from the list." sqref="C4:C303" xr:uid="{00000000-0002-0000-0600-000000000000}">
      <formula1>"Cohort 1 - 2026,Cohort 2 - 2026,Cohort 3 - 2026"</formula1>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03"/>
  <sheetViews>
    <sheetView tabSelected="1" zoomScaleNormal="100" workbookViewId="0">
      <pane ySplit="3" topLeftCell="A4" activePane="bottomLeft" state="frozen"/>
      <selection pane="bottomLeft" activeCell="D5" sqref="D5"/>
    </sheetView>
  </sheetViews>
  <sheetFormatPr defaultColWidth="8.6640625" defaultRowHeight="14.4" x14ac:dyDescent="0.3"/>
  <cols>
    <col min="1" max="1" width="14" customWidth="1"/>
    <col min="2" max="2" width="26" customWidth="1"/>
    <col min="3" max="3" width="20" customWidth="1"/>
    <col min="4" max="4" width="30" customWidth="1"/>
    <col min="5" max="6" width="14" customWidth="1"/>
    <col min="7" max="7" width="20" customWidth="1"/>
    <col min="8" max="8" width="28" customWidth="1"/>
    <col min="9" max="9" width="18" customWidth="1"/>
    <col min="10" max="10" width="26" customWidth="1"/>
    <col min="11" max="12" width="20" customWidth="1"/>
    <col min="13" max="13" width="10" customWidth="1"/>
    <col min="14" max="14" width="8" customWidth="1"/>
    <col min="15" max="15" width="12" customWidth="1"/>
    <col min="16" max="16" width="26" customWidth="1"/>
    <col min="17" max="19" width="14" customWidth="1"/>
  </cols>
  <sheetData>
    <row r="1" spans="1:8" ht="24" customHeight="1" x14ac:dyDescent="0.3">
      <c r="A1" s="67" t="s">
        <v>0</v>
      </c>
      <c r="B1" s="76">
        <f>COUNTA('Intern Profiles'!A4:A203)</f>
        <v>63</v>
      </c>
      <c r="C1" s="67" t="s">
        <v>6447</v>
      </c>
      <c r="D1" s="76">
        <f ca="1">COUNTIF(G4:G203,"Overdue*")</f>
        <v>0</v>
      </c>
      <c r="E1" s="67" t="s">
        <v>6448</v>
      </c>
      <c r="F1" s="76">
        <f ca="1">COUNTIFS(A4:A203,"&lt;&gt;",F4:F203,"")</f>
        <v>200</v>
      </c>
      <c r="G1" s="67" t="s">
        <v>156</v>
      </c>
      <c r="H1" s="76">
        <f ca="1">COUNTIF(G4:G203,"Missed Session")</f>
        <v>0</v>
      </c>
    </row>
    <row r="2" spans="1:8" ht="21.75" customHeight="1" x14ac:dyDescent="0.3">
      <c r="A2" s="38" t="s">
        <v>6449</v>
      </c>
      <c r="B2" s="39"/>
      <c r="C2" s="40" t="str">
        <f>IFERROR(IF(B2="","",IF(ISNUMBER(VALUE(B2)),INDEX(A4:A203,MATCH(VALUE(B2),A4:A203,0)),INDEX(A4:A203,MATCH("*"&amp;B2&amp;"*",B4:B203,0)))),"No match")</f>
        <v/>
      </c>
      <c r="D2" s="41" t="str">
        <f>IFERROR(IF(B2="","",IF(ISNUMBER(VALUE(B2)),INDEX(B4:B203,MATCH(VALUE(B2),A4:A203,0)),INDEX(B4:B203,MATCH("*"&amp;B2&amp;"*",B4:B203,0)))),"No match")</f>
        <v/>
      </c>
      <c r="E2" s="40" t="str">
        <f>IFERROR(IF(B2="","",IF(ISNUMBER(VALUE(B2)),INDEX(C4:C203,MATCH(VALUE(B2),A4:A203,0)),INDEX(C4:C203,MATCH("*"&amp;B2&amp;"*",B4:B203,0)))),"No match")</f>
        <v/>
      </c>
      <c r="F2" s="41" t="str">
        <f>IFERROR(IF(B2="","",IF(ISNUMBER(VALUE(B2)),INDEX(D4:D203,MATCH(VALUE(B2),A4:A203,0)),INDEX(D4:D203,MATCH("*"&amp;B2&amp;"*",B4:B203,0)))),"No match")</f>
        <v/>
      </c>
      <c r="G2" s="40" t="str">
        <f>IFERROR(IF(B2="","",IF(ISNUMBER(VALUE(B2)),INDEX(G4:G203,MATCH(VALUE(B2),A4:A203,0)),INDEX(G4:G203,MATCH("*"&amp;B2&amp;"*",B4:B203,0)))),"No match")</f>
        <v/>
      </c>
      <c r="H2" s="42"/>
    </row>
    <row r="3" spans="1:8" ht="51.75" customHeight="1" x14ac:dyDescent="0.3">
      <c r="A3" s="65" t="s">
        <v>6450</v>
      </c>
      <c r="B3" s="65" t="s">
        <v>6451</v>
      </c>
      <c r="C3" s="65" t="s">
        <v>6452</v>
      </c>
      <c r="D3" s="66" t="s">
        <v>6453</v>
      </c>
      <c r="E3" s="65" t="s">
        <v>6454</v>
      </c>
      <c r="F3" s="65" t="s">
        <v>6455</v>
      </c>
      <c r="G3" s="65" t="s">
        <v>6456</v>
      </c>
      <c r="H3" s="68" t="s">
        <v>165</v>
      </c>
    </row>
    <row r="4" spans="1:8" ht="18" customHeight="1" x14ac:dyDescent="0.3">
      <c r="A4" s="62" t="str">
        <f>'Intern Profiles'!A4</f>
        <v>F8884130</v>
      </c>
      <c r="B4" s="52" t="str">
        <f>'Intern Profiles'!B4</f>
        <v>Innocent Ntsako Chauke</v>
      </c>
      <c r="C4" s="53" t="str">
        <f>'Intern Profiles'!C4</f>
        <v>Cohort 1 - 2026</v>
      </c>
      <c r="D4" s="52" t="str">
        <f>IF(A4="","",IFERROR(INDEX('Paste - Relationships'!$B$4:$B$800,MATCH(1,('Paste - Relationships'!$P$4:$P$800=VALUE(A4))*('Paste - Relationships'!$AE$4:$AE$800=""),0)),""))</f>
        <v/>
      </c>
      <c r="E4" s="63" t="str">
        <f ca="1">IFERROR(IF(A4="","",_xludf.maxifs('Session Logs'!$E:$E,'Session Logs'!$D:$D,B4,'Session Logs'!$C:$C,D4)),"")</f>
        <v/>
      </c>
      <c r="F4" s="63" t="str">
        <f ca="1">IFERROR(IF(A4="","",_xludf.maxifs('Session Logs'!$I:$I,'Session Logs'!$D:$D,B4,'Session Logs'!$C:$C,D4,'Session Logs'!$I:$I,"&gt;"&amp;TODAY())),"")</f>
        <v/>
      </c>
      <c r="G4" s="64" t="str">
        <f t="shared" ref="G4:G35" ca="1" si="0">IF(A4="","",IF(D4="","No Mentor Assigned",IF(E4="","No Sessions Yet",IF(AND(F4&lt;&gt;"",F4&lt;TODAY()),"Missed Session",IF(AND(TODAY()-E4&gt;30,F4=""),"Overdue – Book Now",IF(TODAY()-E4&gt;30,"Overdue – Session Booked","On Track"))))))</f>
        <v>No Mentor Assigned</v>
      </c>
      <c r="H4" s="52"/>
    </row>
    <row r="5" spans="1:8" ht="26.25" customHeight="1" x14ac:dyDescent="0.3">
      <c r="A5" s="62" t="str">
        <f>'Intern Profiles'!A5</f>
        <v>F8884211</v>
      </c>
      <c r="B5" s="52" t="str">
        <f>'Intern Profiles'!B5</f>
        <v>Zanele Mboweni</v>
      </c>
      <c r="C5" s="53" t="str">
        <f>'Intern Profiles'!C5</f>
        <v>Cohort 1 - 2026</v>
      </c>
      <c r="D5" s="52" t="str">
        <f>IF(A5="","",IFERROR(INDEX('Paste - Relationships'!$B$4:$B$800,MATCH(1,('Paste - Relationships'!$P$4:$P$800=VALUE(A5))*('Paste - Relationships'!$AE$4:$AE$800=""),0)),""))</f>
        <v/>
      </c>
      <c r="E5" s="63" t="str">
        <f ca="1">IFERROR(IF(A5="","",_xludf.maxifs('Session Logs'!$E:$E,'Session Logs'!$D:$D,B5,'Session Logs'!$C:$C,D5)),"")</f>
        <v/>
      </c>
      <c r="F5" s="63" t="str">
        <f ca="1">IFERROR(IF(A5="","",_xludf.maxifs('Session Logs'!$I:$I,'Session Logs'!$D:$D,B5,'Session Logs'!$C:$C,D5,'Session Logs'!$I:$I,"&gt;"&amp;TODAY())),"")</f>
        <v/>
      </c>
      <c r="G5" s="64" t="str">
        <f t="shared" ca="1" si="0"/>
        <v>No Mentor Assigned</v>
      </c>
      <c r="H5" s="52"/>
    </row>
    <row r="6" spans="1:8" ht="26.25" customHeight="1" x14ac:dyDescent="0.3">
      <c r="A6" s="62" t="str">
        <f>'Intern Profiles'!A6</f>
        <v>F8885591</v>
      </c>
      <c r="B6" s="52" t="str">
        <f>'Intern Profiles'!B6</f>
        <v>Anelisa Mankayi</v>
      </c>
      <c r="C6" s="53" t="str">
        <f>'Intern Profiles'!C6</f>
        <v>Cohort 1 - 2026</v>
      </c>
      <c r="D6" s="52" t="str">
        <f>IF(A6="","",IFERROR(INDEX('Paste - Relationships'!$B$4:$B$800,MATCH(1,('Paste - Relationships'!$P$4:$P$800=VALUE(A6))*('Paste - Relationships'!$AE$4:$AE$800=""),0)),""))</f>
        <v/>
      </c>
      <c r="E6" s="63" t="str">
        <f ca="1">IFERROR(IF(A6="","",_xludf.maxifs('Session Logs'!$E:$E,'Session Logs'!$D:$D,B6,'Session Logs'!$C:$C,D6)),"")</f>
        <v/>
      </c>
      <c r="F6" s="63" t="str">
        <f ca="1">IFERROR(IF(A6="","",_xludf.maxifs('Session Logs'!$I:$I,'Session Logs'!$D:$D,B6,'Session Logs'!$C:$C,D6,'Session Logs'!$I:$I,"&gt;"&amp;TODAY())),"")</f>
        <v/>
      </c>
      <c r="G6" s="64" t="str">
        <f t="shared" ca="1" si="0"/>
        <v>No Mentor Assigned</v>
      </c>
      <c r="H6" s="52"/>
    </row>
    <row r="7" spans="1:8" ht="14.25" customHeight="1" x14ac:dyDescent="0.3">
      <c r="A7" s="62" t="str">
        <f>'Intern Profiles'!A7</f>
        <v>F8885847</v>
      </c>
      <c r="B7" s="52" t="str">
        <f>'Intern Profiles'!B7</f>
        <v>Gift Sikhulile Mashele</v>
      </c>
      <c r="C7" s="53" t="str">
        <f>'Intern Profiles'!C7</f>
        <v>Cohort 1 - 2026</v>
      </c>
      <c r="D7" s="52" t="str">
        <f>IF(A7="","",IFERROR(INDEX('Paste - Relationships'!$B$4:$B$800,MATCH(1,('Paste - Relationships'!$P$4:$P$800=VALUE(A7))*('Paste - Relationships'!$AE$4:$AE$800=""),0)),""))</f>
        <v/>
      </c>
      <c r="E7" s="63" t="str">
        <f ca="1">IFERROR(IF(A7="","",_xludf.maxifs('Session Logs'!$E:$E,'Session Logs'!$D:$D,B7,'Session Logs'!$C:$C,D7)),"")</f>
        <v/>
      </c>
      <c r="F7" s="63" t="str">
        <f ca="1">IFERROR(IF(A7="","",_xludf.maxifs('Session Logs'!$I:$I,'Session Logs'!$D:$D,B7,'Session Logs'!$C:$C,D7,'Session Logs'!$I:$I,"&gt;"&amp;TODAY())),"")</f>
        <v/>
      </c>
      <c r="G7" s="64" t="str">
        <f t="shared" ca="1" si="0"/>
        <v>No Mentor Assigned</v>
      </c>
      <c r="H7" s="52"/>
    </row>
    <row r="8" spans="1:8" ht="26.25" customHeight="1" x14ac:dyDescent="0.3">
      <c r="A8" s="62" t="str">
        <f>'Intern Profiles'!A8</f>
        <v>F8885589</v>
      </c>
      <c r="B8" s="52" t="str">
        <f>'Intern Profiles'!B8</f>
        <v>Gratitude Monareng</v>
      </c>
      <c r="C8" s="53" t="str">
        <f>'Intern Profiles'!C8</f>
        <v>Cohort 1 - 2026</v>
      </c>
      <c r="D8" s="52" t="str">
        <f>IF(A8="","",IFERROR(INDEX('Paste - Relationships'!$B$4:$B$800,MATCH(1,('Paste - Relationships'!$P$4:$P$800=VALUE(A8))*('Paste - Relationships'!$AE$4:$AE$800=""),0)),""))</f>
        <v/>
      </c>
      <c r="E8" s="63" t="str">
        <f ca="1">IFERROR(IF(A8="","",_xludf.maxifs('Session Logs'!$E:$E,'Session Logs'!$D:$D,B8,'Session Logs'!$C:$C,D8)),"")</f>
        <v/>
      </c>
      <c r="F8" s="63" t="str">
        <f ca="1">IFERROR(IF(A8="","",_xludf.maxifs('Session Logs'!$I:$I,'Session Logs'!$D:$D,B8,'Session Logs'!$C:$C,D8,'Session Logs'!$I:$I,"&gt;"&amp;TODAY())),"")</f>
        <v/>
      </c>
      <c r="G8" s="64" t="str">
        <f t="shared" ca="1" si="0"/>
        <v>No Mentor Assigned</v>
      </c>
      <c r="H8" s="52"/>
    </row>
    <row r="9" spans="1:8" ht="26.25" customHeight="1" x14ac:dyDescent="0.3">
      <c r="A9" s="62" t="str">
        <f>'Intern Profiles'!A9</f>
        <v>F8884143</v>
      </c>
      <c r="B9" s="52" t="str">
        <f>'Intern Profiles'!B9</f>
        <v>Nkhensani Shibambo</v>
      </c>
      <c r="C9" s="53" t="str">
        <f>'Intern Profiles'!C9</f>
        <v>Cohort 1 - 2026</v>
      </c>
      <c r="D9" s="52" t="str">
        <f>IF(A9="","",IFERROR(INDEX('Paste - Relationships'!$B$4:$B$800,MATCH(1,('Paste - Relationships'!$P$4:$P$800=VALUE(A9))*('Paste - Relationships'!$AE$4:$AE$800=""),0)),""))</f>
        <v/>
      </c>
      <c r="E9" s="63" t="str">
        <f ca="1">IFERROR(IF(A9="","",_xludf.maxifs('Session Logs'!$E:$E,'Session Logs'!$D:$D,B9,'Session Logs'!$C:$C,D9)),"")</f>
        <v/>
      </c>
      <c r="F9" s="63" t="str">
        <f ca="1">IFERROR(IF(A9="","",_xludf.maxifs('Session Logs'!$I:$I,'Session Logs'!$D:$D,B9,'Session Logs'!$C:$C,D9,'Session Logs'!$I:$I,"&gt;"&amp;TODAY())),"")</f>
        <v/>
      </c>
      <c r="G9" s="64" t="str">
        <f t="shared" ca="1" si="0"/>
        <v>No Mentor Assigned</v>
      </c>
      <c r="H9" s="52"/>
    </row>
    <row r="10" spans="1:8" ht="26.25" customHeight="1" x14ac:dyDescent="0.3">
      <c r="A10" s="62" t="str">
        <f>'Intern Profiles'!A10</f>
        <v>F8884358</v>
      </c>
      <c r="B10" s="52" t="str">
        <f>'Intern Profiles'!B10</f>
        <v>Chesley Gustav</v>
      </c>
      <c r="C10" s="53" t="str">
        <f>'Intern Profiles'!C10</f>
        <v>Cohort 1 - 2026</v>
      </c>
      <c r="D10" s="52" t="str">
        <f>IF(A10="","",IFERROR(INDEX('Paste - Relationships'!$B$4:$B$800,MATCH(1,('Paste - Relationships'!$P$4:$P$800=VALUE(A10))*('Paste - Relationships'!$AE$4:$AE$800=""),0)),""))</f>
        <v/>
      </c>
      <c r="E10" s="63" t="str">
        <f ca="1">IFERROR(IF(A10="","",_xludf.maxifs('Session Logs'!$E:$E,'Session Logs'!$D:$D,B10,'Session Logs'!$C:$C,D10)),"")</f>
        <v/>
      </c>
      <c r="F10" s="63" t="str">
        <f ca="1">IFERROR(IF(A10="","",_xludf.maxifs('Session Logs'!$I:$I,'Session Logs'!$D:$D,B10,'Session Logs'!$C:$C,D10,'Session Logs'!$I:$I,"&gt;"&amp;TODAY())),"")</f>
        <v/>
      </c>
      <c r="G10" s="64" t="str">
        <f t="shared" ca="1" si="0"/>
        <v>No Mentor Assigned</v>
      </c>
      <c r="H10" s="52"/>
    </row>
    <row r="11" spans="1:8" ht="26.25" customHeight="1" x14ac:dyDescent="0.3">
      <c r="A11" s="62" t="str">
        <f>'Intern Profiles'!A11</f>
        <v>F8885583</v>
      </c>
      <c r="B11" s="52" t="str">
        <f>'Intern Profiles'!B11</f>
        <v>Kgothatso Phillep Lebese</v>
      </c>
      <c r="C11" s="53" t="str">
        <f>'Intern Profiles'!C11</f>
        <v>Cohort 1 - 2026</v>
      </c>
      <c r="D11" s="52" t="str">
        <f>IF(A11="","",IFERROR(INDEX('Paste - Relationships'!$B$4:$B$800,MATCH(1,('Paste - Relationships'!$P$4:$P$800=VALUE(A11))*('Paste - Relationships'!$AE$4:$AE$800=""),0)),""))</f>
        <v/>
      </c>
      <c r="E11" s="63" t="str">
        <f ca="1">IFERROR(IF(A11="","",_xludf.maxifs('Session Logs'!$E:$E,'Session Logs'!$D:$D,B11,'Session Logs'!$C:$C,D11)),"")</f>
        <v/>
      </c>
      <c r="F11" s="63" t="str">
        <f ca="1">IFERROR(IF(A11="","",_xludf.maxifs('Session Logs'!$I:$I,'Session Logs'!$D:$D,B11,'Session Logs'!$C:$C,D11,'Session Logs'!$I:$I,"&gt;"&amp;TODAY())),"")</f>
        <v/>
      </c>
      <c r="G11" s="64" t="str">
        <f t="shared" ca="1" si="0"/>
        <v>No Mentor Assigned</v>
      </c>
      <c r="H11" s="52"/>
    </row>
    <row r="12" spans="1:8" ht="26.25" customHeight="1" x14ac:dyDescent="0.3">
      <c r="A12" s="62" t="str">
        <f>'Intern Profiles'!A12</f>
        <v>F8885759</v>
      </c>
      <c r="B12" s="52" t="str">
        <f>'Intern Profiles'!B12</f>
        <v>Kgotatso Madela</v>
      </c>
      <c r="C12" s="53" t="str">
        <f>'Intern Profiles'!C12</f>
        <v>Cohort 1 - 2026</v>
      </c>
      <c r="D12" s="52" t="str">
        <f>IF(A12="","",IFERROR(INDEX('Paste - Relationships'!$B$4:$B$800,MATCH(1,('Paste - Relationships'!$P$4:$P$800=VALUE(A12))*('Paste - Relationships'!$AE$4:$AE$800=""),0)),""))</f>
        <v/>
      </c>
      <c r="E12" s="63" t="str">
        <f ca="1">IFERROR(IF(A12="","",_xludf.maxifs('Session Logs'!$E:$E,'Session Logs'!$D:$D,B12,'Session Logs'!$C:$C,D12)),"")</f>
        <v/>
      </c>
      <c r="F12" s="63" t="str">
        <f ca="1">IFERROR(IF(A12="","",_xludf.maxifs('Session Logs'!$I:$I,'Session Logs'!$D:$D,B12,'Session Logs'!$C:$C,D12,'Session Logs'!$I:$I,"&gt;"&amp;TODAY())),"")</f>
        <v/>
      </c>
      <c r="G12" s="64" t="str">
        <f t="shared" ca="1" si="0"/>
        <v>No Mentor Assigned</v>
      </c>
      <c r="H12" s="52"/>
    </row>
    <row r="13" spans="1:8" ht="26.25" customHeight="1" x14ac:dyDescent="0.3">
      <c r="A13" s="62" t="str">
        <f>'Intern Profiles'!A13</f>
        <v>F8885825</v>
      </c>
      <c r="B13" s="52" t="str">
        <f>'Intern Profiles'!B13</f>
        <v>Noluthando Ndlovu</v>
      </c>
      <c r="C13" s="53" t="str">
        <f>'Intern Profiles'!C13</f>
        <v>Cohort 1 - 2026</v>
      </c>
      <c r="D13" s="52" t="str">
        <f>IF(A13="","",IFERROR(INDEX('Paste - Relationships'!$B$4:$B$800,MATCH(1,('Paste - Relationships'!$P$4:$P$800=VALUE(A13))*('Paste - Relationships'!$AE$4:$AE$800=""),0)),""))</f>
        <v/>
      </c>
      <c r="E13" s="63" t="str">
        <f ca="1">IFERROR(IF(A13="","",_xludf.maxifs('Session Logs'!$E:$E,'Session Logs'!$D:$D,B13,'Session Logs'!$C:$C,D13)),"")</f>
        <v/>
      </c>
      <c r="F13" s="63" t="str">
        <f ca="1">IFERROR(IF(A13="","",_xludf.maxifs('Session Logs'!$I:$I,'Session Logs'!$D:$D,B13,'Session Logs'!$C:$C,D13,'Session Logs'!$I:$I,"&gt;"&amp;TODAY())),"")</f>
        <v/>
      </c>
      <c r="G13" s="64" t="str">
        <f t="shared" ca="1" si="0"/>
        <v>No Mentor Assigned</v>
      </c>
      <c r="H13" s="52"/>
    </row>
    <row r="14" spans="1:8" ht="26.25" customHeight="1" x14ac:dyDescent="0.3">
      <c r="A14" s="62" t="str">
        <f>'Intern Profiles'!A14</f>
        <v>F8885615</v>
      </c>
      <c r="B14" s="52" t="str">
        <f>'Intern Profiles'!B14</f>
        <v>Ncediwe Mphantsi</v>
      </c>
      <c r="C14" s="53" t="str">
        <f>'Intern Profiles'!C14</f>
        <v>Cohort 1 - 2026</v>
      </c>
      <c r="D14" s="52" t="str">
        <f>IF(A14="","",IFERROR(INDEX('Paste - Relationships'!$B$4:$B$800,MATCH(1,('Paste - Relationships'!$P$4:$P$800=VALUE(A14))*('Paste - Relationships'!$AE$4:$AE$800=""),0)),""))</f>
        <v/>
      </c>
      <c r="E14" s="63" t="str">
        <f ca="1">IFERROR(IF(A14="","",_xludf.maxifs('Session Logs'!$E:$E,'Session Logs'!$D:$D,B14,'Session Logs'!$C:$C,D14)),"")</f>
        <v/>
      </c>
      <c r="F14" s="63" t="str">
        <f ca="1">IFERROR(IF(A14="","",_xludf.maxifs('Session Logs'!$I:$I,'Session Logs'!$D:$D,B14,'Session Logs'!$C:$C,D14,'Session Logs'!$I:$I,"&gt;"&amp;TODAY())),"")</f>
        <v/>
      </c>
      <c r="G14" s="64" t="str">
        <f t="shared" ca="1" si="0"/>
        <v>No Mentor Assigned</v>
      </c>
      <c r="H14" s="52"/>
    </row>
    <row r="15" spans="1:8" ht="26.25" customHeight="1" x14ac:dyDescent="0.3">
      <c r="A15" s="62" t="str">
        <f>'Intern Profiles'!A15</f>
        <v>F8885674</v>
      </c>
      <c r="B15" s="52" t="str">
        <f>'Intern Profiles'!B15</f>
        <v>Oratile Mathibe</v>
      </c>
      <c r="C15" s="53" t="str">
        <f>'Intern Profiles'!C15</f>
        <v>Cohort 1 - 2026</v>
      </c>
      <c r="D15" s="52" t="str">
        <f>IF(A15="","",IFERROR(INDEX('Paste - Relationships'!$B$4:$B$800,MATCH(1,('Paste - Relationships'!$P$4:$P$800=VALUE(A15))*('Paste - Relationships'!$AE$4:$AE$800=""),0)),""))</f>
        <v/>
      </c>
      <c r="E15" s="63" t="str">
        <f ca="1">IFERROR(IF(A15="","",_xludf.maxifs('Session Logs'!$E:$E,'Session Logs'!$D:$D,B15,'Session Logs'!$C:$C,D15)),"")</f>
        <v/>
      </c>
      <c r="F15" s="63" t="str">
        <f ca="1">IFERROR(IF(A15="","",_xludf.maxifs('Session Logs'!$I:$I,'Session Logs'!$D:$D,B15,'Session Logs'!$C:$C,D15,'Session Logs'!$I:$I,"&gt;"&amp;TODAY())),"")</f>
        <v/>
      </c>
      <c r="G15" s="64" t="str">
        <f t="shared" ca="1" si="0"/>
        <v>No Mentor Assigned</v>
      </c>
      <c r="H15" s="52"/>
    </row>
    <row r="16" spans="1:8" ht="26.25" customHeight="1" x14ac:dyDescent="0.3">
      <c r="A16" s="62" t="str">
        <f>'Intern Profiles'!A16</f>
        <v>F8885559</v>
      </c>
      <c r="B16" s="52" t="str">
        <f>'Intern Profiles'!B16</f>
        <v>Aviwe Mdingi</v>
      </c>
      <c r="C16" s="53" t="str">
        <f>'Intern Profiles'!C16</f>
        <v>Cohort 1 - 2026</v>
      </c>
      <c r="D16" s="52" t="str">
        <f>IF(A16="","",IFERROR(INDEX('Paste - Relationships'!$B$4:$B$800,MATCH(1,('Paste - Relationships'!$P$4:$P$800=VALUE(A16))*('Paste - Relationships'!$AE$4:$AE$800=""),0)),""))</f>
        <v/>
      </c>
      <c r="E16" s="63" t="str">
        <f ca="1">IFERROR(IF(A16="","",_xludf.maxifs('Session Logs'!$E:$E,'Session Logs'!$D:$D,B16,'Session Logs'!$C:$C,D16)),"")</f>
        <v/>
      </c>
      <c r="F16" s="63" t="str">
        <f ca="1">IFERROR(IF(A16="","",_xludf.maxifs('Session Logs'!$I:$I,'Session Logs'!$D:$D,B16,'Session Logs'!$C:$C,D16,'Session Logs'!$I:$I,"&gt;"&amp;TODAY())),"")</f>
        <v/>
      </c>
      <c r="G16" s="64" t="str">
        <f t="shared" ca="1" si="0"/>
        <v>No Mentor Assigned</v>
      </c>
      <c r="H16" s="52"/>
    </row>
    <row r="17" spans="1:8" ht="26.25" customHeight="1" x14ac:dyDescent="0.3">
      <c r="A17" s="62" t="str">
        <f>'Intern Profiles'!A17</f>
        <v>F8884139</v>
      </c>
      <c r="B17" s="52" t="str">
        <f>'Intern Profiles'!B17</f>
        <v>Mulisa Nthangeni</v>
      </c>
      <c r="C17" s="53" t="str">
        <f>'Intern Profiles'!C17</f>
        <v>Cohort 1 - 2026</v>
      </c>
      <c r="D17" s="52" t="str">
        <f>IF(A17="","",IFERROR(INDEX('Paste - Relationships'!$B$4:$B$800,MATCH(1,('Paste - Relationships'!$P$4:$P$800=VALUE(A17))*('Paste - Relationships'!$AE$4:$AE$800=""),0)),""))</f>
        <v/>
      </c>
      <c r="E17" s="63" t="str">
        <f ca="1">IFERROR(IF(A17="","",_xludf.maxifs('Session Logs'!$E:$E,'Session Logs'!$D:$D,B17,'Session Logs'!$C:$C,D17)),"")</f>
        <v/>
      </c>
      <c r="F17" s="63" t="str">
        <f ca="1">IFERROR(IF(A17="","",_xludf.maxifs('Session Logs'!$I:$I,'Session Logs'!$D:$D,B17,'Session Logs'!$C:$C,D17,'Session Logs'!$I:$I,"&gt;"&amp;TODAY())),"")</f>
        <v/>
      </c>
      <c r="G17" s="64" t="str">
        <f t="shared" ca="1" si="0"/>
        <v>No Mentor Assigned</v>
      </c>
      <c r="H17" s="52"/>
    </row>
    <row r="18" spans="1:8" ht="26.25" customHeight="1" x14ac:dyDescent="0.3">
      <c r="A18" s="62" t="str">
        <f>'Intern Profiles'!A18</f>
        <v>F8885552</v>
      </c>
      <c r="B18" s="52" t="str">
        <f>'Intern Profiles'!B18</f>
        <v>Fanelesibonge Cele</v>
      </c>
      <c r="C18" s="53" t="str">
        <f>'Intern Profiles'!C18</f>
        <v>Cohort 1 - 2026</v>
      </c>
      <c r="D18" s="52" t="str">
        <f>IF(A18="","",IFERROR(INDEX('Paste - Relationships'!$B$4:$B$800,MATCH(1,('Paste - Relationships'!$P$4:$P$800=VALUE(A18))*('Paste - Relationships'!$AE$4:$AE$800=""),0)),""))</f>
        <v/>
      </c>
      <c r="E18" s="63" t="str">
        <f ca="1">IFERROR(IF(A18="","",_xludf.maxifs('Session Logs'!$E:$E,'Session Logs'!$D:$D,B18,'Session Logs'!$C:$C,D18)),"")</f>
        <v/>
      </c>
      <c r="F18" s="63" t="str">
        <f ca="1">IFERROR(IF(A18="","",_xludf.maxifs('Session Logs'!$I:$I,'Session Logs'!$D:$D,B18,'Session Logs'!$C:$C,D18,'Session Logs'!$I:$I,"&gt;"&amp;TODAY())),"")</f>
        <v/>
      </c>
      <c r="G18" s="64" t="str">
        <f t="shared" ca="1" si="0"/>
        <v>No Mentor Assigned</v>
      </c>
      <c r="H18" s="52"/>
    </row>
    <row r="19" spans="1:8" ht="26.25" customHeight="1" x14ac:dyDescent="0.3">
      <c r="A19" s="62" t="str">
        <f>'Intern Profiles'!A19</f>
        <v>F8885587</v>
      </c>
      <c r="B19" s="52" t="str">
        <f>'Intern Profiles'!B19</f>
        <v>Morongwa Masuku</v>
      </c>
      <c r="C19" s="53" t="str">
        <f>'Intern Profiles'!C19</f>
        <v>Cohort 1 - 2026</v>
      </c>
      <c r="D19" s="52" t="str">
        <f>IF(A19="","",IFERROR(INDEX('Paste - Relationships'!$B$4:$B$800,MATCH(1,('Paste - Relationships'!$P$4:$P$800=VALUE(A19))*('Paste - Relationships'!$AE$4:$AE$800=""),0)),""))</f>
        <v/>
      </c>
      <c r="E19" s="63" t="str">
        <f ca="1">IFERROR(IF(A19="","",_xludf.maxifs('Session Logs'!$E:$E,'Session Logs'!$D:$D,B19,'Session Logs'!$C:$C,D19)),"")</f>
        <v/>
      </c>
      <c r="F19" s="63" t="str">
        <f ca="1">IFERROR(IF(A19="","",_xludf.maxifs('Session Logs'!$I:$I,'Session Logs'!$D:$D,B19,'Session Logs'!$C:$C,D19,'Session Logs'!$I:$I,"&gt;"&amp;TODAY())),"")</f>
        <v/>
      </c>
      <c r="G19" s="64" t="str">
        <f t="shared" ca="1" si="0"/>
        <v>No Mentor Assigned</v>
      </c>
      <c r="H19" s="52"/>
    </row>
    <row r="20" spans="1:8" ht="26.25" customHeight="1" x14ac:dyDescent="0.3">
      <c r="A20" s="62" t="str">
        <f>'Intern Profiles'!A20</f>
        <v>F8885797</v>
      </c>
      <c r="B20" s="52" t="str">
        <f>'Intern Profiles'!B20</f>
        <v>Lwando Shange</v>
      </c>
      <c r="C20" s="53" t="str">
        <f>'Intern Profiles'!C20</f>
        <v>Cohort 1 - 2026</v>
      </c>
      <c r="D20" s="52" t="str">
        <f>IF(A20="","",IFERROR(INDEX('Paste - Relationships'!$B$4:$B$800,MATCH(1,('Paste - Relationships'!$P$4:$P$800=VALUE(A20))*('Paste - Relationships'!$AE$4:$AE$800=""),0)),""))</f>
        <v/>
      </c>
      <c r="E20" s="63" t="str">
        <f ca="1">IFERROR(IF(A20="","",_xludf.maxifs('Session Logs'!$E:$E,'Session Logs'!$D:$D,B20,'Session Logs'!$C:$C,D20)),"")</f>
        <v/>
      </c>
      <c r="F20" s="63" t="str">
        <f ca="1">IFERROR(IF(A20="","",_xludf.maxifs('Session Logs'!$I:$I,'Session Logs'!$D:$D,B20,'Session Logs'!$C:$C,D20,'Session Logs'!$I:$I,"&gt;"&amp;TODAY())),"")</f>
        <v/>
      </c>
      <c r="G20" s="64" t="str">
        <f t="shared" ca="1" si="0"/>
        <v>No Mentor Assigned</v>
      </c>
      <c r="H20" s="52"/>
    </row>
    <row r="21" spans="1:8" ht="26.25" customHeight="1" x14ac:dyDescent="0.3">
      <c r="A21" s="62" t="str">
        <f>'Intern Profiles'!A21</f>
        <v>F8884248</v>
      </c>
      <c r="B21" s="52" t="str">
        <f>'Intern Profiles'!B21</f>
        <v>Tebogo Matoko</v>
      </c>
      <c r="C21" s="53" t="str">
        <f>'Intern Profiles'!C21</f>
        <v>Cohort 1 - 2026</v>
      </c>
      <c r="D21" s="52" t="str">
        <f>IF(A21="","",IFERROR(INDEX('Paste - Relationships'!$B$4:$B$800,MATCH(1,('Paste - Relationships'!$P$4:$P$800=VALUE(A21))*('Paste - Relationships'!$AE$4:$AE$800=""),0)),""))</f>
        <v/>
      </c>
      <c r="E21" s="63" t="str">
        <f ca="1">IFERROR(IF(A21="","",_xludf.maxifs('Session Logs'!$E:$E,'Session Logs'!$D:$D,B21,'Session Logs'!$C:$C,D21)),"")</f>
        <v/>
      </c>
      <c r="F21" s="63" t="str">
        <f ca="1">IFERROR(IF(A21="","",_xludf.maxifs('Session Logs'!$I:$I,'Session Logs'!$D:$D,B21,'Session Logs'!$C:$C,D21,'Session Logs'!$I:$I,"&gt;"&amp;TODAY())),"")</f>
        <v/>
      </c>
      <c r="G21" s="64" t="str">
        <f t="shared" ca="1" si="0"/>
        <v>No Mentor Assigned</v>
      </c>
      <c r="H21" s="52"/>
    </row>
    <row r="22" spans="1:8" ht="26.25" customHeight="1" x14ac:dyDescent="0.3">
      <c r="A22" s="62" t="str">
        <f>'Intern Profiles'!A22</f>
        <v>F8884261</v>
      </c>
      <c r="B22" s="52" t="str">
        <f>'Intern Profiles'!B22</f>
        <v>Thabiso Thobejane</v>
      </c>
      <c r="C22" s="53" t="str">
        <f>'Intern Profiles'!C22</f>
        <v>Cohort 1 - 2026</v>
      </c>
      <c r="D22" s="52" t="str">
        <f>IF(A22="","",IFERROR(INDEX('Paste - Relationships'!$B$4:$B$800,MATCH(1,('Paste - Relationships'!$P$4:$P$800=VALUE(A22))*('Paste - Relationships'!$AE$4:$AE$800=""),0)),""))</f>
        <v/>
      </c>
      <c r="E22" s="63" t="str">
        <f ca="1">IFERROR(IF(A22="","",_xludf.maxifs('Session Logs'!$E:$E,'Session Logs'!$D:$D,B22,'Session Logs'!$C:$C,D22)),"")</f>
        <v/>
      </c>
      <c r="F22" s="63" t="str">
        <f ca="1">IFERROR(IF(A22="","",_xludf.maxifs('Session Logs'!$I:$I,'Session Logs'!$D:$D,B22,'Session Logs'!$C:$C,D22,'Session Logs'!$I:$I,"&gt;"&amp;TODAY())),"")</f>
        <v/>
      </c>
      <c r="G22" s="64" t="str">
        <f t="shared" ca="1" si="0"/>
        <v>No Mentor Assigned</v>
      </c>
      <c r="H22" s="52"/>
    </row>
    <row r="23" spans="1:8" ht="26.25" customHeight="1" x14ac:dyDescent="0.3">
      <c r="A23" s="62" t="str">
        <f>'Intern Profiles'!A23</f>
        <v>F8885560</v>
      </c>
      <c r="B23" s="52" t="str">
        <f>'Intern Profiles'!B23</f>
        <v>Shalom Mosime</v>
      </c>
      <c r="C23" s="53" t="str">
        <f>'Intern Profiles'!C23</f>
        <v>Cohort 1 - 2026</v>
      </c>
      <c r="D23" s="52" t="str">
        <f>IF(A23="","",IFERROR(INDEX('Paste - Relationships'!$B$4:$B$800,MATCH(1,('Paste - Relationships'!$P$4:$P$800=VALUE(A23))*('Paste - Relationships'!$AE$4:$AE$800=""),0)),""))</f>
        <v/>
      </c>
      <c r="E23" s="63" t="str">
        <f ca="1">IFERROR(IF(A23="","",_xludf.maxifs('Session Logs'!$E:$E,'Session Logs'!$D:$D,B23,'Session Logs'!$C:$C,D23)),"")</f>
        <v/>
      </c>
      <c r="F23" s="63" t="str">
        <f ca="1">IFERROR(IF(A23="","",_xludf.maxifs('Session Logs'!$I:$I,'Session Logs'!$D:$D,B23,'Session Logs'!$C:$C,D23,'Session Logs'!$I:$I,"&gt;"&amp;TODAY())),"")</f>
        <v/>
      </c>
      <c r="G23" s="64" t="str">
        <f t="shared" ca="1" si="0"/>
        <v>No Mentor Assigned</v>
      </c>
      <c r="H23" s="52"/>
    </row>
    <row r="24" spans="1:8" ht="26.25" customHeight="1" x14ac:dyDescent="0.3">
      <c r="A24" s="62" t="str">
        <f>'Intern Profiles'!A24</f>
        <v>F8885633</v>
      </c>
      <c r="B24" s="52" t="str">
        <f>'Intern Profiles'!B24</f>
        <v>Khomotso Sekoba</v>
      </c>
      <c r="C24" s="53" t="str">
        <f>'Intern Profiles'!C24</f>
        <v>Cohort 1 - 2026</v>
      </c>
      <c r="D24" s="52" t="str">
        <f>IF(A24="","",IFERROR(INDEX('Paste - Relationships'!$B$4:$B$800,MATCH(1,('Paste - Relationships'!$P$4:$P$800=VALUE(A24))*('Paste - Relationships'!$AE$4:$AE$800=""),0)),""))</f>
        <v/>
      </c>
      <c r="E24" s="63" t="str">
        <f ca="1">IFERROR(IF(A24="","",_xludf.maxifs('Session Logs'!$E:$E,'Session Logs'!$D:$D,B24,'Session Logs'!$C:$C,D24)),"")</f>
        <v/>
      </c>
      <c r="F24" s="63" t="str">
        <f ca="1">IFERROR(IF(A24="","",_xludf.maxifs('Session Logs'!$I:$I,'Session Logs'!$D:$D,B24,'Session Logs'!$C:$C,D24,'Session Logs'!$I:$I,"&gt;"&amp;TODAY())),"")</f>
        <v/>
      </c>
      <c r="G24" s="64" t="str">
        <f t="shared" ca="1" si="0"/>
        <v>No Mentor Assigned</v>
      </c>
      <c r="H24" s="52"/>
    </row>
    <row r="25" spans="1:8" ht="26.25" customHeight="1" x14ac:dyDescent="0.3">
      <c r="A25" s="62" t="str">
        <f>'Intern Profiles'!A25</f>
        <v>F8884149</v>
      </c>
      <c r="B25" s="52" t="str">
        <f>'Intern Profiles'!B25</f>
        <v>Lyla Maluleke</v>
      </c>
      <c r="C25" s="53" t="str">
        <f>'Intern Profiles'!C25</f>
        <v>Cohort 1 - 2026</v>
      </c>
      <c r="D25" s="52" t="str">
        <f>IF(A25="","",IFERROR(INDEX('Paste - Relationships'!$B$4:$B$800,MATCH(1,('Paste - Relationships'!$P$4:$P$800=VALUE(A25))*('Paste - Relationships'!$AE$4:$AE$800=""),0)),""))</f>
        <v/>
      </c>
      <c r="E25" s="63" t="str">
        <f ca="1">IFERROR(IF(A25="","",_xludf.maxifs('Session Logs'!$E:$E,'Session Logs'!$D:$D,B25,'Session Logs'!$C:$C,D25)),"")</f>
        <v/>
      </c>
      <c r="F25" s="63" t="str">
        <f ca="1">IFERROR(IF(A25="","",_xludf.maxifs('Session Logs'!$I:$I,'Session Logs'!$D:$D,B25,'Session Logs'!$C:$C,D25,'Session Logs'!$I:$I,"&gt;"&amp;TODAY())),"")</f>
        <v/>
      </c>
      <c r="G25" s="64" t="str">
        <f t="shared" ca="1" si="0"/>
        <v>No Mentor Assigned</v>
      </c>
      <c r="H25" s="52"/>
    </row>
    <row r="26" spans="1:8" ht="26.25" customHeight="1" x14ac:dyDescent="0.3">
      <c r="A26" s="62" t="str">
        <f>'Intern Profiles'!A26</f>
        <v>F8885762</v>
      </c>
      <c r="B26" s="52" t="str">
        <f>'Intern Profiles'!B26</f>
        <v>Stella Lekhoaba</v>
      </c>
      <c r="C26" s="53" t="str">
        <f>'Intern Profiles'!C26</f>
        <v>Cohort 1 - 2026</v>
      </c>
      <c r="D26" s="52" t="str">
        <f>IF(A26="","",IFERROR(INDEX('Paste - Relationships'!$B$4:$B$800,MATCH(1,('Paste - Relationships'!$P$4:$P$800=VALUE(A26))*('Paste - Relationships'!$AE$4:$AE$800=""),0)),""))</f>
        <v/>
      </c>
      <c r="E26" s="63" t="str">
        <f ca="1">IFERROR(IF(A26="","",_xludf.maxifs('Session Logs'!$E:$E,'Session Logs'!$D:$D,B26,'Session Logs'!$C:$C,D26)),"")</f>
        <v/>
      </c>
      <c r="F26" s="63" t="str">
        <f ca="1">IFERROR(IF(A26="","",_xludf.maxifs('Session Logs'!$I:$I,'Session Logs'!$D:$D,B26,'Session Logs'!$C:$C,D26,'Session Logs'!$I:$I,"&gt;"&amp;TODAY())),"")</f>
        <v/>
      </c>
      <c r="G26" s="64" t="str">
        <f t="shared" ca="1" si="0"/>
        <v>No Mentor Assigned</v>
      </c>
      <c r="H26" s="52"/>
    </row>
    <row r="27" spans="1:8" ht="26.25" customHeight="1" x14ac:dyDescent="0.3">
      <c r="A27" s="62" t="str">
        <f>'Intern Profiles'!A27</f>
        <v>F8884241</v>
      </c>
      <c r="B27" s="52" t="str">
        <f>'Intern Profiles'!B27</f>
        <v>Timyiko Ndobe</v>
      </c>
      <c r="C27" s="53" t="str">
        <f>'Intern Profiles'!C27</f>
        <v>Cohort 1 - 2026</v>
      </c>
      <c r="D27" s="52" t="str">
        <f>IF(A27="","",IFERROR(INDEX('Paste - Relationships'!$B$4:$B$800,MATCH(1,('Paste - Relationships'!$P$4:$P$800=VALUE(A27))*('Paste - Relationships'!$AE$4:$AE$800=""),0)),""))</f>
        <v/>
      </c>
      <c r="E27" s="63" t="str">
        <f ca="1">IFERROR(IF(A27="","",_xludf.maxifs('Session Logs'!$E:$E,'Session Logs'!$D:$D,B27,'Session Logs'!$C:$C,D27)),"")</f>
        <v/>
      </c>
      <c r="F27" s="63" t="str">
        <f ca="1">IFERROR(IF(A27="","",_xludf.maxifs('Session Logs'!$I:$I,'Session Logs'!$D:$D,B27,'Session Logs'!$C:$C,D27,'Session Logs'!$I:$I,"&gt;"&amp;TODAY())),"")</f>
        <v/>
      </c>
      <c r="G27" s="64" t="str">
        <f t="shared" ca="1" si="0"/>
        <v>No Mentor Assigned</v>
      </c>
      <c r="H27" s="52"/>
    </row>
    <row r="28" spans="1:8" ht="26.25" customHeight="1" x14ac:dyDescent="0.3">
      <c r="A28" s="62" t="str">
        <f>'Intern Profiles'!A28</f>
        <v>F8885760</v>
      </c>
      <c r="B28" s="52" t="str">
        <f>'Intern Profiles'!B28</f>
        <v>Karabo Machaka</v>
      </c>
      <c r="C28" s="53" t="str">
        <f>'Intern Profiles'!C28</f>
        <v>Cohort 1 - 2026</v>
      </c>
      <c r="D28" s="52" t="str">
        <f>IF(A28="","",IFERROR(INDEX('Paste - Relationships'!$B$4:$B$800,MATCH(1,('Paste - Relationships'!$P$4:$P$800=VALUE(A28))*('Paste - Relationships'!$AE$4:$AE$800=""),0)),""))</f>
        <v/>
      </c>
      <c r="E28" s="63" t="str">
        <f ca="1">IFERROR(IF(A28="","",_xludf.maxifs('Session Logs'!$E:$E,'Session Logs'!$D:$D,B28,'Session Logs'!$C:$C,D28)),"")</f>
        <v/>
      </c>
      <c r="F28" s="63" t="str">
        <f ca="1">IFERROR(IF(A28="","",_xludf.maxifs('Session Logs'!$I:$I,'Session Logs'!$D:$D,B28,'Session Logs'!$C:$C,D28,'Session Logs'!$I:$I,"&gt;"&amp;TODAY())),"")</f>
        <v/>
      </c>
      <c r="G28" s="64" t="str">
        <f t="shared" ca="1" si="0"/>
        <v>No Mentor Assigned</v>
      </c>
      <c r="H28" s="52"/>
    </row>
    <row r="29" spans="1:8" ht="26.25" customHeight="1" x14ac:dyDescent="0.3">
      <c r="A29" s="62" t="str">
        <f>'Intern Profiles'!A29</f>
        <v>F8884136</v>
      </c>
      <c r="B29" s="52" t="str">
        <f>'Intern Profiles'!B29</f>
        <v>Katleho Sondlo</v>
      </c>
      <c r="C29" s="53" t="str">
        <f>'Intern Profiles'!C29</f>
        <v>Cohort 1 - 2026</v>
      </c>
      <c r="D29" s="52" t="str">
        <f>IF(A29="","",IFERROR(INDEX('Paste - Relationships'!$B$4:$B$800,MATCH(1,('Paste - Relationships'!$P$4:$P$800=VALUE(A29))*('Paste - Relationships'!$AE$4:$AE$800=""),0)),""))</f>
        <v/>
      </c>
      <c r="E29" s="63" t="str">
        <f ca="1">IFERROR(IF(A29="","",_xludf.maxifs('Session Logs'!$E:$E,'Session Logs'!$D:$D,B29,'Session Logs'!$C:$C,D29)),"")</f>
        <v/>
      </c>
      <c r="F29" s="63" t="str">
        <f ca="1">IFERROR(IF(A29="","",_xludf.maxifs('Session Logs'!$I:$I,'Session Logs'!$D:$D,B29,'Session Logs'!$C:$C,D29,'Session Logs'!$I:$I,"&gt;"&amp;TODAY())),"")</f>
        <v/>
      </c>
      <c r="G29" s="64" t="str">
        <f t="shared" ca="1" si="0"/>
        <v>No Mentor Assigned</v>
      </c>
      <c r="H29" s="52"/>
    </row>
    <row r="30" spans="1:8" ht="26.25" customHeight="1" x14ac:dyDescent="0.3">
      <c r="A30" s="62" t="str">
        <f>'Intern Profiles'!A30</f>
        <v>F8885681</v>
      </c>
      <c r="B30" s="52" t="str">
        <f>'Intern Profiles'!B30</f>
        <v>Dikeledi Masiteng</v>
      </c>
      <c r="C30" s="53" t="str">
        <f>'Intern Profiles'!C30</f>
        <v>Cohort 1 - 2026</v>
      </c>
      <c r="D30" s="52" t="str">
        <f>IF(A30="","",IFERROR(INDEX('Paste - Relationships'!$B$4:$B$800,MATCH(1,('Paste - Relationships'!$P$4:$P$800=VALUE(A30))*('Paste - Relationships'!$AE$4:$AE$800=""),0)),""))</f>
        <v/>
      </c>
      <c r="E30" s="63" t="str">
        <f ca="1">IFERROR(IF(A30="","",_xludf.maxifs('Session Logs'!$E:$E,'Session Logs'!$D:$D,B30,'Session Logs'!$C:$C,D30)),"")</f>
        <v/>
      </c>
      <c r="F30" s="63" t="str">
        <f ca="1">IFERROR(IF(A30="","",_xludf.maxifs('Session Logs'!$I:$I,'Session Logs'!$D:$D,B30,'Session Logs'!$C:$C,D30,'Session Logs'!$I:$I,"&gt;"&amp;TODAY())),"")</f>
        <v/>
      </c>
      <c r="G30" s="64" t="str">
        <f t="shared" ca="1" si="0"/>
        <v>No Mentor Assigned</v>
      </c>
      <c r="H30" s="52"/>
    </row>
    <row r="31" spans="1:8" ht="26.25" customHeight="1" x14ac:dyDescent="0.3">
      <c r="A31" s="62" t="str">
        <f>'Intern Profiles'!A31</f>
        <v>F8885677</v>
      </c>
      <c r="B31" s="52" t="str">
        <f>'Intern Profiles'!B31</f>
        <v>Maketa Mogajane</v>
      </c>
      <c r="C31" s="53" t="str">
        <f>'Intern Profiles'!C31</f>
        <v>Cohort 1 - 2026</v>
      </c>
      <c r="D31" s="52" t="str">
        <f>IF(A31="","",IFERROR(INDEX('Paste - Relationships'!$B$4:$B$800,MATCH(1,('Paste - Relationships'!$P$4:$P$800=VALUE(A31))*('Paste - Relationships'!$AE$4:$AE$800=""),0)),""))</f>
        <v/>
      </c>
      <c r="E31" s="63" t="str">
        <f ca="1">IFERROR(IF(A31="","",_xludf.maxifs('Session Logs'!$E:$E,'Session Logs'!$D:$D,B31,'Session Logs'!$C:$C,D31)),"")</f>
        <v/>
      </c>
      <c r="F31" s="63" t="str">
        <f ca="1">IFERROR(IF(A31="","",_xludf.maxifs('Session Logs'!$I:$I,'Session Logs'!$D:$D,B31,'Session Logs'!$C:$C,D31,'Session Logs'!$I:$I,"&gt;"&amp;TODAY())),"")</f>
        <v/>
      </c>
      <c r="G31" s="64" t="str">
        <f t="shared" ca="1" si="0"/>
        <v>No Mentor Assigned</v>
      </c>
      <c r="H31" s="52"/>
    </row>
    <row r="32" spans="1:8" ht="26.25" customHeight="1" x14ac:dyDescent="0.3">
      <c r="A32" s="62" t="str">
        <f>'Intern Profiles'!A32</f>
        <v>F8885675</v>
      </c>
      <c r="B32" s="52" t="str">
        <f>'Intern Profiles'!B32</f>
        <v>Zamashenge Nkosi</v>
      </c>
      <c r="C32" s="53" t="str">
        <f>'Intern Profiles'!C32</f>
        <v>Cohort 1 - 2026</v>
      </c>
      <c r="D32" s="52" t="str">
        <f>IF(A32="","",IFERROR(INDEX('Paste - Relationships'!$B$4:$B$800,MATCH(1,('Paste - Relationships'!$P$4:$P$800=VALUE(A32))*('Paste - Relationships'!$AE$4:$AE$800=""),0)),""))</f>
        <v/>
      </c>
      <c r="E32" s="63" t="str">
        <f ca="1">IFERROR(IF(A32="","",_xludf.maxifs('Session Logs'!$E:$E,'Session Logs'!$D:$D,B32,'Session Logs'!$C:$C,D32)),"")</f>
        <v/>
      </c>
      <c r="F32" s="63" t="str">
        <f ca="1">IFERROR(IF(A32="","",_xludf.maxifs('Session Logs'!$I:$I,'Session Logs'!$D:$D,B32,'Session Logs'!$C:$C,D32,'Session Logs'!$I:$I,"&gt;"&amp;TODAY())),"")</f>
        <v/>
      </c>
      <c r="G32" s="64" t="str">
        <f t="shared" ca="1" si="0"/>
        <v>No Mentor Assigned</v>
      </c>
      <c r="H32" s="52"/>
    </row>
    <row r="33" spans="1:8" ht="26.25" customHeight="1" x14ac:dyDescent="0.3">
      <c r="A33" s="62" t="str">
        <f>'Intern Profiles'!A33</f>
        <v>F8884350</v>
      </c>
      <c r="B33" s="52" t="str">
        <f>'Intern Profiles'!B33</f>
        <v>Busisiwe Masombuka</v>
      </c>
      <c r="C33" s="53" t="str">
        <f>'Intern Profiles'!C33</f>
        <v>Cohort 1 - 2026</v>
      </c>
      <c r="D33" s="52" t="str">
        <f>IF(A33="","",IFERROR(INDEX('Paste - Relationships'!$B$4:$B$800,MATCH(1,('Paste - Relationships'!$P$4:$P$800=VALUE(A33))*('Paste - Relationships'!$AE$4:$AE$800=""),0)),""))</f>
        <v/>
      </c>
      <c r="E33" s="63" t="str">
        <f ca="1">IFERROR(IF(A33="","",_xludf.maxifs('Session Logs'!$E:$E,'Session Logs'!$D:$D,B33,'Session Logs'!$C:$C,D33)),"")</f>
        <v/>
      </c>
      <c r="F33" s="63" t="str">
        <f ca="1">IFERROR(IF(A33="","",_xludf.maxifs('Session Logs'!$I:$I,'Session Logs'!$D:$D,B33,'Session Logs'!$C:$C,D33,'Session Logs'!$I:$I,"&gt;"&amp;TODAY())),"")</f>
        <v/>
      </c>
      <c r="G33" s="64" t="str">
        <f t="shared" ca="1" si="0"/>
        <v>No Mentor Assigned</v>
      </c>
      <c r="H33" s="52"/>
    </row>
    <row r="34" spans="1:8" ht="26.25" customHeight="1" x14ac:dyDescent="0.3">
      <c r="A34" s="62" t="str">
        <f>'Intern Profiles'!A34</f>
        <v>F8885744</v>
      </c>
      <c r="B34" s="52" t="str">
        <f>'Intern Profiles'!B34</f>
        <v>Nontokozo Maphanga</v>
      </c>
      <c r="C34" s="53" t="str">
        <f>'Intern Profiles'!C34</f>
        <v>Cohort 1 - 2026</v>
      </c>
      <c r="D34" s="52" t="str">
        <f>IF(A34="","",IFERROR(INDEX('Paste - Relationships'!$B$4:$B$800,MATCH(1,('Paste - Relationships'!$P$4:$P$800=VALUE(A34))*('Paste - Relationships'!$AE$4:$AE$800=""),0)),""))</f>
        <v/>
      </c>
      <c r="E34" s="63" t="str">
        <f ca="1">IFERROR(IF(A34="","",_xludf.maxifs('Session Logs'!$E:$E,'Session Logs'!$D:$D,B34,'Session Logs'!$C:$C,D34)),"")</f>
        <v/>
      </c>
      <c r="F34" s="63" t="str">
        <f ca="1">IFERROR(IF(A34="","",_xludf.maxifs('Session Logs'!$I:$I,'Session Logs'!$D:$D,B34,'Session Logs'!$C:$C,D34,'Session Logs'!$I:$I,"&gt;"&amp;TODAY())),"")</f>
        <v/>
      </c>
      <c r="G34" s="64" t="str">
        <f t="shared" ca="1" si="0"/>
        <v>No Mentor Assigned</v>
      </c>
      <c r="H34" s="52"/>
    </row>
    <row r="35" spans="1:8" ht="26.25" customHeight="1" x14ac:dyDescent="0.3">
      <c r="A35" s="62" t="str">
        <f>'Intern Profiles'!A35</f>
        <v>F8885592</v>
      </c>
      <c r="B35" s="52" t="str">
        <f>'Intern Profiles'!B35</f>
        <v>Dithapelo Mabilo</v>
      </c>
      <c r="C35" s="53" t="str">
        <f>'Intern Profiles'!C35</f>
        <v>Cohort 1 - 2026</v>
      </c>
      <c r="D35" s="52" t="str">
        <f>IF(A35="","",IFERROR(INDEX('Paste - Relationships'!$B$4:$B$800,MATCH(1,('Paste - Relationships'!$P$4:$P$800=VALUE(A35))*('Paste - Relationships'!$AE$4:$AE$800=""),0)),""))</f>
        <v/>
      </c>
      <c r="E35" s="63" t="str">
        <f ca="1">IFERROR(IF(A35="","",_xludf.maxifs('Session Logs'!$E:$E,'Session Logs'!$D:$D,B35,'Session Logs'!$C:$C,D35)),"")</f>
        <v/>
      </c>
      <c r="F35" s="63" t="str">
        <f ca="1">IFERROR(IF(A35="","",_xludf.maxifs('Session Logs'!$I:$I,'Session Logs'!$D:$D,B35,'Session Logs'!$C:$C,D35,'Session Logs'!$I:$I,"&gt;"&amp;TODAY())),"")</f>
        <v/>
      </c>
      <c r="G35" s="64" t="str">
        <f t="shared" ca="1" si="0"/>
        <v>No Mentor Assigned</v>
      </c>
      <c r="H35" s="52"/>
    </row>
    <row r="36" spans="1:8" ht="26.25" customHeight="1" x14ac:dyDescent="0.3">
      <c r="A36" s="62" t="str">
        <f>'Intern Profiles'!A36</f>
        <v>F8884247</v>
      </c>
      <c r="B36" s="52" t="str">
        <f>'Intern Profiles'!B36</f>
        <v>Masesi Motaung</v>
      </c>
      <c r="C36" s="53" t="str">
        <f>'Intern Profiles'!C36</f>
        <v>Cohort 1 - 2026</v>
      </c>
      <c r="D36" s="52" t="str">
        <f>IF(A36="","",IFERROR(INDEX('Paste - Relationships'!$B$4:$B$800,MATCH(1,('Paste - Relationships'!$P$4:$P$800=VALUE(A36))*('Paste - Relationships'!$AE$4:$AE$800=""),0)),""))</f>
        <v/>
      </c>
      <c r="E36" s="63" t="str">
        <f ca="1">IFERROR(IF(A36="","",_xludf.maxifs('Session Logs'!$E:$E,'Session Logs'!$D:$D,B36,'Session Logs'!$C:$C,D36)),"")</f>
        <v/>
      </c>
      <c r="F36" s="63" t="str">
        <f ca="1">IFERROR(IF(A36="","",_xludf.maxifs('Session Logs'!$I:$I,'Session Logs'!$D:$D,B36,'Session Logs'!$C:$C,D36,'Session Logs'!$I:$I,"&gt;"&amp;TODAY())),"")</f>
        <v/>
      </c>
      <c r="G36" s="64" t="str">
        <f t="shared" ref="G36:G67" ca="1" si="1">IF(A36="","",IF(D36="","No Mentor Assigned",IF(E36="","No Sessions Yet",IF(AND(F36&lt;&gt;"",F36&lt;TODAY()),"Missed Session",IF(AND(TODAY()-E36&gt;30,F36=""),"Overdue – Book Now",IF(TODAY()-E36&gt;30,"Overdue – Session Booked","On Track"))))))</f>
        <v>No Mentor Assigned</v>
      </c>
      <c r="H36" s="52"/>
    </row>
    <row r="37" spans="1:8" ht="26.25" customHeight="1" x14ac:dyDescent="0.3">
      <c r="A37" s="62" t="str">
        <f>'Intern Profiles'!A37</f>
        <v>F8885676</v>
      </c>
      <c r="B37" s="52" t="str">
        <f>'Intern Profiles'!B37</f>
        <v>Londeka Nxumalo</v>
      </c>
      <c r="C37" s="53" t="str">
        <f>'Intern Profiles'!C37</f>
        <v>Cohort 1 - 2026</v>
      </c>
      <c r="D37" s="52" t="str">
        <f>IF(A37="","",IFERROR(INDEX('Paste - Relationships'!$B$4:$B$800,MATCH(1,('Paste - Relationships'!$P$4:$P$800=VALUE(A37))*('Paste - Relationships'!$AE$4:$AE$800=""),0)),""))</f>
        <v/>
      </c>
      <c r="E37" s="63" t="str">
        <f ca="1">IFERROR(IF(A37="","",_xludf.maxifs('Session Logs'!$E:$E,'Session Logs'!$D:$D,B37,'Session Logs'!$C:$C,D37)),"")</f>
        <v/>
      </c>
      <c r="F37" s="63" t="str">
        <f ca="1">IFERROR(IF(A37="","",_xludf.maxifs('Session Logs'!$I:$I,'Session Logs'!$D:$D,B37,'Session Logs'!$C:$C,D37,'Session Logs'!$I:$I,"&gt;"&amp;TODAY())),"")</f>
        <v/>
      </c>
      <c r="G37" s="64" t="str">
        <f t="shared" ca="1" si="1"/>
        <v>No Mentor Assigned</v>
      </c>
      <c r="H37" s="52"/>
    </row>
    <row r="38" spans="1:8" ht="26.25" customHeight="1" x14ac:dyDescent="0.3">
      <c r="A38" s="62" t="str">
        <f>'Intern Profiles'!A38</f>
        <v>F8885678</v>
      </c>
      <c r="B38" s="52" t="str">
        <f>'Intern Profiles'!B38</f>
        <v>Bakhusele Mayekiso</v>
      </c>
      <c r="C38" s="53" t="str">
        <f>'Intern Profiles'!C38</f>
        <v>Cohort 1 - 2026</v>
      </c>
      <c r="D38" s="52" t="str">
        <f>IF(A38="","",IFERROR(INDEX('Paste - Relationships'!$B$4:$B$800,MATCH(1,('Paste - Relationships'!$P$4:$P$800=VALUE(A38))*('Paste - Relationships'!$AE$4:$AE$800=""),0)),""))</f>
        <v/>
      </c>
      <c r="E38" s="63" t="str">
        <f ca="1">IFERROR(IF(A38="","",_xludf.maxifs('Session Logs'!$E:$E,'Session Logs'!$D:$D,B38,'Session Logs'!$C:$C,D38)),"")</f>
        <v/>
      </c>
      <c r="F38" s="63" t="str">
        <f ca="1">IFERROR(IF(A38="","",_xludf.maxifs('Session Logs'!$I:$I,'Session Logs'!$D:$D,B38,'Session Logs'!$C:$C,D38,'Session Logs'!$I:$I,"&gt;"&amp;TODAY())),"")</f>
        <v/>
      </c>
      <c r="G38" s="64" t="str">
        <f t="shared" ca="1" si="1"/>
        <v>No Mentor Assigned</v>
      </c>
      <c r="H38" s="52"/>
    </row>
    <row r="39" spans="1:8" ht="26.25" customHeight="1" x14ac:dyDescent="0.3">
      <c r="A39" s="62" t="str">
        <f>'Intern Profiles'!A39</f>
        <v>F8885566</v>
      </c>
      <c r="B39" s="52" t="str">
        <f>'Intern Profiles'!B39</f>
        <v>Gaolatlheope Moraka</v>
      </c>
      <c r="C39" s="53" t="str">
        <f>'Intern Profiles'!C39</f>
        <v>Cohort 1 - 2026</v>
      </c>
      <c r="D39" s="52" t="str">
        <f>IF(A39="","",IFERROR(INDEX('Paste - Relationships'!$B$4:$B$800,MATCH(1,('Paste - Relationships'!$P$4:$P$800=VALUE(A39))*('Paste - Relationships'!$AE$4:$AE$800=""),0)),""))</f>
        <v/>
      </c>
      <c r="E39" s="63" t="str">
        <f ca="1">IFERROR(IF(A39="","",_xludf.maxifs('Session Logs'!$E:$E,'Session Logs'!$D:$D,B39,'Session Logs'!$C:$C,D39)),"")</f>
        <v/>
      </c>
      <c r="F39" s="63" t="str">
        <f ca="1">IFERROR(IF(A39="","",_xludf.maxifs('Session Logs'!$I:$I,'Session Logs'!$D:$D,B39,'Session Logs'!$C:$C,D39,'Session Logs'!$I:$I,"&gt;"&amp;TODAY())),"")</f>
        <v/>
      </c>
      <c r="G39" s="64" t="str">
        <f t="shared" ca="1" si="1"/>
        <v>No Mentor Assigned</v>
      </c>
      <c r="H39" s="52"/>
    </row>
    <row r="40" spans="1:8" ht="26.25" customHeight="1" x14ac:dyDescent="0.3">
      <c r="A40" s="62" t="str">
        <f>'Intern Profiles'!A40</f>
        <v>F8885557</v>
      </c>
      <c r="B40" s="52" t="str">
        <f>'Intern Profiles'!B40</f>
        <v>Ntanganedzeni Phidzaulima</v>
      </c>
      <c r="C40" s="53" t="str">
        <f>'Intern Profiles'!C40</f>
        <v>Cohort 1 - 2026</v>
      </c>
      <c r="D40" s="52" t="str">
        <f>IF(A40="","",IFERROR(INDEX('Paste - Relationships'!$B$4:$B$800,MATCH(1,('Paste - Relationships'!$P$4:$P$800=VALUE(A40))*('Paste - Relationships'!$AE$4:$AE$800=""),0)),""))</f>
        <v/>
      </c>
      <c r="E40" s="63" t="str">
        <f ca="1">IFERROR(IF(A40="","",_xludf.maxifs('Session Logs'!$E:$E,'Session Logs'!$D:$D,B40,'Session Logs'!$C:$C,D40)),"")</f>
        <v/>
      </c>
      <c r="F40" s="63" t="str">
        <f ca="1">IFERROR(IF(A40="","",_xludf.maxifs('Session Logs'!$I:$I,'Session Logs'!$D:$D,B40,'Session Logs'!$C:$C,D40,'Session Logs'!$I:$I,"&gt;"&amp;TODAY())),"")</f>
        <v/>
      </c>
      <c r="G40" s="64" t="str">
        <f t="shared" ca="1" si="1"/>
        <v>No Mentor Assigned</v>
      </c>
      <c r="H40" s="52"/>
    </row>
    <row r="41" spans="1:8" ht="26.25" customHeight="1" x14ac:dyDescent="0.3">
      <c r="A41" s="62" t="str">
        <f>'Intern Profiles'!A41</f>
        <v>F8885634</v>
      </c>
      <c r="B41" s="52" t="str">
        <f>'Intern Profiles'!B41</f>
        <v>Nondumiso Mthembu</v>
      </c>
      <c r="C41" s="53" t="str">
        <f>'Intern Profiles'!C41</f>
        <v>Cohort 1 - 2026</v>
      </c>
      <c r="D41" s="52" t="str">
        <f>IF(A41="","",IFERROR(INDEX('Paste - Relationships'!$B$4:$B$800,MATCH(1,('Paste - Relationships'!$P$4:$P$800=VALUE(A41))*('Paste - Relationships'!$AE$4:$AE$800=""),0)),""))</f>
        <v/>
      </c>
      <c r="E41" s="63" t="str">
        <f ca="1">IFERROR(IF(A41="","",_xludf.maxifs('Session Logs'!$E:$E,'Session Logs'!$D:$D,B41,'Session Logs'!$C:$C,D41)),"")</f>
        <v/>
      </c>
      <c r="F41" s="63" t="str">
        <f ca="1">IFERROR(IF(A41="","",_xludf.maxifs('Session Logs'!$I:$I,'Session Logs'!$D:$D,B41,'Session Logs'!$C:$C,D41,'Session Logs'!$I:$I,"&gt;"&amp;TODAY())),"")</f>
        <v/>
      </c>
      <c r="G41" s="64" t="str">
        <f t="shared" ca="1" si="1"/>
        <v>No Mentor Assigned</v>
      </c>
      <c r="H41" s="52"/>
    </row>
    <row r="42" spans="1:8" ht="26.25" customHeight="1" x14ac:dyDescent="0.3">
      <c r="A42" s="62" t="str">
        <f>'Intern Profiles'!A42</f>
        <v>F8885632</v>
      </c>
      <c r="B42" s="52" t="str">
        <f>'Intern Profiles'!B42</f>
        <v>Muzivukile Gcabashe</v>
      </c>
      <c r="C42" s="53" t="str">
        <f>'Intern Profiles'!C42</f>
        <v>Cohort 1 - 2026</v>
      </c>
      <c r="D42" s="52" t="str">
        <f>IF(A42="","",IFERROR(INDEX('Paste - Relationships'!$B$4:$B$800,MATCH(1,('Paste - Relationships'!$P$4:$P$800=VALUE(A42))*('Paste - Relationships'!$AE$4:$AE$800=""),0)),""))</f>
        <v/>
      </c>
      <c r="E42" s="63" t="str">
        <f ca="1">IFERROR(IF(A42="","",_xludf.maxifs('Session Logs'!$E:$E,'Session Logs'!$D:$D,B42,'Session Logs'!$C:$C,D42)),"")</f>
        <v/>
      </c>
      <c r="F42" s="63" t="str">
        <f ca="1">IFERROR(IF(A42="","",_xludf.maxifs('Session Logs'!$I:$I,'Session Logs'!$D:$D,B42,'Session Logs'!$C:$C,D42,'Session Logs'!$I:$I,"&gt;"&amp;TODAY())),"")</f>
        <v/>
      </c>
      <c r="G42" s="64" t="str">
        <f t="shared" ca="1" si="1"/>
        <v>No Mentor Assigned</v>
      </c>
      <c r="H42" s="52"/>
    </row>
    <row r="43" spans="1:8" ht="26.25" customHeight="1" x14ac:dyDescent="0.3">
      <c r="A43" s="62" t="str">
        <f>'Intern Profiles'!A43</f>
        <v>F8885550</v>
      </c>
      <c r="B43" s="52" t="str">
        <f>'Intern Profiles'!B43</f>
        <v>Melusi Ngubeni</v>
      </c>
      <c r="C43" s="53" t="str">
        <f>'Intern Profiles'!C43</f>
        <v>Cohort 1 - 2026</v>
      </c>
      <c r="D43" s="52" t="str">
        <f>IF(A43="","",IFERROR(INDEX('Paste - Relationships'!$B$4:$B$800,MATCH(1,('Paste - Relationships'!$P$4:$P$800=VALUE(A43))*('Paste - Relationships'!$AE$4:$AE$800=""),0)),""))</f>
        <v/>
      </c>
      <c r="E43" s="63" t="str">
        <f ca="1">IFERROR(IF(A43="","",_xludf.maxifs('Session Logs'!$E:$E,'Session Logs'!$D:$D,B43,'Session Logs'!$C:$C,D43)),"")</f>
        <v/>
      </c>
      <c r="F43" s="63" t="str">
        <f ca="1">IFERROR(IF(A43="","",_xludf.maxifs('Session Logs'!$I:$I,'Session Logs'!$D:$D,B43,'Session Logs'!$C:$C,D43,'Session Logs'!$I:$I,"&gt;"&amp;TODAY())),"")</f>
        <v/>
      </c>
      <c r="G43" s="64" t="str">
        <f t="shared" ca="1" si="1"/>
        <v>No Mentor Assigned</v>
      </c>
      <c r="H43" s="52"/>
    </row>
    <row r="44" spans="1:8" ht="26.25" customHeight="1" x14ac:dyDescent="0.3">
      <c r="A44" s="62" t="str">
        <f>'Intern Profiles'!A44</f>
        <v>F8884202</v>
      </c>
      <c r="B44" s="52" t="str">
        <f>'Intern Profiles'!B44</f>
        <v>Sithembile Mzinya</v>
      </c>
      <c r="C44" s="53" t="str">
        <f>'Intern Profiles'!C44</f>
        <v>Cohort 1 - 2026</v>
      </c>
      <c r="D44" s="52" t="str">
        <f>IF(A44="","",IFERROR(INDEX('Paste - Relationships'!$B$4:$B$800,MATCH(1,('Paste - Relationships'!$P$4:$P$800=VALUE(A44))*('Paste - Relationships'!$AE$4:$AE$800=""),0)),""))</f>
        <v/>
      </c>
      <c r="E44" s="63" t="str">
        <f ca="1">IFERROR(IF(A44="","",_xludf.maxifs('Session Logs'!$E:$E,'Session Logs'!$D:$D,B44,'Session Logs'!$C:$C,D44)),"")</f>
        <v/>
      </c>
      <c r="F44" s="63" t="str">
        <f ca="1">IFERROR(IF(A44="","",_xludf.maxifs('Session Logs'!$I:$I,'Session Logs'!$D:$D,B44,'Session Logs'!$C:$C,D44,'Session Logs'!$I:$I,"&gt;"&amp;TODAY())),"")</f>
        <v/>
      </c>
      <c r="G44" s="64" t="str">
        <f t="shared" ca="1" si="1"/>
        <v>No Mentor Assigned</v>
      </c>
      <c r="H44" s="52"/>
    </row>
    <row r="45" spans="1:8" ht="26.25" customHeight="1" x14ac:dyDescent="0.3">
      <c r="A45" s="62" t="str">
        <f>'Intern Profiles'!A45</f>
        <v>F8885801</v>
      </c>
      <c r="B45" s="52" t="str">
        <f>'Intern Profiles'!B45</f>
        <v>Maela Monareng</v>
      </c>
      <c r="C45" s="53" t="str">
        <f>'Intern Profiles'!C45</f>
        <v>Cohort 1 - 2026</v>
      </c>
      <c r="D45" s="52" t="str">
        <f>IF(A45="","",IFERROR(INDEX('Paste - Relationships'!$B$4:$B$800,MATCH(1,('Paste - Relationships'!$P$4:$P$800=VALUE(A45))*('Paste - Relationships'!$AE$4:$AE$800=""),0)),""))</f>
        <v/>
      </c>
      <c r="E45" s="63" t="str">
        <f ca="1">IFERROR(IF(A45="","",_xludf.maxifs('Session Logs'!$E:$E,'Session Logs'!$D:$D,B45,'Session Logs'!$C:$C,D45)),"")</f>
        <v/>
      </c>
      <c r="F45" s="63" t="str">
        <f ca="1">IFERROR(IF(A45="","",_xludf.maxifs('Session Logs'!$I:$I,'Session Logs'!$D:$D,B45,'Session Logs'!$C:$C,D45,'Session Logs'!$I:$I,"&gt;"&amp;TODAY())),"")</f>
        <v/>
      </c>
      <c r="G45" s="64" t="str">
        <f t="shared" ca="1" si="1"/>
        <v>No Mentor Assigned</v>
      </c>
      <c r="H45" s="52"/>
    </row>
    <row r="46" spans="1:8" ht="26.25" customHeight="1" x14ac:dyDescent="0.3">
      <c r="A46" s="62" t="str">
        <f>'Intern Profiles'!A46</f>
        <v>F8885702</v>
      </c>
      <c r="B46" s="52" t="str">
        <f>'Intern Profiles'!B46</f>
        <v>Erron Goliath</v>
      </c>
      <c r="C46" s="53" t="str">
        <f>'Intern Profiles'!C46</f>
        <v>Cohort 1 - 2026</v>
      </c>
      <c r="D46" s="52" t="str">
        <f>IF(A46="","",IFERROR(INDEX('Paste - Relationships'!$B$4:$B$800,MATCH(1,('Paste - Relationships'!$P$4:$P$800=VALUE(A46))*('Paste - Relationships'!$AE$4:$AE$800=""),0)),""))</f>
        <v/>
      </c>
      <c r="E46" s="63" t="str">
        <f ca="1">IFERROR(IF(A46="","",_xludf.maxifs('Session Logs'!$E:$E,'Session Logs'!$D:$D,B46,'Session Logs'!$C:$C,D46)),"")</f>
        <v/>
      </c>
      <c r="F46" s="63" t="str">
        <f ca="1">IFERROR(IF(A46="","",_xludf.maxifs('Session Logs'!$I:$I,'Session Logs'!$D:$D,B46,'Session Logs'!$C:$C,D46,'Session Logs'!$I:$I,"&gt;"&amp;TODAY())),"")</f>
        <v/>
      </c>
      <c r="G46" s="64" t="str">
        <f t="shared" ca="1" si="1"/>
        <v>No Mentor Assigned</v>
      </c>
      <c r="H46" s="52"/>
    </row>
    <row r="47" spans="1:8" ht="26.25" customHeight="1" x14ac:dyDescent="0.3">
      <c r="A47" s="62" t="str">
        <f>'Intern Profiles'!A47</f>
        <v>F8885703</v>
      </c>
      <c r="B47" s="52" t="str">
        <f>'Intern Profiles'!B47</f>
        <v>Lebohang Majoro</v>
      </c>
      <c r="C47" s="53" t="str">
        <f>'Intern Profiles'!C47</f>
        <v>Cohort 1 - 2026</v>
      </c>
      <c r="D47" s="52" t="str">
        <f>IF(A47="","",IFERROR(INDEX('Paste - Relationships'!$B$4:$B$800,MATCH(1,('Paste - Relationships'!$P$4:$P$800=VALUE(A47))*('Paste - Relationships'!$AE$4:$AE$800=""),0)),""))</f>
        <v/>
      </c>
      <c r="E47" s="63" t="str">
        <f ca="1">IFERROR(IF(A47="","",_xludf.maxifs('Session Logs'!$E:$E,'Session Logs'!$D:$D,B47,'Session Logs'!$C:$C,D47)),"")</f>
        <v/>
      </c>
      <c r="F47" s="63" t="str">
        <f ca="1">IFERROR(IF(A47="","",_xludf.maxifs('Session Logs'!$I:$I,'Session Logs'!$D:$D,B47,'Session Logs'!$C:$C,D47,'Session Logs'!$I:$I,"&gt;"&amp;TODAY())),"")</f>
        <v/>
      </c>
      <c r="G47" s="64" t="str">
        <f t="shared" ca="1" si="1"/>
        <v>No Mentor Assigned</v>
      </c>
      <c r="H47" s="52"/>
    </row>
    <row r="48" spans="1:8" ht="26.25" customHeight="1" x14ac:dyDescent="0.3">
      <c r="A48" s="62" t="str">
        <f>'Intern Profiles'!A48</f>
        <v>F8885685</v>
      </c>
      <c r="B48" s="52" t="str">
        <f>'Intern Profiles'!B48</f>
        <v>Phumlani Ncewula</v>
      </c>
      <c r="C48" s="53" t="str">
        <f>'Intern Profiles'!C48</f>
        <v>Cohort 1 - 2026</v>
      </c>
      <c r="D48" s="52" t="str">
        <f>IF(A48="","",IFERROR(INDEX('Paste - Relationships'!$B$4:$B$800,MATCH(1,('Paste - Relationships'!$P$4:$P$800=VALUE(A48))*('Paste - Relationships'!$AE$4:$AE$800=""),0)),""))</f>
        <v/>
      </c>
      <c r="E48" s="63" t="str">
        <f ca="1">IFERROR(IF(A48="","",_xludf.maxifs('Session Logs'!$E:$E,'Session Logs'!$D:$D,B48,'Session Logs'!$C:$C,D48)),"")</f>
        <v/>
      </c>
      <c r="F48" s="63" t="str">
        <f ca="1">IFERROR(IF(A48="","",_xludf.maxifs('Session Logs'!$I:$I,'Session Logs'!$D:$D,B48,'Session Logs'!$C:$C,D48,'Session Logs'!$I:$I,"&gt;"&amp;TODAY())),"")</f>
        <v/>
      </c>
      <c r="G48" s="64" t="str">
        <f t="shared" ca="1" si="1"/>
        <v>No Mentor Assigned</v>
      </c>
      <c r="H48" s="52"/>
    </row>
    <row r="49" spans="1:8" ht="26.25" customHeight="1" x14ac:dyDescent="0.3">
      <c r="A49" s="62" t="str">
        <f>'Intern Profiles'!A49</f>
        <v>F8884126</v>
      </c>
      <c r="B49" s="52" t="str">
        <f>'Intern Profiles'!B49</f>
        <v>Shrika Jaikishor</v>
      </c>
      <c r="C49" s="53" t="str">
        <f>'Intern Profiles'!C49</f>
        <v>Cohort 1 - 2026</v>
      </c>
      <c r="D49" s="52" t="str">
        <f>IF(A49="","",IFERROR(INDEX('Paste - Relationships'!$B$4:$B$800,MATCH(1,('Paste - Relationships'!$P$4:$P$800=VALUE(A49))*('Paste - Relationships'!$AE$4:$AE$800=""),0)),""))</f>
        <v/>
      </c>
      <c r="E49" s="63" t="str">
        <f ca="1">IFERROR(IF(A49="","",_xludf.maxifs('Session Logs'!$E:$E,'Session Logs'!$D:$D,B49,'Session Logs'!$C:$C,D49)),"")</f>
        <v/>
      </c>
      <c r="F49" s="63" t="str">
        <f ca="1">IFERROR(IF(A49="","",_xludf.maxifs('Session Logs'!$I:$I,'Session Logs'!$D:$D,B49,'Session Logs'!$C:$C,D49,'Session Logs'!$I:$I,"&gt;"&amp;TODAY())),"")</f>
        <v/>
      </c>
      <c r="G49" s="64" t="str">
        <f t="shared" ca="1" si="1"/>
        <v>No Mentor Assigned</v>
      </c>
      <c r="H49" s="52"/>
    </row>
    <row r="50" spans="1:8" ht="26.25" customHeight="1" x14ac:dyDescent="0.3">
      <c r="A50" s="62" t="str">
        <f>'Intern Profiles'!A50</f>
        <v>F8885610</v>
      </c>
      <c r="B50" s="52" t="str">
        <f>'Intern Profiles'!B50</f>
        <v>Thaveesh Singh Narrandes</v>
      </c>
      <c r="C50" s="53" t="str">
        <f>'Intern Profiles'!C50</f>
        <v>Cohort 1 - 2026</v>
      </c>
      <c r="D50" s="52" t="str">
        <f>IF(A50="","",IFERROR(INDEX('Paste - Relationships'!$B$4:$B$800,MATCH(1,('Paste - Relationships'!$P$4:$P$800=VALUE(A50))*('Paste - Relationships'!$AE$4:$AE$800=""),0)),""))</f>
        <v/>
      </c>
      <c r="E50" s="63" t="str">
        <f ca="1">IFERROR(IF(A50="","",_xludf.maxifs('Session Logs'!$E:$E,'Session Logs'!$D:$D,B50,'Session Logs'!$C:$C,D50)),"")</f>
        <v/>
      </c>
      <c r="F50" s="63" t="str">
        <f ca="1">IFERROR(IF(A50="","",_xludf.maxifs('Session Logs'!$I:$I,'Session Logs'!$D:$D,B50,'Session Logs'!$C:$C,D50,'Session Logs'!$I:$I,"&gt;"&amp;TODAY())),"")</f>
        <v/>
      </c>
      <c r="G50" s="64" t="str">
        <f t="shared" ca="1" si="1"/>
        <v>No Mentor Assigned</v>
      </c>
      <c r="H50" s="52"/>
    </row>
    <row r="51" spans="1:8" ht="26.25" customHeight="1" x14ac:dyDescent="0.3">
      <c r="A51" s="62" t="str">
        <f>'Intern Profiles'!A51</f>
        <v>F8885849</v>
      </c>
      <c r="B51" s="52" t="str">
        <f>'Intern Profiles'!B51</f>
        <v>Goobamang Matlhako</v>
      </c>
      <c r="C51" s="53" t="str">
        <f>'Intern Profiles'!C51</f>
        <v>Cohort 1 - 2026</v>
      </c>
      <c r="D51" s="52" t="str">
        <f>IF(A51="","",IFERROR(INDEX('Paste - Relationships'!$B$4:$B$800,MATCH(1,('Paste - Relationships'!$P$4:$P$800=VALUE(A51))*('Paste - Relationships'!$AE$4:$AE$800=""),0)),""))</f>
        <v/>
      </c>
      <c r="E51" s="63" t="str">
        <f ca="1">IFERROR(IF(A51="","",_xludf.maxifs('Session Logs'!$E:$E,'Session Logs'!$D:$D,B51,'Session Logs'!$C:$C,D51)),"")</f>
        <v/>
      </c>
      <c r="F51" s="63" t="str">
        <f ca="1">IFERROR(IF(A51="","",_xludf.maxifs('Session Logs'!$I:$I,'Session Logs'!$D:$D,B51,'Session Logs'!$C:$C,D51,'Session Logs'!$I:$I,"&gt;"&amp;TODAY())),"")</f>
        <v/>
      </c>
      <c r="G51" s="64" t="str">
        <f t="shared" ca="1" si="1"/>
        <v>No Mentor Assigned</v>
      </c>
      <c r="H51" s="52"/>
    </row>
    <row r="52" spans="1:8" ht="26.25" customHeight="1" x14ac:dyDescent="0.3">
      <c r="A52" s="62" t="str">
        <f>'Intern Profiles'!A52</f>
        <v>F8884295</v>
      </c>
      <c r="B52" s="52" t="str">
        <f>'Intern Profiles'!B52</f>
        <v>Rudzani Ravele</v>
      </c>
      <c r="C52" s="53" t="str">
        <f>'Intern Profiles'!C52</f>
        <v>Cohort 1 - 2026</v>
      </c>
      <c r="D52" s="52" t="str">
        <f>IF(A52="","",IFERROR(INDEX('Paste - Relationships'!$B$4:$B$800,MATCH(1,('Paste - Relationships'!$P$4:$P$800=VALUE(A52))*('Paste - Relationships'!$AE$4:$AE$800=""),0)),""))</f>
        <v/>
      </c>
      <c r="E52" s="63" t="str">
        <f ca="1">IFERROR(IF(A52="","",_xludf.maxifs('Session Logs'!$E:$E,'Session Logs'!$D:$D,B52,'Session Logs'!$C:$C,D52)),"")</f>
        <v/>
      </c>
      <c r="F52" s="63" t="str">
        <f ca="1">IFERROR(IF(A52="","",_xludf.maxifs('Session Logs'!$I:$I,'Session Logs'!$D:$D,B52,'Session Logs'!$C:$C,D52,'Session Logs'!$I:$I,"&gt;"&amp;TODAY())),"")</f>
        <v/>
      </c>
      <c r="G52" s="64" t="str">
        <f t="shared" ca="1" si="1"/>
        <v>No Mentor Assigned</v>
      </c>
      <c r="H52" s="52"/>
    </row>
    <row r="53" spans="1:8" ht="26.25" customHeight="1" x14ac:dyDescent="0.3">
      <c r="A53" s="62" t="str">
        <f>'Intern Profiles'!A53</f>
        <v>F8884207</v>
      </c>
      <c r="B53" s="52" t="str">
        <f>'Intern Profiles'!B53</f>
        <v>Kutlwano Lekgetho</v>
      </c>
      <c r="C53" s="53" t="str">
        <f>'Intern Profiles'!C53</f>
        <v>Cohort 1 - 2026</v>
      </c>
      <c r="D53" s="52" t="str">
        <f>IF(A53="","",IFERROR(INDEX('Paste - Relationships'!$B$4:$B$800,MATCH(1,('Paste - Relationships'!$P$4:$P$800=VALUE(A53))*('Paste - Relationships'!$AE$4:$AE$800=""),0)),""))</f>
        <v/>
      </c>
      <c r="E53" s="63" t="str">
        <f ca="1">IFERROR(IF(A53="","",_xludf.maxifs('Session Logs'!$E:$E,'Session Logs'!$D:$D,B53,'Session Logs'!$C:$C,D53)),"")</f>
        <v/>
      </c>
      <c r="F53" s="63" t="str">
        <f ca="1">IFERROR(IF(A53="","",_xludf.maxifs('Session Logs'!$I:$I,'Session Logs'!$D:$D,B53,'Session Logs'!$C:$C,D53,'Session Logs'!$I:$I,"&gt;"&amp;TODAY())),"")</f>
        <v/>
      </c>
      <c r="G53" s="64" t="str">
        <f t="shared" ca="1" si="1"/>
        <v>No Mentor Assigned</v>
      </c>
      <c r="H53" s="52"/>
    </row>
    <row r="54" spans="1:8" ht="26.25" customHeight="1" x14ac:dyDescent="0.3">
      <c r="A54" s="62" t="str">
        <f>'Intern Profiles'!A54</f>
        <v>F8885564</v>
      </c>
      <c r="B54" s="52" t="str">
        <f>'Intern Profiles'!B54</f>
        <v>Gugu Yeni</v>
      </c>
      <c r="C54" s="53" t="str">
        <f>'Intern Profiles'!C54</f>
        <v>Cohort 1 - 2026</v>
      </c>
      <c r="D54" s="52" t="str">
        <f>IF(A54="","",IFERROR(INDEX('Paste - Relationships'!$B$4:$B$800,MATCH(1,('Paste - Relationships'!$P$4:$P$800=VALUE(A54))*('Paste - Relationships'!$AE$4:$AE$800=""),0)),""))</f>
        <v/>
      </c>
      <c r="E54" s="63" t="str">
        <f ca="1">IFERROR(IF(A54="","",_xludf.maxifs('Session Logs'!$E:$E,'Session Logs'!$D:$D,B54,'Session Logs'!$C:$C,D54)),"")</f>
        <v/>
      </c>
      <c r="F54" s="63" t="str">
        <f ca="1">IFERROR(IF(A54="","",_xludf.maxifs('Session Logs'!$I:$I,'Session Logs'!$D:$D,B54,'Session Logs'!$C:$C,D54,'Session Logs'!$I:$I,"&gt;"&amp;TODAY())),"")</f>
        <v/>
      </c>
      <c r="G54" s="64" t="str">
        <f t="shared" ca="1" si="1"/>
        <v>No Mentor Assigned</v>
      </c>
      <c r="H54" s="52"/>
    </row>
    <row r="55" spans="1:8" ht="26.25" customHeight="1" x14ac:dyDescent="0.3">
      <c r="A55" s="62" t="str">
        <f>'Intern Profiles'!A55</f>
        <v>F8885698</v>
      </c>
      <c r="B55" s="52" t="str">
        <f>'Intern Profiles'!B55</f>
        <v>Keletso Mabula</v>
      </c>
      <c r="C55" s="53" t="str">
        <f>'Intern Profiles'!C55</f>
        <v>Cohort 1 - 2026</v>
      </c>
      <c r="D55" s="52" t="str">
        <f>IF(A55="","",IFERROR(INDEX('Paste - Relationships'!$B$4:$B$800,MATCH(1,('Paste - Relationships'!$P$4:$P$800=VALUE(A55))*('Paste - Relationships'!$AE$4:$AE$800=""),0)),""))</f>
        <v/>
      </c>
      <c r="E55" s="63" t="str">
        <f ca="1">IFERROR(IF(A55="","",_xludf.maxifs('Session Logs'!$E:$E,'Session Logs'!$D:$D,B55,'Session Logs'!$C:$C,D55)),"")</f>
        <v/>
      </c>
      <c r="F55" s="63" t="str">
        <f ca="1">IFERROR(IF(A55="","",_xludf.maxifs('Session Logs'!$I:$I,'Session Logs'!$D:$D,B55,'Session Logs'!$C:$C,D55,'Session Logs'!$I:$I,"&gt;"&amp;TODAY())),"")</f>
        <v/>
      </c>
      <c r="G55" s="64" t="str">
        <f t="shared" ca="1" si="1"/>
        <v>No Mentor Assigned</v>
      </c>
      <c r="H55" s="52"/>
    </row>
    <row r="56" spans="1:8" ht="26.25" customHeight="1" x14ac:dyDescent="0.3">
      <c r="A56" s="62" t="str">
        <f>'Intern Profiles'!A56</f>
        <v>F8885705</v>
      </c>
      <c r="B56" s="52" t="str">
        <f>'Intern Profiles'!B56</f>
        <v>Sibusiso Shezi</v>
      </c>
      <c r="C56" s="53" t="str">
        <f>'Intern Profiles'!C56</f>
        <v>Cohort 1 - 2026</v>
      </c>
      <c r="D56" s="52" t="str">
        <f>IF(A56="","",IFERROR(INDEX('Paste - Relationships'!$B$4:$B$800,MATCH(1,('Paste - Relationships'!$P$4:$P$800=VALUE(A56))*('Paste - Relationships'!$AE$4:$AE$800=""),0)),""))</f>
        <v/>
      </c>
      <c r="E56" s="63" t="str">
        <f ca="1">IFERROR(IF(A56="","",_xludf.maxifs('Session Logs'!$E:$E,'Session Logs'!$D:$D,B56,'Session Logs'!$C:$C,D56)),"")</f>
        <v/>
      </c>
      <c r="F56" s="63" t="str">
        <f ca="1">IFERROR(IF(A56="","",_xludf.maxifs('Session Logs'!$I:$I,'Session Logs'!$D:$D,B56,'Session Logs'!$C:$C,D56,'Session Logs'!$I:$I,"&gt;"&amp;TODAY())),"")</f>
        <v/>
      </c>
      <c r="G56" s="64" t="str">
        <f t="shared" ca="1" si="1"/>
        <v>No Mentor Assigned</v>
      </c>
      <c r="H56" s="52"/>
    </row>
    <row r="57" spans="1:8" ht="26.25" customHeight="1" x14ac:dyDescent="0.3">
      <c r="A57" s="62" t="str">
        <f>'Intern Profiles'!A57</f>
        <v>F8885622</v>
      </c>
      <c r="B57" s="52" t="str">
        <f>'Intern Profiles'!B57</f>
        <v>Phindile Mpumelelo Nimrod Mayeke</v>
      </c>
      <c r="C57" s="53" t="str">
        <f>'Intern Profiles'!C57</f>
        <v>Cohort 1 - 2026</v>
      </c>
      <c r="D57" s="52" t="str">
        <f>IF(A57="","",IFERROR(INDEX('Paste - Relationships'!$B$4:$B$800,MATCH(1,('Paste - Relationships'!$P$4:$P$800=VALUE(A57))*('Paste - Relationships'!$AE$4:$AE$800=""),0)),""))</f>
        <v/>
      </c>
      <c r="E57" s="63" t="str">
        <f ca="1">IFERROR(IF(A57="","",_xludf.maxifs('Session Logs'!$E:$E,'Session Logs'!$D:$D,B57,'Session Logs'!$C:$C,D57)),"")</f>
        <v/>
      </c>
      <c r="F57" s="63" t="str">
        <f ca="1">IFERROR(IF(A57="","",_xludf.maxifs('Session Logs'!$I:$I,'Session Logs'!$D:$D,B57,'Session Logs'!$C:$C,D57,'Session Logs'!$I:$I,"&gt;"&amp;TODAY())),"")</f>
        <v/>
      </c>
      <c r="G57" s="64" t="str">
        <f t="shared" ca="1" si="1"/>
        <v>No Mentor Assigned</v>
      </c>
      <c r="H57" s="52"/>
    </row>
    <row r="58" spans="1:8" ht="26.25" customHeight="1" x14ac:dyDescent="0.3">
      <c r="A58" s="62" t="str">
        <f>'Intern Profiles'!A58</f>
        <v>F8884205</v>
      </c>
      <c r="B58" s="52" t="str">
        <f>'Intern Profiles'!B58</f>
        <v>Trecia Ndlovu</v>
      </c>
      <c r="C58" s="53" t="str">
        <f>'Intern Profiles'!C58</f>
        <v>Cohort 1 - 2026</v>
      </c>
      <c r="D58" s="52" t="str">
        <f>IF(A58="","",IFERROR(INDEX('Paste - Relationships'!$B$4:$B$800,MATCH(1,('Paste - Relationships'!$P$4:$P$800=VALUE(A58))*('Paste - Relationships'!$AE$4:$AE$800=""),0)),""))</f>
        <v/>
      </c>
      <c r="E58" s="63" t="str">
        <f ca="1">IFERROR(IF(A58="","",_xludf.maxifs('Session Logs'!$E:$E,'Session Logs'!$D:$D,B58,'Session Logs'!$C:$C,D58)),"")</f>
        <v/>
      </c>
      <c r="F58" s="63" t="str">
        <f ca="1">IFERROR(IF(A58="","",_xludf.maxifs('Session Logs'!$I:$I,'Session Logs'!$D:$D,B58,'Session Logs'!$C:$C,D58,'Session Logs'!$I:$I,"&gt;"&amp;TODAY())),"")</f>
        <v/>
      </c>
      <c r="G58" s="64" t="str">
        <f t="shared" ca="1" si="1"/>
        <v>No Mentor Assigned</v>
      </c>
      <c r="H58" s="52"/>
    </row>
    <row r="59" spans="1:8" ht="26.25" customHeight="1" x14ac:dyDescent="0.3">
      <c r="A59" s="62" t="str">
        <f>'Intern Profiles'!A59</f>
        <v>F8884140</v>
      </c>
      <c r="B59" s="52" t="str">
        <f>'Intern Profiles'!B59</f>
        <v>Lwazi Jakalase</v>
      </c>
      <c r="C59" s="53" t="str">
        <f>'Intern Profiles'!C59</f>
        <v>Cohort 1 - 2026</v>
      </c>
      <c r="D59" s="52" t="str">
        <f>IF(A59="","",IFERROR(INDEX('Paste - Relationships'!$B$4:$B$800,MATCH(1,('Paste - Relationships'!$P$4:$P$800=VALUE(A59))*('Paste - Relationships'!$AE$4:$AE$800=""),0)),""))</f>
        <v/>
      </c>
      <c r="E59" s="63" t="str">
        <f ca="1">IFERROR(IF(A59="","",_xludf.maxifs('Session Logs'!$E:$E,'Session Logs'!$D:$D,B59,'Session Logs'!$C:$C,D59)),"")</f>
        <v/>
      </c>
      <c r="F59" s="63" t="str">
        <f ca="1">IFERROR(IF(A59="","",_xludf.maxifs('Session Logs'!$I:$I,'Session Logs'!$D:$D,B59,'Session Logs'!$C:$C,D59,'Session Logs'!$I:$I,"&gt;"&amp;TODAY())),"")</f>
        <v/>
      </c>
      <c r="G59" s="64" t="str">
        <f t="shared" ca="1" si="1"/>
        <v>No Mentor Assigned</v>
      </c>
      <c r="H59" s="52"/>
    </row>
    <row r="60" spans="1:8" ht="26.25" customHeight="1" x14ac:dyDescent="0.3">
      <c r="A60" s="62" t="str">
        <f>'Intern Profiles'!A60</f>
        <v>F8884142</v>
      </c>
      <c r="B60" s="52" t="str">
        <f>'Intern Profiles'!B60</f>
        <v>Gugu Vananda</v>
      </c>
      <c r="C60" s="53" t="str">
        <f>'Intern Profiles'!C60</f>
        <v>Cohort 1 - 2026</v>
      </c>
      <c r="D60" s="52" t="str">
        <f>IF(A60="","",IFERROR(INDEX('Paste - Relationships'!$B$4:$B$800,MATCH(1,('Paste - Relationships'!$P$4:$P$800=VALUE(A60))*('Paste - Relationships'!$AE$4:$AE$800=""),0)),""))</f>
        <v/>
      </c>
      <c r="E60" s="63" t="str">
        <f ca="1">IFERROR(IF(A60="","",_xludf.maxifs('Session Logs'!$E:$E,'Session Logs'!$D:$D,B60,'Session Logs'!$C:$C,D60)),"")</f>
        <v/>
      </c>
      <c r="F60" s="63" t="str">
        <f ca="1">IFERROR(IF(A60="","",_xludf.maxifs('Session Logs'!$I:$I,'Session Logs'!$D:$D,B60,'Session Logs'!$C:$C,D60,'Session Logs'!$I:$I,"&gt;"&amp;TODAY())),"")</f>
        <v/>
      </c>
      <c r="G60" s="64" t="str">
        <f t="shared" ca="1" si="1"/>
        <v>No Mentor Assigned</v>
      </c>
      <c r="H60" s="52"/>
    </row>
    <row r="61" spans="1:8" ht="26.25" customHeight="1" x14ac:dyDescent="0.3">
      <c r="A61" s="62" t="str">
        <f>'Intern Profiles'!A61</f>
        <v>F8884366</v>
      </c>
      <c r="B61" s="52" t="str">
        <f>'Intern Profiles'!B61</f>
        <v>Zellne Botha</v>
      </c>
      <c r="C61" s="53" t="str">
        <f>'Intern Profiles'!C61</f>
        <v>Cohort 1 - 2026</v>
      </c>
      <c r="D61" s="52" t="str">
        <f>IF(A61="","",IFERROR(INDEX('Paste - Relationships'!$B$4:$B$800,MATCH(1,('Paste - Relationships'!$P$4:$P$800=VALUE(A61))*('Paste - Relationships'!$AE$4:$AE$800=""),0)),""))</f>
        <v/>
      </c>
      <c r="E61" s="63" t="str">
        <f ca="1">IFERROR(IF(A61="","",_xludf.maxifs('Session Logs'!$E:$E,'Session Logs'!$D:$D,B61,'Session Logs'!$C:$C,D61)),"")</f>
        <v/>
      </c>
      <c r="F61" s="63" t="str">
        <f ca="1">IFERROR(IF(A61="","",_xludf.maxifs('Session Logs'!$I:$I,'Session Logs'!$D:$D,B61,'Session Logs'!$C:$C,D61,'Session Logs'!$I:$I,"&gt;"&amp;TODAY())),"")</f>
        <v/>
      </c>
      <c r="G61" s="64" t="str">
        <f t="shared" ca="1" si="1"/>
        <v>No Mentor Assigned</v>
      </c>
      <c r="H61" s="52"/>
    </row>
    <row r="62" spans="1:8" ht="26.25" customHeight="1" x14ac:dyDescent="0.3">
      <c r="A62" s="62" t="str">
        <f>'Intern Profiles'!A62</f>
        <v>F8884145</v>
      </c>
      <c r="B62" s="52" t="str">
        <f>'Intern Profiles'!B62</f>
        <v>Khwezi Ntsele</v>
      </c>
      <c r="C62" s="53" t="str">
        <f>'Intern Profiles'!C62</f>
        <v>Cohort 1 - 2026</v>
      </c>
      <c r="D62" s="52" t="str">
        <f>IF(A62="","",IFERROR(INDEX('Paste - Relationships'!$B$4:$B$800,MATCH(1,('Paste - Relationships'!$P$4:$P$800=VALUE(A62))*('Paste - Relationships'!$AE$4:$AE$800=""),0)),""))</f>
        <v/>
      </c>
      <c r="E62" s="63" t="str">
        <f ca="1">IFERROR(IF(A62="","",_xludf.maxifs('Session Logs'!$E:$E,'Session Logs'!$D:$D,B62,'Session Logs'!$C:$C,D62)),"")</f>
        <v/>
      </c>
      <c r="F62" s="63" t="str">
        <f ca="1">IFERROR(IF(A62="","",_xludf.maxifs('Session Logs'!$I:$I,'Session Logs'!$D:$D,B62,'Session Logs'!$C:$C,D62,'Session Logs'!$I:$I,"&gt;"&amp;TODAY())),"")</f>
        <v/>
      </c>
      <c r="G62" s="64" t="str">
        <f t="shared" ca="1" si="1"/>
        <v>No Mentor Assigned</v>
      </c>
      <c r="H62" s="52"/>
    </row>
    <row r="63" spans="1:8" ht="26.25" customHeight="1" x14ac:dyDescent="0.3">
      <c r="A63" s="62" t="str">
        <f>'Intern Profiles'!A63</f>
        <v>F8884172</v>
      </c>
      <c r="B63" s="52" t="str">
        <f>'Intern Profiles'!B63</f>
        <v>Nthabiseng Letsoalo</v>
      </c>
      <c r="C63" s="53" t="str">
        <f>'Intern Profiles'!C63</f>
        <v>Cohort 1 - 2026</v>
      </c>
      <c r="D63" s="52" t="str">
        <f>IF(A63="","",IFERROR(INDEX('Paste - Relationships'!$B$4:$B$800,MATCH(1,('Paste - Relationships'!$P$4:$P$800=VALUE(A63))*('Paste - Relationships'!$AE$4:$AE$800=""),0)),""))</f>
        <v/>
      </c>
      <c r="E63" s="63" t="str">
        <f ca="1">IFERROR(IF(A63="","",_xludf.maxifs('Session Logs'!$E:$E,'Session Logs'!$D:$D,B63,'Session Logs'!$C:$C,D63)),"")</f>
        <v/>
      </c>
      <c r="F63" s="63" t="str">
        <f ca="1">IFERROR(IF(A63="","",_xludf.maxifs('Session Logs'!$I:$I,'Session Logs'!$D:$D,B63,'Session Logs'!$C:$C,D63,'Session Logs'!$I:$I,"&gt;"&amp;TODAY())),"")</f>
        <v/>
      </c>
      <c r="G63" s="64" t="str">
        <f t="shared" ca="1" si="1"/>
        <v>No Mentor Assigned</v>
      </c>
      <c r="H63" s="52"/>
    </row>
    <row r="64" spans="1:8" ht="26.25" customHeight="1" x14ac:dyDescent="0.3">
      <c r="A64" s="62" t="str">
        <f>'Intern Profiles'!A64</f>
        <v>F8885545</v>
      </c>
      <c r="B64" s="52" t="str">
        <f>'Intern Profiles'!B64</f>
        <v>Papi Tsotetsi</v>
      </c>
      <c r="C64" s="53" t="str">
        <f>'Intern Profiles'!C64</f>
        <v>Cohort 1 - 2026</v>
      </c>
      <c r="D64" s="52" t="str">
        <f>IF(A64="","",IFERROR(INDEX('Paste - Relationships'!$B$4:$B$800,MATCH(1,('Paste - Relationships'!$P$4:$P$800=VALUE(A64))*('Paste - Relationships'!$AE$4:$AE$800=""),0)),""))</f>
        <v/>
      </c>
      <c r="E64" s="63" t="str">
        <f ca="1">IFERROR(IF(A64="","",_xludf.maxifs('Session Logs'!$E:$E,'Session Logs'!$D:$D,B64,'Session Logs'!$C:$C,D64)),"")</f>
        <v/>
      </c>
      <c r="F64" s="63" t="str">
        <f ca="1">IFERROR(IF(A64="","",_xludf.maxifs('Session Logs'!$I:$I,'Session Logs'!$D:$D,B64,'Session Logs'!$C:$C,D64,'Session Logs'!$I:$I,"&gt;"&amp;TODAY())),"")</f>
        <v/>
      </c>
      <c r="G64" s="64" t="str">
        <f t="shared" ca="1" si="1"/>
        <v>No Mentor Assigned</v>
      </c>
      <c r="H64" s="52"/>
    </row>
    <row r="65" spans="1:8" ht="26.25" customHeight="1" x14ac:dyDescent="0.3">
      <c r="A65" s="62" t="str">
        <f>'Intern Profiles'!A65</f>
        <v>F8884134</v>
      </c>
      <c r="B65" s="52" t="str">
        <f>'Intern Profiles'!B65</f>
        <v>Kopano Mpya</v>
      </c>
      <c r="C65" s="53" t="str">
        <f>'Intern Profiles'!C65</f>
        <v>Cohort 1 - 2026</v>
      </c>
      <c r="D65" s="52" t="str">
        <f>IF(A65="","",IFERROR(INDEX('Paste - Relationships'!$B$4:$B$800,MATCH(1,('Paste - Relationships'!$P$4:$P$800=VALUE(A65))*('Paste - Relationships'!$AE$4:$AE$800=""),0)),""))</f>
        <v/>
      </c>
      <c r="E65" s="63" t="str">
        <f ca="1">IFERROR(IF(A65="","",_xludf.maxifs('Session Logs'!$E:$E,'Session Logs'!$D:$D,B65,'Session Logs'!$C:$C,D65)),"")</f>
        <v/>
      </c>
      <c r="F65" s="63" t="str">
        <f ca="1">IFERROR(IF(A65="","",_xludf.maxifs('Session Logs'!$I:$I,'Session Logs'!$D:$D,B65,'Session Logs'!$C:$C,D65,'Session Logs'!$I:$I,"&gt;"&amp;TODAY())),"")</f>
        <v/>
      </c>
      <c r="G65" s="64" t="str">
        <f t="shared" ca="1" si="1"/>
        <v>No Mentor Assigned</v>
      </c>
      <c r="H65" s="52"/>
    </row>
    <row r="66" spans="1:8" ht="26.25" customHeight="1" x14ac:dyDescent="0.3">
      <c r="A66" s="62" t="str">
        <f>'Intern Profiles'!A66</f>
        <v>F8885692</v>
      </c>
      <c r="B66" s="52" t="str">
        <f>'Intern Profiles'!B66</f>
        <v>Nondumiso Magongo</v>
      </c>
      <c r="C66" s="53" t="str">
        <f>'Intern Profiles'!C66</f>
        <v>Cohort 1 - 2026</v>
      </c>
      <c r="D66" s="52" t="str">
        <f>IF(A66="","",IFERROR(INDEX('Paste - Relationships'!$B$4:$B$800,MATCH(1,('Paste - Relationships'!$P$4:$P$800=VALUE(A66))*('Paste - Relationships'!$AE$4:$AE$800=""),0)),""))</f>
        <v/>
      </c>
      <c r="E66" s="63" t="str">
        <f ca="1">IFERROR(IF(A66="","",_xludf.maxifs('Session Logs'!$E:$E,'Session Logs'!$D:$D,B66,'Session Logs'!$C:$C,D66)),"")</f>
        <v/>
      </c>
      <c r="F66" s="63" t="str">
        <f ca="1">IFERROR(IF(A66="","",_xludf.maxifs('Session Logs'!$I:$I,'Session Logs'!$D:$D,B66,'Session Logs'!$C:$C,D66,'Session Logs'!$I:$I,"&gt;"&amp;TODAY())),"")</f>
        <v/>
      </c>
      <c r="G66" s="64" t="str">
        <f t="shared" ca="1" si="1"/>
        <v>No Mentor Assigned</v>
      </c>
      <c r="H66" s="52"/>
    </row>
    <row r="67" spans="1:8" ht="26.25" customHeight="1" x14ac:dyDescent="0.3">
      <c r="A67" s="62">
        <f>'Intern Profiles'!A67</f>
        <v>0</v>
      </c>
      <c r="B67" s="52">
        <f>'Intern Profiles'!B67</f>
        <v>0</v>
      </c>
      <c r="C67" s="53">
        <f>'Intern Profiles'!C67</f>
        <v>0</v>
      </c>
      <c r="D67" s="52" t="str">
        <f>IF(A67="","",IFERROR(INDEX('Paste - Relationships'!$B$4:$B$800,MATCH(1,('Paste - Relationships'!$P$4:$P$800=VALUE(A67))*('Paste - Relationships'!$AE$4:$AE$800=""),0)),""))</f>
        <v/>
      </c>
      <c r="E67" s="63" t="str">
        <f ca="1">IFERROR(IF(A67="","",_xludf.maxifs('Session Logs'!$E:$E,'Session Logs'!$D:$D,B67,'Session Logs'!$C:$C,D67)),"")</f>
        <v/>
      </c>
      <c r="F67" s="63" t="str">
        <f ca="1">IFERROR(IF(A67="","",_xludf.maxifs('Session Logs'!$I:$I,'Session Logs'!$D:$D,B67,'Session Logs'!$C:$C,D67,'Session Logs'!$I:$I,"&gt;"&amp;TODAY())),"")</f>
        <v/>
      </c>
      <c r="G67" s="64" t="str">
        <f t="shared" ca="1" si="1"/>
        <v>No Mentor Assigned</v>
      </c>
      <c r="H67" s="52"/>
    </row>
    <row r="68" spans="1:8" ht="26.25" customHeight="1" x14ac:dyDescent="0.3">
      <c r="A68" s="62">
        <f>'Intern Profiles'!A68</f>
        <v>0</v>
      </c>
      <c r="B68" s="52">
        <f>'Intern Profiles'!B68</f>
        <v>0</v>
      </c>
      <c r="C68" s="53">
        <f>'Intern Profiles'!C68</f>
        <v>0</v>
      </c>
      <c r="D68" s="52" t="str">
        <f>IF(A68="","",IFERROR(INDEX('Paste - Relationships'!$B$4:$B$800,MATCH(1,('Paste - Relationships'!$P$4:$P$800=VALUE(A68))*('Paste - Relationships'!$AE$4:$AE$800=""),0)),""))</f>
        <v/>
      </c>
      <c r="E68" s="63" t="str">
        <f ca="1">IFERROR(IF(A68="","",_xludf.maxifs('Session Logs'!$E:$E,'Session Logs'!$D:$D,B68,'Session Logs'!$C:$C,D68)),"")</f>
        <v/>
      </c>
      <c r="F68" s="63" t="str">
        <f ca="1">IFERROR(IF(A68="","",_xludf.maxifs('Session Logs'!$I:$I,'Session Logs'!$D:$D,B68,'Session Logs'!$C:$C,D68,'Session Logs'!$I:$I,"&gt;"&amp;TODAY())),"")</f>
        <v/>
      </c>
      <c r="G68" s="64" t="str">
        <f t="shared" ref="G68:G99" ca="1" si="2">IF(A68="","",IF(D68="","No Mentor Assigned",IF(E68="","No Sessions Yet",IF(AND(F68&lt;&gt;"",F68&lt;TODAY()),"Missed Session",IF(AND(TODAY()-E68&gt;30,F68=""),"Overdue – Book Now",IF(TODAY()-E68&gt;30,"Overdue – Session Booked","On Track"))))))</f>
        <v>No Mentor Assigned</v>
      </c>
      <c r="H68" s="52"/>
    </row>
    <row r="69" spans="1:8" ht="26.25" customHeight="1" x14ac:dyDescent="0.3">
      <c r="A69" s="62">
        <f>'Intern Profiles'!A69</f>
        <v>0</v>
      </c>
      <c r="B69" s="52">
        <f>'Intern Profiles'!B69</f>
        <v>0</v>
      </c>
      <c r="C69" s="53">
        <f>'Intern Profiles'!C69</f>
        <v>0</v>
      </c>
      <c r="D69" s="52" t="str">
        <f>IF(A69="","",IFERROR(INDEX('Paste - Relationships'!$B$4:$B$800,MATCH(1,('Paste - Relationships'!$P$4:$P$800=VALUE(A69))*('Paste - Relationships'!$AE$4:$AE$800=""),0)),""))</f>
        <v/>
      </c>
      <c r="E69" s="63" t="str">
        <f ca="1">IFERROR(IF(A69="","",_xludf.maxifs('Session Logs'!$E:$E,'Session Logs'!$D:$D,B69,'Session Logs'!$C:$C,D69)),"")</f>
        <v/>
      </c>
      <c r="F69" s="63" t="str">
        <f ca="1">IFERROR(IF(A69="","",_xludf.maxifs('Session Logs'!$I:$I,'Session Logs'!$D:$D,B69,'Session Logs'!$C:$C,D69,'Session Logs'!$I:$I,"&gt;"&amp;TODAY())),"")</f>
        <v/>
      </c>
      <c r="G69" s="64" t="str">
        <f t="shared" ca="1" si="2"/>
        <v>No Mentor Assigned</v>
      </c>
      <c r="H69" s="52"/>
    </row>
    <row r="70" spans="1:8" ht="26.25" customHeight="1" x14ac:dyDescent="0.3">
      <c r="A70" s="62">
        <f>'Intern Profiles'!A70</f>
        <v>0</v>
      </c>
      <c r="B70" s="52">
        <f>'Intern Profiles'!B70</f>
        <v>0</v>
      </c>
      <c r="C70" s="53">
        <f>'Intern Profiles'!C70</f>
        <v>0</v>
      </c>
      <c r="D70" s="52" t="str">
        <f>IF(A70="","",IFERROR(INDEX('Paste - Relationships'!$B$4:$B$800,MATCH(1,('Paste - Relationships'!$P$4:$P$800=VALUE(A70))*('Paste - Relationships'!$AE$4:$AE$800=""),0)),""))</f>
        <v/>
      </c>
      <c r="E70" s="63" t="str">
        <f ca="1">IFERROR(IF(A70="","",_xludf.maxifs('Session Logs'!$E:$E,'Session Logs'!$D:$D,B70,'Session Logs'!$C:$C,D70)),"")</f>
        <v/>
      </c>
      <c r="F70" s="63" t="str">
        <f ca="1">IFERROR(IF(A70="","",_xludf.maxifs('Session Logs'!$I:$I,'Session Logs'!$D:$D,B70,'Session Logs'!$C:$C,D70,'Session Logs'!$I:$I,"&gt;"&amp;TODAY())),"")</f>
        <v/>
      </c>
      <c r="G70" s="64" t="str">
        <f t="shared" ca="1" si="2"/>
        <v>No Mentor Assigned</v>
      </c>
      <c r="H70" s="52"/>
    </row>
    <row r="71" spans="1:8" ht="26.25" customHeight="1" x14ac:dyDescent="0.3">
      <c r="A71" s="62">
        <f>'Intern Profiles'!A71</f>
        <v>0</v>
      </c>
      <c r="B71" s="52">
        <f>'Intern Profiles'!B71</f>
        <v>0</v>
      </c>
      <c r="C71" s="53">
        <f>'Intern Profiles'!C71</f>
        <v>0</v>
      </c>
      <c r="D71" s="52" t="str">
        <f>IF(A71="","",IFERROR(INDEX('Paste - Relationships'!$B$4:$B$800,MATCH(1,('Paste - Relationships'!$P$4:$P$800=VALUE(A71))*('Paste - Relationships'!$AE$4:$AE$800=""),0)),""))</f>
        <v/>
      </c>
      <c r="E71" s="63" t="str">
        <f ca="1">IFERROR(IF(A71="","",_xludf.maxifs('Session Logs'!$E:$E,'Session Logs'!$D:$D,B71,'Session Logs'!$C:$C,D71)),"")</f>
        <v/>
      </c>
      <c r="F71" s="63" t="str">
        <f ca="1">IFERROR(IF(A71="","",_xludf.maxifs('Session Logs'!$I:$I,'Session Logs'!$D:$D,B71,'Session Logs'!$C:$C,D71,'Session Logs'!$I:$I,"&gt;"&amp;TODAY())),"")</f>
        <v/>
      </c>
      <c r="G71" s="64" t="str">
        <f t="shared" ca="1" si="2"/>
        <v>No Mentor Assigned</v>
      </c>
      <c r="H71" s="52"/>
    </row>
    <row r="72" spans="1:8" ht="26.25" customHeight="1" x14ac:dyDescent="0.3">
      <c r="A72" s="62">
        <f>'Intern Profiles'!A72</f>
        <v>0</v>
      </c>
      <c r="B72" s="52">
        <f>'Intern Profiles'!B72</f>
        <v>0</v>
      </c>
      <c r="C72" s="53">
        <f>'Intern Profiles'!C72</f>
        <v>0</v>
      </c>
      <c r="D72" s="52" t="str">
        <f>IF(A72="","",IFERROR(INDEX('Paste - Relationships'!$B$4:$B$800,MATCH(1,('Paste - Relationships'!$P$4:$P$800=VALUE(A72))*('Paste - Relationships'!$AE$4:$AE$800=""),0)),""))</f>
        <v/>
      </c>
      <c r="E72" s="63" t="str">
        <f ca="1">IFERROR(IF(A72="","",_xludf.maxifs('Session Logs'!$E:$E,'Session Logs'!$D:$D,B72,'Session Logs'!$C:$C,D72)),"")</f>
        <v/>
      </c>
      <c r="F72" s="63" t="str">
        <f ca="1">IFERROR(IF(A72="","",_xludf.maxifs('Session Logs'!$I:$I,'Session Logs'!$D:$D,B72,'Session Logs'!$C:$C,D72,'Session Logs'!$I:$I,"&gt;"&amp;TODAY())),"")</f>
        <v/>
      </c>
      <c r="G72" s="64" t="str">
        <f t="shared" ca="1" si="2"/>
        <v>No Mentor Assigned</v>
      </c>
      <c r="H72" s="52"/>
    </row>
    <row r="73" spans="1:8" ht="26.25" customHeight="1" x14ac:dyDescent="0.3">
      <c r="A73" s="62">
        <f>'Intern Profiles'!A73</f>
        <v>0</v>
      </c>
      <c r="B73" s="52">
        <f>'Intern Profiles'!B73</f>
        <v>0</v>
      </c>
      <c r="C73" s="53">
        <f>'Intern Profiles'!C73</f>
        <v>0</v>
      </c>
      <c r="D73" s="52" t="str">
        <f>IF(A73="","",IFERROR(INDEX('Paste - Relationships'!$B$4:$B$800,MATCH(1,('Paste - Relationships'!$P$4:$P$800=VALUE(A73))*('Paste - Relationships'!$AE$4:$AE$800=""),0)),""))</f>
        <v/>
      </c>
      <c r="E73" s="63" t="str">
        <f ca="1">IFERROR(IF(A73="","",_xludf.maxifs('Session Logs'!$E:$E,'Session Logs'!$D:$D,B73,'Session Logs'!$C:$C,D73)),"")</f>
        <v/>
      </c>
      <c r="F73" s="63" t="str">
        <f ca="1">IFERROR(IF(A73="","",_xludf.maxifs('Session Logs'!$I:$I,'Session Logs'!$D:$D,B73,'Session Logs'!$C:$C,D73,'Session Logs'!$I:$I,"&gt;"&amp;TODAY())),"")</f>
        <v/>
      </c>
      <c r="G73" s="64" t="str">
        <f t="shared" ca="1" si="2"/>
        <v>No Mentor Assigned</v>
      </c>
      <c r="H73" s="52"/>
    </row>
    <row r="74" spans="1:8" ht="26.25" customHeight="1" x14ac:dyDescent="0.3">
      <c r="A74" s="62">
        <f>'Intern Profiles'!A74</f>
        <v>0</v>
      </c>
      <c r="B74" s="52">
        <f>'Intern Profiles'!B74</f>
        <v>0</v>
      </c>
      <c r="C74" s="53">
        <f>'Intern Profiles'!C74</f>
        <v>0</v>
      </c>
      <c r="D74" s="52" t="str">
        <f>IF(A74="","",IFERROR(INDEX('Paste - Relationships'!$B$4:$B$800,MATCH(1,('Paste - Relationships'!$P$4:$P$800=VALUE(A74))*('Paste - Relationships'!$AE$4:$AE$800=""),0)),""))</f>
        <v/>
      </c>
      <c r="E74" s="63" t="str">
        <f ca="1">IFERROR(IF(A74="","",_xludf.maxifs('Session Logs'!$E:$E,'Session Logs'!$D:$D,B74,'Session Logs'!$C:$C,D74)),"")</f>
        <v/>
      </c>
      <c r="F74" s="63" t="str">
        <f ca="1">IFERROR(IF(A74="","",_xludf.maxifs('Session Logs'!$I:$I,'Session Logs'!$D:$D,B74,'Session Logs'!$C:$C,D74,'Session Logs'!$I:$I,"&gt;"&amp;TODAY())),"")</f>
        <v/>
      </c>
      <c r="G74" s="64" t="str">
        <f t="shared" ca="1" si="2"/>
        <v>No Mentor Assigned</v>
      </c>
      <c r="H74" s="52"/>
    </row>
    <row r="75" spans="1:8" ht="26.25" customHeight="1" x14ac:dyDescent="0.3">
      <c r="A75" s="62">
        <f>'Intern Profiles'!A75</f>
        <v>0</v>
      </c>
      <c r="B75" s="52">
        <f>'Intern Profiles'!B75</f>
        <v>0</v>
      </c>
      <c r="C75" s="53">
        <f>'Intern Profiles'!C75</f>
        <v>0</v>
      </c>
      <c r="D75" s="52" t="str">
        <f>IF(A75="","",IFERROR(INDEX('Paste - Relationships'!$B$4:$B$800,MATCH(1,('Paste - Relationships'!$P$4:$P$800=VALUE(A75))*('Paste - Relationships'!$AE$4:$AE$800=""),0)),""))</f>
        <v/>
      </c>
      <c r="E75" s="63" t="str">
        <f ca="1">IFERROR(IF(A75="","",_xludf.maxifs('Session Logs'!$E:$E,'Session Logs'!$D:$D,B75,'Session Logs'!$C:$C,D75)),"")</f>
        <v/>
      </c>
      <c r="F75" s="63" t="str">
        <f ca="1">IFERROR(IF(A75="","",_xludf.maxifs('Session Logs'!$I:$I,'Session Logs'!$D:$D,B75,'Session Logs'!$C:$C,D75,'Session Logs'!$I:$I,"&gt;"&amp;TODAY())),"")</f>
        <v/>
      </c>
      <c r="G75" s="64" t="str">
        <f t="shared" ca="1" si="2"/>
        <v>No Mentor Assigned</v>
      </c>
      <c r="H75" s="52"/>
    </row>
    <row r="76" spans="1:8" ht="26.25" customHeight="1" x14ac:dyDescent="0.3">
      <c r="A76" s="62">
        <f>'Intern Profiles'!A76</f>
        <v>0</v>
      </c>
      <c r="B76" s="52">
        <f>'Intern Profiles'!B76</f>
        <v>0</v>
      </c>
      <c r="C76" s="53">
        <f>'Intern Profiles'!C76</f>
        <v>0</v>
      </c>
      <c r="D76" s="52" t="str">
        <f>IF(A76="","",IFERROR(INDEX('Paste - Relationships'!$B$4:$B$800,MATCH(1,('Paste - Relationships'!$P$4:$P$800=VALUE(A76))*('Paste - Relationships'!$AE$4:$AE$800=""),0)),""))</f>
        <v/>
      </c>
      <c r="E76" s="63" t="str">
        <f ca="1">IFERROR(IF(A76="","",_xludf.maxifs('Session Logs'!$E:$E,'Session Logs'!$D:$D,B76,'Session Logs'!$C:$C,D76)),"")</f>
        <v/>
      </c>
      <c r="F76" s="63" t="str">
        <f ca="1">IFERROR(IF(A76="","",_xludf.maxifs('Session Logs'!$I:$I,'Session Logs'!$D:$D,B76,'Session Logs'!$C:$C,D76,'Session Logs'!$I:$I,"&gt;"&amp;TODAY())),"")</f>
        <v/>
      </c>
      <c r="G76" s="64" t="str">
        <f t="shared" ca="1" si="2"/>
        <v>No Mentor Assigned</v>
      </c>
      <c r="H76" s="52"/>
    </row>
    <row r="77" spans="1:8" ht="26.25" customHeight="1" x14ac:dyDescent="0.3">
      <c r="A77" s="62">
        <f>'Intern Profiles'!A77</f>
        <v>0</v>
      </c>
      <c r="B77" s="52">
        <f>'Intern Profiles'!B77</f>
        <v>0</v>
      </c>
      <c r="C77" s="53">
        <f>'Intern Profiles'!C77</f>
        <v>0</v>
      </c>
      <c r="D77" s="52" t="str">
        <f>IF(A77="","",IFERROR(INDEX('Paste - Relationships'!$B$4:$B$800,MATCH(1,('Paste - Relationships'!$P$4:$P$800=VALUE(A77))*('Paste - Relationships'!$AE$4:$AE$800=""),0)),""))</f>
        <v/>
      </c>
      <c r="E77" s="63" t="str">
        <f ca="1">IFERROR(IF(A77="","",_xludf.maxifs('Session Logs'!$E:$E,'Session Logs'!$D:$D,B77,'Session Logs'!$C:$C,D77)),"")</f>
        <v/>
      </c>
      <c r="F77" s="63" t="str">
        <f ca="1">IFERROR(IF(A77="","",_xludf.maxifs('Session Logs'!$I:$I,'Session Logs'!$D:$D,B77,'Session Logs'!$C:$C,D77,'Session Logs'!$I:$I,"&gt;"&amp;TODAY())),"")</f>
        <v/>
      </c>
      <c r="G77" s="64" t="str">
        <f t="shared" ca="1" si="2"/>
        <v>No Mentor Assigned</v>
      </c>
      <c r="H77" s="52"/>
    </row>
    <row r="78" spans="1:8" ht="26.25" customHeight="1" x14ac:dyDescent="0.3">
      <c r="A78" s="62">
        <f>'Intern Profiles'!A78</f>
        <v>0</v>
      </c>
      <c r="B78" s="52">
        <f>'Intern Profiles'!B78</f>
        <v>0</v>
      </c>
      <c r="C78" s="53">
        <f>'Intern Profiles'!C78</f>
        <v>0</v>
      </c>
      <c r="D78" s="52" t="str">
        <f>IF(A78="","",IFERROR(INDEX('Paste - Relationships'!$B$4:$B$800,MATCH(1,('Paste - Relationships'!$P$4:$P$800=VALUE(A78))*('Paste - Relationships'!$AE$4:$AE$800=""),0)),""))</f>
        <v/>
      </c>
      <c r="E78" s="63" t="str">
        <f ca="1">IFERROR(IF(A78="","",_xludf.maxifs('Session Logs'!$E:$E,'Session Logs'!$D:$D,B78,'Session Logs'!$C:$C,D78)),"")</f>
        <v/>
      </c>
      <c r="F78" s="63" t="str">
        <f ca="1">IFERROR(IF(A78="","",_xludf.maxifs('Session Logs'!$I:$I,'Session Logs'!$D:$D,B78,'Session Logs'!$C:$C,D78,'Session Logs'!$I:$I,"&gt;"&amp;TODAY())),"")</f>
        <v/>
      </c>
      <c r="G78" s="64" t="str">
        <f t="shared" ca="1" si="2"/>
        <v>No Mentor Assigned</v>
      </c>
      <c r="H78" s="52"/>
    </row>
    <row r="79" spans="1:8" ht="26.25" customHeight="1" x14ac:dyDescent="0.3">
      <c r="A79" s="62">
        <f>'Intern Profiles'!A79</f>
        <v>0</v>
      </c>
      <c r="B79" s="52">
        <f>'Intern Profiles'!B79</f>
        <v>0</v>
      </c>
      <c r="C79" s="53">
        <f>'Intern Profiles'!C79</f>
        <v>0</v>
      </c>
      <c r="D79" s="52" t="str">
        <f>IF(A79="","",IFERROR(INDEX('Paste - Relationships'!$B$4:$B$800,MATCH(1,('Paste - Relationships'!$P$4:$P$800=VALUE(A79))*('Paste - Relationships'!$AE$4:$AE$800=""),0)),""))</f>
        <v/>
      </c>
      <c r="E79" s="63" t="str">
        <f ca="1">IFERROR(IF(A79="","",_xludf.maxifs('Session Logs'!$E:$E,'Session Logs'!$D:$D,B79,'Session Logs'!$C:$C,D79)),"")</f>
        <v/>
      </c>
      <c r="F79" s="63" t="str">
        <f ca="1">IFERROR(IF(A79="","",_xludf.maxifs('Session Logs'!$I:$I,'Session Logs'!$D:$D,B79,'Session Logs'!$C:$C,D79,'Session Logs'!$I:$I,"&gt;"&amp;TODAY())),"")</f>
        <v/>
      </c>
      <c r="G79" s="64" t="str">
        <f t="shared" ca="1" si="2"/>
        <v>No Mentor Assigned</v>
      </c>
      <c r="H79" s="52"/>
    </row>
    <row r="80" spans="1:8" ht="26.25" customHeight="1" x14ac:dyDescent="0.3">
      <c r="A80" s="62">
        <f>'Intern Profiles'!A80</f>
        <v>0</v>
      </c>
      <c r="B80" s="52">
        <f>'Intern Profiles'!B80</f>
        <v>0</v>
      </c>
      <c r="C80" s="53">
        <f>'Intern Profiles'!C80</f>
        <v>0</v>
      </c>
      <c r="D80" s="52" t="str">
        <f>IF(A80="","",IFERROR(INDEX('Paste - Relationships'!$B$4:$B$800,MATCH(1,('Paste - Relationships'!$P$4:$P$800=VALUE(A80))*('Paste - Relationships'!$AE$4:$AE$800=""),0)),""))</f>
        <v/>
      </c>
      <c r="E80" s="63" t="str">
        <f ca="1">IFERROR(IF(A80="","",_xludf.maxifs('Session Logs'!$E:$E,'Session Logs'!$D:$D,B80,'Session Logs'!$C:$C,D80)),"")</f>
        <v/>
      </c>
      <c r="F80" s="63" t="str">
        <f ca="1">IFERROR(IF(A80="","",_xludf.maxifs('Session Logs'!$I:$I,'Session Logs'!$D:$D,B80,'Session Logs'!$C:$C,D80,'Session Logs'!$I:$I,"&gt;"&amp;TODAY())),"")</f>
        <v/>
      </c>
      <c r="G80" s="64" t="str">
        <f t="shared" ca="1" si="2"/>
        <v>No Mentor Assigned</v>
      </c>
      <c r="H80" s="52"/>
    </row>
    <row r="81" spans="1:8" ht="26.25" customHeight="1" x14ac:dyDescent="0.3">
      <c r="A81" s="62">
        <f>'Intern Profiles'!A81</f>
        <v>0</v>
      </c>
      <c r="B81" s="52">
        <f>'Intern Profiles'!B81</f>
        <v>0</v>
      </c>
      <c r="C81" s="53">
        <f>'Intern Profiles'!C81</f>
        <v>0</v>
      </c>
      <c r="D81" s="52" t="str">
        <f>IF(A81="","",IFERROR(INDEX('Paste - Relationships'!$B$4:$B$800,MATCH(1,('Paste - Relationships'!$P$4:$P$800=VALUE(A81))*('Paste - Relationships'!$AE$4:$AE$800=""),0)),""))</f>
        <v/>
      </c>
      <c r="E81" s="63" t="str">
        <f ca="1">IFERROR(IF(A81="","",_xludf.maxifs('Session Logs'!$E:$E,'Session Logs'!$D:$D,B81,'Session Logs'!$C:$C,D81)),"")</f>
        <v/>
      </c>
      <c r="F81" s="63" t="str">
        <f ca="1">IFERROR(IF(A81="","",_xludf.maxifs('Session Logs'!$I:$I,'Session Logs'!$D:$D,B81,'Session Logs'!$C:$C,D81,'Session Logs'!$I:$I,"&gt;"&amp;TODAY())),"")</f>
        <v/>
      </c>
      <c r="G81" s="64" t="str">
        <f t="shared" ca="1" si="2"/>
        <v>No Mentor Assigned</v>
      </c>
      <c r="H81" s="52"/>
    </row>
    <row r="82" spans="1:8" ht="26.25" customHeight="1" x14ac:dyDescent="0.3">
      <c r="A82" s="62">
        <f>'Intern Profiles'!A82</f>
        <v>0</v>
      </c>
      <c r="B82" s="52">
        <f>'Intern Profiles'!B82</f>
        <v>0</v>
      </c>
      <c r="C82" s="53">
        <f>'Intern Profiles'!C82</f>
        <v>0</v>
      </c>
      <c r="D82" s="52" t="str">
        <f>IF(A82="","",IFERROR(INDEX('Paste - Relationships'!$B$4:$B$800,MATCH(1,('Paste - Relationships'!$P$4:$P$800=VALUE(A82))*('Paste - Relationships'!$AE$4:$AE$800=""),0)),""))</f>
        <v/>
      </c>
      <c r="E82" s="63" t="str">
        <f ca="1">IFERROR(IF(A82="","",_xludf.maxifs('Session Logs'!$E:$E,'Session Logs'!$D:$D,B82,'Session Logs'!$C:$C,D82)),"")</f>
        <v/>
      </c>
      <c r="F82" s="63" t="str">
        <f ca="1">IFERROR(IF(A82="","",_xludf.maxifs('Session Logs'!$I:$I,'Session Logs'!$D:$D,B82,'Session Logs'!$C:$C,D82,'Session Logs'!$I:$I,"&gt;"&amp;TODAY())),"")</f>
        <v/>
      </c>
      <c r="G82" s="64" t="str">
        <f t="shared" ca="1" si="2"/>
        <v>No Mentor Assigned</v>
      </c>
      <c r="H82" s="52"/>
    </row>
    <row r="83" spans="1:8" ht="26.25" customHeight="1" x14ac:dyDescent="0.3">
      <c r="A83" s="62">
        <f>'Intern Profiles'!A83</f>
        <v>0</v>
      </c>
      <c r="B83" s="52">
        <f>'Intern Profiles'!B83</f>
        <v>0</v>
      </c>
      <c r="C83" s="53">
        <f>'Intern Profiles'!C83</f>
        <v>0</v>
      </c>
      <c r="D83" s="52" t="str">
        <f>IF(A83="","",IFERROR(INDEX('Paste - Relationships'!$B$4:$B$800,MATCH(1,('Paste - Relationships'!$P$4:$P$800=VALUE(A83))*('Paste - Relationships'!$AE$4:$AE$800=""),0)),""))</f>
        <v/>
      </c>
      <c r="E83" s="63" t="str">
        <f ca="1">IFERROR(IF(A83="","",_xludf.maxifs('Session Logs'!$E:$E,'Session Logs'!$D:$D,B83,'Session Logs'!$C:$C,D83)),"")</f>
        <v/>
      </c>
      <c r="F83" s="63" t="str">
        <f ca="1">IFERROR(IF(A83="","",_xludf.maxifs('Session Logs'!$I:$I,'Session Logs'!$D:$D,B83,'Session Logs'!$C:$C,D83,'Session Logs'!$I:$I,"&gt;"&amp;TODAY())),"")</f>
        <v/>
      </c>
      <c r="G83" s="64" t="str">
        <f t="shared" ca="1" si="2"/>
        <v>No Mentor Assigned</v>
      </c>
      <c r="H83" s="52"/>
    </row>
    <row r="84" spans="1:8" ht="26.25" customHeight="1" x14ac:dyDescent="0.3">
      <c r="A84" s="62">
        <f>'Intern Profiles'!A84</f>
        <v>0</v>
      </c>
      <c r="B84" s="52">
        <f>'Intern Profiles'!B84</f>
        <v>0</v>
      </c>
      <c r="C84" s="53">
        <f>'Intern Profiles'!C84</f>
        <v>0</v>
      </c>
      <c r="D84" s="52" t="str">
        <f>IF(A84="","",IFERROR(INDEX('Paste - Relationships'!$B$4:$B$800,MATCH(1,('Paste - Relationships'!$P$4:$P$800=VALUE(A84))*('Paste - Relationships'!$AE$4:$AE$800=""),0)),""))</f>
        <v/>
      </c>
      <c r="E84" s="63" t="str">
        <f ca="1">IFERROR(IF(A84="","",_xludf.maxifs('Session Logs'!$E:$E,'Session Logs'!$D:$D,B84,'Session Logs'!$C:$C,D84)),"")</f>
        <v/>
      </c>
      <c r="F84" s="63" t="str">
        <f ca="1">IFERROR(IF(A84="","",_xludf.maxifs('Session Logs'!$I:$I,'Session Logs'!$D:$D,B84,'Session Logs'!$C:$C,D84,'Session Logs'!$I:$I,"&gt;"&amp;TODAY())),"")</f>
        <v/>
      </c>
      <c r="G84" s="64" t="str">
        <f t="shared" ca="1" si="2"/>
        <v>No Mentor Assigned</v>
      </c>
      <c r="H84" s="52"/>
    </row>
    <row r="85" spans="1:8" ht="26.25" customHeight="1" x14ac:dyDescent="0.3">
      <c r="A85" s="62">
        <f>'Intern Profiles'!A85</f>
        <v>0</v>
      </c>
      <c r="B85" s="52">
        <f>'Intern Profiles'!B85</f>
        <v>0</v>
      </c>
      <c r="C85" s="53">
        <f>'Intern Profiles'!C85</f>
        <v>0</v>
      </c>
      <c r="D85" s="52" t="str">
        <f>IF(A85="","",IFERROR(INDEX('Paste - Relationships'!$B$4:$B$800,MATCH(1,('Paste - Relationships'!$P$4:$P$800=VALUE(A85))*('Paste - Relationships'!$AE$4:$AE$800=""),0)),""))</f>
        <v/>
      </c>
      <c r="E85" s="63" t="str">
        <f ca="1">IFERROR(IF(A85="","",_xludf.maxifs('Session Logs'!$E:$E,'Session Logs'!$D:$D,B85,'Session Logs'!$C:$C,D85)),"")</f>
        <v/>
      </c>
      <c r="F85" s="63" t="str">
        <f ca="1">IFERROR(IF(A85="","",_xludf.maxifs('Session Logs'!$I:$I,'Session Logs'!$D:$D,B85,'Session Logs'!$C:$C,D85,'Session Logs'!$I:$I,"&gt;"&amp;TODAY())),"")</f>
        <v/>
      </c>
      <c r="G85" s="64" t="str">
        <f t="shared" ca="1" si="2"/>
        <v>No Mentor Assigned</v>
      </c>
      <c r="H85" s="52"/>
    </row>
    <row r="86" spans="1:8" ht="26.25" customHeight="1" x14ac:dyDescent="0.3">
      <c r="A86" s="62">
        <f>'Intern Profiles'!A86</f>
        <v>0</v>
      </c>
      <c r="B86" s="52">
        <f>'Intern Profiles'!B86</f>
        <v>0</v>
      </c>
      <c r="C86" s="53">
        <f>'Intern Profiles'!C86</f>
        <v>0</v>
      </c>
      <c r="D86" s="52" t="str">
        <f>IF(A86="","",IFERROR(INDEX('Paste - Relationships'!$B$4:$B$800,MATCH(1,('Paste - Relationships'!$P$4:$P$800=VALUE(A86))*('Paste - Relationships'!$AE$4:$AE$800=""),0)),""))</f>
        <v/>
      </c>
      <c r="E86" s="63" t="str">
        <f ca="1">IFERROR(IF(A86="","",_xludf.maxifs('Session Logs'!$E:$E,'Session Logs'!$D:$D,B86,'Session Logs'!$C:$C,D86)),"")</f>
        <v/>
      </c>
      <c r="F86" s="63" t="str">
        <f ca="1">IFERROR(IF(A86="","",_xludf.maxifs('Session Logs'!$I:$I,'Session Logs'!$D:$D,B86,'Session Logs'!$C:$C,D86,'Session Logs'!$I:$I,"&gt;"&amp;TODAY())),"")</f>
        <v/>
      </c>
      <c r="G86" s="64" t="str">
        <f t="shared" ca="1" si="2"/>
        <v>No Mentor Assigned</v>
      </c>
      <c r="H86" s="52"/>
    </row>
    <row r="87" spans="1:8" ht="26.25" customHeight="1" x14ac:dyDescent="0.3">
      <c r="A87" s="62">
        <f>'Intern Profiles'!A87</f>
        <v>0</v>
      </c>
      <c r="B87" s="52">
        <f>'Intern Profiles'!B87</f>
        <v>0</v>
      </c>
      <c r="C87" s="53">
        <f>'Intern Profiles'!C87</f>
        <v>0</v>
      </c>
      <c r="D87" s="52" t="str">
        <f>IF(A87="","",IFERROR(INDEX('Paste - Relationships'!$B$4:$B$800,MATCH(1,('Paste - Relationships'!$P$4:$P$800=VALUE(A87))*('Paste - Relationships'!$AE$4:$AE$800=""),0)),""))</f>
        <v/>
      </c>
      <c r="E87" s="63" t="str">
        <f ca="1">IFERROR(IF(A87="","",_xludf.maxifs('Session Logs'!$E:$E,'Session Logs'!$D:$D,B87,'Session Logs'!$C:$C,D87)),"")</f>
        <v/>
      </c>
      <c r="F87" s="63" t="str">
        <f ca="1">IFERROR(IF(A87="","",_xludf.maxifs('Session Logs'!$I:$I,'Session Logs'!$D:$D,B87,'Session Logs'!$C:$C,D87,'Session Logs'!$I:$I,"&gt;"&amp;TODAY())),"")</f>
        <v/>
      </c>
      <c r="G87" s="64" t="str">
        <f t="shared" ca="1" si="2"/>
        <v>No Mentor Assigned</v>
      </c>
      <c r="H87" s="52"/>
    </row>
    <row r="88" spans="1:8" ht="26.25" customHeight="1" x14ac:dyDescent="0.3">
      <c r="A88" s="62">
        <f>'Intern Profiles'!A88</f>
        <v>0</v>
      </c>
      <c r="B88" s="52">
        <f>'Intern Profiles'!B88</f>
        <v>0</v>
      </c>
      <c r="C88" s="53">
        <f>'Intern Profiles'!C88</f>
        <v>0</v>
      </c>
      <c r="D88" s="52" t="str">
        <f>IF(A88="","",IFERROR(INDEX('Paste - Relationships'!$B$4:$B$800,MATCH(1,('Paste - Relationships'!$P$4:$P$800=VALUE(A88))*('Paste - Relationships'!$AE$4:$AE$800=""),0)),""))</f>
        <v/>
      </c>
      <c r="E88" s="63" t="str">
        <f ca="1">IFERROR(IF(A88="","",_xludf.maxifs('Session Logs'!$E:$E,'Session Logs'!$D:$D,B88,'Session Logs'!$C:$C,D88)),"")</f>
        <v/>
      </c>
      <c r="F88" s="63" t="str">
        <f ca="1">IFERROR(IF(A88="","",_xludf.maxifs('Session Logs'!$I:$I,'Session Logs'!$D:$D,B88,'Session Logs'!$C:$C,D88,'Session Logs'!$I:$I,"&gt;"&amp;TODAY())),"")</f>
        <v/>
      </c>
      <c r="G88" s="64" t="str">
        <f t="shared" ca="1" si="2"/>
        <v>No Mentor Assigned</v>
      </c>
      <c r="H88" s="52"/>
    </row>
    <row r="89" spans="1:8" ht="26.25" customHeight="1" x14ac:dyDescent="0.3">
      <c r="A89" s="62">
        <f>'Intern Profiles'!A89</f>
        <v>0</v>
      </c>
      <c r="B89" s="52">
        <f>'Intern Profiles'!B89</f>
        <v>0</v>
      </c>
      <c r="C89" s="53">
        <f>'Intern Profiles'!C89</f>
        <v>0</v>
      </c>
      <c r="D89" s="52" t="str">
        <f>IF(A89="","",IFERROR(INDEX('Paste - Relationships'!$B$4:$B$800,MATCH(1,('Paste - Relationships'!$P$4:$P$800=VALUE(A89))*('Paste - Relationships'!$AE$4:$AE$800=""),0)),""))</f>
        <v/>
      </c>
      <c r="E89" s="63" t="str">
        <f ca="1">IFERROR(IF(A89="","",_xludf.maxifs('Session Logs'!$E:$E,'Session Logs'!$D:$D,B89,'Session Logs'!$C:$C,D89)),"")</f>
        <v/>
      </c>
      <c r="F89" s="63" t="str">
        <f ca="1">IFERROR(IF(A89="","",_xludf.maxifs('Session Logs'!$I:$I,'Session Logs'!$D:$D,B89,'Session Logs'!$C:$C,D89,'Session Logs'!$I:$I,"&gt;"&amp;TODAY())),"")</f>
        <v/>
      </c>
      <c r="G89" s="64" t="str">
        <f t="shared" ca="1" si="2"/>
        <v>No Mentor Assigned</v>
      </c>
      <c r="H89" s="52"/>
    </row>
    <row r="90" spans="1:8" ht="26.25" customHeight="1" x14ac:dyDescent="0.3">
      <c r="A90" s="62">
        <f>'Intern Profiles'!A90</f>
        <v>0</v>
      </c>
      <c r="B90" s="52">
        <f>'Intern Profiles'!B90</f>
        <v>0</v>
      </c>
      <c r="C90" s="53">
        <f>'Intern Profiles'!C90</f>
        <v>0</v>
      </c>
      <c r="D90" s="52" t="str">
        <f>IF(A90="","",IFERROR(INDEX('Paste - Relationships'!$B$4:$B$800,MATCH(1,('Paste - Relationships'!$P$4:$P$800=VALUE(A90))*('Paste - Relationships'!$AE$4:$AE$800=""),0)),""))</f>
        <v/>
      </c>
      <c r="E90" s="63" t="str">
        <f ca="1">IFERROR(IF(A90="","",_xludf.maxifs('Session Logs'!$E:$E,'Session Logs'!$D:$D,B90,'Session Logs'!$C:$C,D90)),"")</f>
        <v/>
      </c>
      <c r="F90" s="63" t="str">
        <f ca="1">IFERROR(IF(A90="","",_xludf.maxifs('Session Logs'!$I:$I,'Session Logs'!$D:$D,B90,'Session Logs'!$C:$C,D90,'Session Logs'!$I:$I,"&gt;"&amp;TODAY())),"")</f>
        <v/>
      </c>
      <c r="G90" s="64" t="str">
        <f t="shared" ca="1" si="2"/>
        <v>No Mentor Assigned</v>
      </c>
      <c r="H90" s="52"/>
    </row>
    <row r="91" spans="1:8" ht="26.25" customHeight="1" x14ac:dyDescent="0.3">
      <c r="A91" s="62">
        <f>'Intern Profiles'!A91</f>
        <v>0</v>
      </c>
      <c r="B91" s="52">
        <f>'Intern Profiles'!B91</f>
        <v>0</v>
      </c>
      <c r="C91" s="53">
        <f>'Intern Profiles'!C91</f>
        <v>0</v>
      </c>
      <c r="D91" s="52" t="str">
        <f>IF(A91="","",IFERROR(INDEX('Paste - Relationships'!$B$4:$B$800,MATCH(1,('Paste - Relationships'!$P$4:$P$800=VALUE(A91))*('Paste - Relationships'!$AE$4:$AE$800=""),0)),""))</f>
        <v/>
      </c>
      <c r="E91" s="63" t="str">
        <f ca="1">IFERROR(IF(A91="","",_xludf.maxifs('Session Logs'!$E:$E,'Session Logs'!$D:$D,B91,'Session Logs'!$C:$C,D91)),"")</f>
        <v/>
      </c>
      <c r="F91" s="63" t="str">
        <f ca="1">IFERROR(IF(A91="","",_xludf.maxifs('Session Logs'!$I:$I,'Session Logs'!$D:$D,B91,'Session Logs'!$C:$C,D91,'Session Logs'!$I:$I,"&gt;"&amp;TODAY())),"")</f>
        <v/>
      </c>
      <c r="G91" s="64" t="str">
        <f t="shared" ca="1" si="2"/>
        <v>No Mentor Assigned</v>
      </c>
      <c r="H91" s="52"/>
    </row>
    <row r="92" spans="1:8" ht="26.25" customHeight="1" x14ac:dyDescent="0.3">
      <c r="A92" s="62">
        <f>'Intern Profiles'!A92</f>
        <v>0</v>
      </c>
      <c r="B92" s="52">
        <f>'Intern Profiles'!B92</f>
        <v>0</v>
      </c>
      <c r="C92" s="53">
        <f>'Intern Profiles'!C92</f>
        <v>0</v>
      </c>
      <c r="D92" s="52" t="str">
        <f>IF(A92="","",IFERROR(INDEX('Paste - Relationships'!$B$4:$B$800,MATCH(1,('Paste - Relationships'!$P$4:$P$800=VALUE(A92))*('Paste - Relationships'!$AE$4:$AE$800=""),0)),""))</f>
        <v/>
      </c>
      <c r="E92" s="63" t="str">
        <f ca="1">IFERROR(IF(A92="","",_xludf.maxifs('Session Logs'!$E:$E,'Session Logs'!$D:$D,B92,'Session Logs'!$C:$C,D92)),"")</f>
        <v/>
      </c>
      <c r="F92" s="63" t="str">
        <f ca="1">IFERROR(IF(A92="","",_xludf.maxifs('Session Logs'!$I:$I,'Session Logs'!$D:$D,B92,'Session Logs'!$C:$C,D92,'Session Logs'!$I:$I,"&gt;"&amp;TODAY())),"")</f>
        <v/>
      </c>
      <c r="G92" s="64" t="str">
        <f t="shared" ca="1" si="2"/>
        <v>No Mentor Assigned</v>
      </c>
      <c r="H92" s="52"/>
    </row>
    <row r="93" spans="1:8" ht="26.25" customHeight="1" x14ac:dyDescent="0.3">
      <c r="A93" s="62">
        <f>'Intern Profiles'!A93</f>
        <v>0</v>
      </c>
      <c r="B93" s="52">
        <f>'Intern Profiles'!B93</f>
        <v>0</v>
      </c>
      <c r="C93" s="53">
        <f>'Intern Profiles'!C93</f>
        <v>0</v>
      </c>
      <c r="D93" s="52" t="str">
        <f>IF(A93="","",IFERROR(INDEX('Paste - Relationships'!$B$4:$B$800,MATCH(1,('Paste - Relationships'!$P$4:$P$800=VALUE(A93))*('Paste - Relationships'!$AE$4:$AE$800=""),0)),""))</f>
        <v/>
      </c>
      <c r="E93" s="63" t="str">
        <f ca="1">IFERROR(IF(A93="","",_xludf.maxifs('Session Logs'!$E:$E,'Session Logs'!$D:$D,B93,'Session Logs'!$C:$C,D93)),"")</f>
        <v/>
      </c>
      <c r="F93" s="63" t="str">
        <f ca="1">IFERROR(IF(A93="","",_xludf.maxifs('Session Logs'!$I:$I,'Session Logs'!$D:$D,B93,'Session Logs'!$C:$C,D93,'Session Logs'!$I:$I,"&gt;"&amp;TODAY())),"")</f>
        <v/>
      </c>
      <c r="G93" s="64" t="str">
        <f t="shared" ca="1" si="2"/>
        <v>No Mentor Assigned</v>
      </c>
      <c r="H93" s="52"/>
    </row>
    <row r="94" spans="1:8" ht="26.25" customHeight="1" x14ac:dyDescent="0.3">
      <c r="A94" s="62">
        <f>'Intern Profiles'!A94</f>
        <v>0</v>
      </c>
      <c r="B94" s="52">
        <f>'Intern Profiles'!B94</f>
        <v>0</v>
      </c>
      <c r="C94" s="53">
        <f>'Intern Profiles'!C94</f>
        <v>0</v>
      </c>
      <c r="D94" s="52" t="str">
        <f>IF(A94="","",IFERROR(INDEX('Paste - Relationships'!$B$4:$B$800,MATCH(1,('Paste - Relationships'!$P$4:$P$800=VALUE(A94))*('Paste - Relationships'!$AE$4:$AE$800=""),0)),""))</f>
        <v/>
      </c>
      <c r="E94" s="63" t="str">
        <f ca="1">IFERROR(IF(A94="","",_xludf.maxifs('Session Logs'!$E:$E,'Session Logs'!$D:$D,B94,'Session Logs'!$C:$C,D94)),"")</f>
        <v/>
      </c>
      <c r="F94" s="63" t="str">
        <f ca="1">IFERROR(IF(A94="","",_xludf.maxifs('Session Logs'!$I:$I,'Session Logs'!$D:$D,B94,'Session Logs'!$C:$C,D94,'Session Logs'!$I:$I,"&gt;"&amp;TODAY())),"")</f>
        <v/>
      </c>
      <c r="G94" s="64" t="str">
        <f t="shared" ca="1" si="2"/>
        <v>No Mentor Assigned</v>
      </c>
      <c r="H94" s="52"/>
    </row>
    <row r="95" spans="1:8" ht="26.25" customHeight="1" x14ac:dyDescent="0.3">
      <c r="A95" s="62">
        <f>'Intern Profiles'!A95</f>
        <v>0</v>
      </c>
      <c r="B95" s="52">
        <f>'Intern Profiles'!B95</f>
        <v>0</v>
      </c>
      <c r="C95" s="53">
        <f>'Intern Profiles'!C95</f>
        <v>0</v>
      </c>
      <c r="D95" s="52" t="str">
        <f>IF(A95="","",IFERROR(INDEX('Paste - Relationships'!$B$4:$B$800,MATCH(1,('Paste - Relationships'!$P$4:$P$800=VALUE(A95))*('Paste - Relationships'!$AE$4:$AE$800=""),0)),""))</f>
        <v/>
      </c>
      <c r="E95" s="63" t="str">
        <f ca="1">IFERROR(IF(A95="","",_xludf.maxifs('Session Logs'!$E:$E,'Session Logs'!$D:$D,B95,'Session Logs'!$C:$C,D95)),"")</f>
        <v/>
      </c>
      <c r="F95" s="63" t="str">
        <f ca="1">IFERROR(IF(A95="","",_xludf.maxifs('Session Logs'!$I:$I,'Session Logs'!$D:$D,B95,'Session Logs'!$C:$C,D95,'Session Logs'!$I:$I,"&gt;"&amp;TODAY())),"")</f>
        <v/>
      </c>
      <c r="G95" s="64" t="str">
        <f t="shared" ca="1" si="2"/>
        <v>No Mentor Assigned</v>
      </c>
      <c r="H95" s="52"/>
    </row>
    <row r="96" spans="1:8" ht="26.25" customHeight="1" x14ac:dyDescent="0.3">
      <c r="A96" s="62">
        <f>'Intern Profiles'!A96</f>
        <v>0</v>
      </c>
      <c r="B96" s="52">
        <f>'Intern Profiles'!B96</f>
        <v>0</v>
      </c>
      <c r="C96" s="53">
        <f>'Intern Profiles'!C96</f>
        <v>0</v>
      </c>
      <c r="D96" s="52" t="str">
        <f>IF(A96="","",IFERROR(INDEX('Paste - Relationships'!$B$4:$B$800,MATCH(1,('Paste - Relationships'!$P$4:$P$800=VALUE(A96))*('Paste - Relationships'!$AE$4:$AE$800=""),0)),""))</f>
        <v/>
      </c>
      <c r="E96" s="63" t="str">
        <f ca="1">IFERROR(IF(A96="","",_xludf.maxifs('Session Logs'!$E:$E,'Session Logs'!$D:$D,B96,'Session Logs'!$C:$C,D96)),"")</f>
        <v/>
      </c>
      <c r="F96" s="63" t="str">
        <f ca="1">IFERROR(IF(A96="","",_xludf.maxifs('Session Logs'!$I:$I,'Session Logs'!$D:$D,B96,'Session Logs'!$C:$C,D96,'Session Logs'!$I:$I,"&gt;"&amp;TODAY())),"")</f>
        <v/>
      </c>
      <c r="G96" s="64" t="str">
        <f t="shared" ca="1" si="2"/>
        <v>No Mentor Assigned</v>
      </c>
      <c r="H96" s="52"/>
    </row>
    <row r="97" spans="1:8" ht="26.25" customHeight="1" x14ac:dyDescent="0.3">
      <c r="A97" s="62">
        <f>'Intern Profiles'!A97</f>
        <v>0</v>
      </c>
      <c r="B97" s="52">
        <f>'Intern Profiles'!B97</f>
        <v>0</v>
      </c>
      <c r="C97" s="53">
        <f>'Intern Profiles'!C97</f>
        <v>0</v>
      </c>
      <c r="D97" s="52" t="str">
        <f>IF(A97="","",IFERROR(INDEX('Paste - Relationships'!$B$4:$B$800,MATCH(1,('Paste - Relationships'!$P$4:$P$800=VALUE(A97))*('Paste - Relationships'!$AE$4:$AE$800=""),0)),""))</f>
        <v/>
      </c>
      <c r="E97" s="63" t="str">
        <f ca="1">IFERROR(IF(A97="","",_xludf.maxifs('Session Logs'!$E:$E,'Session Logs'!$D:$D,B97,'Session Logs'!$C:$C,D97)),"")</f>
        <v/>
      </c>
      <c r="F97" s="63" t="str">
        <f ca="1">IFERROR(IF(A97="","",_xludf.maxifs('Session Logs'!$I:$I,'Session Logs'!$D:$D,B97,'Session Logs'!$C:$C,D97,'Session Logs'!$I:$I,"&gt;"&amp;TODAY())),"")</f>
        <v/>
      </c>
      <c r="G97" s="64" t="str">
        <f t="shared" ca="1" si="2"/>
        <v>No Mentor Assigned</v>
      </c>
      <c r="H97" s="52"/>
    </row>
    <row r="98" spans="1:8" ht="26.25" customHeight="1" x14ac:dyDescent="0.3">
      <c r="A98" s="62">
        <f>'Intern Profiles'!A98</f>
        <v>0</v>
      </c>
      <c r="B98" s="52">
        <f>'Intern Profiles'!B98</f>
        <v>0</v>
      </c>
      <c r="C98" s="53">
        <f>'Intern Profiles'!C98</f>
        <v>0</v>
      </c>
      <c r="D98" s="52" t="str">
        <f>IF(A98="","",IFERROR(INDEX('Paste - Relationships'!$B$4:$B$800,MATCH(1,('Paste - Relationships'!$P$4:$P$800=VALUE(A98))*('Paste - Relationships'!$AE$4:$AE$800=""),0)),""))</f>
        <v/>
      </c>
      <c r="E98" s="63" t="str">
        <f ca="1">IFERROR(IF(A98="","",_xludf.maxifs('Session Logs'!$E:$E,'Session Logs'!$D:$D,B98,'Session Logs'!$C:$C,D98)),"")</f>
        <v/>
      </c>
      <c r="F98" s="63" t="str">
        <f ca="1">IFERROR(IF(A98="","",_xludf.maxifs('Session Logs'!$I:$I,'Session Logs'!$D:$D,B98,'Session Logs'!$C:$C,D98,'Session Logs'!$I:$I,"&gt;"&amp;TODAY())),"")</f>
        <v/>
      </c>
      <c r="G98" s="64" t="str">
        <f t="shared" ca="1" si="2"/>
        <v>No Mentor Assigned</v>
      </c>
      <c r="H98" s="52"/>
    </row>
    <row r="99" spans="1:8" ht="26.25" customHeight="1" x14ac:dyDescent="0.3">
      <c r="A99" s="62">
        <f>'Intern Profiles'!A99</f>
        <v>0</v>
      </c>
      <c r="B99" s="52">
        <f>'Intern Profiles'!B99</f>
        <v>0</v>
      </c>
      <c r="C99" s="53">
        <f>'Intern Profiles'!C99</f>
        <v>0</v>
      </c>
      <c r="D99" s="52" t="str">
        <f>IF(A99="","",IFERROR(INDEX('Paste - Relationships'!$B$4:$B$800,MATCH(1,('Paste - Relationships'!$P$4:$P$800=VALUE(A99))*('Paste - Relationships'!$AE$4:$AE$800=""),0)),""))</f>
        <v/>
      </c>
      <c r="E99" s="63" t="str">
        <f ca="1">IFERROR(IF(A99="","",_xludf.maxifs('Session Logs'!$E:$E,'Session Logs'!$D:$D,B99,'Session Logs'!$C:$C,D99)),"")</f>
        <v/>
      </c>
      <c r="F99" s="63" t="str">
        <f ca="1">IFERROR(IF(A99="","",_xludf.maxifs('Session Logs'!$I:$I,'Session Logs'!$D:$D,B99,'Session Logs'!$C:$C,D99,'Session Logs'!$I:$I,"&gt;"&amp;TODAY())),"")</f>
        <v/>
      </c>
      <c r="G99" s="64" t="str">
        <f t="shared" ca="1" si="2"/>
        <v>No Mentor Assigned</v>
      </c>
      <c r="H99" s="52"/>
    </row>
    <row r="100" spans="1:8" ht="26.25" customHeight="1" x14ac:dyDescent="0.3">
      <c r="A100" s="62">
        <f>'Intern Profiles'!A100</f>
        <v>0</v>
      </c>
      <c r="B100" s="52">
        <f>'Intern Profiles'!B100</f>
        <v>0</v>
      </c>
      <c r="C100" s="53">
        <f>'Intern Profiles'!C100</f>
        <v>0</v>
      </c>
      <c r="D100" s="52" t="str">
        <f>IF(A100="","",IFERROR(INDEX('Paste - Relationships'!$B$4:$B$800,MATCH(1,('Paste - Relationships'!$P$4:$P$800=VALUE(A100))*('Paste - Relationships'!$AE$4:$AE$800=""),0)),""))</f>
        <v/>
      </c>
      <c r="E100" s="63" t="str">
        <f ca="1">IFERROR(IF(A100="","",_xludf.maxifs('Session Logs'!$E:$E,'Session Logs'!$D:$D,B100,'Session Logs'!$C:$C,D100)),"")</f>
        <v/>
      </c>
      <c r="F100" s="63" t="str">
        <f ca="1">IFERROR(IF(A100="","",_xludf.maxifs('Session Logs'!$I:$I,'Session Logs'!$D:$D,B100,'Session Logs'!$C:$C,D100,'Session Logs'!$I:$I,"&gt;"&amp;TODAY())),"")</f>
        <v/>
      </c>
      <c r="G100" s="64" t="str">
        <f t="shared" ref="G100:G131" ca="1" si="3">IF(A100="","",IF(D100="","No Mentor Assigned",IF(E100="","No Sessions Yet",IF(AND(F100&lt;&gt;"",F100&lt;TODAY()),"Missed Session",IF(AND(TODAY()-E100&gt;30,F100=""),"Overdue – Book Now",IF(TODAY()-E100&gt;30,"Overdue – Session Booked","On Track"))))))</f>
        <v>No Mentor Assigned</v>
      </c>
      <c r="H100" s="52"/>
    </row>
    <row r="101" spans="1:8" ht="26.25" customHeight="1" x14ac:dyDescent="0.3">
      <c r="A101" s="62">
        <f>'Intern Profiles'!A101</f>
        <v>0</v>
      </c>
      <c r="B101" s="52">
        <f>'Intern Profiles'!B101</f>
        <v>0</v>
      </c>
      <c r="C101" s="53">
        <f>'Intern Profiles'!C101</f>
        <v>0</v>
      </c>
      <c r="D101" s="52" t="str">
        <f>IF(A101="","",IFERROR(INDEX('Paste - Relationships'!$B$4:$B$800,MATCH(1,('Paste - Relationships'!$P$4:$P$800=VALUE(A101))*('Paste - Relationships'!$AE$4:$AE$800=""),0)),""))</f>
        <v/>
      </c>
      <c r="E101" s="63" t="str">
        <f ca="1">IFERROR(IF(A101="","",_xludf.maxifs('Session Logs'!$E:$E,'Session Logs'!$D:$D,B101,'Session Logs'!$C:$C,D101)),"")</f>
        <v/>
      </c>
      <c r="F101" s="63" t="str">
        <f ca="1">IFERROR(IF(A101="","",_xludf.maxifs('Session Logs'!$I:$I,'Session Logs'!$D:$D,B101,'Session Logs'!$C:$C,D101,'Session Logs'!$I:$I,"&gt;"&amp;TODAY())),"")</f>
        <v/>
      </c>
      <c r="G101" s="64" t="str">
        <f t="shared" ca="1" si="3"/>
        <v>No Mentor Assigned</v>
      </c>
      <c r="H101" s="52"/>
    </row>
    <row r="102" spans="1:8" ht="26.25" customHeight="1" x14ac:dyDescent="0.3">
      <c r="A102" s="62">
        <f>'Intern Profiles'!A102</f>
        <v>0</v>
      </c>
      <c r="B102" s="52">
        <f>'Intern Profiles'!B102</f>
        <v>0</v>
      </c>
      <c r="C102" s="53">
        <f>'Intern Profiles'!C102</f>
        <v>0</v>
      </c>
      <c r="D102" s="52" t="str">
        <f>IF(A102="","",IFERROR(INDEX('Paste - Relationships'!$B$4:$B$800,MATCH(1,('Paste - Relationships'!$P$4:$P$800=VALUE(A102))*('Paste - Relationships'!$AE$4:$AE$800=""),0)),""))</f>
        <v/>
      </c>
      <c r="E102" s="63" t="str">
        <f ca="1">IFERROR(IF(A102="","",_xludf.maxifs('Session Logs'!$E:$E,'Session Logs'!$D:$D,B102,'Session Logs'!$C:$C,D102)),"")</f>
        <v/>
      </c>
      <c r="F102" s="63" t="str">
        <f ca="1">IFERROR(IF(A102="","",_xludf.maxifs('Session Logs'!$I:$I,'Session Logs'!$D:$D,B102,'Session Logs'!$C:$C,D102,'Session Logs'!$I:$I,"&gt;"&amp;TODAY())),"")</f>
        <v/>
      </c>
      <c r="G102" s="64" t="str">
        <f t="shared" ca="1" si="3"/>
        <v>No Mentor Assigned</v>
      </c>
      <c r="H102" s="52"/>
    </row>
    <row r="103" spans="1:8" ht="26.25" customHeight="1" x14ac:dyDescent="0.3">
      <c r="A103" s="62">
        <f>'Intern Profiles'!A103</f>
        <v>0</v>
      </c>
      <c r="B103" s="52">
        <f>'Intern Profiles'!B103</f>
        <v>0</v>
      </c>
      <c r="C103" s="53">
        <f>'Intern Profiles'!C103</f>
        <v>0</v>
      </c>
      <c r="D103" s="52" t="str">
        <f>IF(A103="","",IFERROR(INDEX('Paste - Relationships'!$B$4:$B$800,MATCH(1,('Paste - Relationships'!$P$4:$P$800=VALUE(A103))*('Paste - Relationships'!$AE$4:$AE$800=""),0)),""))</f>
        <v/>
      </c>
      <c r="E103" s="63" t="str">
        <f ca="1">IFERROR(IF(A103="","",_xludf.maxifs('Session Logs'!$E:$E,'Session Logs'!$D:$D,B103,'Session Logs'!$C:$C,D103)),"")</f>
        <v/>
      </c>
      <c r="F103" s="63" t="str">
        <f ca="1">IFERROR(IF(A103="","",_xludf.maxifs('Session Logs'!$I:$I,'Session Logs'!$D:$D,B103,'Session Logs'!$C:$C,D103,'Session Logs'!$I:$I,"&gt;"&amp;TODAY())),"")</f>
        <v/>
      </c>
      <c r="G103" s="64" t="str">
        <f t="shared" ca="1" si="3"/>
        <v>No Mentor Assigned</v>
      </c>
      <c r="H103" s="52"/>
    </row>
    <row r="104" spans="1:8" ht="26.25" customHeight="1" x14ac:dyDescent="0.3">
      <c r="A104" s="62">
        <f>'Intern Profiles'!A104</f>
        <v>0</v>
      </c>
      <c r="B104" s="52">
        <f>'Intern Profiles'!B104</f>
        <v>0</v>
      </c>
      <c r="C104" s="53">
        <f>'Intern Profiles'!C104</f>
        <v>0</v>
      </c>
      <c r="D104" s="52" t="str">
        <f>IF(A104="","",IFERROR(INDEX('Paste - Relationships'!$B$4:$B$800,MATCH(1,('Paste - Relationships'!$P$4:$P$800=VALUE(A104))*('Paste - Relationships'!$AE$4:$AE$800=""),0)),""))</f>
        <v/>
      </c>
      <c r="E104" s="63" t="str">
        <f ca="1">IFERROR(IF(A104="","",_xludf.maxifs('Session Logs'!$E:$E,'Session Logs'!$D:$D,B104,'Session Logs'!$C:$C,D104)),"")</f>
        <v/>
      </c>
      <c r="F104" s="63" t="str">
        <f ca="1">IFERROR(IF(A104="","",_xludf.maxifs('Session Logs'!$I:$I,'Session Logs'!$D:$D,B104,'Session Logs'!$C:$C,D104,'Session Logs'!$I:$I,"&gt;"&amp;TODAY())),"")</f>
        <v/>
      </c>
      <c r="G104" s="64" t="str">
        <f t="shared" ca="1" si="3"/>
        <v>No Mentor Assigned</v>
      </c>
      <c r="H104" s="52"/>
    </row>
    <row r="105" spans="1:8" ht="26.25" customHeight="1" x14ac:dyDescent="0.3">
      <c r="A105" s="62">
        <f>'Intern Profiles'!A105</f>
        <v>0</v>
      </c>
      <c r="B105" s="52">
        <f>'Intern Profiles'!B105</f>
        <v>0</v>
      </c>
      <c r="C105" s="53">
        <f>'Intern Profiles'!C105</f>
        <v>0</v>
      </c>
      <c r="D105" s="52" t="str">
        <f>IF(A105="","",IFERROR(INDEX('Paste - Relationships'!$B$4:$B$800,MATCH(1,('Paste - Relationships'!$P$4:$P$800=VALUE(A105))*('Paste - Relationships'!$AE$4:$AE$800=""),0)),""))</f>
        <v/>
      </c>
      <c r="E105" s="63" t="str">
        <f ca="1">IFERROR(IF(A105="","",_xludf.maxifs('Session Logs'!$E:$E,'Session Logs'!$D:$D,B105,'Session Logs'!$C:$C,D105)),"")</f>
        <v/>
      </c>
      <c r="F105" s="63" t="str">
        <f ca="1">IFERROR(IF(A105="","",_xludf.maxifs('Session Logs'!$I:$I,'Session Logs'!$D:$D,B105,'Session Logs'!$C:$C,D105,'Session Logs'!$I:$I,"&gt;"&amp;TODAY())),"")</f>
        <v/>
      </c>
      <c r="G105" s="64" t="str">
        <f t="shared" ca="1" si="3"/>
        <v>No Mentor Assigned</v>
      </c>
      <c r="H105" s="52"/>
    </row>
    <row r="106" spans="1:8" ht="26.25" customHeight="1" x14ac:dyDescent="0.3">
      <c r="A106" s="62">
        <f>'Intern Profiles'!A106</f>
        <v>0</v>
      </c>
      <c r="B106" s="52">
        <f>'Intern Profiles'!B106</f>
        <v>0</v>
      </c>
      <c r="C106" s="53">
        <f>'Intern Profiles'!C106</f>
        <v>0</v>
      </c>
      <c r="D106" s="52" t="str">
        <f>IF(A106="","",IFERROR(INDEX('Paste - Relationships'!$B$4:$B$800,MATCH(1,('Paste - Relationships'!$P$4:$P$800=VALUE(A106))*('Paste - Relationships'!$AE$4:$AE$800=""),0)),""))</f>
        <v/>
      </c>
      <c r="E106" s="63" t="str">
        <f ca="1">IFERROR(IF(A106="","",_xludf.maxifs('Session Logs'!$E:$E,'Session Logs'!$D:$D,B106,'Session Logs'!$C:$C,D106)),"")</f>
        <v/>
      </c>
      <c r="F106" s="63" t="str">
        <f ca="1">IFERROR(IF(A106="","",_xludf.maxifs('Session Logs'!$I:$I,'Session Logs'!$D:$D,B106,'Session Logs'!$C:$C,D106,'Session Logs'!$I:$I,"&gt;"&amp;TODAY())),"")</f>
        <v/>
      </c>
      <c r="G106" s="64" t="str">
        <f t="shared" ca="1" si="3"/>
        <v>No Mentor Assigned</v>
      </c>
      <c r="H106" s="52"/>
    </row>
    <row r="107" spans="1:8" ht="26.25" customHeight="1" x14ac:dyDescent="0.3">
      <c r="A107" s="62">
        <f>'Intern Profiles'!A107</f>
        <v>0</v>
      </c>
      <c r="B107" s="52">
        <f>'Intern Profiles'!B107</f>
        <v>0</v>
      </c>
      <c r="C107" s="53">
        <f>'Intern Profiles'!C107</f>
        <v>0</v>
      </c>
      <c r="D107" s="52" t="str">
        <f>IF(A107="","",IFERROR(INDEX('Paste - Relationships'!$B$4:$B$800,MATCH(1,('Paste - Relationships'!$P$4:$P$800=VALUE(A107))*('Paste - Relationships'!$AE$4:$AE$800=""),0)),""))</f>
        <v/>
      </c>
      <c r="E107" s="63" t="str">
        <f ca="1">IFERROR(IF(A107="","",_xludf.maxifs('Session Logs'!$E:$E,'Session Logs'!$D:$D,B107,'Session Logs'!$C:$C,D107)),"")</f>
        <v/>
      </c>
      <c r="F107" s="63" t="str">
        <f ca="1">IFERROR(IF(A107="","",_xludf.maxifs('Session Logs'!$I:$I,'Session Logs'!$D:$D,B107,'Session Logs'!$C:$C,D107,'Session Logs'!$I:$I,"&gt;"&amp;TODAY())),"")</f>
        <v/>
      </c>
      <c r="G107" s="64" t="str">
        <f t="shared" ca="1" si="3"/>
        <v>No Mentor Assigned</v>
      </c>
      <c r="H107" s="52"/>
    </row>
    <row r="108" spans="1:8" ht="26.25" customHeight="1" x14ac:dyDescent="0.3">
      <c r="A108" s="62">
        <f>'Intern Profiles'!A108</f>
        <v>0</v>
      </c>
      <c r="B108" s="52">
        <f>'Intern Profiles'!B108</f>
        <v>0</v>
      </c>
      <c r="C108" s="53">
        <f>'Intern Profiles'!C108</f>
        <v>0</v>
      </c>
      <c r="D108" s="52" t="str">
        <f>IF(A108="","",IFERROR(INDEX('Paste - Relationships'!$B$4:$B$800,MATCH(1,('Paste - Relationships'!$P$4:$P$800=VALUE(A108))*('Paste - Relationships'!$AE$4:$AE$800=""),0)),""))</f>
        <v/>
      </c>
      <c r="E108" s="63" t="str">
        <f ca="1">IFERROR(IF(A108="","",_xludf.maxifs('Session Logs'!$E:$E,'Session Logs'!$D:$D,B108,'Session Logs'!$C:$C,D108)),"")</f>
        <v/>
      </c>
      <c r="F108" s="63" t="str">
        <f ca="1">IFERROR(IF(A108="","",_xludf.maxifs('Session Logs'!$I:$I,'Session Logs'!$D:$D,B108,'Session Logs'!$C:$C,D108,'Session Logs'!$I:$I,"&gt;"&amp;TODAY())),"")</f>
        <v/>
      </c>
      <c r="G108" s="64" t="str">
        <f t="shared" ca="1" si="3"/>
        <v>No Mentor Assigned</v>
      </c>
      <c r="H108" s="52"/>
    </row>
    <row r="109" spans="1:8" ht="26.25" customHeight="1" x14ac:dyDescent="0.3">
      <c r="A109" s="62">
        <f>'Intern Profiles'!A109</f>
        <v>0</v>
      </c>
      <c r="B109" s="52">
        <f>'Intern Profiles'!B109</f>
        <v>0</v>
      </c>
      <c r="C109" s="53">
        <f>'Intern Profiles'!C109</f>
        <v>0</v>
      </c>
      <c r="D109" s="52" t="str">
        <f>IF(A109="","",IFERROR(INDEX('Paste - Relationships'!$B$4:$B$800,MATCH(1,('Paste - Relationships'!$P$4:$P$800=VALUE(A109))*('Paste - Relationships'!$AE$4:$AE$800=""),0)),""))</f>
        <v/>
      </c>
      <c r="E109" s="63" t="str">
        <f ca="1">IFERROR(IF(A109="","",_xludf.maxifs('Session Logs'!$E:$E,'Session Logs'!$D:$D,B109,'Session Logs'!$C:$C,D109)),"")</f>
        <v/>
      </c>
      <c r="F109" s="63" t="str">
        <f ca="1">IFERROR(IF(A109="","",_xludf.maxifs('Session Logs'!$I:$I,'Session Logs'!$D:$D,B109,'Session Logs'!$C:$C,D109,'Session Logs'!$I:$I,"&gt;"&amp;TODAY())),"")</f>
        <v/>
      </c>
      <c r="G109" s="64" t="str">
        <f t="shared" ca="1" si="3"/>
        <v>No Mentor Assigned</v>
      </c>
      <c r="H109" s="52"/>
    </row>
    <row r="110" spans="1:8" ht="26.25" customHeight="1" x14ac:dyDescent="0.3">
      <c r="A110" s="62">
        <f>'Intern Profiles'!A110</f>
        <v>0</v>
      </c>
      <c r="B110" s="52">
        <f>'Intern Profiles'!B110</f>
        <v>0</v>
      </c>
      <c r="C110" s="53">
        <f>'Intern Profiles'!C110</f>
        <v>0</v>
      </c>
      <c r="D110" s="52" t="str">
        <f>IF(A110="","",IFERROR(INDEX('Paste - Relationships'!$B$4:$B$800,MATCH(1,('Paste - Relationships'!$P$4:$P$800=VALUE(A110))*('Paste - Relationships'!$AE$4:$AE$800=""),0)),""))</f>
        <v/>
      </c>
      <c r="E110" s="63" t="str">
        <f ca="1">IFERROR(IF(A110="","",_xludf.maxifs('Session Logs'!$E:$E,'Session Logs'!$D:$D,B110,'Session Logs'!$C:$C,D110)),"")</f>
        <v/>
      </c>
      <c r="F110" s="63" t="str">
        <f ca="1">IFERROR(IF(A110="","",_xludf.maxifs('Session Logs'!$I:$I,'Session Logs'!$D:$D,B110,'Session Logs'!$C:$C,D110,'Session Logs'!$I:$I,"&gt;"&amp;TODAY())),"")</f>
        <v/>
      </c>
      <c r="G110" s="64" t="str">
        <f t="shared" ca="1" si="3"/>
        <v>No Mentor Assigned</v>
      </c>
      <c r="H110" s="52"/>
    </row>
    <row r="111" spans="1:8" ht="26.25" customHeight="1" x14ac:dyDescent="0.3">
      <c r="A111" s="62">
        <f>'Intern Profiles'!A111</f>
        <v>0</v>
      </c>
      <c r="B111" s="52">
        <f>'Intern Profiles'!B111</f>
        <v>0</v>
      </c>
      <c r="C111" s="53">
        <f>'Intern Profiles'!C111</f>
        <v>0</v>
      </c>
      <c r="D111" s="52" t="str">
        <f>IF(A111="","",IFERROR(INDEX('Paste - Relationships'!$B$4:$B$800,MATCH(1,('Paste - Relationships'!$P$4:$P$800=VALUE(A111))*('Paste - Relationships'!$AE$4:$AE$800=""),0)),""))</f>
        <v/>
      </c>
      <c r="E111" s="63" t="str">
        <f ca="1">IFERROR(IF(A111="","",_xludf.maxifs('Session Logs'!$E:$E,'Session Logs'!$D:$D,B111,'Session Logs'!$C:$C,D111)),"")</f>
        <v/>
      </c>
      <c r="F111" s="63" t="str">
        <f ca="1">IFERROR(IF(A111="","",_xludf.maxifs('Session Logs'!$I:$I,'Session Logs'!$D:$D,B111,'Session Logs'!$C:$C,D111,'Session Logs'!$I:$I,"&gt;"&amp;TODAY())),"")</f>
        <v/>
      </c>
      <c r="G111" s="64" t="str">
        <f t="shared" ca="1" si="3"/>
        <v>No Mentor Assigned</v>
      </c>
      <c r="H111" s="52"/>
    </row>
    <row r="112" spans="1:8" ht="26.25" customHeight="1" x14ac:dyDescent="0.3">
      <c r="A112" s="62">
        <f>'Intern Profiles'!A112</f>
        <v>0</v>
      </c>
      <c r="B112" s="52">
        <f>'Intern Profiles'!B112</f>
        <v>0</v>
      </c>
      <c r="C112" s="53">
        <f>'Intern Profiles'!C112</f>
        <v>0</v>
      </c>
      <c r="D112" s="52" t="str">
        <f>IF(A112="","",IFERROR(INDEX('Paste - Relationships'!$B$4:$B$800,MATCH(1,('Paste - Relationships'!$P$4:$P$800=VALUE(A112))*('Paste - Relationships'!$AE$4:$AE$800=""),0)),""))</f>
        <v/>
      </c>
      <c r="E112" s="63" t="str">
        <f ca="1">IFERROR(IF(A112="","",_xludf.maxifs('Session Logs'!$E:$E,'Session Logs'!$D:$D,B112,'Session Logs'!$C:$C,D112)),"")</f>
        <v/>
      </c>
      <c r="F112" s="63" t="str">
        <f ca="1">IFERROR(IF(A112="","",_xludf.maxifs('Session Logs'!$I:$I,'Session Logs'!$D:$D,B112,'Session Logs'!$C:$C,D112,'Session Logs'!$I:$I,"&gt;"&amp;TODAY())),"")</f>
        <v/>
      </c>
      <c r="G112" s="64" t="str">
        <f t="shared" ca="1" si="3"/>
        <v>No Mentor Assigned</v>
      </c>
      <c r="H112" s="52"/>
    </row>
    <row r="113" spans="1:8" ht="26.25" customHeight="1" x14ac:dyDescent="0.3">
      <c r="A113" s="62">
        <f>'Intern Profiles'!A113</f>
        <v>0</v>
      </c>
      <c r="B113" s="52">
        <f>'Intern Profiles'!B113</f>
        <v>0</v>
      </c>
      <c r="C113" s="53">
        <f>'Intern Profiles'!C113</f>
        <v>0</v>
      </c>
      <c r="D113" s="52" t="str">
        <f>IF(A113="","",IFERROR(INDEX('Paste - Relationships'!$B$4:$B$800,MATCH(1,('Paste - Relationships'!$P$4:$P$800=VALUE(A113))*('Paste - Relationships'!$AE$4:$AE$800=""),0)),""))</f>
        <v/>
      </c>
      <c r="E113" s="63" t="str">
        <f ca="1">IFERROR(IF(A113="","",_xludf.maxifs('Session Logs'!$E:$E,'Session Logs'!$D:$D,B113,'Session Logs'!$C:$C,D113)),"")</f>
        <v/>
      </c>
      <c r="F113" s="63" t="str">
        <f ca="1">IFERROR(IF(A113="","",_xludf.maxifs('Session Logs'!$I:$I,'Session Logs'!$D:$D,B113,'Session Logs'!$C:$C,D113,'Session Logs'!$I:$I,"&gt;"&amp;TODAY())),"")</f>
        <v/>
      </c>
      <c r="G113" s="64" t="str">
        <f t="shared" ca="1" si="3"/>
        <v>No Mentor Assigned</v>
      </c>
      <c r="H113" s="52"/>
    </row>
    <row r="114" spans="1:8" ht="26.25" customHeight="1" x14ac:dyDescent="0.3">
      <c r="A114" s="62">
        <f>'Intern Profiles'!A114</f>
        <v>0</v>
      </c>
      <c r="B114" s="52">
        <f>'Intern Profiles'!B114</f>
        <v>0</v>
      </c>
      <c r="C114" s="53">
        <f>'Intern Profiles'!C114</f>
        <v>0</v>
      </c>
      <c r="D114" s="52" t="str">
        <f>IF(A114="","",IFERROR(INDEX('Paste - Relationships'!$B$4:$B$800,MATCH(1,('Paste - Relationships'!$P$4:$P$800=VALUE(A114))*('Paste - Relationships'!$AE$4:$AE$800=""),0)),""))</f>
        <v/>
      </c>
      <c r="E114" s="63" t="str">
        <f ca="1">IFERROR(IF(A114="","",_xludf.maxifs('Session Logs'!$E:$E,'Session Logs'!$D:$D,B114,'Session Logs'!$C:$C,D114)),"")</f>
        <v/>
      </c>
      <c r="F114" s="63" t="str">
        <f ca="1">IFERROR(IF(A114="","",_xludf.maxifs('Session Logs'!$I:$I,'Session Logs'!$D:$D,B114,'Session Logs'!$C:$C,D114,'Session Logs'!$I:$I,"&gt;"&amp;TODAY())),"")</f>
        <v/>
      </c>
      <c r="G114" s="64" t="str">
        <f t="shared" ca="1" si="3"/>
        <v>No Mentor Assigned</v>
      </c>
      <c r="H114" s="52"/>
    </row>
    <row r="115" spans="1:8" ht="26.25" customHeight="1" x14ac:dyDescent="0.3">
      <c r="A115" s="62">
        <f>'Intern Profiles'!A115</f>
        <v>0</v>
      </c>
      <c r="B115" s="52">
        <f>'Intern Profiles'!B115</f>
        <v>0</v>
      </c>
      <c r="C115" s="53">
        <f>'Intern Profiles'!C115</f>
        <v>0</v>
      </c>
      <c r="D115" s="52" t="str">
        <f>IF(A115="","",IFERROR(INDEX('Paste - Relationships'!$B$4:$B$800,MATCH(1,('Paste - Relationships'!$P$4:$P$800=VALUE(A115))*('Paste - Relationships'!$AE$4:$AE$800=""),0)),""))</f>
        <v/>
      </c>
      <c r="E115" s="63" t="str">
        <f ca="1">IFERROR(IF(A115="","",_xludf.maxifs('Session Logs'!$E:$E,'Session Logs'!$D:$D,B115,'Session Logs'!$C:$C,D115)),"")</f>
        <v/>
      </c>
      <c r="F115" s="63" t="str">
        <f ca="1">IFERROR(IF(A115="","",_xludf.maxifs('Session Logs'!$I:$I,'Session Logs'!$D:$D,B115,'Session Logs'!$C:$C,D115,'Session Logs'!$I:$I,"&gt;"&amp;TODAY())),"")</f>
        <v/>
      </c>
      <c r="G115" s="64" t="str">
        <f t="shared" ca="1" si="3"/>
        <v>No Mentor Assigned</v>
      </c>
      <c r="H115" s="52"/>
    </row>
    <row r="116" spans="1:8" ht="26.25" customHeight="1" x14ac:dyDescent="0.3">
      <c r="A116" s="62">
        <f>'Intern Profiles'!A116</f>
        <v>0</v>
      </c>
      <c r="B116" s="52">
        <f>'Intern Profiles'!B116</f>
        <v>0</v>
      </c>
      <c r="C116" s="53">
        <f>'Intern Profiles'!C116</f>
        <v>0</v>
      </c>
      <c r="D116" s="52" t="str">
        <f>IF(A116="","",IFERROR(INDEX('Paste - Relationships'!$B$4:$B$800,MATCH(1,('Paste - Relationships'!$P$4:$P$800=VALUE(A116))*('Paste - Relationships'!$AE$4:$AE$800=""),0)),""))</f>
        <v/>
      </c>
      <c r="E116" s="63" t="str">
        <f ca="1">IFERROR(IF(A116="","",_xludf.maxifs('Session Logs'!$E:$E,'Session Logs'!$D:$D,B116,'Session Logs'!$C:$C,D116)),"")</f>
        <v/>
      </c>
      <c r="F116" s="63" t="str">
        <f ca="1">IFERROR(IF(A116="","",_xludf.maxifs('Session Logs'!$I:$I,'Session Logs'!$D:$D,B116,'Session Logs'!$C:$C,D116,'Session Logs'!$I:$I,"&gt;"&amp;TODAY())),"")</f>
        <v/>
      </c>
      <c r="G116" s="64" t="str">
        <f t="shared" ca="1" si="3"/>
        <v>No Mentor Assigned</v>
      </c>
      <c r="H116" s="52"/>
    </row>
    <row r="117" spans="1:8" ht="26.25" customHeight="1" x14ac:dyDescent="0.3">
      <c r="A117" s="62">
        <f>'Intern Profiles'!A117</f>
        <v>0</v>
      </c>
      <c r="B117" s="52">
        <f>'Intern Profiles'!B117</f>
        <v>0</v>
      </c>
      <c r="C117" s="53">
        <f>'Intern Profiles'!C117</f>
        <v>0</v>
      </c>
      <c r="D117" s="52" t="str">
        <f>IF(A117="","",IFERROR(INDEX('Paste - Relationships'!$B$4:$B$800,MATCH(1,('Paste - Relationships'!$P$4:$P$800=VALUE(A117))*('Paste - Relationships'!$AE$4:$AE$800=""),0)),""))</f>
        <v/>
      </c>
      <c r="E117" s="63" t="str">
        <f ca="1">IFERROR(IF(A117="","",_xludf.maxifs('Session Logs'!$E:$E,'Session Logs'!$D:$D,B117,'Session Logs'!$C:$C,D117)),"")</f>
        <v/>
      </c>
      <c r="F117" s="63" t="str">
        <f ca="1">IFERROR(IF(A117="","",_xludf.maxifs('Session Logs'!$I:$I,'Session Logs'!$D:$D,B117,'Session Logs'!$C:$C,D117,'Session Logs'!$I:$I,"&gt;"&amp;TODAY())),"")</f>
        <v/>
      </c>
      <c r="G117" s="64" t="str">
        <f t="shared" ca="1" si="3"/>
        <v>No Mentor Assigned</v>
      </c>
      <c r="H117" s="52"/>
    </row>
    <row r="118" spans="1:8" ht="26.25" customHeight="1" x14ac:dyDescent="0.3">
      <c r="A118" s="62">
        <f>'Intern Profiles'!A118</f>
        <v>0</v>
      </c>
      <c r="B118" s="52">
        <f>'Intern Profiles'!B118</f>
        <v>0</v>
      </c>
      <c r="C118" s="53">
        <f>'Intern Profiles'!C118</f>
        <v>0</v>
      </c>
      <c r="D118" s="52" t="str">
        <f>IF(A118="","",IFERROR(INDEX('Paste - Relationships'!$B$4:$B$800,MATCH(1,('Paste - Relationships'!$P$4:$P$800=VALUE(A118))*('Paste - Relationships'!$AE$4:$AE$800=""),0)),""))</f>
        <v/>
      </c>
      <c r="E118" s="63" t="str">
        <f ca="1">IFERROR(IF(A118="","",_xludf.maxifs('Session Logs'!$E:$E,'Session Logs'!$D:$D,B118,'Session Logs'!$C:$C,D118)),"")</f>
        <v/>
      </c>
      <c r="F118" s="63" t="str">
        <f ca="1">IFERROR(IF(A118="","",_xludf.maxifs('Session Logs'!$I:$I,'Session Logs'!$D:$D,B118,'Session Logs'!$C:$C,D118,'Session Logs'!$I:$I,"&gt;"&amp;TODAY())),"")</f>
        <v/>
      </c>
      <c r="G118" s="64" t="str">
        <f t="shared" ca="1" si="3"/>
        <v>No Mentor Assigned</v>
      </c>
      <c r="H118" s="52"/>
    </row>
    <row r="119" spans="1:8" ht="26.25" customHeight="1" x14ac:dyDescent="0.3">
      <c r="A119" s="62">
        <f>'Intern Profiles'!A119</f>
        <v>0</v>
      </c>
      <c r="B119" s="52">
        <f>'Intern Profiles'!B119</f>
        <v>0</v>
      </c>
      <c r="C119" s="53">
        <f>'Intern Profiles'!C119</f>
        <v>0</v>
      </c>
      <c r="D119" s="52" t="str">
        <f>IF(A119="","",IFERROR(INDEX('Paste - Relationships'!$B$4:$B$800,MATCH(1,('Paste - Relationships'!$P$4:$P$800=VALUE(A119))*('Paste - Relationships'!$AE$4:$AE$800=""),0)),""))</f>
        <v/>
      </c>
      <c r="E119" s="63" t="str">
        <f ca="1">IFERROR(IF(A119="","",_xludf.maxifs('Session Logs'!$E:$E,'Session Logs'!$D:$D,B119,'Session Logs'!$C:$C,D119)),"")</f>
        <v/>
      </c>
      <c r="F119" s="63" t="str">
        <f ca="1">IFERROR(IF(A119="","",_xludf.maxifs('Session Logs'!$I:$I,'Session Logs'!$D:$D,B119,'Session Logs'!$C:$C,D119,'Session Logs'!$I:$I,"&gt;"&amp;TODAY())),"")</f>
        <v/>
      </c>
      <c r="G119" s="64" t="str">
        <f t="shared" ca="1" si="3"/>
        <v>No Mentor Assigned</v>
      </c>
      <c r="H119" s="52"/>
    </row>
    <row r="120" spans="1:8" ht="26.25" customHeight="1" x14ac:dyDescent="0.3">
      <c r="A120" s="62">
        <f>'Intern Profiles'!A120</f>
        <v>0</v>
      </c>
      <c r="B120" s="52">
        <f>'Intern Profiles'!B120</f>
        <v>0</v>
      </c>
      <c r="C120" s="53">
        <f>'Intern Profiles'!C120</f>
        <v>0</v>
      </c>
      <c r="D120" s="52" t="str">
        <f>IF(A120="","",IFERROR(INDEX('Paste - Relationships'!$B$4:$B$800,MATCH(1,('Paste - Relationships'!$P$4:$P$800=VALUE(A120))*('Paste - Relationships'!$AE$4:$AE$800=""),0)),""))</f>
        <v/>
      </c>
      <c r="E120" s="63" t="str">
        <f ca="1">IFERROR(IF(A120="","",_xludf.maxifs('Session Logs'!$E:$E,'Session Logs'!$D:$D,B120,'Session Logs'!$C:$C,D120)),"")</f>
        <v/>
      </c>
      <c r="F120" s="63" t="str">
        <f ca="1">IFERROR(IF(A120="","",_xludf.maxifs('Session Logs'!$I:$I,'Session Logs'!$D:$D,B120,'Session Logs'!$C:$C,D120,'Session Logs'!$I:$I,"&gt;"&amp;TODAY())),"")</f>
        <v/>
      </c>
      <c r="G120" s="64" t="str">
        <f t="shared" ca="1" si="3"/>
        <v>No Mentor Assigned</v>
      </c>
      <c r="H120" s="52"/>
    </row>
    <row r="121" spans="1:8" ht="26.25" customHeight="1" x14ac:dyDescent="0.3">
      <c r="A121" s="62">
        <f>'Intern Profiles'!A121</f>
        <v>0</v>
      </c>
      <c r="B121" s="52">
        <f>'Intern Profiles'!B121</f>
        <v>0</v>
      </c>
      <c r="C121" s="53">
        <f>'Intern Profiles'!C121</f>
        <v>0</v>
      </c>
      <c r="D121" s="52" t="str">
        <f>IF(A121="","",IFERROR(INDEX('Paste - Relationships'!$B$4:$B$800,MATCH(1,('Paste - Relationships'!$P$4:$P$800=VALUE(A121))*('Paste - Relationships'!$AE$4:$AE$800=""),0)),""))</f>
        <v/>
      </c>
      <c r="E121" s="63" t="str">
        <f ca="1">IFERROR(IF(A121="","",_xludf.maxifs('Session Logs'!$E:$E,'Session Logs'!$D:$D,B121,'Session Logs'!$C:$C,D121)),"")</f>
        <v/>
      </c>
      <c r="F121" s="63" t="str">
        <f ca="1">IFERROR(IF(A121="","",_xludf.maxifs('Session Logs'!$I:$I,'Session Logs'!$D:$D,B121,'Session Logs'!$C:$C,D121,'Session Logs'!$I:$I,"&gt;"&amp;TODAY())),"")</f>
        <v/>
      </c>
      <c r="G121" s="64" t="str">
        <f t="shared" ca="1" si="3"/>
        <v>No Mentor Assigned</v>
      </c>
      <c r="H121" s="52"/>
    </row>
    <row r="122" spans="1:8" ht="26.25" customHeight="1" x14ac:dyDescent="0.3">
      <c r="A122" s="62">
        <f>'Intern Profiles'!A122</f>
        <v>0</v>
      </c>
      <c r="B122" s="52">
        <f>'Intern Profiles'!B122</f>
        <v>0</v>
      </c>
      <c r="C122" s="53">
        <f>'Intern Profiles'!C122</f>
        <v>0</v>
      </c>
      <c r="D122" s="52" t="str">
        <f>IF(A122="","",IFERROR(INDEX('Paste - Relationships'!$B$4:$B$800,MATCH(1,('Paste - Relationships'!$P$4:$P$800=VALUE(A122))*('Paste - Relationships'!$AE$4:$AE$800=""),0)),""))</f>
        <v/>
      </c>
      <c r="E122" s="63" t="str">
        <f ca="1">IFERROR(IF(A122="","",_xludf.maxifs('Session Logs'!$E:$E,'Session Logs'!$D:$D,B122,'Session Logs'!$C:$C,D122)),"")</f>
        <v/>
      </c>
      <c r="F122" s="63" t="str">
        <f ca="1">IFERROR(IF(A122="","",_xludf.maxifs('Session Logs'!$I:$I,'Session Logs'!$D:$D,B122,'Session Logs'!$C:$C,D122,'Session Logs'!$I:$I,"&gt;"&amp;TODAY())),"")</f>
        <v/>
      </c>
      <c r="G122" s="64" t="str">
        <f t="shared" ca="1" si="3"/>
        <v>No Mentor Assigned</v>
      </c>
      <c r="H122" s="52"/>
    </row>
    <row r="123" spans="1:8" ht="26.25" customHeight="1" x14ac:dyDescent="0.3">
      <c r="A123" s="62">
        <f>'Intern Profiles'!A123</f>
        <v>0</v>
      </c>
      <c r="B123" s="52">
        <f>'Intern Profiles'!B123</f>
        <v>0</v>
      </c>
      <c r="C123" s="53">
        <f>'Intern Profiles'!C123</f>
        <v>0</v>
      </c>
      <c r="D123" s="52" t="str">
        <f>IF(A123="","",IFERROR(INDEX('Paste - Relationships'!$B$4:$B$800,MATCH(1,('Paste - Relationships'!$P$4:$P$800=VALUE(A123))*('Paste - Relationships'!$AE$4:$AE$800=""),0)),""))</f>
        <v/>
      </c>
      <c r="E123" s="63" t="str">
        <f ca="1">IFERROR(IF(A123="","",_xludf.maxifs('Session Logs'!$E:$E,'Session Logs'!$D:$D,B123,'Session Logs'!$C:$C,D123)),"")</f>
        <v/>
      </c>
      <c r="F123" s="63" t="str">
        <f ca="1">IFERROR(IF(A123="","",_xludf.maxifs('Session Logs'!$I:$I,'Session Logs'!$D:$D,B123,'Session Logs'!$C:$C,D123,'Session Logs'!$I:$I,"&gt;"&amp;TODAY())),"")</f>
        <v/>
      </c>
      <c r="G123" s="64" t="str">
        <f t="shared" ca="1" si="3"/>
        <v>No Mentor Assigned</v>
      </c>
      <c r="H123" s="52"/>
    </row>
    <row r="124" spans="1:8" ht="26.25" customHeight="1" x14ac:dyDescent="0.3">
      <c r="A124" s="62">
        <f>'Intern Profiles'!A124</f>
        <v>0</v>
      </c>
      <c r="B124" s="52">
        <f>'Intern Profiles'!B124</f>
        <v>0</v>
      </c>
      <c r="C124" s="53">
        <f>'Intern Profiles'!C124</f>
        <v>0</v>
      </c>
      <c r="D124" s="52" t="str">
        <f>IF(A124="","",IFERROR(INDEX('Paste - Relationships'!$B$4:$B$800,MATCH(1,('Paste - Relationships'!$P$4:$P$800=VALUE(A124))*('Paste - Relationships'!$AE$4:$AE$800=""),0)),""))</f>
        <v/>
      </c>
      <c r="E124" s="63" t="str">
        <f ca="1">IFERROR(IF(A124="","",_xludf.maxifs('Session Logs'!$E:$E,'Session Logs'!$D:$D,B124,'Session Logs'!$C:$C,D124)),"")</f>
        <v/>
      </c>
      <c r="F124" s="63" t="str">
        <f ca="1">IFERROR(IF(A124="","",_xludf.maxifs('Session Logs'!$I:$I,'Session Logs'!$D:$D,B124,'Session Logs'!$C:$C,D124,'Session Logs'!$I:$I,"&gt;"&amp;TODAY())),"")</f>
        <v/>
      </c>
      <c r="G124" s="64" t="str">
        <f t="shared" ca="1" si="3"/>
        <v>No Mentor Assigned</v>
      </c>
      <c r="H124" s="52"/>
    </row>
    <row r="125" spans="1:8" ht="26.25" customHeight="1" x14ac:dyDescent="0.3">
      <c r="A125" s="62">
        <f>'Intern Profiles'!A125</f>
        <v>0</v>
      </c>
      <c r="B125" s="52">
        <f>'Intern Profiles'!B125</f>
        <v>0</v>
      </c>
      <c r="C125" s="53">
        <f>'Intern Profiles'!C125</f>
        <v>0</v>
      </c>
      <c r="D125" s="52" t="str">
        <f>IF(A125="","",IFERROR(INDEX('Paste - Relationships'!$B$4:$B$800,MATCH(1,('Paste - Relationships'!$P$4:$P$800=VALUE(A125))*('Paste - Relationships'!$AE$4:$AE$800=""),0)),""))</f>
        <v/>
      </c>
      <c r="E125" s="63" t="str">
        <f ca="1">IFERROR(IF(A125="","",_xludf.maxifs('Session Logs'!$E:$E,'Session Logs'!$D:$D,B125,'Session Logs'!$C:$C,D125)),"")</f>
        <v/>
      </c>
      <c r="F125" s="63" t="str">
        <f ca="1">IFERROR(IF(A125="","",_xludf.maxifs('Session Logs'!$I:$I,'Session Logs'!$D:$D,B125,'Session Logs'!$C:$C,D125,'Session Logs'!$I:$I,"&gt;"&amp;TODAY())),"")</f>
        <v/>
      </c>
      <c r="G125" s="64" t="str">
        <f t="shared" ca="1" si="3"/>
        <v>No Mentor Assigned</v>
      </c>
      <c r="H125" s="52"/>
    </row>
    <row r="126" spans="1:8" ht="26.25" customHeight="1" x14ac:dyDescent="0.3">
      <c r="A126" s="62">
        <f>'Intern Profiles'!A126</f>
        <v>0</v>
      </c>
      <c r="B126" s="52">
        <f>'Intern Profiles'!B126</f>
        <v>0</v>
      </c>
      <c r="C126" s="53">
        <f>'Intern Profiles'!C126</f>
        <v>0</v>
      </c>
      <c r="D126" s="52" t="str">
        <f>IF(A126="","",IFERROR(INDEX('Paste - Relationships'!$B$4:$B$800,MATCH(1,('Paste - Relationships'!$P$4:$P$800=VALUE(A126))*('Paste - Relationships'!$AE$4:$AE$800=""),0)),""))</f>
        <v/>
      </c>
      <c r="E126" s="63" t="str">
        <f ca="1">IFERROR(IF(A126="","",_xludf.maxifs('Session Logs'!$E:$E,'Session Logs'!$D:$D,B126,'Session Logs'!$C:$C,D126)),"")</f>
        <v/>
      </c>
      <c r="F126" s="63" t="str">
        <f ca="1">IFERROR(IF(A126="","",_xludf.maxifs('Session Logs'!$I:$I,'Session Logs'!$D:$D,B126,'Session Logs'!$C:$C,D126,'Session Logs'!$I:$I,"&gt;"&amp;TODAY())),"")</f>
        <v/>
      </c>
      <c r="G126" s="64" t="str">
        <f t="shared" ca="1" si="3"/>
        <v>No Mentor Assigned</v>
      </c>
      <c r="H126" s="52"/>
    </row>
    <row r="127" spans="1:8" ht="26.25" customHeight="1" x14ac:dyDescent="0.3">
      <c r="A127" s="62">
        <f>'Intern Profiles'!A127</f>
        <v>0</v>
      </c>
      <c r="B127" s="52">
        <f>'Intern Profiles'!B127</f>
        <v>0</v>
      </c>
      <c r="C127" s="53">
        <f>'Intern Profiles'!C127</f>
        <v>0</v>
      </c>
      <c r="D127" s="52" t="str">
        <f>IF(A127="","",IFERROR(INDEX('Paste - Relationships'!$B$4:$B$800,MATCH(1,('Paste - Relationships'!$P$4:$P$800=VALUE(A127))*('Paste - Relationships'!$AE$4:$AE$800=""),0)),""))</f>
        <v/>
      </c>
      <c r="E127" s="63" t="str">
        <f ca="1">IFERROR(IF(A127="","",_xludf.maxifs('Session Logs'!$E:$E,'Session Logs'!$D:$D,B127,'Session Logs'!$C:$C,D127)),"")</f>
        <v/>
      </c>
      <c r="F127" s="63" t="str">
        <f ca="1">IFERROR(IF(A127="","",_xludf.maxifs('Session Logs'!$I:$I,'Session Logs'!$D:$D,B127,'Session Logs'!$C:$C,D127,'Session Logs'!$I:$I,"&gt;"&amp;TODAY())),"")</f>
        <v/>
      </c>
      <c r="G127" s="64" t="str">
        <f t="shared" ca="1" si="3"/>
        <v>No Mentor Assigned</v>
      </c>
      <c r="H127" s="52"/>
    </row>
    <row r="128" spans="1:8" ht="26.25" customHeight="1" x14ac:dyDescent="0.3">
      <c r="A128" s="62">
        <f>'Intern Profiles'!A128</f>
        <v>0</v>
      </c>
      <c r="B128" s="52">
        <f>'Intern Profiles'!B128</f>
        <v>0</v>
      </c>
      <c r="C128" s="53">
        <f>'Intern Profiles'!C128</f>
        <v>0</v>
      </c>
      <c r="D128" s="52" t="str">
        <f>IF(A128="","",IFERROR(INDEX('Paste - Relationships'!$B$4:$B$800,MATCH(1,('Paste - Relationships'!$P$4:$P$800=VALUE(A128))*('Paste - Relationships'!$AE$4:$AE$800=""),0)),""))</f>
        <v/>
      </c>
      <c r="E128" s="63" t="str">
        <f ca="1">IFERROR(IF(A128="","",_xludf.maxifs('Session Logs'!$E:$E,'Session Logs'!$D:$D,B128,'Session Logs'!$C:$C,D128)),"")</f>
        <v/>
      </c>
      <c r="F128" s="63" t="str">
        <f ca="1">IFERROR(IF(A128="","",_xludf.maxifs('Session Logs'!$I:$I,'Session Logs'!$D:$D,B128,'Session Logs'!$C:$C,D128,'Session Logs'!$I:$I,"&gt;"&amp;TODAY())),"")</f>
        <v/>
      </c>
      <c r="G128" s="64" t="str">
        <f t="shared" ca="1" si="3"/>
        <v>No Mentor Assigned</v>
      </c>
      <c r="H128" s="52"/>
    </row>
    <row r="129" spans="1:8" ht="26.25" customHeight="1" x14ac:dyDescent="0.3">
      <c r="A129" s="62">
        <f>'Intern Profiles'!A129</f>
        <v>0</v>
      </c>
      <c r="B129" s="52">
        <f>'Intern Profiles'!B129</f>
        <v>0</v>
      </c>
      <c r="C129" s="53">
        <f>'Intern Profiles'!C129</f>
        <v>0</v>
      </c>
      <c r="D129" s="52" t="str">
        <f>IF(A129="","",IFERROR(INDEX('Paste - Relationships'!$B$4:$B$800,MATCH(1,('Paste - Relationships'!$P$4:$P$800=VALUE(A129))*('Paste - Relationships'!$AE$4:$AE$800=""),0)),""))</f>
        <v/>
      </c>
      <c r="E129" s="63" t="str">
        <f ca="1">IFERROR(IF(A129="","",_xludf.maxifs('Session Logs'!$E:$E,'Session Logs'!$D:$D,B129,'Session Logs'!$C:$C,D129)),"")</f>
        <v/>
      </c>
      <c r="F129" s="63" t="str">
        <f ca="1">IFERROR(IF(A129="","",_xludf.maxifs('Session Logs'!$I:$I,'Session Logs'!$D:$D,B129,'Session Logs'!$C:$C,D129,'Session Logs'!$I:$I,"&gt;"&amp;TODAY())),"")</f>
        <v/>
      </c>
      <c r="G129" s="64" t="str">
        <f t="shared" ca="1" si="3"/>
        <v>No Mentor Assigned</v>
      </c>
      <c r="H129" s="52"/>
    </row>
    <row r="130" spans="1:8" ht="26.25" customHeight="1" x14ac:dyDescent="0.3">
      <c r="A130" s="62">
        <f>'Intern Profiles'!A130</f>
        <v>0</v>
      </c>
      <c r="B130" s="52">
        <f>'Intern Profiles'!B130</f>
        <v>0</v>
      </c>
      <c r="C130" s="53">
        <f>'Intern Profiles'!C130</f>
        <v>0</v>
      </c>
      <c r="D130" s="52" t="str">
        <f>IF(A130="","",IFERROR(INDEX('Paste - Relationships'!$B$4:$B$800,MATCH(1,('Paste - Relationships'!$P$4:$P$800=VALUE(A130))*('Paste - Relationships'!$AE$4:$AE$800=""),0)),""))</f>
        <v/>
      </c>
      <c r="E130" s="63" t="str">
        <f ca="1">IFERROR(IF(A130="","",_xludf.maxifs('Session Logs'!$E:$E,'Session Logs'!$D:$D,B130,'Session Logs'!$C:$C,D130)),"")</f>
        <v/>
      </c>
      <c r="F130" s="63" t="str">
        <f ca="1">IFERROR(IF(A130="","",_xludf.maxifs('Session Logs'!$I:$I,'Session Logs'!$D:$D,B130,'Session Logs'!$C:$C,D130,'Session Logs'!$I:$I,"&gt;"&amp;TODAY())),"")</f>
        <v/>
      </c>
      <c r="G130" s="64" t="str">
        <f t="shared" ca="1" si="3"/>
        <v>No Mentor Assigned</v>
      </c>
      <c r="H130" s="52"/>
    </row>
    <row r="131" spans="1:8" ht="26.25" customHeight="1" x14ac:dyDescent="0.3">
      <c r="A131" s="62">
        <f>'Intern Profiles'!A131</f>
        <v>0</v>
      </c>
      <c r="B131" s="52">
        <f>'Intern Profiles'!B131</f>
        <v>0</v>
      </c>
      <c r="C131" s="53">
        <f>'Intern Profiles'!C131</f>
        <v>0</v>
      </c>
      <c r="D131" s="52" t="str">
        <f>IF(A131="","",IFERROR(INDEX('Paste - Relationships'!$B$4:$B$800,MATCH(1,('Paste - Relationships'!$P$4:$P$800=VALUE(A131))*('Paste - Relationships'!$AE$4:$AE$800=""),0)),""))</f>
        <v/>
      </c>
      <c r="E131" s="63" t="str">
        <f ca="1">IFERROR(IF(A131="","",_xludf.maxifs('Session Logs'!$E:$E,'Session Logs'!$D:$D,B131,'Session Logs'!$C:$C,D131)),"")</f>
        <v/>
      </c>
      <c r="F131" s="63" t="str">
        <f ca="1">IFERROR(IF(A131="","",_xludf.maxifs('Session Logs'!$I:$I,'Session Logs'!$D:$D,B131,'Session Logs'!$C:$C,D131,'Session Logs'!$I:$I,"&gt;"&amp;TODAY())),"")</f>
        <v/>
      </c>
      <c r="G131" s="64" t="str">
        <f t="shared" ca="1" si="3"/>
        <v>No Mentor Assigned</v>
      </c>
      <c r="H131" s="52"/>
    </row>
    <row r="132" spans="1:8" ht="26.25" customHeight="1" x14ac:dyDescent="0.3">
      <c r="A132" s="62">
        <f>'Intern Profiles'!A132</f>
        <v>0</v>
      </c>
      <c r="B132" s="52">
        <f>'Intern Profiles'!B132</f>
        <v>0</v>
      </c>
      <c r="C132" s="53">
        <f>'Intern Profiles'!C132</f>
        <v>0</v>
      </c>
      <c r="D132" s="52" t="str">
        <f>IF(A132="","",IFERROR(INDEX('Paste - Relationships'!$B$4:$B$800,MATCH(1,('Paste - Relationships'!$P$4:$P$800=VALUE(A132))*('Paste - Relationships'!$AE$4:$AE$800=""),0)),""))</f>
        <v/>
      </c>
      <c r="E132" s="63" t="str">
        <f ca="1">IFERROR(IF(A132="","",_xludf.maxifs('Session Logs'!$E:$E,'Session Logs'!$D:$D,B132,'Session Logs'!$C:$C,D132)),"")</f>
        <v/>
      </c>
      <c r="F132" s="63" t="str">
        <f ca="1">IFERROR(IF(A132="","",_xludf.maxifs('Session Logs'!$I:$I,'Session Logs'!$D:$D,B132,'Session Logs'!$C:$C,D132,'Session Logs'!$I:$I,"&gt;"&amp;TODAY())),"")</f>
        <v/>
      </c>
      <c r="G132" s="64" t="str">
        <f t="shared" ref="G132:G163" ca="1" si="4">IF(A132="","",IF(D132="","No Mentor Assigned",IF(E132="","No Sessions Yet",IF(AND(F132&lt;&gt;"",F132&lt;TODAY()),"Missed Session",IF(AND(TODAY()-E132&gt;30,F132=""),"Overdue – Book Now",IF(TODAY()-E132&gt;30,"Overdue – Session Booked","On Track"))))))</f>
        <v>No Mentor Assigned</v>
      </c>
      <c r="H132" s="52"/>
    </row>
    <row r="133" spans="1:8" ht="26.25" customHeight="1" x14ac:dyDescent="0.3">
      <c r="A133" s="62">
        <f>'Intern Profiles'!A133</f>
        <v>0</v>
      </c>
      <c r="B133" s="52">
        <f>'Intern Profiles'!B133</f>
        <v>0</v>
      </c>
      <c r="C133" s="53">
        <f>'Intern Profiles'!C133</f>
        <v>0</v>
      </c>
      <c r="D133" s="52" t="str">
        <f>IF(A133="","",IFERROR(INDEX('Paste - Relationships'!$B$4:$B$800,MATCH(1,('Paste - Relationships'!$P$4:$P$800=VALUE(A133))*('Paste - Relationships'!$AE$4:$AE$800=""),0)),""))</f>
        <v/>
      </c>
      <c r="E133" s="63" t="str">
        <f ca="1">IFERROR(IF(A133="","",_xludf.maxifs('Session Logs'!$E:$E,'Session Logs'!$D:$D,B133,'Session Logs'!$C:$C,D133)),"")</f>
        <v/>
      </c>
      <c r="F133" s="63" t="str">
        <f ca="1">IFERROR(IF(A133="","",_xludf.maxifs('Session Logs'!$I:$I,'Session Logs'!$D:$D,B133,'Session Logs'!$C:$C,D133,'Session Logs'!$I:$I,"&gt;"&amp;TODAY())),"")</f>
        <v/>
      </c>
      <c r="G133" s="64" t="str">
        <f t="shared" ca="1" si="4"/>
        <v>No Mentor Assigned</v>
      </c>
      <c r="H133" s="52"/>
    </row>
    <row r="134" spans="1:8" ht="26.25" customHeight="1" x14ac:dyDescent="0.3">
      <c r="A134" s="62">
        <f>'Intern Profiles'!A134</f>
        <v>0</v>
      </c>
      <c r="B134" s="52">
        <f>'Intern Profiles'!B134</f>
        <v>0</v>
      </c>
      <c r="C134" s="53">
        <f>'Intern Profiles'!C134</f>
        <v>0</v>
      </c>
      <c r="D134" s="52" t="str">
        <f>IF(A134="","",IFERROR(INDEX('Paste - Relationships'!$B$4:$B$800,MATCH(1,('Paste - Relationships'!$P$4:$P$800=VALUE(A134))*('Paste - Relationships'!$AE$4:$AE$800=""),0)),""))</f>
        <v/>
      </c>
      <c r="E134" s="63" t="str">
        <f ca="1">IFERROR(IF(A134="","",_xludf.maxifs('Session Logs'!$E:$E,'Session Logs'!$D:$D,B134,'Session Logs'!$C:$C,D134)),"")</f>
        <v/>
      </c>
      <c r="F134" s="63" t="str">
        <f ca="1">IFERROR(IF(A134="","",_xludf.maxifs('Session Logs'!$I:$I,'Session Logs'!$D:$D,B134,'Session Logs'!$C:$C,D134,'Session Logs'!$I:$I,"&gt;"&amp;TODAY())),"")</f>
        <v/>
      </c>
      <c r="G134" s="64" t="str">
        <f t="shared" ca="1" si="4"/>
        <v>No Mentor Assigned</v>
      </c>
      <c r="H134" s="52"/>
    </row>
    <row r="135" spans="1:8" ht="26.25" customHeight="1" x14ac:dyDescent="0.3">
      <c r="A135" s="62">
        <f>'Intern Profiles'!A135</f>
        <v>0</v>
      </c>
      <c r="B135" s="52">
        <f>'Intern Profiles'!B135</f>
        <v>0</v>
      </c>
      <c r="C135" s="53">
        <f>'Intern Profiles'!C135</f>
        <v>0</v>
      </c>
      <c r="D135" s="52" t="str">
        <f>IF(A135="","",IFERROR(INDEX('Paste - Relationships'!$B$4:$B$800,MATCH(1,('Paste - Relationships'!$P$4:$P$800=VALUE(A135))*('Paste - Relationships'!$AE$4:$AE$800=""),0)),""))</f>
        <v/>
      </c>
      <c r="E135" s="63" t="str">
        <f ca="1">IFERROR(IF(A135="","",_xludf.maxifs('Session Logs'!$E:$E,'Session Logs'!$D:$D,B135,'Session Logs'!$C:$C,D135)),"")</f>
        <v/>
      </c>
      <c r="F135" s="63" t="str">
        <f ca="1">IFERROR(IF(A135="","",_xludf.maxifs('Session Logs'!$I:$I,'Session Logs'!$D:$D,B135,'Session Logs'!$C:$C,D135,'Session Logs'!$I:$I,"&gt;"&amp;TODAY())),"")</f>
        <v/>
      </c>
      <c r="G135" s="64" t="str">
        <f t="shared" ca="1" si="4"/>
        <v>No Mentor Assigned</v>
      </c>
      <c r="H135" s="52"/>
    </row>
    <row r="136" spans="1:8" ht="26.25" customHeight="1" x14ac:dyDescent="0.3">
      <c r="A136" s="62">
        <f>'Intern Profiles'!A136</f>
        <v>0</v>
      </c>
      <c r="B136" s="52">
        <f>'Intern Profiles'!B136</f>
        <v>0</v>
      </c>
      <c r="C136" s="53">
        <f>'Intern Profiles'!C136</f>
        <v>0</v>
      </c>
      <c r="D136" s="52" t="str">
        <f>IF(A136="","",IFERROR(INDEX('Paste - Relationships'!$B$4:$B$800,MATCH(1,('Paste - Relationships'!$P$4:$P$800=VALUE(A136))*('Paste - Relationships'!$AE$4:$AE$800=""),0)),""))</f>
        <v/>
      </c>
      <c r="E136" s="63" t="str">
        <f ca="1">IFERROR(IF(A136="","",_xludf.maxifs('Session Logs'!$E:$E,'Session Logs'!$D:$D,B136,'Session Logs'!$C:$C,D136)),"")</f>
        <v/>
      </c>
      <c r="F136" s="63" t="str">
        <f ca="1">IFERROR(IF(A136="","",_xludf.maxifs('Session Logs'!$I:$I,'Session Logs'!$D:$D,B136,'Session Logs'!$C:$C,D136,'Session Logs'!$I:$I,"&gt;"&amp;TODAY())),"")</f>
        <v/>
      </c>
      <c r="G136" s="64" t="str">
        <f t="shared" ca="1" si="4"/>
        <v>No Mentor Assigned</v>
      </c>
      <c r="H136" s="52"/>
    </row>
    <row r="137" spans="1:8" ht="26.25" customHeight="1" x14ac:dyDescent="0.3">
      <c r="A137" s="62">
        <f>'Intern Profiles'!A137</f>
        <v>0</v>
      </c>
      <c r="B137" s="52">
        <f>'Intern Profiles'!B137</f>
        <v>0</v>
      </c>
      <c r="C137" s="53">
        <f>'Intern Profiles'!C137</f>
        <v>0</v>
      </c>
      <c r="D137" s="52" t="str">
        <f>IF(A137="","",IFERROR(INDEX('Paste - Relationships'!$B$4:$B$800,MATCH(1,('Paste - Relationships'!$P$4:$P$800=VALUE(A137))*('Paste - Relationships'!$AE$4:$AE$800=""),0)),""))</f>
        <v/>
      </c>
      <c r="E137" s="63" t="str">
        <f ca="1">IFERROR(IF(A137="","",_xludf.maxifs('Session Logs'!$E:$E,'Session Logs'!$D:$D,B137,'Session Logs'!$C:$C,D137)),"")</f>
        <v/>
      </c>
      <c r="F137" s="63" t="str">
        <f ca="1">IFERROR(IF(A137="","",_xludf.maxifs('Session Logs'!$I:$I,'Session Logs'!$D:$D,B137,'Session Logs'!$C:$C,D137,'Session Logs'!$I:$I,"&gt;"&amp;TODAY())),"")</f>
        <v/>
      </c>
      <c r="G137" s="64" t="str">
        <f t="shared" ca="1" si="4"/>
        <v>No Mentor Assigned</v>
      </c>
      <c r="H137" s="52"/>
    </row>
    <row r="138" spans="1:8" ht="26.25" customHeight="1" x14ac:dyDescent="0.3">
      <c r="A138" s="62">
        <f>'Intern Profiles'!A138</f>
        <v>0</v>
      </c>
      <c r="B138" s="52">
        <f>'Intern Profiles'!B138</f>
        <v>0</v>
      </c>
      <c r="C138" s="53">
        <f>'Intern Profiles'!C138</f>
        <v>0</v>
      </c>
      <c r="D138" s="52" t="str">
        <f>IF(A138="","",IFERROR(INDEX('Paste - Relationships'!$B$4:$B$800,MATCH(1,('Paste - Relationships'!$P$4:$P$800=VALUE(A138))*('Paste - Relationships'!$AE$4:$AE$800=""),0)),""))</f>
        <v/>
      </c>
      <c r="E138" s="63" t="str">
        <f ca="1">IFERROR(IF(A138="","",_xludf.maxifs('Session Logs'!$E:$E,'Session Logs'!$D:$D,B138,'Session Logs'!$C:$C,D138)),"")</f>
        <v/>
      </c>
      <c r="F138" s="63" t="str">
        <f ca="1">IFERROR(IF(A138="","",_xludf.maxifs('Session Logs'!$I:$I,'Session Logs'!$D:$D,B138,'Session Logs'!$C:$C,D138,'Session Logs'!$I:$I,"&gt;"&amp;TODAY())),"")</f>
        <v/>
      </c>
      <c r="G138" s="64" t="str">
        <f t="shared" ca="1" si="4"/>
        <v>No Mentor Assigned</v>
      </c>
      <c r="H138" s="52"/>
    </row>
    <row r="139" spans="1:8" ht="26.25" customHeight="1" x14ac:dyDescent="0.3">
      <c r="A139" s="62">
        <f>'Intern Profiles'!A139</f>
        <v>0</v>
      </c>
      <c r="B139" s="52">
        <f>'Intern Profiles'!B139</f>
        <v>0</v>
      </c>
      <c r="C139" s="53">
        <f>'Intern Profiles'!C139</f>
        <v>0</v>
      </c>
      <c r="D139" s="52" t="str">
        <f>IF(A139="","",IFERROR(INDEX('Paste - Relationships'!$B$4:$B$800,MATCH(1,('Paste - Relationships'!$P$4:$P$800=VALUE(A139))*('Paste - Relationships'!$AE$4:$AE$800=""),0)),""))</f>
        <v/>
      </c>
      <c r="E139" s="63" t="str">
        <f ca="1">IFERROR(IF(A139="","",_xludf.maxifs('Session Logs'!$E:$E,'Session Logs'!$D:$D,B139,'Session Logs'!$C:$C,D139)),"")</f>
        <v/>
      </c>
      <c r="F139" s="63" t="str">
        <f ca="1">IFERROR(IF(A139="","",_xludf.maxifs('Session Logs'!$I:$I,'Session Logs'!$D:$D,B139,'Session Logs'!$C:$C,D139,'Session Logs'!$I:$I,"&gt;"&amp;TODAY())),"")</f>
        <v/>
      </c>
      <c r="G139" s="64" t="str">
        <f t="shared" ca="1" si="4"/>
        <v>No Mentor Assigned</v>
      </c>
      <c r="H139" s="52"/>
    </row>
    <row r="140" spans="1:8" ht="26.25" customHeight="1" x14ac:dyDescent="0.3">
      <c r="A140" s="62">
        <f>'Intern Profiles'!A140</f>
        <v>0</v>
      </c>
      <c r="B140" s="52">
        <f>'Intern Profiles'!B140</f>
        <v>0</v>
      </c>
      <c r="C140" s="53">
        <f>'Intern Profiles'!C140</f>
        <v>0</v>
      </c>
      <c r="D140" s="52" t="str">
        <f>IF(A140="","",IFERROR(INDEX('Paste - Relationships'!$B$4:$B$800,MATCH(1,('Paste - Relationships'!$P$4:$P$800=VALUE(A140))*('Paste - Relationships'!$AE$4:$AE$800=""),0)),""))</f>
        <v/>
      </c>
      <c r="E140" s="63" t="str">
        <f ca="1">IFERROR(IF(A140="","",_xludf.maxifs('Session Logs'!$E:$E,'Session Logs'!$D:$D,B140,'Session Logs'!$C:$C,D140)),"")</f>
        <v/>
      </c>
      <c r="F140" s="63" t="str">
        <f ca="1">IFERROR(IF(A140="","",_xludf.maxifs('Session Logs'!$I:$I,'Session Logs'!$D:$D,B140,'Session Logs'!$C:$C,D140,'Session Logs'!$I:$I,"&gt;"&amp;TODAY())),"")</f>
        <v/>
      </c>
      <c r="G140" s="64" t="str">
        <f t="shared" ca="1" si="4"/>
        <v>No Mentor Assigned</v>
      </c>
      <c r="H140" s="52"/>
    </row>
    <row r="141" spans="1:8" ht="26.25" customHeight="1" x14ac:dyDescent="0.3">
      <c r="A141" s="62">
        <f>'Intern Profiles'!A141</f>
        <v>0</v>
      </c>
      <c r="B141" s="52">
        <f>'Intern Profiles'!B141</f>
        <v>0</v>
      </c>
      <c r="C141" s="53">
        <f>'Intern Profiles'!C141</f>
        <v>0</v>
      </c>
      <c r="D141" s="52" t="str">
        <f>IF(A141="","",IFERROR(INDEX('Paste - Relationships'!$B$4:$B$800,MATCH(1,('Paste - Relationships'!$P$4:$P$800=VALUE(A141))*('Paste - Relationships'!$AE$4:$AE$800=""),0)),""))</f>
        <v/>
      </c>
      <c r="E141" s="63" t="str">
        <f ca="1">IFERROR(IF(A141="","",_xludf.maxifs('Session Logs'!$E:$E,'Session Logs'!$D:$D,B141,'Session Logs'!$C:$C,D141)),"")</f>
        <v/>
      </c>
      <c r="F141" s="63" t="str">
        <f ca="1">IFERROR(IF(A141="","",_xludf.maxifs('Session Logs'!$I:$I,'Session Logs'!$D:$D,B141,'Session Logs'!$C:$C,D141,'Session Logs'!$I:$I,"&gt;"&amp;TODAY())),"")</f>
        <v/>
      </c>
      <c r="G141" s="64" t="str">
        <f t="shared" ca="1" si="4"/>
        <v>No Mentor Assigned</v>
      </c>
      <c r="H141" s="52"/>
    </row>
    <row r="142" spans="1:8" ht="26.25" customHeight="1" x14ac:dyDescent="0.3">
      <c r="A142" s="62">
        <f>'Intern Profiles'!A142</f>
        <v>0</v>
      </c>
      <c r="B142" s="52">
        <f>'Intern Profiles'!B142</f>
        <v>0</v>
      </c>
      <c r="C142" s="53">
        <f>'Intern Profiles'!C142</f>
        <v>0</v>
      </c>
      <c r="D142" s="52" t="str">
        <f>IF(A142="","",IFERROR(INDEX('Paste - Relationships'!$B$4:$B$800,MATCH(1,('Paste - Relationships'!$P$4:$P$800=VALUE(A142))*('Paste - Relationships'!$AE$4:$AE$800=""),0)),""))</f>
        <v/>
      </c>
      <c r="E142" s="63" t="str">
        <f ca="1">IFERROR(IF(A142="","",_xludf.maxifs('Session Logs'!$E:$E,'Session Logs'!$D:$D,B142,'Session Logs'!$C:$C,D142)),"")</f>
        <v/>
      </c>
      <c r="F142" s="63" t="str">
        <f ca="1">IFERROR(IF(A142="","",_xludf.maxifs('Session Logs'!$I:$I,'Session Logs'!$D:$D,B142,'Session Logs'!$C:$C,D142,'Session Logs'!$I:$I,"&gt;"&amp;TODAY())),"")</f>
        <v/>
      </c>
      <c r="G142" s="64" t="str">
        <f t="shared" ca="1" si="4"/>
        <v>No Mentor Assigned</v>
      </c>
      <c r="H142" s="52"/>
    </row>
    <row r="143" spans="1:8" ht="26.25" customHeight="1" x14ac:dyDescent="0.3">
      <c r="A143" s="62">
        <f>'Intern Profiles'!A143</f>
        <v>0</v>
      </c>
      <c r="B143" s="52">
        <f>'Intern Profiles'!B143</f>
        <v>0</v>
      </c>
      <c r="C143" s="53">
        <f>'Intern Profiles'!C143</f>
        <v>0</v>
      </c>
      <c r="D143" s="52" t="str">
        <f>IF(A143="","",IFERROR(INDEX('Paste - Relationships'!$B$4:$B$800,MATCH(1,('Paste - Relationships'!$P$4:$P$800=VALUE(A143))*('Paste - Relationships'!$AE$4:$AE$800=""),0)),""))</f>
        <v/>
      </c>
      <c r="E143" s="63" t="str">
        <f ca="1">IFERROR(IF(A143="","",_xludf.maxifs('Session Logs'!$E:$E,'Session Logs'!$D:$D,B143,'Session Logs'!$C:$C,D143)),"")</f>
        <v/>
      </c>
      <c r="F143" s="63" t="str">
        <f ca="1">IFERROR(IF(A143="","",_xludf.maxifs('Session Logs'!$I:$I,'Session Logs'!$D:$D,B143,'Session Logs'!$C:$C,D143,'Session Logs'!$I:$I,"&gt;"&amp;TODAY())),"")</f>
        <v/>
      </c>
      <c r="G143" s="64" t="str">
        <f t="shared" ca="1" si="4"/>
        <v>No Mentor Assigned</v>
      </c>
      <c r="H143" s="52"/>
    </row>
    <row r="144" spans="1:8" ht="26.25" customHeight="1" x14ac:dyDescent="0.3">
      <c r="A144" s="62">
        <f>'Intern Profiles'!A144</f>
        <v>0</v>
      </c>
      <c r="B144" s="52">
        <f>'Intern Profiles'!B144</f>
        <v>0</v>
      </c>
      <c r="C144" s="53">
        <f>'Intern Profiles'!C144</f>
        <v>0</v>
      </c>
      <c r="D144" s="52" t="str">
        <f>IF(A144="","",IFERROR(INDEX('Paste - Relationships'!$B$4:$B$800,MATCH(1,('Paste - Relationships'!$P$4:$P$800=VALUE(A144))*('Paste - Relationships'!$AE$4:$AE$800=""),0)),""))</f>
        <v/>
      </c>
      <c r="E144" s="63" t="str">
        <f ca="1">IFERROR(IF(A144="","",_xludf.maxifs('Session Logs'!$E:$E,'Session Logs'!$D:$D,B144,'Session Logs'!$C:$C,D144)),"")</f>
        <v/>
      </c>
      <c r="F144" s="63" t="str">
        <f ca="1">IFERROR(IF(A144="","",_xludf.maxifs('Session Logs'!$I:$I,'Session Logs'!$D:$D,B144,'Session Logs'!$C:$C,D144,'Session Logs'!$I:$I,"&gt;"&amp;TODAY())),"")</f>
        <v/>
      </c>
      <c r="G144" s="64" t="str">
        <f t="shared" ca="1" si="4"/>
        <v>No Mentor Assigned</v>
      </c>
      <c r="H144" s="52"/>
    </row>
    <row r="145" spans="1:8" ht="26.25" customHeight="1" x14ac:dyDescent="0.3">
      <c r="A145" s="62">
        <f>'Intern Profiles'!A145</f>
        <v>0</v>
      </c>
      <c r="B145" s="52">
        <f>'Intern Profiles'!B145</f>
        <v>0</v>
      </c>
      <c r="C145" s="53">
        <f>'Intern Profiles'!C145</f>
        <v>0</v>
      </c>
      <c r="D145" s="52" t="str">
        <f>IF(A145="","",IFERROR(INDEX('Paste - Relationships'!$B$4:$B$800,MATCH(1,('Paste - Relationships'!$P$4:$P$800=VALUE(A145))*('Paste - Relationships'!$AE$4:$AE$800=""),0)),""))</f>
        <v/>
      </c>
      <c r="E145" s="63" t="str">
        <f ca="1">IFERROR(IF(A145="","",_xludf.maxifs('Session Logs'!$E:$E,'Session Logs'!$D:$D,B145,'Session Logs'!$C:$C,D145)),"")</f>
        <v/>
      </c>
      <c r="F145" s="63" t="str">
        <f ca="1">IFERROR(IF(A145="","",_xludf.maxifs('Session Logs'!$I:$I,'Session Logs'!$D:$D,B145,'Session Logs'!$C:$C,D145,'Session Logs'!$I:$I,"&gt;"&amp;TODAY())),"")</f>
        <v/>
      </c>
      <c r="G145" s="64" t="str">
        <f t="shared" ca="1" si="4"/>
        <v>No Mentor Assigned</v>
      </c>
      <c r="H145" s="52"/>
    </row>
    <row r="146" spans="1:8" ht="26.25" customHeight="1" x14ac:dyDescent="0.3">
      <c r="A146" s="62">
        <f>'Intern Profiles'!A146</f>
        <v>0</v>
      </c>
      <c r="B146" s="52">
        <f>'Intern Profiles'!B146</f>
        <v>0</v>
      </c>
      <c r="C146" s="53">
        <f>'Intern Profiles'!C146</f>
        <v>0</v>
      </c>
      <c r="D146" s="52" t="str">
        <f>IF(A146="","",IFERROR(INDEX('Paste - Relationships'!$B$4:$B$800,MATCH(1,('Paste - Relationships'!$P$4:$P$800=VALUE(A146))*('Paste - Relationships'!$AE$4:$AE$800=""),0)),""))</f>
        <v/>
      </c>
      <c r="E146" s="63" t="str">
        <f ca="1">IFERROR(IF(A146="","",_xludf.maxifs('Session Logs'!$E:$E,'Session Logs'!$D:$D,B146,'Session Logs'!$C:$C,D146)),"")</f>
        <v/>
      </c>
      <c r="F146" s="63" t="str">
        <f ca="1">IFERROR(IF(A146="","",_xludf.maxifs('Session Logs'!$I:$I,'Session Logs'!$D:$D,B146,'Session Logs'!$C:$C,D146,'Session Logs'!$I:$I,"&gt;"&amp;TODAY())),"")</f>
        <v/>
      </c>
      <c r="G146" s="64" t="str">
        <f t="shared" ca="1" si="4"/>
        <v>No Mentor Assigned</v>
      </c>
      <c r="H146" s="52"/>
    </row>
    <row r="147" spans="1:8" ht="26.25" customHeight="1" x14ac:dyDescent="0.3">
      <c r="A147" s="62">
        <f>'Intern Profiles'!A147</f>
        <v>0</v>
      </c>
      <c r="B147" s="52">
        <f>'Intern Profiles'!B147</f>
        <v>0</v>
      </c>
      <c r="C147" s="53">
        <f>'Intern Profiles'!C147</f>
        <v>0</v>
      </c>
      <c r="D147" s="52" t="str">
        <f>IF(A147="","",IFERROR(INDEX('Paste - Relationships'!$B$4:$B$800,MATCH(1,('Paste - Relationships'!$P$4:$P$800=VALUE(A147))*('Paste - Relationships'!$AE$4:$AE$800=""),0)),""))</f>
        <v/>
      </c>
      <c r="E147" s="63" t="str">
        <f ca="1">IFERROR(IF(A147="","",_xludf.maxifs('Session Logs'!$E:$E,'Session Logs'!$D:$D,B147,'Session Logs'!$C:$C,D147)),"")</f>
        <v/>
      </c>
      <c r="F147" s="63" t="str">
        <f ca="1">IFERROR(IF(A147="","",_xludf.maxifs('Session Logs'!$I:$I,'Session Logs'!$D:$D,B147,'Session Logs'!$C:$C,D147,'Session Logs'!$I:$I,"&gt;"&amp;TODAY())),"")</f>
        <v/>
      </c>
      <c r="G147" s="64" t="str">
        <f t="shared" ca="1" si="4"/>
        <v>No Mentor Assigned</v>
      </c>
      <c r="H147" s="52"/>
    </row>
    <row r="148" spans="1:8" ht="26.25" customHeight="1" x14ac:dyDescent="0.3">
      <c r="A148" s="62">
        <f>'Intern Profiles'!A148</f>
        <v>0</v>
      </c>
      <c r="B148" s="52">
        <f>'Intern Profiles'!B148</f>
        <v>0</v>
      </c>
      <c r="C148" s="53">
        <f>'Intern Profiles'!C148</f>
        <v>0</v>
      </c>
      <c r="D148" s="52" t="str">
        <f>IF(A148="","",IFERROR(INDEX('Paste - Relationships'!$B$4:$B$800,MATCH(1,('Paste - Relationships'!$P$4:$P$800=VALUE(A148))*('Paste - Relationships'!$AE$4:$AE$800=""),0)),""))</f>
        <v/>
      </c>
      <c r="E148" s="63" t="str">
        <f ca="1">IFERROR(IF(A148="","",_xludf.maxifs('Session Logs'!$E:$E,'Session Logs'!$D:$D,B148,'Session Logs'!$C:$C,D148)),"")</f>
        <v/>
      </c>
      <c r="F148" s="63" t="str">
        <f ca="1">IFERROR(IF(A148="","",_xludf.maxifs('Session Logs'!$I:$I,'Session Logs'!$D:$D,B148,'Session Logs'!$C:$C,D148,'Session Logs'!$I:$I,"&gt;"&amp;TODAY())),"")</f>
        <v/>
      </c>
      <c r="G148" s="64" t="str">
        <f t="shared" ca="1" si="4"/>
        <v>No Mentor Assigned</v>
      </c>
      <c r="H148" s="52"/>
    </row>
    <row r="149" spans="1:8" ht="26.25" customHeight="1" x14ac:dyDescent="0.3">
      <c r="A149" s="62">
        <f>'Intern Profiles'!A149</f>
        <v>0</v>
      </c>
      <c r="B149" s="52">
        <f>'Intern Profiles'!B149</f>
        <v>0</v>
      </c>
      <c r="C149" s="53">
        <f>'Intern Profiles'!C149</f>
        <v>0</v>
      </c>
      <c r="D149" s="52" t="str">
        <f>IF(A149="","",IFERROR(INDEX('Paste - Relationships'!$B$4:$B$800,MATCH(1,('Paste - Relationships'!$P$4:$P$800=VALUE(A149))*('Paste - Relationships'!$AE$4:$AE$800=""),0)),""))</f>
        <v/>
      </c>
      <c r="E149" s="63" t="str">
        <f ca="1">IFERROR(IF(A149="","",_xludf.maxifs('Session Logs'!$E:$E,'Session Logs'!$D:$D,B149,'Session Logs'!$C:$C,D149)),"")</f>
        <v/>
      </c>
      <c r="F149" s="63" t="str">
        <f ca="1">IFERROR(IF(A149="","",_xludf.maxifs('Session Logs'!$I:$I,'Session Logs'!$D:$D,B149,'Session Logs'!$C:$C,D149,'Session Logs'!$I:$I,"&gt;"&amp;TODAY())),"")</f>
        <v/>
      </c>
      <c r="G149" s="64" t="str">
        <f t="shared" ca="1" si="4"/>
        <v>No Mentor Assigned</v>
      </c>
      <c r="H149" s="52"/>
    </row>
    <row r="150" spans="1:8" ht="26.25" customHeight="1" x14ac:dyDescent="0.3">
      <c r="A150" s="62">
        <f>'Intern Profiles'!A150</f>
        <v>0</v>
      </c>
      <c r="B150" s="52">
        <f>'Intern Profiles'!B150</f>
        <v>0</v>
      </c>
      <c r="C150" s="53">
        <f>'Intern Profiles'!C150</f>
        <v>0</v>
      </c>
      <c r="D150" s="52" t="str">
        <f>IF(A150="","",IFERROR(INDEX('Paste - Relationships'!$B$4:$B$800,MATCH(1,('Paste - Relationships'!$P$4:$P$800=VALUE(A150))*('Paste - Relationships'!$AE$4:$AE$800=""),0)),""))</f>
        <v/>
      </c>
      <c r="E150" s="63" t="str">
        <f ca="1">IFERROR(IF(A150="","",_xludf.maxifs('Session Logs'!$E:$E,'Session Logs'!$D:$D,B150,'Session Logs'!$C:$C,D150)),"")</f>
        <v/>
      </c>
      <c r="F150" s="63" t="str">
        <f ca="1">IFERROR(IF(A150="","",_xludf.maxifs('Session Logs'!$I:$I,'Session Logs'!$D:$D,B150,'Session Logs'!$C:$C,D150,'Session Logs'!$I:$I,"&gt;"&amp;TODAY())),"")</f>
        <v/>
      </c>
      <c r="G150" s="64" t="str">
        <f t="shared" ca="1" si="4"/>
        <v>No Mentor Assigned</v>
      </c>
      <c r="H150" s="52"/>
    </row>
    <row r="151" spans="1:8" ht="26.25" customHeight="1" x14ac:dyDescent="0.3">
      <c r="A151" s="62">
        <f>'Intern Profiles'!A151</f>
        <v>0</v>
      </c>
      <c r="B151" s="52">
        <f>'Intern Profiles'!B151</f>
        <v>0</v>
      </c>
      <c r="C151" s="53">
        <f>'Intern Profiles'!C151</f>
        <v>0</v>
      </c>
      <c r="D151" s="52" t="str">
        <f>IF(A151="","",IFERROR(INDEX('Paste - Relationships'!$B$4:$B$800,MATCH(1,('Paste - Relationships'!$P$4:$P$800=VALUE(A151))*('Paste - Relationships'!$AE$4:$AE$800=""),0)),""))</f>
        <v/>
      </c>
      <c r="E151" s="63" t="str">
        <f ca="1">IFERROR(IF(A151="","",_xludf.maxifs('Session Logs'!$E:$E,'Session Logs'!$D:$D,B151,'Session Logs'!$C:$C,D151)),"")</f>
        <v/>
      </c>
      <c r="F151" s="63" t="str">
        <f ca="1">IFERROR(IF(A151="","",_xludf.maxifs('Session Logs'!$I:$I,'Session Logs'!$D:$D,B151,'Session Logs'!$C:$C,D151,'Session Logs'!$I:$I,"&gt;"&amp;TODAY())),"")</f>
        <v/>
      </c>
      <c r="G151" s="64" t="str">
        <f t="shared" ca="1" si="4"/>
        <v>No Mentor Assigned</v>
      </c>
      <c r="H151" s="52"/>
    </row>
    <row r="152" spans="1:8" ht="26.25" customHeight="1" x14ac:dyDescent="0.3">
      <c r="A152" s="62">
        <f>'Intern Profiles'!A152</f>
        <v>0</v>
      </c>
      <c r="B152" s="52">
        <f>'Intern Profiles'!B152</f>
        <v>0</v>
      </c>
      <c r="C152" s="53">
        <f>'Intern Profiles'!C152</f>
        <v>0</v>
      </c>
      <c r="D152" s="52" t="str">
        <f>IF(A152="","",IFERROR(INDEX('Paste - Relationships'!$B$4:$B$800,MATCH(1,('Paste - Relationships'!$P$4:$P$800=VALUE(A152))*('Paste - Relationships'!$AE$4:$AE$800=""),0)),""))</f>
        <v/>
      </c>
      <c r="E152" s="63" t="str">
        <f ca="1">IFERROR(IF(A152="","",_xludf.maxifs('Session Logs'!$E:$E,'Session Logs'!$D:$D,B152,'Session Logs'!$C:$C,D152)),"")</f>
        <v/>
      </c>
      <c r="F152" s="63" t="str">
        <f ca="1">IFERROR(IF(A152="","",_xludf.maxifs('Session Logs'!$I:$I,'Session Logs'!$D:$D,B152,'Session Logs'!$C:$C,D152,'Session Logs'!$I:$I,"&gt;"&amp;TODAY())),"")</f>
        <v/>
      </c>
      <c r="G152" s="64" t="str">
        <f t="shared" ca="1" si="4"/>
        <v>No Mentor Assigned</v>
      </c>
      <c r="H152" s="52"/>
    </row>
    <row r="153" spans="1:8" ht="26.25" customHeight="1" x14ac:dyDescent="0.3">
      <c r="A153" s="62">
        <f>'Intern Profiles'!A153</f>
        <v>0</v>
      </c>
      <c r="B153" s="52">
        <f>'Intern Profiles'!B153</f>
        <v>0</v>
      </c>
      <c r="C153" s="53">
        <f>'Intern Profiles'!C153</f>
        <v>0</v>
      </c>
      <c r="D153" s="52" t="str">
        <f>IF(A153="","",IFERROR(INDEX('Paste - Relationships'!$B$4:$B$800,MATCH(1,('Paste - Relationships'!$P$4:$P$800=VALUE(A153))*('Paste - Relationships'!$AE$4:$AE$800=""),0)),""))</f>
        <v/>
      </c>
      <c r="E153" s="63" t="str">
        <f ca="1">IFERROR(IF(A153="","",_xludf.maxifs('Session Logs'!$E:$E,'Session Logs'!$D:$D,B153,'Session Logs'!$C:$C,D153)),"")</f>
        <v/>
      </c>
      <c r="F153" s="63" t="str">
        <f ca="1">IFERROR(IF(A153="","",_xludf.maxifs('Session Logs'!$I:$I,'Session Logs'!$D:$D,B153,'Session Logs'!$C:$C,D153,'Session Logs'!$I:$I,"&gt;"&amp;TODAY())),"")</f>
        <v/>
      </c>
      <c r="G153" s="64" t="str">
        <f t="shared" ca="1" si="4"/>
        <v>No Mentor Assigned</v>
      </c>
      <c r="H153" s="52"/>
    </row>
    <row r="154" spans="1:8" ht="26.25" customHeight="1" x14ac:dyDescent="0.3">
      <c r="A154" s="62">
        <f>'Intern Profiles'!A154</f>
        <v>0</v>
      </c>
      <c r="B154" s="52">
        <f>'Intern Profiles'!B154</f>
        <v>0</v>
      </c>
      <c r="C154" s="53">
        <f>'Intern Profiles'!C154</f>
        <v>0</v>
      </c>
      <c r="D154" s="52" t="str">
        <f>IF(A154="","",IFERROR(INDEX('Paste - Relationships'!$B$4:$B$800,MATCH(1,('Paste - Relationships'!$P$4:$P$800=VALUE(A154))*('Paste - Relationships'!$AE$4:$AE$800=""),0)),""))</f>
        <v/>
      </c>
      <c r="E154" s="63" t="str">
        <f ca="1">IFERROR(IF(A154="","",_xludf.maxifs('Session Logs'!$E:$E,'Session Logs'!$D:$D,B154,'Session Logs'!$C:$C,D154)),"")</f>
        <v/>
      </c>
      <c r="F154" s="63" t="str">
        <f ca="1">IFERROR(IF(A154="","",_xludf.maxifs('Session Logs'!$I:$I,'Session Logs'!$D:$D,B154,'Session Logs'!$C:$C,D154,'Session Logs'!$I:$I,"&gt;"&amp;TODAY())),"")</f>
        <v/>
      </c>
      <c r="G154" s="64" t="str">
        <f t="shared" ca="1" si="4"/>
        <v>No Mentor Assigned</v>
      </c>
      <c r="H154" s="52"/>
    </row>
    <row r="155" spans="1:8" ht="26.25" customHeight="1" x14ac:dyDescent="0.3">
      <c r="A155" s="62">
        <f>'Intern Profiles'!A155</f>
        <v>0</v>
      </c>
      <c r="B155" s="52">
        <f>'Intern Profiles'!B155</f>
        <v>0</v>
      </c>
      <c r="C155" s="53">
        <f>'Intern Profiles'!C155</f>
        <v>0</v>
      </c>
      <c r="D155" s="52" t="str">
        <f>IF(A155="","",IFERROR(INDEX('Paste - Relationships'!$B$4:$B$800,MATCH(1,('Paste - Relationships'!$P$4:$P$800=VALUE(A155))*('Paste - Relationships'!$AE$4:$AE$800=""),0)),""))</f>
        <v/>
      </c>
      <c r="E155" s="63" t="str">
        <f ca="1">IFERROR(IF(A155="","",_xludf.maxifs('Session Logs'!$E:$E,'Session Logs'!$D:$D,B155,'Session Logs'!$C:$C,D155)),"")</f>
        <v/>
      </c>
      <c r="F155" s="63" t="str">
        <f ca="1">IFERROR(IF(A155="","",_xludf.maxifs('Session Logs'!$I:$I,'Session Logs'!$D:$D,B155,'Session Logs'!$C:$C,D155,'Session Logs'!$I:$I,"&gt;"&amp;TODAY())),"")</f>
        <v/>
      </c>
      <c r="G155" s="64" t="str">
        <f t="shared" ca="1" si="4"/>
        <v>No Mentor Assigned</v>
      </c>
      <c r="H155" s="52"/>
    </row>
    <row r="156" spans="1:8" ht="26.25" customHeight="1" x14ac:dyDescent="0.3">
      <c r="A156" s="62">
        <f>'Intern Profiles'!A156</f>
        <v>0</v>
      </c>
      <c r="B156" s="52">
        <f>'Intern Profiles'!B156</f>
        <v>0</v>
      </c>
      <c r="C156" s="53">
        <f>'Intern Profiles'!C156</f>
        <v>0</v>
      </c>
      <c r="D156" s="52" t="str">
        <f>IF(A156="","",IFERROR(INDEX('Paste - Relationships'!$B$4:$B$800,MATCH(1,('Paste - Relationships'!$P$4:$P$800=VALUE(A156))*('Paste - Relationships'!$AE$4:$AE$800=""),0)),""))</f>
        <v/>
      </c>
      <c r="E156" s="63" t="str">
        <f ca="1">IFERROR(IF(A156="","",_xludf.maxifs('Session Logs'!$E:$E,'Session Logs'!$D:$D,B156,'Session Logs'!$C:$C,D156)),"")</f>
        <v/>
      </c>
      <c r="F156" s="63" t="str">
        <f ca="1">IFERROR(IF(A156="","",_xludf.maxifs('Session Logs'!$I:$I,'Session Logs'!$D:$D,B156,'Session Logs'!$C:$C,D156,'Session Logs'!$I:$I,"&gt;"&amp;TODAY())),"")</f>
        <v/>
      </c>
      <c r="G156" s="64" t="str">
        <f t="shared" ca="1" si="4"/>
        <v>No Mentor Assigned</v>
      </c>
      <c r="H156" s="52"/>
    </row>
    <row r="157" spans="1:8" ht="26.25" customHeight="1" x14ac:dyDescent="0.3">
      <c r="A157" s="62">
        <f>'Intern Profiles'!A157</f>
        <v>0</v>
      </c>
      <c r="B157" s="52">
        <f>'Intern Profiles'!B157</f>
        <v>0</v>
      </c>
      <c r="C157" s="53">
        <f>'Intern Profiles'!C157</f>
        <v>0</v>
      </c>
      <c r="D157" s="52" t="str">
        <f>IF(A157="","",IFERROR(INDEX('Paste - Relationships'!$B$4:$B$800,MATCH(1,('Paste - Relationships'!$P$4:$P$800=VALUE(A157))*('Paste - Relationships'!$AE$4:$AE$800=""),0)),""))</f>
        <v/>
      </c>
      <c r="E157" s="63" t="str">
        <f ca="1">IFERROR(IF(A157="","",_xludf.maxifs('Session Logs'!$E:$E,'Session Logs'!$D:$D,B157,'Session Logs'!$C:$C,D157)),"")</f>
        <v/>
      </c>
      <c r="F157" s="63" t="str">
        <f ca="1">IFERROR(IF(A157="","",_xludf.maxifs('Session Logs'!$I:$I,'Session Logs'!$D:$D,B157,'Session Logs'!$C:$C,D157,'Session Logs'!$I:$I,"&gt;"&amp;TODAY())),"")</f>
        <v/>
      </c>
      <c r="G157" s="64" t="str">
        <f t="shared" ca="1" si="4"/>
        <v>No Mentor Assigned</v>
      </c>
      <c r="H157" s="52"/>
    </row>
    <row r="158" spans="1:8" ht="26.25" customHeight="1" x14ac:dyDescent="0.3">
      <c r="A158" s="62">
        <f>'Intern Profiles'!A158</f>
        <v>0</v>
      </c>
      <c r="B158" s="52">
        <f>'Intern Profiles'!B158</f>
        <v>0</v>
      </c>
      <c r="C158" s="53">
        <f>'Intern Profiles'!C158</f>
        <v>0</v>
      </c>
      <c r="D158" s="52" t="str">
        <f>IF(A158="","",IFERROR(INDEX('Paste - Relationships'!$B$4:$B$800,MATCH(1,('Paste - Relationships'!$P$4:$P$800=VALUE(A158))*('Paste - Relationships'!$AE$4:$AE$800=""),0)),""))</f>
        <v/>
      </c>
      <c r="E158" s="63" t="str">
        <f ca="1">IFERROR(IF(A158="","",_xludf.maxifs('Session Logs'!$E:$E,'Session Logs'!$D:$D,B158,'Session Logs'!$C:$C,D158)),"")</f>
        <v/>
      </c>
      <c r="F158" s="63" t="str">
        <f ca="1">IFERROR(IF(A158="","",_xludf.maxifs('Session Logs'!$I:$I,'Session Logs'!$D:$D,B158,'Session Logs'!$C:$C,D158,'Session Logs'!$I:$I,"&gt;"&amp;TODAY())),"")</f>
        <v/>
      </c>
      <c r="G158" s="64" t="str">
        <f t="shared" ca="1" si="4"/>
        <v>No Mentor Assigned</v>
      </c>
      <c r="H158" s="52"/>
    </row>
    <row r="159" spans="1:8" ht="26.25" customHeight="1" x14ac:dyDescent="0.3">
      <c r="A159" s="62">
        <f>'Intern Profiles'!A159</f>
        <v>0</v>
      </c>
      <c r="B159" s="52">
        <f>'Intern Profiles'!B159</f>
        <v>0</v>
      </c>
      <c r="C159" s="53">
        <f>'Intern Profiles'!C159</f>
        <v>0</v>
      </c>
      <c r="D159" s="52" t="str">
        <f>IF(A159="","",IFERROR(INDEX('Paste - Relationships'!$B$4:$B$800,MATCH(1,('Paste - Relationships'!$P$4:$P$800=VALUE(A159))*('Paste - Relationships'!$AE$4:$AE$800=""),0)),""))</f>
        <v/>
      </c>
      <c r="E159" s="63" t="str">
        <f ca="1">IFERROR(IF(A159="","",_xludf.maxifs('Session Logs'!$E:$E,'Session Logs'!$D:$D,B159,'Session Logs'!$C:$C,D159)),"")</f>
        <v/>
      </c>
      <c r="F159" s="63" t="str">
        <f ca="1">IFERROR(IF(A159="","",_xludf.maxifs('Session Logs'!$I:$I,'Session Logs'!$D:$D,B159,'Session Logs'!$C:$C,D159,'Session Logs'!$I:$I,"&gt;"&amp;TODAY())),"")</f>
        <v/>
      </c>
      <c r="G159" s="64" t="str">
        <f t="shared" ca="1" si="4"/>
        <v>No Mentor Assigned</v>
      </c>
      <c r="H159" s="52"/>
    </row>
    <row r="160" spans="1:8" ht="26.25" customHeight="1" x14ac:dyDescent="0.3">
      <c r="A160" s="62">
        <f>'Intern Profiles'!A160</f>
        <v>0</v>
      </c>
      <c r="B160" s="52">
        <f>'Intern Profiles'!B160</f>
        <v>0</v>
      </c>
      <c r="C160" s="53">
        <f>'Intern Profiles'!C160</f>
        <v>0</v>
      </c>
      <c r="D160" s="52" t="str">
        <f>IF(A160="","",IFERROR(INDEX('Paste - Relationships'!$B$4:$B$800,MATCH(1,('Paste - Relationships'!$P$4:$P$800=VALUE(A160))*('Paste - Relationships'!$AE$4:$AE$800=""),0)),""))</f>
        <v/>
      </c>
      <c r="E160" s="63" t="str">
        <f ca="1">IFERROR(IF(A160="","",_xludf.maxifs('Session Logs'!$E:$E,'Session Logs'!$D:$D,B160,'Session Logs'!$C:$C,D160)),"")</f>
        <v/>
      </c>
      <c r="F160" s="63" t="str">
        <f ca="1">IFERROR(IF(A160="","",_xludf.maxifs('Session Logs'!$I:$I,'Session Logs'!$D:$D,B160,'Session Logs'!$C:$C,D160,'Session Logs'!$I:$I,"&gt;"&amp;TODAY())),"")</f>
        <v/>
      </c>
      <c r="G160" s="64" t="str">
        <f t="shared" ca="1" si="4"/>
        <v>No Mentor Assigned</v>
      </c>
      <c r="H160" s="52"/>
    </row>
    <row r="161" spans="1:8" ht="26.25" customHeight="1" x14ac:dyDescent="0.3">
      <c r="A161" s="62">
        <f>'Intern Profiles'!A161</f>
        <v>0</v>
      </c>
      <c r="B161" s="52">
        <f>'Intern Profiles'!B161</f>
        <v>0</v>
      </c>
      <c r="C161" s="53">
        <f>'Intern Profiles'!C161</f>
        <v>0</v>
      </c>
      <c r="D161" s="52" t="str">
        <f>IF(A161="","",IFERROR(INDEX('Paste - Relationships'!$B$4:$B$800,MATCH(1,('Paste - Relationships'!$P$4:$P$800=VALUE(A161))*('Paste - Relationships'!$AE$4:$AE$800=""),0)),""))</f>
        <v/>
      </c>
      <c r="E161" s="63" t="str">
        <f ca="1">IFERROR(IF(A161="","",_xludf.maxifs('Session Logs'!$E:$E,'Session Logs'!$D:$D,B161,'Session Logs'!$C:$C,D161)),"")</f>
        <v/>
      </c>
      <c r="F161" s="63" t="str">
        <f ca="1">IFERROR(IF(A161="","",_xludf.maxifs('Session Logs'!$I:$I,'Session Logs'!$D:$D,B161,'Session Logs'!$C:$C,D161,'Session Logs'!$I:$I,"&gt;"&amp;TODAY())),"")</f>
        <v/>
      </c>
      <c r="G161" s="64" t="str">
        <f t="shared" ca="1" si="4"/>
        <v>No Mentor Assigned</v>
      </c>
      <c r="H161" s="52"/>
    </row>
    <row r="162" spans="1:8" ht="26.25" customHeight="1" x14ac:dyDescent="0.3">
      <c r="A162" s="62">
        <f>'Intern Profiles'!A162</f>
        <v>0</v>
      </c>
      <c r="B162" s="52">
        <f>'Intern Profiles'!B162</f>
        <v>0</v>
      </c>
      <c r="C162" s="53">
        <f>'Intern Profiles'!C162</f>
        <v>0</v>
      </c>
      <c r="D162" s="52" t="str">
        <f>IF(A162="","",IFERROR(INDEX('Paste - Relationships'!$B$4:$B$800,MATCH(1,('Paste - Relationships'!$P$4:$P$800=VALUE(A162))*('Paste - Relationships'!$AE$4:$AE$800=""),0)),""))</f>
        <v/>
      </c>
      <c r="E162" s="63" t="str">
        <f ca="1">IFERROR(IF(A162="","",_xludf.maxifs('Session Logs'!$E:$E,'Session Logs'!$D:$D,B162,'Session Logs'!$C:$C,D162)),"")</f>
        <v/>
      </c>
      <c r="F162" s="63" t="str">
        <f ca="1">IFERROR(IF(A162="","",_xludf.maxifs('Session Logs'!$I:$I,'Session Logs'!$D:$D,B162,'Session Logs'!$C:$C,D162,'Session Logs'!$I:$I,"&gt;"&amp;TODAY())),"")</f>
        <v/>
      </c>
      <c r="G162" s="64" t="str">
        <f t="shared" ca="1" si="4"/>
        <v>No Mentor Assigned</v>
      </c>
      <c r="H162" s="52"/>
    </row>
    <row r="163" spans="1:8" ht="26.25" customHeight="1" x14ac:dyDescent="0.3">
      <c r="A163" s="62">
        <f>'Intern Profiles'!A163</f>
        <v>0</v>
      </c>
      <c r="B163" s="52">
        <f>'Intern Profiles'!B163</f>
        <v>0</v>
      </c>
      <c r="C163" s="53">
        <f>'Intern Profiles'!C163</f>
        <v>0</v>
      </c>
      <c r="D163" s="52" t="str">
        <f>IF(A163="","",IFERROR(INDEX('Paste - Relationships'!$B$4:$B$800,MATCH(1,('Paste - Relationships'!$P$4:$P$800=VALUE(A163))*('Paste - Relationships'!$AE$4:$AE$800=""),0)),""))</f>
        <v/>
      </c>
      <c r="E163" s="63" t="str">
        <f ca="1">IFERROR(IF(A163="","",_xludf.maxifs('Session Logs'!$E:$E,'Session Logs'!$D:$D,B163,'Session Logs'!$C:$C,D163)),"")</f>
        <v/>
      </c>
      <c r="F163" s="63" t="str">
        <f ca="1">IFERROR(IF(A163="","",_xludf.maxifs('Session Logs'!$I:$I,'Session Logs'!$D:$D,B163,'Session Logs'!$C:$C,D163,'Session Logs'!$I:$I,"&gt;"&amp;TODAY())),"")</f>
        <v/>
      </c>
      <c r="G163" s="64" t="str">
        <f t="shared" ca="1" si="4"/>
        <v>No Mentor Assigned</v>
      </c>
      <c r="H163" s="52"/>
    </row>
    <row r="164" spans="1:8" ht="26.25" customHeight="1" x14ac:dyDescent="0.3">
      <c r="A164" s="62">
        <f>'Intern Profiles'!A164</f>
        <v>0</v>
      </c>
      <c r="B164" s="52">
        <f>'Intern Profiles'!B164</f>
        <v>0</v>
      </c>
      <c r="C164" s="53">
        <f>'Intern Profiles'!C164</f>
        <v>0</v>
      </c>
      <c r="D164" s="52" t="str">
        <f>IF(A164="","",IFERROR(INDEX('Paste - Relationships'!$B$4:$B$800,MATCH(1,('Paste - Relationships'!$P$4:$P$800=VALUE(A164))*('Paste - Relationships'!$AE$4:$AE$800=""),0)),""))</f>
        <v/>
      </c>
      <c r="E164" s="63" t="str">
        <f ca="1">IFERROR(IF(A164="","",_xludf.maxifs('Session Logs'!$E:$E,'Session Logs'!$D:$D,B164,'Session Logs'!$C:$C,D164)),"")</f>
        <v/>
      </c>
      <c r="F164" s="63" t="str">
        <f ca="1">IFERROR(IF(A164="","",_xludf.maxifs('Session Logs'!$I:$I,'Session Logs'!$D:$D,B164,'Session Logs'!$C:$C,D164,'Session Logs'!$I:$I,"&gt;"&amp;TODAY())),"")</f>
        <v/>
      </c>
      <c r="G164" s="64" t="str">
        <f t="shared" ref="G164:G195" ca="1" si="5">IF(A164="","",IF(D164="","No Mentor Assigned",IF(E164="","No Sessions Yet",IF(AND(F164&lt;&gt;"",F164&lt;TODAY()),"Missed Session",IF(AND(TODAY()-E164&gt;30,F164=""),"Overdue – Book Now",IF(TODAY()-E164&gt;30,"Overdue – Session Booked","On Track"))))))</f>
        <v>No Mentor Assigned</v>
      </c>
      <c r="H164" s="52"/>
    </row>
    <row r="165" spans="1:8" ht="26.25" customHeight="1" x14ac:dyDescent="0.3">
      <c r="A165" s="62">
        <f>'Intern Profiles'!A165</f>
        <v>0</v>
      </c>
      <c r="B165" s="52">
        <f>'Intern Profiles'!B165</f>
        <v>0</v>
      </c>
      <c r="C165" s="53">
        <f>'Intern Profiles'!C165</f>
        <v>0</v>
      </c>
      <c r="D165" s="52" t="str">
        <f>IF(A165="","",IFERROR(INDEX('Paste - Relationships'!$B$4:$B$800,MATCH(1,('Paste - Relationships'!$P$4:$P$800=VALUE(A165))*('Paste - Relationships'!$AE$4:$AE$800=""),0)),""))</f>
        <v/>
      </c>
      <c r="E165" s="63" t="str">
        <f ca="1">IFERROR(IF(A165="","",_xludf.maxifs('Session Logs'!$E:$E,'Session Logs'!$D:$D,B165,'Session Logs'!$C:$C,D165)),"")</f>
        <v/>
      </c>
      <c r="F165" s="63" t="str">
        <f ca="1">IFERROR(IF(A165="","",_xludf.maxifs('Session Logs'!$I:$I,'Session Logs'!$D:$D,B165,'Session Logs'!$C:$C,D165,'Session Logs'!$I:$I,"&gt;"&amp;TODAY())),"")</f>
        <v/>
      </c>
      <c r="G165" s="64" t="str">
        <f t="shared" ca="1" si="5"/>
        <v>No Mentor Assigned</v>
      </c>
      <c r="H165" s="52"/>
    </row>
    <row r="166" spans="1:8" ht="26.25" customHeight="1" x14ac:dyDescent="0.3">
      <c r="A166" s="62">
        <f>'Intern Profiles'!A166</f>
        <v>0</v>
      </c>
      <c r="B166" s="52">
        <f>'Intern Profiles'!B166</f>
        <v>0</v>
      </c>
      <c r="C166" s="53">
        <f>'Intern Profiles'!C166</f>
        <v>0</v>
      </c>
      <c r="D166" s="52" t="str">
        <f>IF(A166="","",IFERROR(INDEX('Paste - Relationships'!$B$4:$B$800,MATCH(1,('Paste - Relationships'!$P$4:$P$800=VALUE(A166))*('Paste - Relationships'!$AE$4:$AE$800=""),0)),""))</f>
        <v/>
      </c>
      <c r="E166" s="63" t="str">
        <f ca="1">IFERROR(IF(A166="","",_xludf.maxifs('Session Logs'!$E:$E,'Session Logs'!$D:$D,B166,'Session Logs'!$C:$C,D166)),"")</f>
        <v/>
      </c>
      <c r="F166" s="63" t="str">
        <f ca="1">IFERROR(IF(A166="","",_xludf.maxifs('Session Logs'!$I:$I,'Session Logs'!$D:$D,B166,'Session Logs'!$C:$C,D166,'Session Logs'!$I:$I,"&gt;"&amp;TODAY())),"")</f>
        <v/>
      </c>
      <c r="G166" s="64" t="str">
        <f t="shared" ca="1" si="5"/>
        <v>No Mentor Assigned</v>
      </c>
      <c r="H166" s="52"/>
    </row>
    <row r="167" spans="1:8" ht="26.25" customHeight="1" x14ac:dyDescent="0.3">
      <c r="A167" s="62">
        <f>'Intern Profiles'!A167</f>
        <v>0</v>
      </c>
      <c r="B167" s="52">
        <f>'Intern Profiles'!B167</f>
        <v>0</v>
      </c>
      <c r="C167" s="53">
        <f>'Intern Profiles'!C167</f>
        <v>0</v>
      </c>
      <c r="D167" s="52" t="str">
        <f>IF(A167="","",IFERROR(INDEX('Paste - Relationships'!$B$4:$B$800,MATCH(1,('Paste - Relationships'!$P$4:$P$800=VALUE(A167))*('Paste - Relationships'!$AE$4:$AE$800=""),0)),""))</f>
        <v/>
      </c>
      <c r="E167" s="63" t="str">
        <f ca="1">IFERROR(IF(A167="","",_xludf.maxifs('Session Logs'!$E:$E,'Session Logs'!$D:$D,B167,'Session Logs'!$C:$C,D167)),"")</f>
        <v/>
      </c>
      <c r="F167" s="63" t="str">
        <f ca="1">IFERROR(IF(A167="","",_xludf.maxifs('Session Logs'!$I:$I,'Session Logs'!$D:$D,B167,'Session Logs'!$C:$C,D167,'Session Logs'!$I:$I,"&gt;"&amp;TODAY())),"")</f>
        <v/>
      </c>
      <c r="G167" s="64" t="str">
        <f t="shared" ca="1" si="5"/>
        <v>No Mentor Assigned</v>
      </c>
      <c r="H167" s="52"/>
    </row>
    <row r="168" spans="1:8" ht="26.25" customHeight="1" x14ac:dyDescent="0.3">
      <c r="A168" s="62">
        <f>'Intern Profiles'!A168</f>
        <v>0</v>
      </c>
      <c r="B168" s="52">
        <f>'Intern Profiles'!B168</f>
        <v>0</v>
      </c>
      <c r="C168" s="53">
        <f>'Intern Profiles'!C168</f>
        <v>0</v>
      </c>
      <c r="D168" s="52" t="str">
        <f>IF(A168="","",IFERROR(INDEX('Paste - Relationships'!$B$4:$B$800,MATCH(1,('Paste - Relationships'!$P$4:$P$800=VALUE(A168))*('Paste - Relationships'!$AE$4:$AE$800=""),0)),""))</f>
        <v/>
      </c>
      <c r="E168" s="63" t="str">
        <f ca="1">IFERROR(IF(A168="","",_xludf.maxifs('Session Logs'!$E:$E,'Session Logs'!$D:$D,B168,'Session Logs'!$C:$C,D168)),"")</f>
        <v/>
      </c>
      <c r="F168" s="63" t="str">
        <f ca="1">IFERROR(IF(A168="","",_xludf.maxifs('Session Logs'!$I:$I,'Session Logs'!$D:$D,B168,'Session Logs'!$C:$C,D168,'Session Logs'!$I:$I,"&gt;"&amp;TODAY())),"")</f>
        <v/>
      </c>
      <c r="G168" s="64" t="str">
        <f t="shared" ca="1" si="5"/>
        <v>No Mentor Assigned</v>
      </c>
      <c r="H168" s="52"/>
    </row>
    <row r="169" spans="1:8" ht="26.25" customHeight="1" x14ac:dyDescent="0.3">
      <c r="A169" s="62">
        <f>'Intern Profiles'!A169</f>
        <v>0</v>
      </c>
      <c r="B169" s="52">
        <f>'Intern Profiles'!B169</f>
        <v>0</v>
      </c>
      <c r="C169" s="53">
        <f>'Intern Profiles'!C169</f>
        <v>0</v>
      </c>
      <c r="D169" s="52" t="str">
        <f>IF(A169="","",IFERROR(INDEX('Paste - Relationships'!$B$4:$B$800,MATCH(1,('Paste - Relationships'!$P$4:$P$800=VALUE(A169))*('Paste - Relationships'!$AE$4:$AE$800=""),0)),""))</f>
        <v/>
      </c>
      <c r="E169" s="63" t="str">
        <f ca="1">IFERROR(IF(A169="","",_xludf.maxifs('Session Logs'!$E:$E,'Session Logs'!$D:$D,B169,'Session Logs'!$C:$C,D169)),"")</f>
        <v/>
      </c>
      <c r="F169" s="63" t="str">
        <f ca="1">IFERROR(IF(A169="","",_xludf.maxifs('Session Logs'!$I:$I,'Session Logs'!$D:$D,B169,'Session Logs'!$C:$C,D169,'Session Logs'!$I:$I,"&gt;"&amp;TODAY())),"")</f>
        <v/>
      </c>
      <c r="G169" s="64" t="str">
        <f t="shared" ca="1" si="5"/>
        <v>No Mentor Assigned</v>
      </c>
      <c r="H169" s="52"/>
    </row>
    <row r="170" spans="1:8" ht="26.25" customHeight="1" x14ac:dyDescent="0.3">
      <c r="A170" s="62">
        <f>'Intern Profiles'!A170</f>
        <v>0</v>
      </c>
      <c r="B170" s="52">
        <f>'Intern Profiles'!B170</f>
        <v>0</v>
      </c>
      <c r="C170" s="53">
        <f>'Intern Profiles'!C170</f>
        <v>0</v>
      </c>
      <c r="D170" s="52" t="str">
        <f>IF(A170="","",IFERROR(INDEX('Paste - Relationships'!$B$4:$B$800,MATCH(1,('Paste - Relationships'!$P$4:$P$800=VALUE(A170))*('Paste - Relationships'!$AE$4:$AE$800=""),0)),""))</f>
        <v/>
      </c>
      <c r="E170" s="63" t="str">
        <f ca="1">IFERROR(IF(A170="","",_xludf.maxifs('Session Logs'!$E:$E,'Session Logs'!$D:$D,B170,'Session Logs'!$C:$C,D170)),"")</f>
        <v/>
      </c>
      <c r="F170" s="63" t="str">
        <f ca="1">IFERROR(IF(A170="","",_xludf.maxifs('Session Logs'!$I:$I,'Session Logs'!$D:$D,B170,'Session Logs'!$C:$C,D170,'Session Logs'!$I:$I,"&gt;"&amp;TODAY())),"")</f>
        <v/>
      </c>
      <c r="G170" s="64" t="str">
        <f t="shared" ca="1" si="5"/>
        <v>No Mentor Assigned</v>
      </c>
      <c r="H170" s="52"/>
    </row>
    <row r="171" spans="1:8" ht="26.25" customHeight="1" x14ac:dyDescent="0.3">
      <c r="A171" s="62">
        <f>'Intern Profiles'!A171</f>
        <v>0</v>
      </c>
      <c r="B171" s="52">
        <f>'Intern Profiles'!B171</f>
        <v>0</v>
      </c>
      <c r="C171" s="53">
        <f>'Intern Profiles'!C171</f>
        <v>0</v>
      </c>
      <c r="D171" s="52" t="str">
        <f>IF(A171="","",IFERROR(INDEX('Paste - Relationships'!$B$4:$B$800,MATCH(1,('Paste - Relationships'!$P$4:$P$800=VALUE(A171))*('Paste - Relationships'!$AE$4:$AE$800=""),0)),""))</f>
        <v/>
      </c>
      <c r="E171" s="63" t="str">
        <f ca="1">IFERROR(IF(A171="","",_xludf.maxifs('Session Logs'!$E:$E,'Session Logs'!$D:$D,B171,'Session Logs'!$C:$C,D171)),"")</f>
        <v/>
      </c>
      <c r="F171" s="63" t="str">
        <f ca="1">IFERROR(IF(A171="","",_xludf.maxifs('Session Logs'!$I:$I,'Session Logs'!$D:$D,B171,'Session Logs'!$C:$C,D171,'Session Logs'!$I:$I,"&gt;"&amp;TODAY())),"")</f>
        <v/>
      </c>
      <c r="G171" s="64" t="str">
        <f t="shared" ca="1" si="5"/>
        <v>No Mentor Assigned</v>
      </c>
      <c r="H171" s="52"/>
    </row>
    <row r="172" spans="1:8" ht="26.25" customHeight="1" x14ac:dyDescent="0.3">
      <c r="A172" s="62">
        <f>'Intern Profiles'!A172</f>
        <v>0</v>
      </c>
      <c r="B172" s="52">
        <f>'Intern Profiles'!B172</f>
        <v>0</v>
      </c>
      <c r="C172" s="53">
        <f>'Intern Profiles'!C172</f>
        <v>0</v>
      </c>
      <c r="D172" s="52" t="str">
        <f>IF(A172="","",IFERROR(INDEX('Paste - Relationships'!$B$4:$B$800,MATCH(1,('Paste - Relationships'!$P$4:$P$800=VALUE(A172))*('Paste - Relationships'!$AE$4:$AE$800=""),0)),""))</f>
        <v/>
      </c>
      <c r="E172" s="63" t="str">
        <f ca="1">IFERROR(IF(A172="","",_xludf.maxifs('Session Logs'!$E:$E,'Session Logs'!$D:$D,B172,'Session Logs'!$C:$C,D172)),"")</f>
        <v/>
      </c>
      <c r="F172" s="63" t="str">
        <f ca="1">IFERROR(IF(A172="","",_xludf.maxifs('Session Logs'!$I:$I,'Session Logs'!$D:$D,B172,'Session Logs'!$C:$C,D172,'Session Logs'!$I:$I,"&gt;"&amp;TODAY())),"")</f>
        <v/>
      </c>
      <c r="G172" s="64" t="str">
        <f t="shared" ca="1" si="5"/>
        <v>No Mentor Assigned</v>
      </c>
      <c r="H172" s="52"/>
    </row>
    <row r="173" spans="1:8" ht="26.25" customHeight="1" x14ac:dyDescent="0.3">
      <c r="A173" s="62">
        <f>'Intern Profiles'!A173</f>
        <v>0</v>
      </c>
      <c r="B173" s="52">
        <f>'Intern Profiles'!B173</f>
        <v>0</v>
      </c>
      <c r="C173" s="53">
        <f>'Intern Profiles'!C173</f>
        <v>0</v>
      </c>
      <c r="D173" s="52" t="str">
        <f>IF(A173="","",IFERROR(INDEX('Paste - Relationships'!$B$4:$B$800,MATCH(1,('Paste - Relationships'!$P$4:$P$800=VALUE(A173))*('Paste - Relationships'!$AE$4:$AE$800=""),0)),""))</f>
        <v/>
      </c>
      <c r="E173" s="63" t="str">
        <f ca="1">IFERROR(IF(A173="","",_xludf.maxifs('Session Logs'!$E:$E,'Session Logs'!$D:$D,B173,'Session Logs'!$C:$C,D173)),"")</f>
        <v/>
      </c>
      <c r="F173" s="63" t="str">
        <f ca="1">IFERROR(IF(A173="","",_xludf.maxifs('Session Logs'!$I:$I,'Session Logs'!$D:$D,B173,'Session Logs'!$C:$C,D173,'Session Logs'!$I:$I,"&gt;"&amp;TODAY())),"")</f>
        <v/>
      </c>
      <c r="G173" s="64" t="str">
        <f t="shared" ca="1" si="5"/>
        <v>No Mentor Assigned</v>
      </c>
      <c r="H173" s="52"/>
    </row>
    <row r="174" spans="1:8" ht="26.25" customHeight="1" x14ac:dyDescent="0.3">
      <c r="A174" s="62">
        <f>'Intern Profiles'!A174</f>
        <v>0</v>
      </c>
      <c r="B174" s="52">
        <f>'Intern Profiles'!B174</f>
        <v>0</v>
      </c>
      <c r="C174" s="53">
        <f>'Intern Profiles'!C174</f>
        <v>0</v>
      </c>
      <c r="D174" s="52" t="str">
        <f>IF(A174="","",IFERROR(INDEX('Paste - Relationships'!$B$4:$B$800,MATCH(1,('Paste - Relationships'!$P$4:$P$800=VALUE(A174))*('Paste - Relationships'!$AE$4:$AE$800=""),0)),""))</f>
        <v/>
      </c>
      <c r="E174" s="63" t="str">
        <f ca="1">IFERROR(IF(A174="","",_xludf.maxifs('Session Logs'!$E:$E,'Session Logs'!$D:$D,B174,'Session Logs'!$C:$C,D174)),"")</f>
        <v/>
      </c>
      <c r="F174" s="63" t="str">
        <f ca="1">IFERROR(IF(A174="","",_xludf.maxifs('Session Logs'!$I:$I,'Session Logs'!$D:$D,B174,'Session Logs'!$C:$C,D174,'Session Logs'!$I:$I,"&gt;"&amp;TODAY())),"")</f>
        <v/>
      </c>
      <c r="G174" s="64" t="str">
        <f t="shared" ca="1" si="5"/>
        <v>No Mentor Assigned</v>
      </c>
      <c r="H174" s="52"/>
    </row>
    <row r="175" spans="1:8" ht="26.25" customHeight="1" x14ac:dyDescent="0.3">
      <c r="A175" s="62">
        <f>'Intern Profiles'!A175</f>
        <v>0</v>
      </c>
      <c r="B175" s="52">
        <f>'Intern Profiles'!B175</f>
        <v>0</v>
      </c>
      <c r="C175" s="53">
        <f>'Intern Profiles'!C175</f>
        <v>0</v>
      </c>
      <c r="D175" s="52" t="str">
        <f>IF(A175="","",IFERROR(INDEX('Paste - Relationships'!$B$4:$B$800,MATCH(1,('Paste - Relationships'!$P$4:$P$800=VALUE(A175))*('Paste - Relationships'!$AE$4:$AE$800=""),0)),""))</f>
        <v/>
      </c>
      <c r="E175" s="63" t="str">
        <f ca="1">IFERROR(IF(A175="","",_xludf.maxifs('Session Logs'!$E:$E,'Session Logs'!$D:$D,B175,'Session Logs'!$C:$C,D175)),"")</f>
        <v/>
      </c>
      <c r="F175" s="63" t="str">
        <f ca="1">IFERROR(IF(A175="","",_xludf.maxifs('Session Logs'!$I:$I,'Session Logs'!$D:$D,B175,'Session Logs'!$C:$C,D175,'Session Logs'!$I:$I,"&gt;"&amp;TODAY())),"")</f>
        <v/>
      </c>
      <c r="G175" s="64" t="str">
        <f t="shared" ca="1" si="5"/>
        <v>No Mentor Assigned</v>
      </c>
      <c r="H175" s="52"/>
    </row>
    <row r="176" spans="1:8" ht="26.25" customHeight="1" x14ac:dyDescent="0.3">
      <c r="A176" s="62">
        <f>'Intern Profiles'!A176</f>
        <v>0</v>
      </c>
      <c r="B176" s="52">
        <f>'Intern Profiles'!B176</f>
        <v>0</v>
      </c>
      <c r="C176" s="53">
        <f>'Intern Profiles'!C176</f>
        <v>0</v>
      </c>
      <c r="D176" s="52" t="str">
        <f>IF(A176="","",IFERROR(INDEX('Paste - Relationships'!$B$4:$B$800,MATCH(1,('Paste - Relationships'!$P$4:$P$800=VALUE(A176))*('Paste - Relationships'!$AE$4:$AE$800=""),0)),""))</f>
        <v/>
      </c>
      <c r="E176" s="63" t="str">
        <f ca="1">IFERROR(IF(A176="","",_xludf.maxifs('Session Logs'!$E:$E,'Session Logs'!$D:$D,B176,'Session Logs'!$C:$C,D176)),"")</f>
        <v/>
      </c>
      <c r="F176" s="63" t="str">
        <f ca="1">IFERROR(IF(A176="","",_xludf.maxifs('Session Logs'!$I:$I,'Session Logs'!$D:$D,B176,'Session Logs'!$C:$C,D176,'Session Logs'!$I:$I,"&gt;"&amp;TODAY())),"")</f>
        <v/>
      </c>
      <c r="G176" s="64" t="str">
        <f t="shared" ca="1" si="5"/>
        <v>No Mentor Assigned</v>
      </c>
      <c r="H176" s="52"/>
    </row>
    <row r="177" spans="1:8" ht="26.25" customHeight="1" x14ac:dyDescent="0.3">
      <c r="A177" s="62">
        <f>'Intern Profiles'!A177</f>
        <v>0</v>
      </c>
      <c r="B177" s="52">
        <f>'Intern Profiles'!B177</f>
        <v>0</v>
      </c>
      <c r="C177" s="53">
        <f>'Intern Profiles'!C177</f>
        <v>0</v>
      </c>
      <c r="D177" s="52" t="str">
        <f>IF(A177="","",IFERROR(INDEX('Paste - Relationships'!$B$4:$B$800,MATCH(1,('Paste - Relationships'!$P$4:$P$800=VALUE(A177))*('Paste - Relationships'!$AE$4:$AE$800=""),0)),""))</f>
        <v/>
      </c>
      <c r="E177" s="63" t="str">
        <f ca="1">IFERROR(IF(A177="","",_xludf.maxifs('Session Logs'!$E:$E,'Session Logs'!$D:$D,B177,'Session Logs'!$C:$C,D177)),"")</f>
        <v/>
      </c>
      <c r="F177" s="63" t="str">
        <f ca="1">IFERROR(IF(A177="","",_xludf.maxifs('Session Logs'!$I:$I,'Session Logs'!$D:$D,B177,'Session Logs'!$C:$C,D177,'Session Logs'!$I:$I,"&gt;"&amp;TODAY())),"")</f>
        <v/>
      </c>
      <c r="G177" s="64" t="str">
        <f t="shared" ca="1" si="5"/>
        <v>No Mentor Assigned</v>
      </c>
      <c r="H177" s="52"/>
    </row>
    <row r="178" spans="1:8" ht="26.25" customHeight="1" x14ac:dyDescent="0.3">
      <c r="A178" s="62">
        <f>'Intern Profiles'!A178</f>
        <v>0</v>
      </c>
      <c r="B178" s="52">
        <f>'Intern Profiles'!B178</f>
        <v>0</v>
      </c>
      <c r="C178" s="53">
        <f>'Intern Profiles'!C178</f>
        <v>0</v>
      </c>
      <c r="D178" s="52" t="str">
        <f>IF(A178="","",IFERROR(INDEX('Paste - Relationships'!$B$4:$B$800,MATCH(1,('Paste - Relationships'!$P$4:$P$800=VALUE(A178))*('Paste - Relationships'!$AE$4:$AE$800=""),0)),""))</f>
        <v/>
      </c>
      <c r="E178" s="63" t="str">
        <f ca="1">IFERROR(IF(A178="","",_xludf.maxifs('Session Logs'!$E:$E,'Session Logs'!$D:$D,B178,'Session Logs'!$C:$C,D178)),"")</f>
        <v/>
      </c>
      <c r="F178" s="63" t="str">
        <f ca="1">IFERROR(IF(A178="","",_xludf.maxifs('Session Logs'!$I:$I,'Session Logs'!$D:$D,B178,'Session Logs'!$C:$C,D178,'Session Logs'!$I:$I,"&gt;"&amp;TODAY())),"")</f>
        <v/>
      </c>
      <c r="G178" s="64" t="str">
        <f t="shared" ca="1" si="5"/>
        <v>No Mentor Assigned</v>
      </c>
      <c r="H178" s="52"/>
    </row>
    <row r="179" spans="1:8" ht="26.25" customHeight="1" x14ac:dyDescent="0.3">
      <c r="A179" s="62">
        <f>'Intern Profiles'!A179</f>
        <v>0</v>
      </c>
      <c r="B179" s="52">
        <f>'Intern Profiles'!B179</f>
        <v>0</v>
      </c>
      <c r="C179" s="53">
        <f>'Intern Profiles'!C179</f>
        <v>0</v>
      </c>
      <c r="D179" s="52" t="str">
        <f>IF(A179="","",IFERROR(INDEX('Paste - Relationships'!$B$4:$B$800,MATCH(1,('Paste - Relationships'!$P$4:$P$800=VALUE(A179))*('Paste - Relationships'!$AE$4:$AE$800=""),0)),""))</f>
        <v/>
      </c>
      <c r="E179" s="63" t="str">
        <f ca="1">IFERROR(IF(A179="","",_xludf.maxifs('Session Logs'!$E:$E,'Session Logs'!$D:$D,B179,'Session Logs'!$C:$C,D179)),"")</f>
        <v/>
      </c>
      <c r="F179" s="63" t="str">
        <f ca="1">IFERROR(IF(A179="","",_xludf.maxifs('Session Logs'!$I:$I,'Session Logs'!$D:$D,B179,'Session Logs'!$C:$C,D179,'Session Logs'!$I:$I,"&gt;"&amp;TODAY())),"")</f>
        <v/>
      </c>
      <c r="G179" s="64" t="str">
        <f t="shared" ca="1" si="5"/>
        <v>No Mentor Assigned</v>
      </c>
      <c r="H179" s="52"/>
    </row>
    <row r="180" spans="1:8" ht="26.25" customHeight="1" x14ac:dyDescent="0.3">
      <c r="A180" s="62">
        <f>'Intern Profiles'!A180</f>
        <v>0</v>
      </c>
      <c r="B180" s="52">
        <f>'Intern Profiles'!B180</f>
        <v>0</v>
      </c>
      <c r="C180" s="53">
        <f>'Intern Profiles'!C180</f>
        <v>0</v>
      </c>
      <c r="D180" s="52" t="str">
        <f>IF(A180="","",IFERROR(INDEX('Paste - Relationships'!$B$4:$B$800,MATCH(1,('Paste - Relationships'!$P$4:$P$800=VALUE(A180))*('Paste - Relationships'!$AE$4:$AE$800=""),0)),""))</f>
        <v/>
      </c>
      <c r="E180" s="63" t="str">
        <f ca="1">IFERROR(IF(A180="","",_xludf.maxifs('Session Logs'!$E:$E,'Session Logs'!$D:$D,B180,'Session Logs'!$C:$C,D180)),"")</f>
        <v/>
      </c>
      <c r="F180" s="63" t="str">
        <f ca="1">IFERROR(IF(A180="","",_xludf.maxifs('Session Logs'!$I:$I,'Session Logs'!$D:$D,B180,'Session Logs'!$C:$C,D180,'Session Logs'!$I:$I,"&gt;"&amp;TODAY())),"")</f>
        <v/>
      </c>
      <c r="G180" s="64" t="str">
        <f t="shared" ca="1" si="5"/>
        <v>No Mentor Assigned</v>
      </c>
      <c r="H180" s="52"/>
    </row>
    <row r="181" spans="1:8" ht="26.25" customHeight="1" x14ac:dyDescent="0.3">
      <c r="A181" s="62">
        <f>'Intern Profiles'!A181</f>
        <v>0</v>
      </c>
      <c r="B181" s="52">
        <f>'Intern Profiles'!B181</f>
        <v>0</v>
      </c>
      <c r="C181" s="53">
        <f>'Intern Profiles'!C181</f>
        <v>0</v>
      </c>
      <c r="D181" s="52" t="str">
        <f>IF(A181="","",IFERROR(INDEX('Paste - Relationships'!$B$4:$B$800,MATCH(1,('Paste - Relationships'!$P$4:$P$800=VALUE(A181))*('Paste - Relationships'!$AE$4:$AE$800=""),0)),""))</f>
        <v/>
      </c>
      <c r="E181" s="63" t="str">
        <f ca="1">IFERROR(IF(A181="","",_xludf.maxifs('Session Logs'!$E:$E,'Session Logs'!$D:$D,B181,'Session Logs'!$C:$C,D181)),"")</f>
        <v/>
      </c>
      <c r="F181" s="63" t="str">
        <f ca="1">IFERROR(IF(A181="","",_xludf.maxifs('Session Logs'!$I:$I,'Session Logs'!$D:$D,B181,'Session Logs'!$C:$C,D181,'Session Logs'!$I:$I,"&gt;"&amp;TODAY())),"")</f>
        <v/>
      </c>
      <c r="G181" s="64" t="str">
        <f t="shared" ca="1" si="5"/>
        <v>No Mentor Assigned</v>
      </c>
      <c r="H181" s="52"/>
    </row>
    <row r="182" spans="1:8" ht="26.25" customHeight="1" x14ac:dyDescent="0.3">
      <c r="A182" s="62">
        <f>'Intern Profiles'!A182</f>
        <v>0</v>
      </c>
      <c r="B182" s="52">
        <f>'Intern Profiles'!B182</f>
        <v>0</v>
      </c>
      <c r="C182" s="53">
        <f>'Intern Profiles'!C182</f>
        <v>0</v>
      </c>
      <c r="D182" s="52" t="str">
        <f>IF(A182="","",IFERROR(INDEX('Paste - Relationships'!$B$4:$B$800,MATCH(1,('Paste - Relationships'!$P$4:$P$800=VALUE(A182))*('Paste - Relationships'!$AE$4:$AE$800=""),0)),""))</f>
        <v/>
      </c>
      <c r="E182" s="63" t="str">
        <f ca="1">IFERROR(IF(A182="","",_xludf.maxifs('Session Logs'!$E:$E,'Session Logs'!$D:$D,B182,'Session Logs'!$C:$C,D182)),"")</f>
        <v/>
      </c>
      <c r="F182" s="63" t="str">
        <f ca="1">IFERROR(IF(A182="","",_xludf.maxifs('Session Logs'!$I:$I,'Session Logs'!$D:$D,B182,'Session Logs'!$C:$C,D182,'Session Logs'!$I:$I,"&gt;"&amp;TODAY())),"")</f>
        <v/>
      </c>
      <c r="G182" s="64" t="str">
        <f t="shared" ca="1" si="5"/>
        <v>No Mentor Assigned</v>
      </c>
      <c r="H182" s="52"/>
    </row>
    <row r="183" spans="1:8" ht="26.25" customHeight="1" x14ac:dyDescent="0.3">
      <c r="A183" s="62">
        <f>'Intern Profiles'!A183</f>
        <v>0</v>
      </c>
      <c r="B183" s="52">
        <f>'Intern Profiles'!B183</f>
        <v>0</v>
      </c>
      <c r="C183" s="53">
        <f>'Intern Profiles'!C183</f>
        <v>0</v>
      </c>
      <c r="D183" s="52" t="str">
        <f>IF(A183="","",IFERROR(INDEX('Paste - Relationships'!$B$4:$B$800,MATCH(1,('Paste - Relationships'!$P$4:$P$800=VALUE(A183))*('Paste - Relationships'!$AE$4:$AE$800=""),0)),""))</f>
        <v/>
      </c>
      <c r="E183" s="63" t="str">
        <f ca="1">IFERROR(IF(A183="","",_xludf.maxifs('Session Logs'!$E:$E,'Session Logs'!$D:$D,B183,'Session Logs'!$C:$C,D183)),"")</f>
        <v/>
      </c>
      <c r="F183" s="63" t="str">
        <f ca="1">IFERROR(IF(A183="","",_xludf.maxifs('Session Logs'!$I:$I,'Session Logs'!$D:$D,B183,'Session Logs'!$C:$C,D183,'Session Logs'!$I:$I,"&gt;"&amp;TODAY())),"")</f>
        <v/>
      </c>
      <c r="G183" s="64" t="str">
        <f t="shared" ca="1" si="5"/>
        <v>No Mentor Assigned</v>
      </c>
      <c r="H183" s="52"/>
    </row>
    <row r="184" spans="1:8" ht="26.25" customHeight="1" x14ac:dyDescent="0.3">
      <c r="A184" s="62">
        <f>'Intern Profiles'!A184</f>
        <v>0</v>
      </c>
      <c r="B184" s="52">
        <f>'Intern Profiles'!B184</f>
        <v>0</v>
      </c>
      <c r="C184" s="53">
        <f>'Intern Profiles'!C184</f>
        <v>0</v>
      </c>
      <c r="D184" s="52" t="str">
        <f>IF(A184="","",IFERROR(INDEX('Paste - Relationships'!$B$4:$B$800,MATCH(1,('Paste - Relationships'!$P$4:$P$800=VALUE(A184))*('Paste - Relationships'!$AE$4:$AE$800=""),0)),""))</f>
        <v/>
      </c>
      <c r="E184" s="63" t="str">
        <f ca="1">IFERROR(IF(A184="","",_xludf.maxifs('Session Logs'!$E:$E,'Session Logs'!$D:$D,B184,'Session Logs'!$C:$C,D184)),"")</f>
        <v/>
      </c>
      <c r="F184" s="63" t="str">
        <f ca="1">IFERROR(IF(A184="","",_xludf.maxifs('Session Logs'!$I:$I,'Session Logs'!$D:$D,B184,'Session Logs'!$C:$C,D184,'Session Logs'!$I:$I,"&gt;"&amp;TODAY())),"")</f>
        <v/>
      </c>
      <c r="G184" s="64" t="str">
        <f t="shared" ca="1" si="5"/>
        <v>No Mentor Assigned</v>
      </c>
      <c r="H184" s="52"/>
    </row>
    <row r="185" spans="1:8" ht="26.25" customHeight="1" x14ac:dyDescent="0.3">
      <c r="A185" s="62">
        <f>'Intern Profiles'!A185</f>
        <v>0</v>
      </c>
      <c r="B185" s="52">
        <f>'Intern Profiles'!B185</f>
        <v>0</v>
      </c>
      <c r="C185" s="53">
        <f>'Intern Profiles'!C185</f>
        <v>0</v>
      </c>
      <c r="D185" s="52" t="str">
        <f>IF(A185="","",IFERROR(INDEX('Paste - Relationships'!$B$4:$B$800,MATCH(1,('Paste - Relationships'!$P$4:$P$800=VALUE(A185))*('Paste - Relationships'!$AE$4:$AE$800=""),0)),""))</f>
        <v/>
      </c>
      <c r="E185" s="63" t="str">
        <f ca="1">IFERROR(IF(A185="","",_xludf.maxifs('Session Logs'!$E:$E,'Session Logs'!$D:$D,B185,'Session Logs'!$C:$C,D185)),"")</f>
        <v/>
      </c>
      <c r="F185" s="63" t="str">
        <f ca="1">IFERROR(IF(A185="","",_xludf.maxifs('Session Logs'!$I:$I,'Session Logs'!$D:$D,B185,'Session Logs'!$C:$C,D185,'Session Logs'!$I:$I,"&gt;"&amp;TODAY())),"")</f>
        <v/>
      </c>
      <c r="G185" s="64" t="str">
        <f t="shared" ca="1" si="5"/>
        <v>No Mentor Assigned</v>
      </c>
      <c r="H185" s="52"/>
    </row>
    <row r="186" spans="1:8" ht="26.25" customHeight="1" x14ac:dyDescent="0.3">
      <c r="A186" s="62">
        <f>'Intern Profiles'!A186</f>
        <v>0</v>
      </c>
      <c r="B186" s="52">
        <f>'Intern Profiles'!B186</f>
        <v>0</v>
      </c>
      <c r="C186" s="53">
        <f>'Intern Profiles'!C186</f>
        <v>0</v>
      </c>
      <c r="D186" s="52" t="str">
        <f>IF(A186="","",IFERROR(INDEX('Paste - Relationships'!$B$4:$B$800,MATCH(1,('Paste - Relationships'!$P$4:$P$800=VALUE(A186))*('Paste - Relationships'!$AE$4:$AE$800=""),0)),""))</f>
        <v/>
      </c>
      <c r="E186" s="63" t="str">
        <f ca="1">IFERROR(IF(A186="","",_xludf.maxifs('Session Logs'!$E:$E,'Session Logs'!$D:$D,B186,'Session Logs'!$C:$C,D186)),"")</f>
        <v/>
      </c>
      <c r="F186" s="63" t="str">
        <f ca="1">IFERROR(IF(A186="","",_xludf.maxifs('Session Logs'!$I:$I,'Session Logs'!$D:$D,B186,'Session Logs'!$C:$C,D186,'Session Logs'!$I:$I,"&gt;"&amp;TODAY())),"")</f>
        <v/>
      </c>
      <c r="G186" s="64" t="str">
        <f t="shared" ca="1" si="5"/>
        <v>No Mentor Assigned</v>
      </c>
      <c r="H186" s="52"/>
    </row>
    <row r="187" spans="1:8" ht="26.25" customHeight="1" x14ac:dyDescent="0.3">
      <c r="A187" s="62">
        <f>'Intern Profiles'!A187</f>
        <v>0</v>
      </c>
      <c r="B187" s="52">
        <f>'Intern Profiles'!B187</f>
        <v>0</v>
      </c>
      <c r="C187" s="53">
        <f>'Intern Profiles'!C187</f>
        <v>0</v>
      </c>
      <c r="D187" s="52" t="str">
        <f>IF(A187="","",IFERROR(INDEX('Paste - Relationships'!$B$4:$B$800,MATCH(1,('Paste - Relationships'!$P$4:$P$800=VALUE(A187))*('Paste - Relationships'!$AE$4:$AE$800=""),0)),""))</f>
        <v/>
      </c>
      <c r="E187" s="63" t="str">
        <f ca="1">IFERROR(IF(A187="","",_xludf.maxifs('Session Logs'!$E:$E,'Session Logs'!$D:$D,B187,'Session Logs'!$C:$C,D187)),"")</f>
        <v/>
      </c>
      <c r="F187" s="63" t="str">
        <f ca="1">IFERROR(IF(A187="","",_xludf.maxifs('Session Logs'!$I:$I,'Session Logs'!$D:$D,B187,'Session Logs'!$C:$C,D187,'Session Logs'!$I:$I,"&gt;"&amp;TODAY())),"")</f>
        <v/>
      </c>
      <c r="G187" s="64" t="str">
        <f t="shared" ca="1" si="5"/>
        <v>No Mentor Assigned</v>
      </c>
      <c r="H187" s="52"/>
    </row>
    <row r="188" spans="1:8" ht="26.25" customHeight="1" x14ac:dyDescent="0.3">
      <c r="A188" s="62">
        <f>'Intern Profiles'!A188</f>
        <v>0</v>
      </c>
      <c r="B188" s="52">
        <f>'Intern Profiles'!B188</f>
        <v>0</v>
      </c>
      <c r="C188" s="53">
        <f>'Intern Profiles'!C188</f>
        <v>0</v>
      </c>
      <c r="D188" s="52" t="str">
        <f>IF(A188="","",IFERROR(INDEX('Paste - Relationships'!$B$4:$B$800,MATCH(1,('Paste - Relationships'!$P$4:$P$800=VALUE(A188))*('Paste - Relationships'!$AE$4:$AE$800=""),0)),""))</f>
        <v/>
      </c>
      <c r="E188" s="63" t="str">
        <f ca="1">IFERROR(IF(A188="","",_xludf.maxifs('Session Logs'!$E:$E,'Session Logs'!$D:$D,B188,'Session Logs'!$C:$C,D188)),"")</f>
        <v/>
      </c>
      <c r="F188" s="63" t="str">
        <f ca="1">IFERROR(IF(A188="","",_xludf.maxifs('Session Logs'!$I:$I,'Session Logs'!$D:$D,B188,'Session Logs'!$C:$C,D188,'Session Logs'!$I:$I,"&gt;"&amp;TODAY())),"")</f>
        <v/>
      </c>
      <c r="G188" s="64" t="str">
        <f t="shared" ca="1" si="5"/>
        <v>No Mentor Assigned</v>
      </c>
      <c r="H188" s="52"/>
    </row>
    <row r="189" spans="1:8" ht="26.25" customHeight="1" x14ac:dyDescent="0.3">
      <c r="A189" s="62">
        <f>'Intern Profiles'!A189</f>
        <v>0</v>
      </c>
      <c r="B189" s="52">
        <f>'Intern Profiles'!B189</f>
        <v>0</v>
      </c>
      <c r="C189" s="53">
        <f>'Intern Profiles'!C189</f>
        <v>0</v>
      </c>
      <c r="D189" s="52" t="str">
        <f>IF(A189="","",IFERROR(INDEX('Paste - Relationships'!$B$4:$B$800,MATCH(1,('Paste - Relationships'!$P$4:$P$800=VALUE(A189))*('Paste - Relationships'!$AE$4:$AE$800=""),0)),""))</f>
        <v/>
      </c>
      <c r="E189" s="63" t="str">
        <f ca="1">IFERROR(IF(A189="","",_xludf.maxifs('Session Logs'!$E:$E,'Session Logs'!$D:$D,B189,'Session Logs'!$C:$C,D189)),"")</f>
        <v/>
      </c>
      <c r="F189" s="63" t="str">
        <f ca="1">IFERROR(IF(A189="","",_xludf.maxifs('Session Logs'!$I:$I,'Session Logs'!$D:$D,B189,'Session Logs'!$C:$C,D189,'Session Logs'!$I:$I,"&gt;"&amp;TODAY())),"")</f>
        <v/>
      </c>
      <c r="G189" s="64" t="str">
        <f t="shared" ca="1" si="5"/>
        <v>No Mentor Assigned</v>
      </c>
      <c r="H189" s="52"/>
    </row>
    <row r="190" spans="1:8" ht="26.25" customHeight="1" x14ac:dyDescent="0.3">
      <c r="A190" s="62">
        <f>'Intern Profiles'!A190</f>
        <v>0</v>
      </c>
      <c r="B190" s="52">
        <f>'Intern Profiles'!B190</f>
        <v>0</v>
      </c>
      <c r="C190" s="53">
        <f>'Intern Profiles'!C190</f>
        <v>0</v>
      </c>
      <c r="D190" s="52" t="str">
        <f>IF(A190="","",IFERROR(INDEX('Paste - Relationships'!$B$4:$B$800,MATCH(1,('Paste - Relationships'!$P$4:$P$800=VALUE(A190))*('Paste - Relationships'!$AE$4:$AE$800=""),0)),""))</f>
        <v/>
      </c>
      <c r="E190" s="63" t="str">
        <f ca="1">IFERROR(IF(A190="","",_xludf.maxifs('Session Logs'!$E:$E,'Session Logs'!$D:$D,B190,'Session Logs'!$C:$C,D190)),"")</f>
        <v/>
      </c>
      <c r="F190" s="63" t="str">
        <f ca="1">IFERROR(IF(A190="","",_xludf.maxifs('Session Logs'!$I:$I,'Session Logs'!$D:$D,B190,'Session Logs'!$C:$C,D190,'Session Logs'!$I:$I,"&gt;"&amp;TODAY())),"")</f>
        <v/>
      </c>
      <c r="G190" s="64" t="str">
        <f t="shared" ca="1" si="5"/>
        <v>No Mentor Assigned</v>
      </c>
      <c r="H190" s="52"/>
    </row>
    <row r="191" spans="1:8" ht="26.25" customHeight="1" x14ac:dyDescent="0.3">
      <c r="A191" s="62">
        <f>'Intern Profiles'!A191</f>
        <v>0</v>
      </c>
      <c r="B191" s="52">
        <f>'Intern Profiles'!B191</f>
        <v>0</v>
      </c>
      <c r="C191" s="53">
        <f>'Intern Profiles'!C191</f>
        <v>0</v>
      </c>
      <c r="D191" s="52" t="str">
        <f>IF(A191="","",IFERROR(INDEX('Paste - Relationships'!$B$4:$B$800,MATCH(1,('Paste - Relationships'!$P$4:$P$800=VALUE(A191))*('Paste - Relationships'!$AE$4:$AE$800=""),0)),""))</f>
        <v/>
      </c>
      <c r="E191" s="63" t="str">
        <f ca="1">IFERROR(IF(A191="","",_xludf.maxifs('Session Logs'!$E:$E,'Session Logs'!$D:$D,B191,'Session Logs'!$C:$C,D191)),"")</f>
        <v/>
      </c>
      <c r="F191" s="63" t="str">
        <f ca="1">IFERROR(IF(A191="","",_xludf.maxifs('Session Logs'!$I:$I,'Session Logs'!$D:$D,B191,'Session Logs'!$C:$C,D191,'Session Logs'!$I:$I,"&gt;"&amp;TODAY())),"")</f>
        <v/>
      </c>
      <c r="G191" s="64" t="str">
        <f t="shared" ca="1" si="5"/>
        <v>No Mentor Assigned</v>
      </c>
      <c r="H191" s="52"/>
    </row>
    <row r="192" spans="1:8" ht="26.25" customHeight="1" x14ac:dyDescent="0.3">
      <c r="A192" s="62">
        <f>'Intern Profiles'!A192</f>
        <v>0</v>
      </c>
      <c r="B192" s="52">
        <f>'Intern Profiles'!B192</f>
        <v>0</v>
      </c>
      <c r="C192" s="53">
        <f>'Intern Profiles'!C192</f>
        <v>0</v>
      </c>
      <c r="D192" s="52" t="str">
        <f>IF(A192="","",IFERROR(INDEX('Paste - Relationships'!$B$4:$B$800,MATCH(1,('Paste - Relationships'!$P$4:$P$800=VALUE(A192))*('Paste - Relationships'!$AE$4:$AE$800=""),0)),""))</f>
        <v/>
      </c>
      <c r="E192" s="63" t="str">
        <f ca="1">IFERROR(IF(A192="","",_xludf.maxifs('Session Logs'!$E:$E,'Session Logs'!$D:$D,B192,'Session Logs'!$C:$C,D192)),"")</f>
        <v/>
      </c>
      <c r="F192" s="63" t="str">
        <f ca="1">IFERROR(IF(A192="","",_xludf.maxifs('Session Logs'!$I:$I,'Session Logs'!$D:$D,B192,'Session Logs'!$C:$C,D192,'Session Logs'!$I:$I,"&gt;"&amp;TODAY())),"")</f>
        <v/>
      </c>
      <c r="G192" s="64" t="str">
        <f t="shared" ca="1" si="5"/>
        <v>No Mentor Assigned</v>
      </c>
      <c r="H192" s="52"/>
    </row>
    <row r="193" spans="1:8" ht="26.25" customHeight="1" x14ac:dyDescent="0.3">
      <c r="A193" s="62">
        <f>'Intern Profiles'!A193</f>
        <v>0</v>
      </c>
      <c r="B193" s="52">
        <f>'Intern Profiles'!B193</f>
        <v>0</v>
      </c>
      <c r="C193" s="53">
        <f>'Intern Profiles'!C193</f>
        <v>0</v>
      </c>
      <c r="D193" s="52" t="str">
        <f>IF(A193="","",IFERROR(INDEX('Paste - Relationships'!$B$4:$B$800,MATCH(1,('Paste - Relationships'!$P$4:$P$800=VALUE(A193))*('Paste - Relationships'!$AE$4:$AE$800=""),0)),""))</f>
        <v/>
      </c>
      <c r="E193" s="63" t="str">
        <f ca="1">IFERROR(IF(A193="","",_xludf.maxifs('Session Logs'!$E:$E,'Session Logs'!$D:$D,B193,'Session Logs'!$C:$C,D193)),"")</f>
        <v/>
      </c>
      <c r="F193" s="63" t="str">
        <f ca="1">IFERROR(IF(A193="","",_xludf.maxifs('Session Logs'!$I:$I,'Session Logs'!$D:$D,B193,'Session Logs'!$C:$C,D193,'Session Logs'!$I:$I,"&gt;"&amp;TODAY())),"")</f>
        <v/>
      </c>
      <c r="G193" s="64" t="str">
        <f t="shared" ca="1" si="5"/>
        <v>No Mentor Assigned</v>
      </c>
      <c r="H193" s="52"/>
    </row>
    <row r="194" spans="1:8" ht="26.25" customHeight="1" x14ac:dyDescent="0.3">
      <c r="A194" s="62">
        <f>'Intern Profiles'!A194</f>
        <v>0</v>
      </c>
      <c r="B194" s="52">
        <f>'Intern Profiles'!B194</f>
        <v>0</v>
      </c>
      <c r="C194" s="53">
        <f>'Intern Profiles'!C194</f>
        <v>0</v>
      </c>
      <c r="D194" s="52" t="str">
        <f>IF(A194="","",IFERROR(INDEX('Paste - Relationships'!$B$4:$B$800,MATCH(1,('Paste - Relationships'!$P$4:$P$800=VALUE(A194))*('Paste - Relationships'!$AE$4:$AE$800=""),0)),""))</f>
        <v/>
      </c>
      <c r="E194" s="63" t="str">
        <f ca="1">IFERROR(IF(A194="","",_xludf.maxifs('Session Logs'!$E:$E,'Session Logs'!$D:$D,B194,'Session Logs'!$C:$C,D194)),"")</f>
        <v/>
      </c>
      <c r="F194" s="63" t="str">
        <f ca="1">IFERROR(IF(A194="","",_xludf.maxifs('Session Logs'!$I:$I,'Session Logs'!$D:$D,B194,'Session Logs'!$C:$C,D194,'Session Logs'!$I:$I,"&gt;"&amp;TODAY())),"")</f>
        <v/>
      </c>
      <c r="G194" s="64" t="str">
        <f t="shared" ca="1" si="5"/>
        <v>No Mentor Assigned</v>
      </c>
      <c r="H194" s="52"/>
    </row>
    <row r="195" spans="1:8" ht="26.25" customHeight="1" x14ac:dyDescent="0.3">
      <c r="A195" s="62">
        <f>'Intern Profiles'!A195</f>
        <v>0</v>
      </c>
      <c r="B195" s="52">
        <f>'Intern Profiles'!B195</f>
        <v>0</v>
      </c>
      <c r="C195" s="53">
        <f>'Intern Profiles'!C195</f>
        <v>0</v>
      </c>
      <c r="D195" s="52" t="str">
        <f>IF(A195="","",IFERROR(INDEX('Paste - Relationships'!$B$4:$B$800,MATCH(1,('Paste - Relationships'!$P$4:$P$800=VALUE(A195))*('Paste - Relationships'!$AE$4:$AE$800=""),0)),""))</f>
        <v/>
      </c>
      <c r="E195" s="63" t="str">
        <f ca="1">IFERROR(IF(A195="","",_xludf.maxifs('Session Logs'!$E:$E,'Session Logs'!$D:$D,B195,'Session Logs'!$C:$C,D195)),"")</f>
        <v/>
      </c>
      <c r="F195" s="63" t="str">
        <f ca="1">IFERROR(IF(A195="","",_xludf.maxifs('Session Logs'!$I:$I,'Session Logs'!$D:$D,B195,'Session Logs'!$C:$C,D195,'Session Logs'!$I:$I,"&gt;"&amp;TODAY())),"")</f>
        <v/>
      </c>
      <c r="G195" s="64" t="str">
        <f t="shared" ca="1" si="5"/>
        <v>No Mentor Assigned</v>
      </c>
      <c r="H195" s="52"/>
    </row>
    <row r="196" spans="1:8" ht="26.25" customHeight="1" x14ac:dyDescent="0.3">
      <c r="A196" s="62">
        <f>'Intern Profiles'!A196</f>
        <v>0</v>
      </c>
      <c r="B196" s="52">
        <f>'Intern Profiles'!B196</f>
        <v>0</v>
      </c>
      <c r="C196" s="53">
        <f>'Intern Profiles'!C196</f>
        <v>0</v>
      </c>
      <c r="D196" s="52" t="str">
        <f>IF(A196="","",IFERROR(INDEX('Paste - Relationships'!$B$4:$B$800,MATCH(1,('Paste - Relationships'!$P$4:$P$800=VALUE(A196))*('Paste - Relationships'!$AE$4:$AE$800=""),0)),""))</f>
        <v/>
      </c>
      <c r="E196" s="63" t="str">
        <f ca="1">IFERROR(IF(A196="","",_xludf.maxifs('Session Logs'!$E:$E,'Session Logs'!$D:$D,B196,'Session Logs'!$C:$C,D196)),"")</f>
        <v/>
      </c>
      <c r="F196" s="63" t="str">
        <f ca="1">IFERROR(IF(A196="","",_xludf.maxifs('Session Logs'!$I:$I,'Session Logs'!$D:$D,B196,'Session Logs'!$C:$C,D196,'Session Logs'!$I:$I,"&gt;"&amp;TODAY())),"")</f>
        <v/>
      </c>
      <c r="G196" s="64" t="str">
        <f t="shared" ref="G196:G227" ca="1" si="6">IF(A196="","",IF(D196="","No Mentor Assigned",IF(E196="","No Sessions Yet",IF(AND(F196&lt;&gt;"",F196&lt;TODAY()),"Missed Session",IF(AND(TODAY()-E196&gt;30,F196=""),"Overdue – Book Now",IF(TODAY()-E196&gt;30,"Overdue – Session Booked","On Track"))))))</f>
        <v>No Mentor Assigned</v>
      </c>
      <c r="H196" s="52"/>
    </row>
    <row r="197" spans="1:8" ht="26.25" customHeight="1" x14ac:dyDescent="0.3">
      <c r="A197" s="62">
        <f>'Intern Profiles'!A197</f>
        <v>0</v>
      </c>
      <c r="B197" s="52">
        <f>'Intern Profiles'!B197</f>
        <v>0</v>
      </c>
      <c r="C197" s="53">
        <f>'Intern Profiles'!C197</f>
        <v>0</v>
      </c>
      <c r="D197" s="52" t="str">
        <f>IF(A197="","",IFERROR(INDEX('Paste - Relationships'!$B$4:$B$800,MATCH(1,('Paste - Relationships'!$P$4:$P$800=VALUE(A197))*('Paste - Relationships'!$AE$4:$AE$800=""),0)),""))</f>
        <v/>
      </c>
      <c r="E197" s="63" t="str">
        <f ca="1">IFERROR(IF(A197="","",_xludf.maxifs('Session Logs'!$E:$E,'Session Logs'!$D:$D,B197,'Session Logs'!$C:$C,D197)),"")</f>
        <v/>
      </c>
      <c r="F197" s="63" t="str">
        <f ca="1">IFERROR(IF(A197="","",_xludf.maxifs('Session Logs'!$I:$I,'Session Logs'!$D:$D,B197,'Session Logs'!$C:$C,D197,'Session Logs'!$I:$I,"&gt;"&amp;TODAY())),"")</f>
        <v/>
      </c>
      <c r="G197" s="64" t="str">
        <f t="shared" ca="1" si="6"/>
        <v>No Mentor Assigned</v>
      </c>
      <c r="H197" s="52"/>
    </row>
    <row r="198" spans="1:8" ht="26.25" customHeight="1" x14ac:dyDescent="0.3">
      <c r="A198" s="62">
        <f>'Intern Profiles'!A198</f>
        <v>0</v>
      </c>
      <c r="B198" s="52">
        <f>'Intern Profiles'!B198</f>
        <v>0</v>
      </c>
      <c r="C198" s="53">
        <f>'Intern Profiles'!C198</f>
        <v>0</v>
      </c>
      <c r="D198" s="52" t="str">
        <f>IF(A198="","",IFERROR(INDEX('Paste - Relationships'!$B$4:$B$800,MATCH(1,('Paste - Relationships'!$P$4:$P$800=VALUE(A198))*('Paste - Relationships'!$AE$4:$AE$800=""),0)),""))</f>
        <v/>
      </c>
      <c r="E198" s="63" t="str">
        <f ca="1">IFERROR(IF(A198="","",_xludf.maxifs('Session Logs'!$E:$E,'Session Logs'!$D:$D,B198,'Session Logs'!$C:$C,D198)),"")</f>
        <v/>
      </c>
      <c r="F198" s="63" t="str">
        <f ca="1">IFERROR(IF(A198="","",_xludf.maxifs('Session Logs'!$I:$I,'Session Logs'!$D:$D,B198,'Session Logs'!$C:$C,D198,'Session Logs'!$I:$I,"&gt;"&amp;TODAY())),"")</f>
        <v/>
      </c>
      <c r="G198" s="64" t="str">
        <f t="shared" ca="1" si="6"/>
        <v>No Mentor Assigned</v>
      </c>
      <c r="H198" s="52"/>
    </row>
    <row r="199" spans="1:8" ht="26.25" customHeight="1" x14ac:dyDescent="0.3">
      <c r="A199" s="62">
        <f>'Intern Profiles'!A199</f>
        <v>0</v>
      </c>
      <c r="B199" s="52">
        <f>'Intern Profiles'!B199</f>
        <v>0</v>
      </c>
      <c r="C199" s="53">
        <f>'Intern Profiles'!C199</f>
        <v>0</v>
      </c>
      <c r="D199" s="52" t="str">
        <f>IF(A199="","",IFERROR(INDEX('Paste - Relationships'!$B$4:$B$800,MATCH(1,('Paste - Relationships'!$P$4:$P$800=VALUE(A199))*('Paste - Relationships'!$AE$4:$AE$800=""),0)),""))</f>
        <v/>
      </c>
      <c r="E199" s="63" t="str">
        <f ca="1">IFERROR(IF(A199="","",_xludf.maxifs('Session Logs'!$E:$E,'Session Logs'!$D:$D,B199,'Session Logs'!$C:$C,D199)),"")</f>
        <v/>
      </c>
      <c r="F199" s="63" t="str">
        <f ca="1">IFERROR(IF(A199="","",_xludf.maxifs('Session Logs'!$I:$I,'Session Logs'!$D:$D,B199,'Session Logs'!$C:$C,D199,'Session Logs'!$I:$I,"&gt;"&amp;TODAY())),"")</f>
        <v/>
      </c>
      <c r="G199" s="64" t="str">
        <f t="shared" ca="1" si="6"/>
        <v>No Mentor Assigned</v>
      </c>
      <c r="H199" s="52"/>
    </row>
    <row r="200" spans="1:8" ht="26.25" customHeight="1" x14ac:dyDescent="0.3">
      <c r="A200" s="62">
        <f>'Intern Profiles'!A200</f>
        <v>0</v>
      </c>
      <c r="B200" s="52">
        <f>'Intern Profiles'!B200</f>
        <v>0</v>
      </c>
      <c r="C200" s="53">
        <f>'Intern Profiles'!C200</f>
        <v>0</v>
      </c>
      <c r="D200" s="52" t="str">
        <f>IF(A200="","",IFERROR(INDEX('Paste - Relationships'!$B$4:$B$800,MATCH(1,('Paste - Relationships'!$P$4:$P$800=VALUE(A200))*('Paste - Relationships'!$AE$4:$AE$800=""),0)),""))</f>
        <v/>
      </c>
      <c r="E200" s="63" t="str">
        <f ca="1">IFERROR(IF(A200="","",_xludf.maxifs('Session Logs'!$E:$E,'Session Logs'!$D:$D,B200,'Session Logs'!$C:$C,D200)),"")</f>
        <v/>
      </c>
      <c r="F200" s="63" t="str">
        <f ca="1">IFERROR(IF(A200="","",_xludf.maxifs('Session Logs'!$I:$I,'Session Logs'!$D:$D,B200,'Session Logs'!$C:$C,D200,'Session Logs'!$I:$I,"&gt;"&amp;TODAY())),"")</f>
        <v/>
      </c>
      <c r="G200" s="64" t="str">
        <f t="shared" ca="1" si="6"/>
        <v>No Mentor Assigned</v>
      </c>
      <c r="H200" s="52"/>
    </row>
    <row r="201" spans="1:8" ht="26.25" customHeight="1" x14ac:dyDescent="0.3">
      <c r="A201" s="62">
        <f>'Intern Profiles'!A201</f>
        <v>0</v>
      </c>
      <c r="B201" s="52">
        <f>'Intern Profiles'!B201</f>
        <v>0</v>
      </c>
      <c r="C201" s="53">
        <f>'Intern Profiles'!C201</f>
        <v>0</v>
      </c>
      <c r="D201" s="52" t="str">
        <f>IF(A201="","",IFERROR(INDEX('Paste - Relationships'!$B$4:$B$800,MATCH(1,('Paste - Relationships'!$P$4:$P$800=VALUE(A201))*('Paste - Relationships'!$AE$4:$AE$800=""),0)),""))</f>
        <v/>
      </c>
      <c r="E201" s="63" t="str">
        <f ca="1">IFERROR(IF(A201="","",_xludf.maxifs('Session Logs'!$E:$E,'Session Logs'!$D:$D,B201,'Session Logs'!$C:$C,D201)),"")</f>
        <v/>
      </c>
      <c r="F201" s="63" t="str">
        <f ca="1">IFERROR(IF(A201="","",_xludf.maxifs('Session Logs'!$I:$I,'Session Logs'!$D:$D,B201,'Session Logs'!$C:$C,D201,'Session Logs'!$I:$I,"&gt;"&amp;TODAY())),"")</f>
        <v/>
      </c>
      <c r="G201" s="64" t="str">
        <f t="shared" ca="1" si="6"/>
        <v>No Mentor Assigned</v>
      </c>
      <c r="H201" s="52"/>
    </row>
    <row r="202" spans="1:8" ht="26.25" customHeight="1" x14ac:dyDescent="0.3">
      <c r="A202" s="62">
        <f>'Intern Profiles'!A202</f>
        <v>0</v>
      </c>
      <c r="B202" s="52">
        <f>'Intern Profiles'!B202</f>
        <v>0</v>
      </c>
      <c r="C202" s="53">
        <f>'Intern Profiles'!C202</f>
        <v>0</v>
      </c>
      <c r="D202" s="52" t="str">
        <f>IF(A202="","",IFERROR(INDEX('Paste - Relationships'!$B$4:$B$800,MATCH(1,('Paste - Relationships'!$P$4:$P$800=VALUE(A202))*('Paste - Relationships'!$AE$4:$AE$800=""),0)),""))</f>
        <v/>
      </c>
      <c r="E202" s="63" t="str">
        <f ca="1">IFERROR(IF(A202="","",_xludf.maxifs('Session Logs'!$E:$E,'Session Logs'!$D:$D,B202,'Session Logs'!$C:$C,D202)),"")</f>
        <v/>
      </c>
      <c r="F202" s="63" t="str">
        <f ca="1">IFERROR(IF(A202="","",_xludf.maxifs('Session Logs'!$I:$I,'Session Logs'!$D:$D,B202,'Session Logs'!$C:$C,D202,'Session Logs'!$I:$I,"&gt;"&amp;TODAY())),"")</f>
        <v/>
      </c>
      <c r="G202" s="64" t="str">
        <f t="shared" ca="1" si="6"/>
        <v>No Mentor Assigned</v>
      </c>
      <c r="H202" s="52"/>
    </row>
    <row r="203" spans="1:8" ht="26.25" customHeight="1" x14ac:dyDescent="0.3">
      <c r="A203" s="62">
        <f>'Intern Profiles'!A203</f>
        <v>0</v>
      </c>
      <c r="B203" s="52">
        <f>'Intern Profiles'!B203</f>
        <v>0</v>
      </c>
      <c r="C203" s="53">
        <f>'Intern Profiles'!C203</f>
        <v>0</v>
      </c>
      <c r="D203" s="52" t="str">
        <f>IF(A203="","",IFERROR(INDEX('Paste - Relationships'!$B$4:$B$800,MATCH(1,('Paste - Relationships'!$P$4:$P$800=VALUE(A203))*('Paste - Relationships'!$AE$4:$AE$800=""),0)),""))</f>
        <v/>
      </c>
      <c r="E203" s="63" t="str">
        <f ca="1">IFERROR(IF(A203="","",_xludf.maxifs('Session Logs'!$E:$E,'Session Logs'!$D:$D,B203,'Session Logs'!$C:$C,D203)),"")</f>
        <v/>
      </c>
      <c r="F203" s="63" t="str">
        <f ca="1">IFERROR(IF(A203="","",_xludf.maxifs('Session Logs'!$I:$I,'Session Logs'!$D:$D,B203,'Session Logs'!$C:$C,D203,'Session Logs'!$I:$I,"&gt;"&amp;TODAY())),"")</f>
        <v/>
      </c>
      <c r="G203" s="64" t="str">
        <f t="shared" ca="1" si="6"/>
        <v>No Mentor Assigned</v>
      </c>
      <c r="H203" s="52"/>
    </row>
  </sheetData>
  <conditionalFormatting sqref="D4:D203">
    <cfRule type="expression" dxfId="23" priority="25">
      <formula>ISNUMBER(SEARCH("At Capacity",D4))</formula>
    </cfRule>
  </conditionalFormatting>
  <conditionalFormatting sqref="E5:E204">
    <cfRule type="expression" dxfId="22" priority="9">
      <formula>ISNUMBER(SEARCH("Active",E5))</formula>
    </cfRule>
    <cfRule type="expression" dxfId="21" priority="10">
      <formula>ISNUMBER(SEARCH("Closed",E5))</formula>
    </cfRule>
  </conditionalFormatting>
  <conditionalFormatting sqref="G4:G203">
    <cfRule type="expression" dxfId="20" priority="11">
      <formula>ISNUMBER(SEARCH("On Track",G4))</formula>
    </cfRule>
    <cfRule type="expression" dxfId="19" priority="12">
      <formula>ISNUMBER(SEARCH("No Sessions Yet",G4))</formula>
    </cfRule>
    <cfRule type="expression" dxfId="18" priority="13">
      <formula>ISNUMBER(SEARCH("Overdue – Book Now",G4))</formula>
    </cfRule>
    <cfRule type="expression" dxfId="17" priority="14">
      <formula>ISNUMBER(SEARCH("Overdue – Session Booked",G4))</formula>
    </cfRule>
    <cfRule type="expression" dxfId="16" priority="15">
      <formula>ISNUMBER(SEARCH("Missed Session",G4))</formula>
    </cfRule>
    <cfRule type="expression" dxfId="15" priority="16">
      <formula>ISNUMBER(SEARCH("No Relationship Found",G4))</formula>
    </cfRule>
    <cfRule type="expression" dxfId="14" priority="17">
      <formula>ISNUMBER(SEARCH("Capacity Issue",G4))</formula>
    </cfRule>
    <cfRule type="expression" dxfId="13" priority="18">
      <formula>ISNUMBER(SEARCH("On Track",G4))</formula>
    </cfRule>
    <cfRule type="expression" dxfId="12" priority="19">
      <formula>ISNUMBER(SEARCH("No Sessions Yet",G4))</formula>
    </cfRule>
    <cfRule type="expression" dxfId="11" priority="20">
      <formula>ISNUMBER(SEARCH("Overdue – Book Now",G4))</formula>
    </cfRule>
    <cfRule type="expression" dxfId="10" priority="21">
      <formula>ISNUMBER(SEARCH("Overdue – Session Booked",G4))</formula>
    </cfRule>
    <cfRule type="expression" dxfId="9" priority="22">
      <formula>ISNUMBER(SEARCH("Missed Session",G4))</formula>
    </cfRule>
    <cfRule type="expression" dxfId="8" priority="23">
      <formula>ISNUMBER(SEARCH("No Relationship Found",G4))</formula>
    </cfRule>
    <cfRule type="expression" dxfId="7" priority="24">
      <formula>ISNUMBER(SEARCH("Capacity Issue",G4))</formula>
    </cfRule>
  </conditionalFormatting>
  <conditionalFormatting sqref="I5:I204">
    <cfRule type="expression" dxfId="6" priority="2">
      <formula>ISNUMBER(SEARCH("On Track",I5))</formula>
    </cfRule>
    <cfRule type="expression" dxfId="5" priority="3">
      <formula>ISNUMBER(SEARCH("No Sessions Yet",I5))</formula>
    </cfRule>
    <cfRule type="expression" dxfId="4" priority="4">
      <formula>ISNUMBER(SEARCH("Overdue – Book Now",I5))</formula>
    </cfRule>
    <cfRule type="expression" dxfId="3" priority="5">
      <formula>ISNUMBER(SEARCH("Overdue – Session",I5))</formula>
    </cfRule>
    <cfRule type="expression" dxfId="2" priority="6">
      <formula>ISNUMBER(SEARCH("Missed Session",I5))</formula>
    </cfRule>
    <cfRule type="expression" dxfId="1" priority="7">
      <formula>ISNUMBER(SEARCH("Closed",I5))</formula>
    </cfRule>
    <cfRule type="expression" dxfId="0" priority="8">
      <formula>ISNUMBER(SEARCH("No Mentor Assigned",I5))</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002"/>
  <sheetViews>
    <sheetView zoomScaleNormal="100" workbookViewId="0">
      <pane ySplit="2" topLeftCell="A3" activePane="bottomLeft" state="frozen"/>
      <selection pane="bottomLeft" activeCell="B2" sqref="B2"/>
    </sheetView>
  </sheetViews>
  <sheetFormatPr defaultColWidth="8.6640625" defaultRowHeight="14.4" x14ac:dyDescent="0.3"/>
  <cols>
    <col min="1" max="1" width="18.77734375" customWidth="1"/>
    <col min="2" max="2" width="14" customWidth="1"/>
    <col min="3" max="4" width="22" customWidth="1"/>
    <col min="5" max="5" width="14" customWidth="1"/>
    <col min="6" max="6" width="12" customWidth="1"/>
    <col min="7" max="8" width="36" customWidth="1"/>
    <col min="9" max="9" width="14" customWidth="1"/>
    <col min="10" max="10" width="22" customWidth="1"/>
    <col min="11" max="11" width="12" customWidth="1"/>
    <col min="12" max="12" width="36" customWidth="1"/>
  </cols>
  <sheetData>
    <row r="1" spans="1:12" ht="19.5" customHeight="1" x14ac:dyDescent="0.3">
      <c r="A1" s="59" t="s">
        <v>6457</v>
      </c>
      <c r="B1" s="60">
        <f>COUNTA(A3:A4997)</f>
        <v>1</v>
      </c>
      <c r="D1" s="59" t="s">
        <v>6458</v>
      </c>
      <c r="E1" s="60">
        <f ca="1">COUNTIFS(E2:E4997,"&gt;="&amp;DATE(YEAR(TODAY()),MONTH(TODAY()),1),E2:E4997,"&lt;="&amp;TODAY())</f>
        <v>0</v>
      </c>
      <c r="H1" s="59" t="s">
        <v>6459</v>
      </c>
      <c r="I1" s="60">
        <f>COUNTIF(K2:K4997,"Yes")</f>
        <v>0</v>
      </c>
      <c r="J1" s="60"/>
    </row>
    <row r="2" spans="1:12" ht="42" customHeight="1" x14ac:dyDescent="0.3">
      <c r="A2" s="58" t="s">
        <v>6460</v>
      </c>
      <c r="B2" s="58" t="s">
        <v>6461</v>
      </c>
      <c r="C2" s="58" t="s">
        <v>6433</v>
      </c>
      <c r="D2" s="58" t="s">
        <v>6462</v>
      </c>
      <c r="E2" s="58" t="s">
        <v>6463</v>
      </c>
      <c r="F2" s="58" t="s">
        <v>6464</v>
      </c>
      <c r="G2" s="58" t="s">
        <v>6465</v>
      </c>
      <c r="H2" s="58" t="s">
        <v>6466</v>
      </c>
      <c r="I2" s="58" t="s">
        <v>6467</v>
      </c>
      <c r="J2" s="58" t="s">
        <v>6468</v>
      </c>
      <c r="K2" s="58" t="s">
        <v>6469</v>
      </c>
      <c r="L2" s="58" t="s">
        <v>6470</v>
      </c>
    </row>
    <row r="3" spans="1:12" ht="21.75" customHeight="1" x14ac:dyDescent="0.3">
      <c r="A3" s="10" t="s">
        <v>6471</v>
      </c>
      <c r="B3" s="11"/>
      <c r="C3" s="11"/>
      <c r="D3" s="11"/>
      <c r="E3" s="12"/>
      <c r="F3" s="11"/>
      <c r="G3" s="11"/>
      <c r="H3" s="11"/>
      <c r="I3" s="12"/>
      <c r="J3" s="11"/>
      <c r="K3" s="11"/>
      <c r="L3" s="11"/>
    </row>
    <row r="4" spans="1:12" ht="15" customHeight="1" x14ac:dyDescent="0.3">
      <c r="A4" s="13"/>
      <c r="B4" s="14"/>
      <c r="C4" s="14"/>
      <c r="D4" s="14"/>
      <c r="E4" s="15"/>
      <c r="F4" s="14"/>
      <c r="G4" s="14"/>
      <c r="H4" s="14"/>
      <c r="I4" s="15"/>
      <c r="J4" s="14"/>
      <c r="K4" s="14"/>
      <c r="L4" s="14"/>
    </row>
    <row r="5" spans="1:12" ht="15" customHeight="1" x14ac:dyDescent="0.3">
      <c r="A5" s="16"/>
      <c r="B5" s="17"/>
      <c r="C5" s="17"/>
      <c r="D5" s="17"/>
      <c r="E5" s="18"/>
      <c r="F5" s="17"/>
      <c r="G5" s="17"/>
      <c r="H5" s="17"/>
      <c r="I5" s="18"/>
      <c r="J5" s="17"/>
      <c r="K5" s="17"/>
      <c r="L5" s="17"/>
    </row>
    <row r="6" spans="1:12" ht="15" customHeight="1" x14ac:dyDescent="0.3">
      <c r="A6" s="13"/>
      <c r="B6" s="14"/>
      <c r="C6" s="14"/>
      <c r="D6" s="14"/>
      <c r="E6" s="15"/>
      <c r="F6" s="14"/>
      <c r="G6" s="14"/>
      <c r="H6" s="14"/>
      <c r="I6" s="15"/>
      <c r="J6" s="14"/>
      <c r="K6" s="14"/>
      <c r="L6" s="14"/>
    </row>
    <row r="7" spans="1:12" ht="15" customHeight="1" x14ac:dyDescent="0.3">
      <c r="A7" s="16"/>
      <c r="B7" s="17"/>
      <c r="C7" s="17"/>
      <c r="D7" s="17"/>
      <c r="E7" s="18"/>
      <c r="F7" s="17"/>
      <c r="G7" s="17"/>
      <c r="H7" s="17"/>
      <c r="I7" s="18"/>
      <c r="J7" s="17"/>
      <c r="K7" s="17"/>
      <c r="L7" s="17"/>
    </row>
    <row r="8" spans="1:12" ht="15" customHeight="1" x14ac:dyDescent="0.3">
      <c r="A8" s="13"/>
      <c r="B8" s="14"/>
      <c r="C8" s="14"/>
      <c r="D8" s="14"/>
      <c r="E8" s="15"/>
      <c r="F8" s="14"/>
      <c r="G8" s="14"/>
      <c r="H8" s="14"/>
      <c r="I8" s="15"/>
      <c r="J8" s="14"/>
      <c r="K8" s="14"/>
      <c r="L8" s="14"/>
    </row>
    <row r="9" spans="1:12" ht="15" customHeight="1" x14ac:dyDescent="0.3">
      <c r="A9" s="16"/>
      <c r="B9" s="17"/>
      <c r="C9" s="17"/>
      <c r="D9" s="17"/>
      <c r="E9" s="18"/>
      <c r="F9" s="17"/>
      <c r="G9" s="17"/>
      <c r="H9" s="17"/>
      <c r="I9" s="18"/>
      <c r="J9" s="17"/>
      <c r="K9" s="17"/>
      <c r="L9" s="17"/>
    </row>
    <row r="10" spans="1:12" ht="15" customHeight="1" x14ac:dyDescent="0.3">
      <c r="A10" s="13"/>
      <c r="B10" s="14"/>
      <c r="C10" s="14"/>
      <c r="D10" s="14"/>
      <c r="E10" s="15"/>
      <c r="F10" s="14"/>
      <c r="G10" s="14"/>
      <c r="H10" s="14"/>
      <c r="I10" s="15"/>
      <c r="J10" s="14"/>
      <c r="K10" s="14"/>
      <c r="L10" s="14"/>
    </row>
    <row r="11" spans="1:12" ht="15" customHeight="1" x14ac:dyDescent="0.3">
      <c r="A11" s="16"/>
      <c r="B11" s="17"/>
      <c r="C11" s="17"/>
      <c r="D11" s="17"/>
      <c r="E11" s="18"/>
      <c r="F11" s="17"/>
      <c r="G11" s="17"/>
      <c r="H11" s="17"/>
      <c r="I11" s="18"/>
      <c r="J11" s="17"/>
      <c r="K11" s="17"/>
      <c r="L11" s="17"/>
    </row>
    <row r="12" spans="1:12" ht="15" customHeight="1" x14ac:dyDescent="0.3">
      <c r="A12" s="13"/>
      <c r="B12" s="14"/>
      <c r="C12" s="14"/>
      <c r="D12" s="14"/>
      <c r="E12" s="15"/>
      <c r="F12" s="14"/>
      <c r="G12" s="14"/>
      <c r="H12" s="14"/>
      <c r="I12" s="15"/>
      <c r="J12" s="14"/>
      <c r="K12" s="14"/>
      <c r="L12" s="14"/>
    </row>
    <row r="13" spans="1:12" ht="15" customHeight="1" x14ac:dyDescent="0.3">
      <c r="A13" s="16"/>
      <c r="B13" s="17"/>
      <c r="C13" s="17"/>
      <c r="D13" s="17"/>
      <c r="E13" s="18"/>
      <c r="F13" s="17"/>
      <c r="G13" s="17"/>
      <c r="H13" s="17"/>
      <c r="I13" s="18"/>
      <c r="J13" s="17"/>
      <c r="K13" s="17"/>
      <c r="L13" s="17"/>
    </row>
    <row r="14" spans="1:12" ht="15" customHeight="1" x14ac:dyDescent="0.3">
      <c r="A14" s="13"/>
      <c r="B14" s="14"/>
      <c r="C14" s="14"/>
      <c r="D14" s="14"/>
      <c r="E14" s="15"/>
      <c r="F14" s="14"/>
      <c r="G14" s="14"/>
      <c r="H14" s="14"/>
      <c r="I14" s="15"/>
      <c r="J14" s="14"/>
      <c r="K14" s="14"/>
      <c r="L14" s="14"/>
    </row>
    <row r="15" spans="1:12" ht="15" customHeight="1" x14ac:dyDescent="0.3">
      <c r="A15" s="16"/>
      <c r="B15" s="17"/>
      <c r="C15" s="17"/>
      <c r="D15" s="17"/>
      <c r="E15" s="18"/>
      <c r="F15" s="17"/>
      <c r="G15" s="17"/>
      <c r="H15" s="17"/>
      <c r="I15" s="18"/>
      <c r="J15" s="17"/>
      <c r="K15" s="17"/>
      <c r="L15" s="17"/>
    </row>
    <row r="16" spans="1:12" ht="15" customHeight="1" x14ac:dyDescent="0.3">
      <c r="A16" s="13"/>
      <c r="B16" s="14"/>
      <c r="C16" s="14"/>
      <c r="D16" s="14"/>
      <c r="E16" s="15"/>
      <c r="F16" s="14"/>
      <c r="G16" s="14"/>
      <c r="H16" s="14"/>
      <c r="I16" s="15"/>
      <c r="J16" s="14"/>
      <c r="K16" s="14"/>
      <c r="L16" s="14"/>
    </row>
    <row r="17" spans="1:12" ht="15" customHeight="1" x14ac:dyDescent="0.3">
      <c r="A17" s="16"/>
      <c r="B17" s="17"/>
      <c r="C17" s="17"/>
      <c r="D17" s="17"/>
      <c r="E17" s="18"/>
      <c r="F17" s="17"/>
      <c r="G17" s="17"/>
      <c r="H17" s="17"/>
      <c r="I17" s="18"/>
      <c r="J17" s="17"/>
      <c r="K17" s="17"/>
      <c r="L17" s="17"/>
    </row>
    <row r="18" spans="1:12" ht="15" customHeight="1" x14ac:dyDescent="0.3">
      <c r="A18" s="13"/>
      <c r="B18" s="14"/>
      <c r="C18" s="14"/>
      <c r="D18" s="14"/>
      <c r="E18" s="15"/>
      <c r="F18" s="14"/>
      <c r="G18" s="14"/>
      <c r="H18" s="14"/>
      <c r="I18" s="15"/>
      <c r="J18" s="14"/>
      <c r="K18" s="14"/>
      <c r="L18" s="14"/>
    </row>
    <row r="19" spans="1:12" ht="15" customHeight="1" x14ac:dyDescent="0.3">
      <c r="A19" s="16"/>
      <c r="B19" s="17"/>
      <c r="C19" s="17"/>
      <c r="D19" s="17"/>
      <c r="E19" s="18"/>
      <c r="F19" s="17"/>
      <c r="G19" s="17"/>
      <c r="H19" s="17"/>
      <c r="I19" s="18"/>
      <c r="J19" s="17"/>
      <c r="K19" s="17"/>
      <c r="L19" s="17"/>
    </row>
    <row r="20" spans="1:12" ht="15" customHeight="1" x14ac:dyDescent="0.3">
      <c r="A20" s="13"/>
      <c r="B20" s="14"/>
      <c r="C20" s="14"/>
      <c r="D20" s="14"/>
      <c r="E20" s="15"/>
      <c r="F20" s="14"/>
      <c r="G20" s="14"/>
      <c r="H20" s="14"/>
      <c r="I20" s="15"/>
      <c r="J20" s="14"/>
      <c r="K20" s="14"/>
      <c r="L20" s="14"/>
    </row>
    <row r="21" spans="1:12" ht="15" customHeight="1" x14ac:dyDescent="0.3">
      <c r="A21" s="16"/>
      <c r="B21" s="17"/>
      <c r="C21" s="17"/>
      <c r="D21" s="17"/>
      <c r="E21" s="18"/>
      <c r="F21" s="17"/>
      <c r="G21" s="17"/>
      <c r="H21" s="17"/>
      <c r="I21" s="18"/>
      <c r="J21" s="17"/>
      <c r="K21" s="17"/>
      <c r="L21" s="17"/>
    </row>
    <row r="22" spans="1:12" ht="15" customHeight="1" x14ac:dyDescent="0.3">
      <c r="A22" s="13"/>
      <c r="B22" s="14"/>
      <c r="C22" s="14"/>
      <c r="D22" s="14"/>
      <c r="E22" s="15"/>
      <c r="F22" s="14"/>
      <c r="G22" s="14"/>
      <c r="H22" s="14"/>
      <c r="I22" s="15"/>
      <c r="J22" s="14"/>
      <c r="K22" s="14"/>
      <c r="L22" s="14"/>
    </row>
    <row r="23" spans="1:12" ht="15" customHeight="1" x14ac:dyDescent="0.3">
      <c r="A23" s="16"/>
      <c r="B23" s="17"/>
      <c r="C23" s="17"/>
      <c r="D23" s="17"/>
      <c r="E23" s="18"/>
      <c r="F23" s="17"/>
      <c r="G23" s="17"/>
      <c r="H23" s="17"/>
      <c r="I23" s="18"/>
      <c r="J23" s="17"/>
      <c r="K23" s="17"/>
      <c r="L23" s="17"/>
    </row>
    <row r="24" spans="1:12" ht="15" customHeight="1" x14ac:dyDescent="0.3">
      <c r="A24" s="13"/>
      <c r="B24" s="14"/>
      <c r="C24" s="14"/>
      <c r="D24" s="14"/>
      <c r="E24" s="15"/>
      <c r="F24" s="14"/>
      <c r="G24" s="14"/>
      <c r="H24" s="14"/>
      <c r="I24" s="15"/>
      <c r="J24" s="14"/>
      <c r="K24" s="14"/>
      <c r="L24" s="14"/>
    </row>
    <row r="25" spans="1:12" ht="15" customHeight="1" x14ac:dyDescent="0.3">
      <c r="A25" s="16"/>
      <c r="B25" s="17"/>
      <c r="C25" s="17"/>
      <c r="D25" s="17"/>
      <c r="E25" s="18"/>
      <c r="F25" s="17"/>
      <c r="G25" s="17"/>
      <c r="H25" s="17"/>
      <c r="I25" s="18"/>
      <c r="J25" s="17"/>
      <c r="K25" s="17"/>
      <c r="L25" s="17"/>
    </row>
    <row r="26" spans="1:12" ht="15" customHeight="1" x14ac:dyDescent="0.3">
      <c r="A26" s="13"/>
      <c r="B26" s="14"/>
      <c r="C26" s="14"/>
      <c r="D26" s="14"/>
      <c r="E26" s="15"/>
      <c r="F26" s="14"/>
      <c r="G26" s="14"/>
      <c r="H26" s="14"/>
      <c r="I26" s="15"/>
      <c r="J26" s="14"/>
      <c r="K26" s="14"/>
      <c r="L26" s="14"/>
    </row>
    <row r="27" spans="1:12" ht="15" customHeight="1" x14ac:dyDescent="0.3">
      <c r="A27" s="16"/>
      <c r="B27" s="17"/>
      <c r="C27" s="17"/>
      <c r="D27" s="17"/>
      <c r="E27" s="18"/>
      <c r="F27" s="17"/>
      <c r="G27" s="17"/>
      <c r="H27" s="17"/>
      <c r="I27" s="18"/>
      <c r="J27" s="17"/>
      <c r="K27" s="17"/>
      <c r="L27" s="17"/>
    </row>
    <row r="28" spans="1:12" ht="15" customHeight="1" x14ac:dyDescent="0.3">
      <c r="A28" s="13"/>
      <c r="B28" s="14"/>
      <c r="C28" s="14"/>
      <c r="D28" s="14"/>
      <c r="E28" s="15"/>
      <c r="F28" s="14"/>
      <c r="G28" s="14"/>
      <c r="H28" s="14"/>
      <c r="I28" s="15"/>
      <c r="J28" s="14"/>
      <c r="K28" s="14"/>
      <c r="L28" s="14"/>
    </row>
    <row r="29" spans="1:12" ht="15" customHeight="1" x14ac:dyDescent="0.3">
      <c r="A29" s="16"/>
      <c r="B29" s="17"/>
      <c r="C29" s="17"/>
      <c r="D29" s="17"/>
      <c r="E29" s="18"/>
      <c r="F29" s="17"/>
      <c r="G29" s="17"/>
      <c r="H29" s="17"/>
      <c r="I29" s="18"/>
      <c r="J29" s="17"/>
      <c r="K29" s="17"/>
      <c r="L29" s="17"/>
    </row>
    <row r="30" spans="1:12" ht="15" customHeight="1" x14ac:dyDescent="0.3">
      <c r="A30" s="13"/>
      <c r="B30" s="14"/>
      <c r="C30" s="14"/>
      <c r="D30" s="14"/>
      <c r="E30" s="15"/>
      <c r="F30" s="14"/>
      <c r="G30" s="14"/>
      <c r="H30" s="14"/>
      <c r="I30" s="15"/>
      <c r="J30" s="14"/>
      <c r="K30" s="14"/>
      <c r="L30" s="14"/>
    </row>
    <row r="31" spans="1:12" ht="15" customHeight="1" x14ac:dyDescent="0.3">
      <c r="A31" s="16"/>
      <c r="B31" s="17"/>
      <c r="C31" s="17"/>
      <c r="D31" s="17"/>
      <c r="E31" s="18"/>
      <c r="F31" s="17"/>
      <c r="G31" s="17"/>
      <c r="H31" s="17"/>
      <c r="I31" s="18"/>
      <c r="J31" s="17"/>
      <c r="K31" s="17"/>
      <c r="L31" s="17"/>
    </row>
    <row r="32" spans="1:12" ht="15" customHeight="1" x14ac:dyDescent="0.3">
      <c r="A32" s="13"/>
      <c r="B32" s="14"/>
      <c r="C32" s="14"/>
      <c r="D32" s="14"/>
      <c r="E32" s="15"/>
      <c r="F32" s="14"/>
      <c r="G32" s="14"/>
      <c r="H32" s="14"/>
      <c r="I32" s="15"/>
      <c r="J32" s="14"/>
      <c r="K32" s="14"/>
      <c r="L32" s="14"/>
    </row>
    <row r="33" spans="1:12" ht="15" customHeight="1" x14ac:dyDescent="0.3">
      <c r="A33" s="16"/>
      <c r="B33" s="17"/>
      <c r="C33" s="17"/>
      <c r="D33" s="17"/>
      <c r="E33" s="18"/>
      <c r="F33" s="17"/>
      <c r="G33" s="17"/>
      <c r="H33" s="17"/>
      <c r="I33" s="18"/>
      <c r="J33" s="17"/>
      <c r="K33" s="17"/>
      <c r="L33" s="17"/>
    </row>
    <row r="34" spans="1:12" ht="15" customHeight="1" x14ac:dyDescent="0.3">
      <c r="A34" s="13"/>
      <c r="B34" s="14"/>
      <c r="C34" s="14"/>
      <c r="D34" s="14"/>
      <c r="E34" s="15"/>
      <c r="F34" s="14"/>
      <c r="G34" s="14"/>
      <c r="H34" s="14"/>
      <c r="I34" s="15"/>
      <c r="J34" s="14"/>
      <c r="K34" s="14"/>
      <c r="L34" s="14"/>
    </row>
    <row r="35" spans="1:12" ht="15" customHeight="1" x14ac:dyDescent="0.3">
      <c r="A35" s="16"/>
      <c r="B35" s="17"/>
      <c r="C35" s="17"/>
      <c r="D35" s="17"/>
      <c r="E35" s="18"/>
      <c r="F35" s="17"/>
      <c r="G35" s="17"/>
      <c r="H35" s="17"/>
      <c r="I35" s="18"/>
      <c r="J35" s="17"/>
      <c r="K35" s="17"/>
      <c r="L35" s="17"/>
    </row>
    <row r="36" spans="1:12" ht="15" customHeight="1" x14ac:dyDescent="0.3">
      <c r="A36" s="13"/>
      <c r="B36" s="14"/>
      <c r="C36" s="14"/>
      <c r="D36" s="14"/>
      <c r="E36" s="15"/>
      <c r="F36" s="14"/>
      <c r="G36" s="14"/>
      <c r="H36" s="14"/>
      <c r="I36" s="15"/>
      <c r="J36" s="14"/>
      <c r="K36" s="14"/>
      <c r="L36" s="14"/>
    </row>
    <row r="37" spans="1:12" ht="15" customHeight="1" x14ac:dyDescent="0.3">
      <c r="A37" s="16"/>
      <c r="B37" s="17"/>
      <c r="C37" s="17"/>
      <c r="D37" s="17"/>
      <c r="E37" s="18"/>
      <c r="F37" s="17"/>
      <c r="G37" s="17"/>
      <c r="H37" s="17"/>
      <c r="I37" s="18"/>
      <c r="J37" s="17"/>
      <c r="K37" s="17"/>
      <c r="L37" s="17"/>
    </row>
    <row r="38" spans="1:12" ht="15" customHeight="1" x14ac:dyDescent="0.3">
      <c r="A38" s="13"/>
      <c r="B38" s="14"/>
      <c r="C38" s="14"/>
      <c r="D38" s="14"/>
      <c r="E38" s="15"/>
      <c r="F38" s="14"/>
      <c r="G38" s="14"/>
      <c r="H38" s="14"/>
      <c r="I38" s="15"/>
      <c r="J38" s="14"/>
      <c r="K38" s="14"/>
      <c r="L38" s="14"/>
    </row>
    <row r="39" spans="1:12" ht="15" customHeight="1" x14ac:dyDescent="0.3">
      <c r="A39" s="16"/>
      <c r="B39" s="17"/>
      <c r="C39" s="17"/>
      <c r="D39" s="17"/>
      <c r="E39" s="18"/>
      <c r="F39" s="17"/>
      <c r="G39" s="17"/>
      <c r="H39" s="17"/>
      <c r="I39" s="18"/>
      <c r="J39" s="17"/>
      <c r="K39" s="17"/>
      <c r="L39" s="17"/>
    </row>
    <row r="40" spans="1:12" ht="15" customHeight="1" x14ac:dyDescent="0.3">
      <c r="A40" s="13"/>
      <c r="B40" s="14"/>
      <c r="C40" s="14"/>
      <c r="D40" s="14"/>
      <c r="E40" s="15"/>
      <c r="F40" s="14"/>
      <c r="G40" s="14"/>
      <c r="H40" s="14"/>
      <c r="I40" s="15"/>
      <c r="J40" s="14"/>
      <c r="K40" s="14"/>
      <c r="L40" s="14"/>
    </row>
    <row r="41" spans="1:12" ht="15" customHeight="1" x14ac:dyDescent="0.3">
      <c r="A41" s="16"/>
      <c r="B41" s="17"/>
      <c r="C41" s="17"/>
      <c r="D41" s="17"/>
      <c r="E41" s="18"/>
      <c r="F41" s="17"/>
      <c r="G41" s="17"/>
      <c r="H41" s="17"/>
      <c r="I41" s="18"/>
      <c r="J41" s="17"/>
      <c r="K41" s="17"/>
      <c r="L41" s="17"/>
    </row>
    <row r="42" spans="1:12" ht="15" customHeight="1" x14ac:dyDescent="0.3">
      <c r="A42" s="13"/>
      <c r="B42" s="14"/>
      <c r="C42" s="14"/>
      <c r="D42" s="14"/>
      <c r="E42" s="15"/>
      <c r="F42" s="14"/>
      <c r="G42" s="14"/>
      <c r="H42" s="14"/>
      <c r="I42" s="15"/>
      <c r="J42" s="14"/>
      <c r="K42" s="14"/>
      <c r="L42" s="14"/>
    </row>
    <row r="43" spans="1:12" ht="15" customHeight="1" x14ac:dyDescent="0.3">
      <c r="A43" s="16"/>
      <c r="B43" s="17"/>
      <c r="C43" s="17"/>
      <c r="D43" s="17"/>
      <c r="E43" s="18"/>
      <c r="F43" s="17"/>
      <c r="G43" s="17"/>
      <c r="H43" s="17"/>
      <c r="I43" s="18"/>
      <c r="J43" s="17"/>
      <c r="K43" s="17"/>
      <c r="L43" s="17"/>
    </row>
    <row r="44" spans="1:12" ht="15" customHeight="1" x14ac:dyDescent="0.3">
      <c r="A44" s="13"/>
      <c r="B44" s="14"/>
      <c r="C44" s="14"/>
      <c r="D44" s="14"/>
      <c r="E44" s="15"/>
      <c r="F44" s="14"/>
      <c r="G44" s="14"/>
      <c r="H44" s="14"/>
      <c r="I44" s="15"/>
      <c r="J44" s="14"/>
      <c r="K44" s="14"/>
      <c r="L44" s="14"/>
    </row>
    <row r="45" spans="1:12" ht="15" customHeight="1" x14ac:dyDescent="0.3">
      <c r="A45" s="16"/>
      <c r="B45" s="17"/>
      <c r="C45" s="17"/>
      <c r="D45" s="17"/>
      <c r="E45" s="18"/>
      <c r="F45" s="17"/>
      <c r="G45" s="17"/>
      <c r="H45" s="17"/>
      <c r="I45" s="18"/>
      <c r="J45" s="17"/>
      <c r="K45" s="17"/>
      <c r="L45" s="17"/>
    </row>
    <row r="46" spans="1:12" ht="15" customHeight="1" x14ac:dyDescent="0.3">
      <c r="A46" s="13"/>
      <c r="B46" s="14"/>
      <c r="C46" s="14"/>
      <c r="D46" s="14"/>
      <c r="E46" s="15"/>
      <c r="F46" s="14"/>
      <c r="G46" s="14"/>
      <c r="H46" s="14"/>
      <c r="I46" s="15"/>
      <c r="J46" s="14"/>
      <c r="K46" s="14"/>
      <c r="L46" s="14"/>
    </row>
    <row r="47" spans="1:12" ht="15" customHeight="1" x14ac:dyDescent="0.3">
      <c r="A47" s="16"/>
      <c r="B47" s="17"/>
      <c r="C47" s="17"/>
      <c r="D47" s="17"/>
      <c r="E47" s="18"/>
      <c r="F47" s="17"/>
      <c r="G47" s="17"/>
      <c r="H47" s="17"/>
      <c r="I47" s="18"/>
      <c r="J47" s="17"/>
      <c r="K47" s="17"/>
      <c r="L47" s="17"/>
    </row>
    <row r="48" spans="1:12" ht="15" customHeight="1" x14ac:dyDescent="0.3">
      <c r="A48" s="13"/>
      <c r="B48" s="14"/>
      <c r="C48" s="14"/>
      <c r="D48" s="14"/>
      <c r="E48" s="15"/>
      <c r="F48" s="14"/>
      <c r="G48" s="14"/>
      <c r="H48" s="14"/>
      <c r="I48" s="15"/>
      <c r="J48" s="14"/>
      <c r="K48" s="14"/>
      <c r="L48" s="14"/>
    </row>
    <row r="49" spans="1:12" ht="15" customHeight="1" x14ac:dyDescent="0.3">
      <c r="A49" s="16"/>
      <c r="B49" s="17"/>
      <c r="C49" s="17"/>
      <c r="D49" s="17"/>
      <c r="E49" s="18"/>
      <c r="F49" s="17"/>
      <c r="G49" s="17"/>
      <c r="H49" s="17"/>
      <c r="I49" s="18"/>
      <c r="J49" s="17"/>
      <c r="K49" s="17"/>
      <c r="L49" s="17"/>
    </row>
    <row r="50" spans="1:12" ht="15" customHeight="1" x14ac:dyDescent="0.3">
      <c r="A50" s="13"/>
      <c r="B50" s="14"/>
      <c r="C50" s="14"/>
      <c r="D50" s="14"/>
      <c r="E50" s="15"/>
      <c r="F50" s="14"/>
      <c r="G50" s="14"/>
      <c r="H50" s="14"/>
      <c r="I50" s="15"/>
      <c r="J50" s="14"/>
      <c r="K50" s="14"/>
      <c r="L50" s="14"/>
    </row>
    <row r="51" spans="1:12" ht="15" customHeight="1" x14ac:dyDescent="0.3">
      <c r="A51" s="16"/>
      <c r="B51" s="17"/>
      <c r="C51" s="17"/>
      <c r="D51" s="17"/>
      <c r="E51" s="18"/>
      <c r="F51" s="17"/>
      <c r="G51" s="17"/>
      <c r="H51" s="17"/>
      <c r="I51" s="18"/>
      <c r="J51" s="17"/>
      <c r="K51" s="17"/>
      <c r="L51" s="17"/>
    </row>
    <row r="52" spans="1:12" ht="15" customHeight="1" x14ac:dyDescent="0.3">
      <c r="A52" s="13"/>
      <c r="B52" s="14"/>
      <c r="C52" s="14"/>
      <c r="D52" s="14"/>
      <c r="E52" s="15"/>
      <c r="F52" s="14"/>
      <c r="G52" s="14"/>
      <c r="H52" s="14"/>
      <c r="I52" s="15"/>
      <c r="J52" s="14"/>
      <c r="K52" s="14"/>
      <c r="L52" s="14"/>
    </row>
    <row r="53" spans="1:12" ht="15" customHeight="1" x14ac:dyDescent="0.3">
      <c r="A53" s="16"/>
      <c r="B53" s="17"/>
      <c r="C53" s="17"/>
      <c r="D53" s="17"/>
      <c r="E53" s="18"/>
      <c r="F53" s="17"/>
      <c r="G53" s="17"/>
      <c r="H53" s="17"/>
      <c r="I53" s="18"/>
      <c r="J53" s="17"/>
      <c r="K53" s="17"/>
      <c r="L53" s="17"/>
    </row>
    <row r="54" spans="1:12" ht="15" customHeight="1" x14ac:dyDescent="0.3">
      <c r="A54" s="13"/>
      <c r="B54" s="14"/>
      <c r="C54" s="14"/>
      <c r="D54" s="14"/>
      <c r="E54" s="15"/>
      <c r="F54" s="14"/>
      <c r="G54" s="14"/>
      <c r="H54" s="14"/>
      <c r="I54" s="15"/>
      <c r="J54" s="14"/>
      <c r="K54" s="14"/>
      <c r="L54" s="14"/>
    </row>
    <row r="55" spans="1:12" ht="15" customHeight="1" x14ac:dyDescent="0.3">
      <c r="A55" s="16"/>
      <c r="B55" s="17"/>
      <c r="C55" s="17"/>
      <c r="D55" s="17"/>
      <c r="E55" s="18"/>
      <c r="F55" s="17"/>
      <c r="G55" s="17"/>
      <c r="H55" s="17"/>
      <c r="I55" s="18"/>
      <c r="J55" s="17"/>
      <c r="K55" s="17"/>
      <c r="L55" s="17"/>
    </row>
    <row r="56" spans="1:12" ht="15" customHeight="1" x14ac:dyDescent="0.3">
      <c r="A56" s="13"/>
      <c r="B56" s="14"/>
      <c r="C56" s="14"/>
      <c r="D56" s="14"/>
      <c r="E56" s="15"/>
      <c r="F56" s="14"/>
      <c r="G56" s="14"/>
      <c r="H56" s="14"/>
      <c r="I56" s="15"/>
      <c r="J56" s="14"/>
      <c r="K56" s="14"/>
      <c r="L56" s="14"/>
    </row>
    <row r="57" spans="1:12" ht="15" customHeight="1" x14ac:dyDescent="0.3">
      <c r="A57" s="16"/>
      <c r="B57" s="17"/>
      <c r="C57" s="17"/>
      <c r="D57" s="17"/>
      <c r="E57" s="18"/>
      <c r="F57" s="17"/>
      <c r="G57" s="17"/>
      <c r="H57" s="17"/>
      <c r="I57" s="18"/>
      <c r="J57" s="17"/>
      <c r="K57" s="17"/>
      <c r="L57" s="17"/>
    </row>
    <row r="58" spans="1:12" ht="15" customHeight="1" x14ac:dyDescent="0.3">
      <c r="A58" s="13"/>
      <c r="B58" s="14"/>
      <c r="C58" s="14"/>
      <c r="D58" s="14"/>
      <c r="E58" s="15"/>
      <c r="F58" s="14"/>
      <c r="G58" s="14"/>
      <c r="H58" s="14"/>
      <c r="I58" s="15"/>
      <c r="J58" s="14"/>
      <c r="K58" s="14"/>
      <c r="L58" s="14"/>
    </row>
    <row r="59" spans="1:12" ht="15" customHeight="1" x14ac:dyDescent="0.3">
      <c r="A59" s="16"/>
      <c r="B59" s="17"/>
      <c r="C59" s="17"/>
      <c r="D59" s="17"/>
      <c r="E59" s="18"/>
      <c r="F59" s="17"/>
      <c r="G59" s="17"/>
      <c r="H59" s="17"/>
      <c r="I59" s="18"/>
      <c r="J59" s="17"/>
      <c r="K59" s="17"/>
      <c r="L59" s="17"/>
    </row>
    <row r="60" spans="1:12" ht="15" customHeight="1" x14ac:dyDescent="0.3">
      <c r="A60" s="13"/>
      <c r="B60" s="14"/>
      <c r="C60" s="14"/>
      <c r="D60" s="14"/>
      <c r="E60" s="15"/>
      <c r="F60" s="14"/>
      <c r="G60" s="14"/>
      <c r="H60" s="14"/>
      <c r="I60" s="15"/>
      <c r="J60" s="14"/>
      <c r="K60" s="14"/>
      <c r="L60" s="14"/>
    </row>
    <row r="61" spans="1:12" ht="15" customHeight="1" x14ac:dyDescent="0.3">
      <c r="A61" s="16"/>
      <c r="B61" s="17"/>
      <c r="C61" s="17"/>
      <c r="D61" s="17"/>
      <c r="E61" s="18"/>
      <c r="F61" s="17"/>
      <c r="G61" s="17"/>
      <c r="H61" s="17"/>
      <c r="I61" s="18"/>
      <c r="J61" s="17"/>
      <c r="K61" s="17"/>
      <c r="L61" s="17"/>
    </row>
    <row r="62" spans="1:12" ht="15" customHeight="1" x14ac:dyDescent="0.3">
      <c r="A62" s="13"/>
      <c r="B62" s="14"/>
      <c r="C62" s="14"/>
      <c r="D62" s="14"/>
      <c r="E62" s="15"/>
      <c r="F62" s="14"/>
      <c r="G62" s="14"/>
      <c r="H62" s="14"/>
      <c r="I62" s="15"/>
      <c r="J62" s="14"/>
      <c r="K62" s="14"/>
      <c r="L62" s="14"/>
    </row>
    <row r="63" spans="1:12" ht="15" customHeight="1" x14ac:dyDescent="0.3">
      <c r="A63" s="16"/>
      <c r="B63" s="17"/>
      <c r="C63" s="17"/>
      <c r="D63" s="17"/>
      <c r="E63" s="18"/>
      <c r="F63" s="17"/>
      <c r="G63" s="17"/>
      <c r="H63" s="17"/>
      <c r="I63" s="18"/>
      <c r="J63" s="17"/>
      <c r="K63" s="17"/>
      <c r="L63" s="17"/>
    </row>
    <row r="64" spans="1:12" ht="15" customHeight="1" x14ac:dyDescent="0.3">
      <c r="A64" s="13"/>
      <c r="B64" s="14"/>
      <c r="C64" s="14"/>
      <c r="D64" s="14"/>
      <c r="E64" s="15"/>
      <c r="F64" s="14"/>
      <c r="G64" s="14"/>
      <c r="H64" s="14"/>
      <c r="I64" s="15"/>
      <c r="J64" s="14"/>
      <c r="K64" s="14"/>
      <c r="L64" s="14"/>
    </row>
    <row r="65" spans="1:12" ht="15" customHeight="1" x14ac:dyDescent="0.3">
      <c r="A65" s="16"/>
      <c r="B65" s="17"/>
      <c r="C65" s="17"/>
      <c r="D65" s="17"/>
      <c r="E65" s="18"/>
      <c r="F65" s="17"/>
      <c r="G65" s="17"/>
      <c r="H65" s="17"/>
      <c r="I65" s="18"/>
      <c r="J65" s="17"/>
      <c r="K65" s="17"/>
      <c r="L65" s="17"/>
    </row>
    <row r="66" spans="1:12" ht="15" customHeight="1" x14ac:dyDescent="0.3">
      <c r="A66" s="13"/>
      <c r="B66" s="14"/>
      <c r="C66" s="14"/>
      <c r="D66" s="14"/>
      <c r="E66" s="15"/>
      <c r="F66" s="14"/>
      <c r="G66" s="14"/>
      <c r="H66" s="14"/>
      <c r="I66" s="15"/>
      <c r="J66" s="14"/>
      <c r="K66" s="14"/>
      <c r="L66" s="14"/>
    </row>
    <row r="67" spans="1:12" ht="15" customHeight="1" x14ac:dyDescent="0.3">
      <c r="A67" s="16"/>
      <c r="B67" s="17"/>
      <c r="C67" s="17"/>
      <c r="D67" s="17"/>
      <c r="E67" s="18"/>
      <c r="F67" s="17"/>
      <c r="G67" s="17"/>
      <c r="H67" s="17"/>
      <c r="I67" s="18"/>
      <c r="J67" s="17"/>
      <c r="K67" s="17"/>
      <c r="L67" s="17"/>
    </row>
    <row r="68" spans="1:12" ht="15" customHeight="1" x14ac:dyDescent="0.3">
      <c r="A68" s="13"/>
      <c r="B68" s="14"/>
      <c r="C68" s="14"/>
      <c r="D68" s="14"/>
      <c r="E68" s="15"/>
      <c r="F68" s="14"/>
      <c r="G68" s="14"/>
      <c r="H68" s="14"/>
      <c r="I68" s="15"/>
      <c r="J68" s="14"/>
      <c r="K68" s="14"/>
      <c r="L68" s="14"/>
    </row>
    <row r="69" spans="1:12" ht="15" customHeight="1" x14ac:dyDescent="0.3">
      <c r="A69" s="16"/>
      <c r="B69" s="17"/>
      <c r="C69" s="17"/>
      <c r="D69" s="17"/>
      <c r="E69" s="18"/>
      <c r="F69" s="17"/>
      <c r="G69" s="17"/>
      <c r="H69" s="17"/>
      <c r="I69" s="18"/>
      <c r="J69" s="17"/>
      <c r="K69" s="17"/>
      <c r="L69" s="17"/>
    </row>
    <row r="70" spans="1:12" ht="15" customHeight="1" x14ac:dyDescent="0.3">
      <c r="A70" s="13"/>
      <c r="B70" s="14"/>
      <c r="C70" s="14"/>
      <c r="D70" s="14"/>
      <c r="E70" s="15"/>
      <c r="F70" s="14"/>
      <c r="G70" s="14"/>
      <c r="H70" s="14"/>
      <c r="I70" s="15"/>
      <c r="J70" s="14"/>
      <c r="K70" s="14"/>
      <c r="L70" s="14"/>
    </row>
    <row r="71" spans="1:12" ht="15" customHeight="1" x14ac:dyDescent="0.3">
      <c r="A71" s="16"/>
      <c r="B71" s="17"/>
      <c r="C71" s="17"/>
      <c r="D71" s="17"/>
      <c r="E71" s="18"/>
      <c r="F71" s="17"/>
      <c r="G71" s="17"/>
      <c r="H71" s="17"/>
      <c r="I71" s="18"/>
      <c r="J71" s="17"/>
      <c r="K71" s="17"/>
      <c r="L71" s="17"/>
    </row>
    <row r="72" spans="1:12" ht="15" customHeight="1" x14ac:dyDescent="0.3">
      <c r="A72" s="13"/>
      <c r="B72" s="14"/>
      <c r="C72" s="14"/>
      <c r="D72" s="14"/>
      <c r="E72" s="15"/>
      <c r="F72" s="14"/>
      <c r="G72" s="14"/>
      <c r="H72" s="14"/>
      <c r="I72" s="15"/>
      <c r="J72" s="14"/>
      <c r="K72" s="14"/>
      <c r="L72" s="14"/>
    </row>
    <row r="73" spans="1:12" ht="15" customHeight="1" x14ac:dyDescent="0.3">
      <c r="A73" s="16"/>
      <c r="B73" s="17"/>
      <c r="C73" s="17"/>
      <c r="D73" s="17"/>
      <c r="E73" s="18"/>
      <c r="F73" s="17"/>
      <c r="G73" s="17"/>
      <c r="H73" s="17"/>
      <c r="I73" s="18"/>
      <c r="J73" s="17"/>
      <c r="K73" s="17"/>
      <c r="L73" s="17"/>
    </row>
    <row r="74" spans="1:12" ht="15" customHeight="1" x14ac:dyDescent="0.3">
      <c r="A74" s="13"/>
      <c r="B74" s="14"/>
      <c r="C74" s="14"/>
      <c r="D74" s="14"/>
      <c r="E74" s="15"/>
      <c r="F74" s="14"/>
      <c r="G74" s="14"/>
      <c r="H74" s="14"/>
      <c r="I74" s="15"/>
      <c r="J74" s="14"/>
      <c r="K74" s="14"/>
      <c r="L74" s="14"/>
    </row>
    <row r="75" spans="1:12" ht="15" customHeight="1" x14ac:dyDescent="0.3">
      <c r="A75" s="16"/>
      <c r="B75" s="17"/>
      <c r="C75" s="17"/>
      <c r="D75" s="17"/>
      <c r="E75" s="18"/>
      <c r="F75" s="17"/>
      <c r="G75" s="17"/>
      <c r="H75" s="17"/>
      <c r="I75" s="18"/>
      <c r="J75" s="17"/>
      <c r="K75" s="17"/>
      <c r="L75" s="17"/>
    </row>
    <row r="76" spans="1:12" ht="15" customHeight="1" x14ac:dyDescent="0.3">
      <c r="A76" s="13"/>
      <c r="B76" s="14"/>
      <c r="C76" s="14"/>
      <c r="D76" s="14"/>
      <c r="E76" s="15"/>
      <c r="F76" s="14"/>
      <c r="G76" s="14"/>
      <c r="H76" s="14"/>
      <c r="I76" s="15"/>
      <c r="J76" s="14"/>
      <c r="K76" s="14"/>
      <c r="L76" s="14"/>
    </row>
    <row r="77" spans="1:12" ht="15" customHeight="1" x14ac:dyDescent="0.3">
      <c r="A77" s="16"/>
      <c r="B77" s="17"/>
      <c r="C77" s="17"/>
      <c r="D77" s="17"/>
      <c r="E77" s="18"/>
      <c r="F77" s="17"/>
      <c r="G77" s="17"/>
      <c r="H77" s="17"/>
      <c r="I77" s="18"/>
      <c r="J77" s="17"/>
      <c r="K77" s="17"/>
      <c r="L77" s="17"/>
    </row>
    <row r="78" spans="1:12" ht="15" customHeight="1" x14ac:dyDescent="0.3">
      <c r="A78" s="13"/>
      <c r="B78" s="14"/>
      <c r="C78" s="14"/>
      <c r="D78" s="14"/>
      <c r="E78" s="15"/>
      <c r="F78" s="14"/>
      <c r="G78" s="14"/>
      <c r="H78" s="14"/>
      <c r="I78" s="15"/>
      <c r="J78" s="14"/>
      <c r="K78" s="14"/>
      <c r="L78" s="14"/>
    </row>
    <row r="79" spans="1:12" ht="15" customHeight="1" x14ac:dyDescent="0.3">
      <c r="A79" s="16"/>
      <c r="B79" s="17"/>
      <c r="C79" s="17"/>
      <c r="D79" s="17"/>
      <c r="E79" s="18"/>
      <c r="F79" s="17"/>
      <c r="G79" s="17"/>
      <c r="H79" s="17"/>
      <c r="I79" s="18"/>
      <c r="J79" s="17"/>
      <c r="K79" s="17"/>
      <c r="L79" s="17"/>
    </row>
    <row r="80" spans="1:12" ht="15" customHeight="1" x14ac:dyDescent="0.3">
      <c r="A80" s="13"/>
      <c r="B80" s="14"/>
      <c r="C80" s="14"/>
      <c r="D80" s="14"/>
      <c r="E80" s="15"/>
      <c r="F80" s="14"/>
      <c r="G80" s="14"/>
      <c r="H80" s="14"/>
      <c r="I80" s="15"/>
      <c r="J80" s="14"/>
      <c r="K80" s="14"/>
      <c r="L80" s="14"/>
    </row>
    <row r="81" spans="1:12" ht="15" customHeight="1" x14ac:dyDescent="0.3">
      <c r="A81" s="16"/>
      <c r="B81" s="17"/>
      <c r="C81" s="17"/>
      <c r="D81" s="17"/>
      <c r="E81" s="18"/>
      <c r="F81" s="17"/>
      <c r="G81" s="17"/>
      <c r="H81" s="17"/>
      <c r="I81" s="18"/>
      <c r="J81" s="17"/>
      <c r="K81" s="17"/>
      <c r="L81" s="17"/>
    </row>
    <row r="82" spans="1:12" ht="15" customHeight="1" x14ac:dyDescent="0.3">
      <c r="A82" s="13"/>
      <c r="B82" s="14"/>
      <c r="C82" s="14"/>
      <c r="D82" s="14"/>
      <c r="E82" s="15"/>
      <c r="F82" s="14"/>
      <c r="G82" s="14"/>
      <c r="H82" s="14"/>
      <c r="I82" s="15"/>
      <c r="J82" s="14"/>
      <c r="K82" s="14"/>
      <c r="L82" s="14"/>
    </row>
    <row r="83" spans="1:12" ht="15" customHeight="1" x14ac:dyDescent="0.3">
      <c r="A83" s="16"/>
      <c r="B83" s="17"/>
      <c r="C83" s="17"/>
      <c r="D83" s="17"/>
      <c r="E83" s="18"/>
      <c r="F83" s="17"/>
      <c r="G83" s="17"/>
      <c r="H83" s="17"/>
      <c r="I83" s="18"/>
      <c r="J83" s="17"/>
      <c r="K83" s="17"/>
      <c r="L83" s="17"/>
    </row>
    <row r="84" spans="1:12" ht="15" customHeight="1" x14ac:dyDescent="0.3">
      <c r="A84" s="13"/>
      <c r="B84" s="14"/>
      <c r="C84" s="14"/>
      <c r="D84" s="14"/>
      <c r="E84" s="15"/>
      <c r="F84" s="14"/>
      <c r="G84" s="14"/>
      <c r="H84" s="14"/>
      <c r="I84" s="15"/>
      <c r="J84" s="14"/>
      <c r="K84" s="14"/>
      <c r="L84" s="14"/>
    </row>
    <row r="85" spans="1:12" ht="15" customHeight="1" x14ac:dyDescent="0.3">
      <c r="A85" s="16"/>
      <c r="B85" s="17"/>
      <c r="C85" s="17"/>
      <c r="D85" s="17"/>
      <c r="E85" s="18"/>
      <c r="F85" s="17"/>
      <c r="G85" s="17"/>
      <c r="H85" s="17"/>
      <c r="I85" s="18"/>
      <c r="J85" s="17"/>
      <c r="K85" s="17"/>
      <c r="L85" s="17"/>
    </row>
    <row r="86" spans="1:12" ht="15" customHeight="1" x14ac:dyDescent="0.3">
      <c r="A86" s="13"/>
      <c r="B86" s="14"/>
      <c r="C86" s="14"/>
      <c r="D86" s="14"/>
      <c r="E86" s="15"/>
      <c r="F86" s="14"/>
      <c r="G86" s="14"/>
      <c r="H86" s="14"/>
      <c r="I86" s="15"/>
      <c r="J86" s="14"/>
      <c r="K86" s="14"/>
      <c r="L86" s="14"/>
    </row>
    <row r="87" spans="1:12" ht="15" customHeight="1" x14ac:dyDescent="0.3">
      <c r="A87" s="16"/>
      <c r="B87" s="17"/>
      <c r="C87" s="17"/>
      <c r="D87" s="17"/>
      <c r="E87" s="18"/>
      <c r="F87" s="17"/>
      <c r="G87" s="17"/>
      <c r="H87" s="17"/>
      <c r="I87" s="18"/>
      <c r="J87" s="17"/>
      <c r="K87" s="17"/>
      <c r="L87" s="17"/>
    </row>
    <row r="88" spans="1:12" ht="15" customHeight="1" x14ac:dyDescent="0.3">
      <c r="A88" s="13"/>
      <c r="B88" s="14"/>
      <c r="C88" s="14"/>
      <c r="D88" s="14"/>
      <c r="E88" s="15"/>
      <c r="F88" s="14"/>
      <c r="G88" s="14"/>
      <c r="H88" s="14"/>
      <c r="I88" s="15"/>
      <c r="J88" s="14"/>
      <c r="K88" s="14"/>
      <c r="L88" s="14"/>
    </row>
    <row r="89" spans="1:12" ht="15" customHeight="1" x14ac:dyDescent="0.3">
      <c r="A89" s="16"/>
      <c r="B89" s="17"/>
      <c r="C89" s="17"/>
      <c r="D89" s="17"/>
      <c r="E89" s="18"/>
      <c r="F89" s="17"/>
      <c r="G89" s="17"/>
      <c r="H89" s="17"/>
      <c r="I89" s="18"/>
      <c r="J89" s="17"/>
      <c r="K89" s="17"/>
      <c r="L89" s="17"/>
    </row>
    <row r="90" spans="1:12" ht="15" customHeight="1" x14ac:dyDescent="0.3">
      <c r="A90" s="13"/>
      <c r="B90" s="14"/>
      <c r="C90" s="14"/>
      <c r="D90" s="14"/>
      <c r="E90" s="15"/>
      <c r="F90" s="14"/>
      <c r="G90" s="14"/>
      <c r="H90" s="14"/>
      <c r="I90" s="15"/>
      <c r="J90" s="14"/>
      <c r="K90" s="14"/>
      <c r="L90" s="14"/>
    </row>
    <row r="91" spans="1:12" ht="15" customHeight="1" x14ac:dyDescent="0.3">
      <c r="A91" s="16"/>
      <c r="B91" s="17"/>
      <c r="C91" s="17"/>
      <c r="D91" s="17"/>
      <c r="E91" s="18"/>
      <c r="F91" s="17"/>
      <c r="G91" s="17"/>
      <c r="H91" s="17"/>
      <c r="I91" s="18"/>
      <c r="J91" s="17"/>
      <c r="K91" s="17"/>
      <c r="L91" s="17"/>
    </row>
    <row r="92" spans="1:12" ht="15" customHeight="1" x14ac:dyDescent="0.3">
      <c r="A92" s="13"/>
      <c r="B92" s="14"/>
      <c r="C92" s="14"/>
      <c r="D92" s="14"/>
      <c r="E92" s="15"/>
      <c r="F92" s="14"/>
      <c r="G92" s="14"/>
      <c r="H92" s="14"/>
      <c r="I92" s="15"/>
      <c r="J92" s="14"/>
      <c r="K92" s="14"/>
      <c r="L92" s="14"/>
    </row>
    <row r="93" spans="1:12" ht="15" customHeight="1" x14ac:dyDescent="0.3">
      <c r="A93" s="16"/>
      <c r="B93" s="17"/>
      <c r="C93" s="17"/>
      <c r="D93" s="17"/>
      <c r="E93" s="18"/>
      <c r="F93" s="17"/>
      <c r="G93" s="17"/>
      <c r="H93" s="17"/>
      <c r="I93" s="18"/>
      <c r="J93" s="17"/>
      <c r="K93" s="17"/>
      <c r="L93" s="17"/>
    </row>
    <row r="94" spans="1:12" ht="15" customHeight="1" x14ac:dyDescent="0.3">
      <c r="A94" s="13"/>
      <c r="B94" s="14"/>
      <c r="C94" s="14"/>
      <c r="D94" s="14"/>
      <c r="E94" s="15"/>
      <c r="F94" s="14"/>
      <c r="G94" s="14"/>
      <c r="H94" s="14"/>
      <c r="I94" s="15"/>
      <c r="J94" s="14"/>
      <c r="K94" s="14"/>
      <c r="L94" s="14"/>
    </row>
    <row r="95" spans="1:12" ht="15" customHeight="1" x14ac:dyDescent="0.3">
      <c r="A95" s="16"/>
      <c r="B95" s="17"/>
      <c r="C95" s="17"/>
      <c r="D95" s="17"/>
      <c r="E95" s="18"/>
      <c r="F95" s="17"/>
      <c r="G95" s="17"/>
      <c r="H95" s="17"/>
      <c r="I95" s="18"/>
      <c r="J95" s="17"/>
      <c r="K95" s="17"/>
      <c r="L95" s="17"/>
    </row>
    <row r="96" spans="1:12" ht="15" customHeight="1" x14ac:dyDescent="0.3">
      <c r="A96" s="13"/>
      <c r="B96" s="14"/>
      <c r="C96" s="14"/>
      <c r="D96" s="14"/>
      <c r="E96" s="15"/>
      <c r="F96" s="14"/>
      <c r="G96" s="14"/>
      <c r="H96" s="14"/>
      <c r="I96" s="15"/>
      <c r="J96" s="14"/>
      <c r="K96" s="14"/>
      <c r="L96" s="14"/>
    </row>
    <row r="97" spans="1:12" ht="15" customHeight="1" x14ac:dyDescent="0.3">
      <c r="A97" s="16"/>
      <c r="B97" s="17"/>
      <c r="C97" s="17"/>
      <c r="D97" s="17"/>
      <c r="E97" s="18"/>
      <c r="F97" s="17"/>
      <c r="G97" s="17"/>
      <c r="H97" s="17"/>
      <c r="I97" s="18"/>
      <c r="J97" s="17"/>
      <c r="K97" s="17"/>
      <c r="L97" s="17"/>
    </row>
    <row r="98" spans="1:12" ht="15" customHeight="1" x14ac:dyDescent="0.3">
      <c r="A98" s="13"/>
      <c r="B98" s="14"/>
      <c r="C98" s="14"/>
      <c r="D98" s="14"/>
      <c r="E98" s="15"/>
      <c r="F98" s="14"/>
      <c r="G98" s="14"/>
      <c r="H98" s="14"/>
      <c r="I98" s="15"/>
      <c r="J98" s="14"/>
      <c r="K98" s="14"/>
      <c r="L98" s="14"/>
    </row>
    <row r="99" spans="1:12" ht="15" customHeight="1" x14ac:dyDescent="0.3">
      <c r="A99" s="16"/>
      <c r="B99" s="17"/>
      <c r="C99" s="17"/>
      <c r="D99" s="17"/>
      <c r="E99" s="18"/>
      <c r="F99" s="17"/>
      <c r="G99" s="17"/>
      <c r="H99" s="17"/>
      <c r="I99" s="18"/>
      <c r="J99" s="17"/>
      <c r="K99" s="17"/>
      <c r="L99" s="17"/>
    </row>
    <row r="100" spans="1:12" ht="15" customHeight="1" x14ac:dyDescent="0.3">
      <c r="A100" s="13"/>
      <c r="B100" s="14"/>
      <c r="C100" s="14"/>
      <c r="D100" s="14"/>
      <c r="E100" s="15"/>
      <c r="F100" s="14"/>
      <c r="G100" s="14"/>
      <c r="H100" s="14"/>
      <c r="I100" s="15"/>
      <c r="J100" s="14"/>
      <c r="K100" s="14"/>
      <c r="L100" s="14"/>
    </row>
    <row r="101" spans="1:12" ht="15" customHeight="1" x14ac:dyDescent="0.3">
      <c r="A101" s="16"/>
      <c r="B101" s="17"/>
      <c r="C101" s="17"/>
      <c r="D101" s="17"/>
      <c r="E101" s="18"/>
      <c r="F101" s="17"/>
      <c r="G101" s="17"/>
      <c r="H101" s="17"/>
      <c r="I101" s="18"/>
      <c r="J101" s="17"/>
      <c r="K101" s="17"/>
      <c r="L101" s="17"/>
    </row>
    <row r="102" spans="1:12" ht="15" customHeight="1" x14ac:dyDescent="0.3">
      <c r="A102" s="13"/>
      <c r="B102" s="14"/>
      <c r="C102" s="14"/>
      <c r="D102" s="14"/>
      <c r="E102" s="15"/>
      <c r="F102" s="14"/>
      <c r="G102" s="14"/>
      <c r="H102" s="14"/>
      <c r="I102" s="15"/>
      <c r="J102" s="14"/>
      <c r="K102" s="14"/>
      <c r="L102" s="14"/>
    </row>
    <row r="103" spans="1:12" ht="15" customHeight="1" x14ac:dyDescent="0.3">
      <c r="A103" s="16"/>
      <c r="B103" s="17"/>
      <c r="C103" s="17"/>
      <c r="D103" s="17"/>
      <c r="E103" s="18"/>
      <c r="F103" s="17"/>
      <c r="G103" s="17"/>
      <c r="H103" s="17"/>
      <c r="I103" s="18"/>
      <c r="J103" s="17"/>
      <c r="K103" s="17"/>
      <c r="L103" s="17"/>
    </row>
    <row r="104" spans="1:12" ht="15" customHeight="1" x14ac:dyDescent="0.3">
      <c r="A104" s="13"/>
      <c r="B104" s="14"/>
      <c r="C104" s="14"/>
      <c r="D104" s="14"/>
      <c r="E104" s="15"/>
      <c r="F104" s="14"/>
      <c r="G104" s="14"/>
      <c r="H104" s="14"/>
      <c r="I104" s="15"/>
      <c r="J104" s="14"/>
      <c r="K104" s="14"/>
      <c r="L104" s="14"/>
    </row>
    <row r="105" spans="1:12" ht="15" customHeight="1" x14ac:dyDescent="0.3">
      <c r="A105" s="16"/>
      <c r="B105" s="17"/>
      <c r="C105" s="17"/>
      <c r="D105" s="17"/>
      <c r="E105" s="18"/>
      <c r="F105" s="17"/>
      <c r="G105" s="17"/>
      <c r="H105" s="17"/>
      <c r="I105" s="18"/>
      <c r="J105" s="17"/>
      <c r="K105" s="17"/>
      <c r="L105" s="17"/>
    </row>
    <row r="106" spans="1:12" ht="15" customHeight="1" x14ac:dyDescent="0.3">
      <c r="A106" s="13"/>
      <c r="B106" s="14"/>
      <c r="C106" s="14"/>
      <c r="D106" s="14"/>
      <c r="E106" s="15"/>
      <c r="F106" s="14"/>
      <c r="G106" s="14"/>
      <c r="H106" s="14"/>
      <c r="I106" s="15"/>
      <c r="J106" s="14"/>
      <c r="K106" s="14"/>
      <c r="L106" s="14"/>
    </row>
    <row r="107" spans="1:12" ht="15" customHeight="1" x14ac:dyDescent="0.3">
      <c r="A107" s="16"/>
      <c r="B107" s="17"/>
      <c r="C107" s="17"/>
      <c r="D107" s="17"/>
      <c r="E107" s="18"/>
      <c r="F107" s="17"/>
      <c r="G107" s="17"/>
      <c r="H107" s="17"/>
      <c r="I107" s="18"/>
      <c r="J107" s="17"/>
      <c r="K107" s="17"/>
      <c r="L107" s="17"/>
    </row>
    <row r="108" spans="1:12" ht="15" customHeight="1" x14ac:dyDescent="0.3">
      <c r="A108" s="13"/>
      <c r="B108" s="14"/>
      <c r="C108" s="14"/>
      <c r="D108" s="14"/>
      <c r="E108" s="15"/>
      <c r="F108" s="14"/>
      <c r="G108" s="14"/>
      <c r="H108" s="14"/>
      <c r="I108" s="15"/>
      <c r="J108" s="14"/>
      <c r="K108" s="14"/>
      <c r="L108" s="14"/>
    </row>
    <row r="109" spans="1:12" ht="15" customHeight="1" x14ac:dyDescent="0.3">
      <c r="A109" s="16"/>
      <c r="B109" s="17"/>
      <c r="C109" s="17"/>
      <c r="D109" s="17"/>
      <c r="E109" s="18"/>
      <c r="F109" s="17"/>
      <c r="G109" s="17"/>
      <c r="H109" s="17"/>
      <c r="I109" s="18"/>
      <c r="J109" s="17"/>
      <c r="K109" s="17"/>
      <c r="L109" s="17"/>
    </row>
    <row r="110" spans="1:12" ht="15" customHeight="1" x14ac:dyDescent="0.3">
      <c r="A110" s="13"/>
      <c r="B110" s="14"/>
      <c r="C110" s="14"/>
      <c r="D110" s="14"/>
      <c r="E110" s="15"/>
      <c r="F110" s="14"/>
      <c r="G110" s="14"/>
      <c r="H110" s="14"/>
      <c r="I110" s="15"/>
      <c r="J110" s="14"/>
      <c r="K110" s="14"/>
      <c r="L110" s="14"/>
    </row>
    <row r="111" spans="1:12" ht="15" customHeight="1" x14ac:dyDescent="0.3">
      <c r="A111" s="16"/>
      <c r="B111" s="17"/>
      <c r="C111" s="17"/>
      <c r="D111" s="17"/>
      <c r="E111" s="18"/>
      <c r="F111" s="17"/>
      <c r="G111" s="17"/>
      <c r="H111" s="17"/>
      <c r="I111" s="18"/>
      <c r="J111" s="17"/>
      <c r="K111" s="17"/>
      <c r="L111" s="17"/>
    </row>
    <row r="112" spans="1:12" ht="15" customHeight="1" x14ac:dyDescent="0.3">
      <c r="A112" s="13"/>
      <c r="B112" s="14"/>
      <c r="C112" s="14"/>
      <c r="D112" s="14"/>
      <c r="E112" s="15"/>
      <c r="F112" s="14"/>
      <c r="G112" s="14"/>
      <c r="H112" s="14"/>
      <c r="I112" s="15"/>
      <c r="J112" s="14"/>
      <c r="K112" s="14"/>
      <c r="L112" s="14"/>
    </row>
    <row r="113" spans="1:12" ht="15" customHeight="1" x14ac:dyDescent="0.3">
      <c r="A113" s="16"/>
      <c r="B113" s="17"/>
      <c r="C113" s="17"/>
      <c r="D113" s="17"/>
      <c r="E113" s="18"/>
      <c r="F113" s="17"/>
      <c r="G113" s="17"/>
      <c r="H113" s="17"/>
      <c r="I113" s="18"/>
      <c r="J113" s="17"/>
      <c r="K113" s="17"/>
      <c r="L113" s="17"/>
    </row>
    <row r="114" spans="1:12" ht="15" customHeight="1" x14ac:dyDescent="0.3">
      <c r="A114" s="13"/>
      <c r="B114" s="14"/>
      <c r="C114" s="14"/>
      <c r="D114" s="14"/>
      <c r="E114" s="15"/>
      <c r="F114" s="14"/>
      <c r="G114" s="14"/>
      <c r="H114" s="14"/>
      <c r="I114" s="15"/>
      <c r="J114" s="14"/>
      <c r="K114" s="14"/>
      <c r="L114" s="14"/>
    </row>
    <row r="115" spans="1:12" ht="15" customHeight="1" x14ac:dyDescent="0.3">
      <c r="A115" s="16"/>
      <c r="B115" s="17"/>
      <c r="C115" s="17"/>
      <c r="D115" s="17"/>
      <c r="E115" s="18"/>
      <c r="F115" s="17"/>
      <c r="G115" s="17"/>
      <c r="H115" s="17"/>
      <c r="I115" s="18"/>
      <c r="J115" s="17"/>
      <c r="K115" s="17"/>
      <c r="L115" s="17"/>
    </row>
    <row r="116" spans="1:12" ht="15" customHeight="1" x14ac:dyDescent="0.3">
      <c r="A116" s="13"/>
      <c r="B116" s="14"/>
      <c r="C116" s="14"/>
      <c r="D116" s="14"/>
      <c r="E116" s="15"/>
      <c r="F116" s="14"/>
      <c r="G116" s="14"/>
      <c r="H116" s="14"/>
      <c r="I116" s="15"/>
      <c r="J116" s="14"/>
      <c r="K116" s="14"/>
      <c r="L116" s="14"/>
    </row>
    <row r="117" spans="1:12" ht="15" customHeight="1" x14ac:dyDescent="0.3">
      <c r="A117" s="16"/>
      <c r="B117" s="17"/>
      <c r="C117" s="17"/>
      <c r="D117" s="17"/>
      <c r="E117" s="18"/>
      <c r="F117" s="17"/>
      <c r="G117" s="17"/>
      <c r="H117" s="17"/>
      <c r="I117" s="18"/>
      <c r="J117" s="17"/>
      <c r="K117" s="17"/>
      <c r="L117" s="17"/>
    </row>
    <row r="118" spans="1:12" ht="15" customHeight="1" x14ac:dyDescent="0.3">
      <c r="A118" s="13"/>
      <c r="B118" s="14"/>
      <c r="C118" s="14"/>
      <c r="D118" s="14"/>
      <c r="E118" s="15"/>
      <c r="F118" s="14"/>
      <c r="G118" s="14"/>
      <c r="H118" s="14"/>
      <c r="I118" s="15"/>
      <c r="J118" s="14"/>
      <c r="K118" s="14"/>
      <c r="L118" s="14"/>
    </row>
    <row r="119" spans="1:12" ht="15" customHeight="1" x14ac:dyDescent="0.3">
      <c r="A119" s="16"/>
      <c r="B119" s="17"/>
      <c r="C119" s="17"/>
      <c r="D119" s="17"/>
      <c r="E119" s="18"/>
      <c r="F119" s="17"/>
      <c r="G119" s="17"/>
      <c r="H119" s="17"/>
      <c r="I119" s="18"/>
      <c r="J119" s="17"/>
      <c r="K119" s="17"/>
      <c r="L119" s="17"/>
    </row>
    <row r="120" spans="1:12" ht="15" customHeight="1" x14ac:dyDescent="0.3">
      <c r="A120" s="13"/>
      <c r="B120" s="14"/>
      <c r="C120" s="14"/>
      <c r="D120" s="14"/>
      <c r="E120" s="15"/>
      <c r="F120" s="14"/>
      <c r="G120" s="14"/>
      <c r="H120" s="14"/>
      <c r="I120" s="15"/>
      <c r="J120" s="14"/>
      <c r="K120" s="14"/>
      <c r="L120" s="14"/>
    </row>
    <row r="121" spans="1:12" ht="15" customHeight="1" x14ac:dyDescent="0.3">
      <c r="A121" s="16"/>
      <c r="B121" s="17"/>
      <c r="C121" s="17"/>
      <c r="D121" s="17"/>
      <c r="E121" s="18"/>
      <c r="F121" s="17"/>
      <c r="G121" s="17"/>
      <c r="H121" s="17"/>
      <c r="I121" s="18"/>
      <c r="J121" s="17"/>
      <c r="K121" s="17"/>
      <c r="L121" s="17"/>
    </row>
    <row r="122" spans="1:12" ht="15" customHeight="1" x14ac:dyDescent="0.3">
      <c r="A122" s="13"/>
      <c r="B122" s="14"/>
      <c r="C122" s="14"/>
      <c r="D122" s="14"/>
      <c r="E122" s="15"/>
      <c r="F122" s="14"/>
      <c r="G122" s="14"/>
      <c r="H122" s="14"/>
      <c r="I122" s="15"/>
      <c r="J122" s="14"/>
      <c r="K122" s="14"/>
      <c r="L122" s="14"/>
    </row>
    <row r="123" spans="1:12" ht="15" customHeight="1" x14ac:dyDescent="0.3">
      <c r="A123" s="16"/>
      <c r="B123" s="17"/>
      <c r="C123" s="17"/>
      <c r="D123" s="17"/>
      <c r="E123" s="18"/>
      <c r="F123" s="17"/>
      <c r="G123" s="17"/>
      <c r="H123" s="17"/>
      <c r="I123" s="18"/>
      <c r="J123" s="17"/>
      <c r="K123" s="17"/>
      <c r="L123" s="17"/>
    </row>
    <row r="124" spans="1:12" ht="15" customHeight="1" x14ac:dyDescent="0.3">
      <c r="A124" s="13"/>
      <c r="B124" s="14"/>
      <c r="C124" s="14"/>
      <c r="D124" s="14"/>
      <c r="E124" s="15"/>
      <c r="F124" s="14"/>
      <c r="G124" s="14"/>
      <c r="H124" s="14"/>
      <c r="I124" s="15"/>
      <c r="J124" s="14"/>
      <c r="K124" s="14"/>
      <c r="L124" s="14"/>
    </row>
    <row r="125" spans="1:12" ht="15" customHeight="1" x14ac:dyDescent="0.3">
      <c r="A125" s="16"/>
      <c r="B125" s="17"/>
      <c r="C125" s="17"/>
      <c r="D125" s="17"/>
      <c r="E125" s="18"/>
      <c r="F125" s="17"/>
      <c r="G125" s="17"/>
      <c r="H125" s="17"/>
      <c r="I125" s="18"/>
      <c r="J125" s="17"/>
      <c r="K125" s="17"/>
      <c r="L125" s="17"/>
    </row>
    <row r="126" spans="1:12" ht="15" customHeight="1" x14ac:dyDescent="0.3">
      <c r="A126" s="13"/>
      <c r="B126" s="14"/>
      <c r="C126" s="14"/>
      <c r="D126" s="14"/>
      <c r="E126" s="15"/>
      <c r="F126" s="14"/>
      <c r="G126" s="14"/>
      <c r="H126" s="14"/>
      <c r="I126" s="15"/>
      <c r="J126" s="14"/>
      <c r="K126" s="14"/>
      <c r="L126" s="14"/>
    </row>
    <row r="127" spans="1:12" ht="15" customHeight="1" x14ac:dyDescent="0.3">
      <c r="A127" s="16"/>
      <c r="B127" s="17"/>
      <c r="C127" s="17"/>
      <c r="D127" s="17"/>
      <c r="E127" s="18"/>
      <c r="F127" s="17"/>
      <c r="G127" s="17"/>
      <c r="H127" s="17"/>
      <c r="I127" s="18"/>
      <c r="J127" s="17"/>
      <c r="K127" s="17"/>
      <c r="L127" s="17"/>
    </row>
    <row r="128" spans="1:12" ht="15" customHeight="1" x14ac:dyDescent="0.3">
      <c r="A128" s="13"/>
      <c r="B128" s="14"/>
      <c r="C128" s="14"/>
      <c r="D128" s="14"/>
      <c r="E128" s="15"/>
      <c r="F128" s="14"/>
      <c r="G128" s="14"/>
      <c r="H128" s="14"/>
      <c r="I128" s="15"/>
      <c r="J128" s="14"/>
      <c r="K128" s="14"/>
      <c r="L128" s="14"/>
    </row>
    <row r="129" spans="1:12" ht="15" customHeight="1" x14ac:dyDescent="0.3">
      <c r="A129" s="16"/>
      <c r="B129" s="17"/>
      <c r="C129" s="17"/>
      <c r="D129" s="17"/>
      <c r="E129" s="18"/>
      <c r="F129" s="17"/>
      <c r="G129" s="17"/>
      <c r="H129" s="17"/>
      <c r="I129" s="18"/>
      <c r="J129" s="17"/>
      <c r="K129" s="17"/>
      <c r="L129" s="17"/>
    </row>
    <row r="130" spans="1:12" ht="15" customHeight="1" x14ac:dyDescent="0.3">
      <c r="A130" s="13"/>
      <c r="B130" s="14"/>
      <c r="C130" s="14"/>
      <c r="D130" s="14"/>
      <c r="E130" s="15"/>
      <c r="F130" s="14"/>
      <c r="G130" s="14"/>
      <c r="H130" s="14"/>
      <c r="I130" s="15"/>
      <c r="J130" s="14"/>
      <c r="K130" s="14"/>
      <c r="L130" s="14"/>
    </row>
    <row r="131" spans="1:12" ht="15" customHeight="1" x14ac:dyDescent="0.3">
      <c r="A131" s="16"/>
      <c r="B131" s="17"/>
      <c r="C131" s="17"/>
      <c r="D131" s="17"/>
      <c r="E131" s="18"/>
      <c r="F131" s="17"/>
      <c r="G131" s="17"/>
      <c r="H131" s="17"/>
      <c r="I131" s="18"/>
      <c r="J131" s="17"/>
      <c r="K131" s="17"/>
      <c r="L131" s="17"/>
    </row>
    <row r="132" spans="1:12" ht="15" customHeight="1" x14ac:dyDescent="0.3">
      <c r="A132" s="13"/>
      <c r="B132" s="14"/>
      <c r="C132" s="14"/>
      <c r="D132" s="14"/>
      <c r="E132" s="15"/>
      <c r="F132" s="14"/>
      <c r="G132" s="14"/>
      <c r="H132" s="14"/>
      <c r="I132" s="15"/>
      <c r="J132" s="14"/>
      <c r="K132" s="14"/>
      <c r="L132" s="14"/>
    </row>
    <row r="133" spans="1:12" ht="15" customHeight="1" x14ac:dyDescent="0.3">
      <c r="A133" s="16"/>
      <c r="B133" s="17"/>
      <c r="C133" s="17"/>
      <c r="D133" s="17"/>
      <c r="E133" s="18"/>
      <c r="F133" s="17"/>
      <c r="G133" s="17"/>
      <c r="H133" s="17"/>
      <c r="I133" s="18"/>
      <c r="J133" s="17"/>
      <c r="K133" s="17"/>
      <c r="L133" s="17"/>
    </row>
    <row r="134" spans="1:12" ht="15" customHeight="1" x14ac:dyDescent="0.3">
      <c r="A134" s="13"/>
      <c r="B134" s="14"/>
      <c r="C134" s="14"/>
      <c r="D134" s="14"/>
      <c r="E134" s="15"/>
      <c r="F134" s="14"/>
      <c r="G134" s="14"/>
      <c r="H134" s="14"/>
      <c r="I134" s="15"/>
      <c r="J134" s="14"/>
      <c r="K134" s="14"/>
      <c r="L134" s="14"/>
    </row>
    <row r="135" spans="1:12" ht="15" customHeight="1" x14ac:dyDescent="0.3">
      <c r="A135" s="16"/>
      <c r="B135" s="17"/>
      <c r="C135" s="17"/>
      <c r="D135" s="17"/>
      <c r="E135" s="18"/>
      <c r="F135" s="17"/>
      <c r="G135" s="17"/>
      <c r="H135" s="17"/>
      <c r="I135" s="18"/>
      <c r="J135" s="17"/>
      <c r="K135" s="17"/>
      <c r="L135" s="17"/>
    </row>
    <row r="136" spans="1:12" ht="15" customHeight="1" x14ac:dyDescent="0.3">
      <c r="A136" s="13"/>
      <c r="B136" s="14"/>
      <c r="C136" s="14"/>
      <c r="D136" s="14"/>
      <c r="E136" s="15"/>
      <c r="F136" s="14"/>
      <c r="G136" s="14"/>
      <c r="H136" s="14"/>
      <c r="I136" s="15"/>
      <c r="J136" s="14"/>
      <c r="K136" s="14"/>
      <c r="L136" s="14"/>
    </row>
    <row r="137" spans="1:12" ht="15" customHeight="1" x14ac:dyDescent="0.3">
      <c r="A137" s="16"/>
      <c r="B137" s="17"/>
      <c r="C137" s="17"/>
      <c r="D137" s="17"/>
      <c r="E137" s="18"/>
      <c r="F137" s="17"/>
      <c r="G137" s="17"/>
      <c r="H137" s="17"/>
      <c r="I137" s="18"/>
      <c r="J137" s="17"/>
      <c r="K137" s="17"/>
      <c r="L137" s="17"/>
    </row>
    <row r="138" spans="1:12" ht="15" customHeight="1" x14ac:dyDescent="0.3">
      <c r="A138" s="13"/>
      <c r="B138" s="14"/>
      <c r="C138" s="14"/>
      <c r="D138" s="14"/>
      <c r="E138" s="15"/>
      <c r="F138" s="14"/>
      <c r="G138" s="14"/>
      <c r="H138" s="14"/>
      <c r="I138" s="15"/>
      <c r="J138" s="14"/>
      <c r="K138" s="14"/>
      <c r="L138" s="14"/>
    </row>
    <row r="139" spans="1:12" ht="15" customHeight="1" x14ac:dyDescent="0.3">
      <c r="A139" s="16"/>
      <c r="B139" s="17"/>
      <c r="C139" s="17"/>
      <c r="D139" s="17"/>
      <c r="E139" s="18"/>
      <c r="F139" s="17"/>
      <c r="G139" s="17"/>
      <c r="H139" s="17"/>
      <c r="I139" s="18"/>
      <c r="J139" s="17"/>
      <c r="K139" s="17"/>
      <c r="L139" s="17"/>
    </row>
    <row r="140" spans="1:12" ht="15" customHeight="1" x14ac:dyDescent="0.3">
      <c r="A140" s="13"/>
      <c r="B140" s="14"/>
      <c r="C140" s="14"/>
      <c r="D140" s="14"/>
      <c r="E140" s="15"/>
      <c r="F140" s="14"/>
      <c r="G140" s="14"/>
      <c r="H140" s="14"/>
      <c r="I140" s="15"/>
      <c r="J140" s="14"/>
      <c r="K140" s="14"/>
      <c r="L140" s="14"/>
    </row>
    <row r="141" spans="1:12" ht="15" customHeight="1" x14ac:dyDescent="0.3">
      <c r="A141" s="16"/>
      <c r="B141" s="17"/>
      <c r="C141" s="17"/>
      <c r="D141" s="17"/>
      <c r="E141" s="18"/>
      <c r="F141" s="17"/>
      <c r="G141" s="17"/>
      <c r="H141" s="17"/>
      <c r="I141" s="18"/>
      <c r="J141" s="17"/>
      <c r="K141" s="17"/>
      <c r="L141" s="17"/>
    </row>
    <row r="142" spans="1:12" ht="15" customHeight="1" x14ac:dyDescent="0.3">
      <c r="A142" s="13"/>
      <c r="B142" s="14"/>
      <c r="C142" s="14"/>
      <c r="D142" s="14"/>
      <c r="E142" s="15"/>
      <c r="F142" s="14"/>
      <c r="G142" s="14"/>
      <c r="H142" s="14"/>
      <c r="I142" s="15"/>
      <c r="J142" s="14"/>
      <c r="K142" s="14"/>
      <c r="L142" s="14"/>
    </row>
    <row r="143" spans="1:12" ht="15" customHeight="1" x14ac:dyDescent="0.3">
      <c r="A143" s="16"/>
      <c r="B143" s="17"/>
      <c r="C143" s="17"/>
      <c r="D143" s="17"/>
      <c r="E143" s="18"/>
      <c r="F143" s="17"/>
      <c r="G143" s="17"/>
      <c r="H143" s="17"/>
      <c r="I143" s="18"/>
      <c r="J143" s="17"/>
      <c r="K143" s="17"/>
      <c r="L143" s="17"/>
    </row>
    <row r="144" spans="1:12" ht="15" customHeight="1" x14ac:dyDescent="0.3">
      <c r="A144" s="13"/>
      <c r="B144" s="14"/>
      <c r="C144" s="14"/>
      <c r="D144" s="14"/>
      <c r="E144" s="15"/>
      <c r="F144" s="14"/>
      <c r="G144" s="14"/>
      <c r="H144" s="14"/>
      <c r="I144" s="15"/>
      <c r="J144" s="14"/>
      <c r="K144" s="14"/>
      <c r="L144" s="14"/>
    </row>
    <row r="145" spans="1:12" ht="15" customHeight="1" x14ac:dyDescent="0.3">
      <c r="A145" s="16"/>
      <c r="B145" s="17"/>
      <c r="C145" s="17"/>
      <c r="D145" s="17"/>
      <c r="E145" s="18"/>
      <c r="F145" s="17"/>
      <c r="G145" s="17"/>
      <c r="H145" s="17"/>
      <c r="I145" s="18"/>
      <c r="J145" s="17"/>
      <c r="K145" s="17"/>
      <c r="L145" s="17"/>
    </row>
    <row r="146" spans="1:12" ht="15" customHeight="1" x14ac:dyDescent="0.3">
      <c r="A146" s="13"/>
      <c r="B146" s="14"/>
      <c r="C146" s="14"/>
      <c r="D146" s="14"/>
      <c r="E146" s="15"/>
      <c r="F146" s="14"/>
      <c r="G146" s="14"/>
      <c r="H146" s="14"/>
      <c r="I146" s="15"/>
      <c r="J146" s="14"/>
      <c r="K146" s="14"/>
      <c r="L146" s="14"/>
    </row>
    <row r="147" spans="1:12" ht="15" customHeight="1" x14ac:dyDescent="0.3">
      <c r="A147" s="16"/>
      <c r="B147" s="17"/>
      <c r="C147" s="17"/>
      <c r="D147" s="17"/>
      <c r="E147" s="18"/>
      <c r="F147" s="17"/>
      <c r="G147" s="17"/>
      <c r="H147" s="17"/>
      <c r="I147" s="18"/>
      <c r="J147" s="17"/>
      <c r="K147" s="17"/>
      <c r="L147" s="17"/>
    </row>
    <row r="148" spans="1:12" ht="15" customHeight="1" x14ac:dyDescent="0.3">
      <c r="A148" s="13"/>
      <c r="B148" s="14"/>
      <c r="C148" s="14"/>
      <c r="D148" s="14"/>
      <c r="E148" s="15"/>
      <c r="F148" s="14"/>
      <c r="G148" s="14"/>
      <c r="H148" s="14"/>
      <c r="I148" s="15"/>
      <c r="J148" s="14"/>
      <c r="K148" s="14"/>
      <c r="L148" s="14"/>
    </row>
    <row r="149" spans="1:12" ht="15" customHeight="1" x14ac:dyDescent="0.3">
      <c r="A149" s="16"/>
      <c r="B149" s="17"/>
      <c r="C149" s="17"/>
      <c r="D149" s="17"/>
      <c r="E149" s="18"/>
      <c r="F149" s="17"/>
      <c r="G149" s="17"/>
      <c r="H149" s="17"/>
      <c r="I149" s="18"/>
      <c r="J149" s="17"/>
      <c r="K149" s="17"/>
      <c r="L149" s="17"/>
    </row>
    <row r="150" spans="1:12" ht="15" customHeight="1" x14ac:dyDescent="0.3">
      <c r="A150" s="13"/>
      <c r="B150" s="14"/>
      <c r="C150" s="14"/>
      <c r="D150" s="14"/>
      <c r="E150" s="15"/>
      <c r="F150" s="14"/>
      <c r="G150" s="14"/>
      <c r="H150" s="14"/>
      <c r="I150" s="15"/>
      <c r="J150" s="14"/>
      <c r="K150" s="14"/>
      <c r="L150" s="14"/>
    </row>
    <row r="151" spans="1:12" ht="15" customHeight="1" x14ac:dyDescent="0.3">
      <c r="A151" s="16"/>
      <c r="B151" s="17"/>
      <c r="C151" s="17"/>
      <c r="D151" s="17"/>
      <c r="E151" s="18"/>
      <c r="F151" s="17"/>
      <c r="G151" s="17"/>
      <c r="H151" s="17"/>
      <c r="I151" s="18"/>
      <c r="J151" s="17"/>
      <c r="K151" s="17"/>
      <c r="L151" s="17"/>
    </row>
    <row r="152" spans="1:12" ht="15" customHeight="1" x14ac:dyDescent="0.3">
      <c r="A152" s="13"/>
      <c r="B152" s="14"/>
      <c r="C152" s="14"/>
      <c r="D152" s="14"/>
      <c r="E152" s="15"/>
      <c r="F152" s="14"/>
      <c r="G152" s="14"/>
      <c r="H152" s="14"/>
      <c r="I152" s="15"/>
      <c r="J152" s="14"/>
      <c r="K152" s="14"/>
      <c r="L152" s="14"/>
    </row>
    <row r="153" spans="1:12" ht="15" customHeight="1" x14ac:dyDescent="0.3">
      <c r="A153" s="16"/>
      <c r="B153" s="17"/>
      <c r="C153" s="17"/>
      <c r="D153" s="17"/>
      <c r="E153" s="18"/>
      <c r="F153" s="17"/>
      <c r="G153" s="17"/>
      <c r="H153" s="17"/>
      <c r="I153" s="18"/>
      <c r="J153" s="17"/>
      <c r="K153" s="17"/>
      <c r="L153" s="17"/>
    </row>
    <row r="154" spans="1:12" ht="15" customHeight="1" x14ac:dyDescent="0.3">
      <c r="A154" s="13"/>
      <c r="B154" s="14"/>
      <c r="C154" s="14"/>
      <c r="D154" s="14"/>
      <c r="E154" s="15"/>
      <c r="F154" s="14"/>
      <c r="G154" s="14"/>
      <c r="H154" s="14"/>
      <c r="I154" s="15"/>
      <c r="J154" s="14"/>
      <c r="K154" s="14"/>
      <c r="L154" s="14"/>
    </row>
    <row r="155" spans="1:12" ht="15" customHeight="1" x14ac:dyDescent="0.3">
      <c r="A155" s="16"/>
      <c r="B155" s="17"/>
      <c r="C155" s="17"/>
      <c r="D155" s="17"/>
      <c r="E155" s="18"/>
      <c r="F155" s="17"/>
      <c r="G155" s="17"/>
      <c r="H155" s="17"/>
      <c r="I155" s="18"/>
      <c r="J155" s="17"/>
      <c r="K155" s="17"/>
      <c r="L155" s="17"/>
    </row>
    <row r="156" spans="1:12" ht="15" customHeight="1" x14ac:dyDescent="0.3">
      <c r="A156" s="13"/>
      <c r="B156" s="14"/>
      <c r="C156" s="14"/>
      <c r="D156" s="14"/>
      <c r="E156" s="15"/>
      <c r="F156" s="14"/>
      <c r="G156" s="14"/>
      <c r="H156" s="14"/>
      <c r="I156" s="15"/>
      <c r="J156" s="14"/>
      <c r="K156" s="14"/>
      <c r="L156" s="14"/>
    </row>
    <row r="157" spans="1:12" ht="15" customHeight="1" x14ac:dyDescent="0.3">
      <c r="A157" s="16"/>
      <c r="B157" s="17"/>
      <c r="C157" s="17"/>
      <c r="D157" s="17"/>
      <c r="E157" s="18"/>
      <c r="F157" s="17"/>
      <c r="G157" s="17"/>
      <c r="H157" s="17"/>
      <c r="I157" s="18"/>
      <c r="J157" s="17"/>
      <c r="K157" s="17"/>
      <c r="L157" s="17"/>
    </row>
    <row r="158" spans="1:12" ht="15" customHeight="1" x14ac:dyDescent="0.3">
      <c r="A158" s="13"/>
      <c r="B158" s="14"/>
      <c r="C158" s="14"/>
      <c r="D158" s="14"/>
      <c r="E158" s="15"/>
      <c r="F158" s="14"/>
      <c r="G158" s="14"/>
      <c r="H158" s="14"/>
      <c r="I158" s="15"/>
      <c r="J158" s="14"/>
      <c r="K158" s="14"/>
      <c r="L158" s="14"/>
    </row>
    <row r="159" spans="1:12" ht="15" customHeight="1" x14ac:dyDescent="0.3">
      <c r="A159" s="16"/>
      <c r="B159" s="17"/>
      <c r="C159" s="17"/>
      <c r="D159" s="17"/>
      <c r="E159" s="18"/>
      <c r="F159" s="17"/>
      <c r="G159" s="17"/>
      <c r="H159" s="17"/>
      <c r="I159" s="18"/>
      <c r="J159" s="17"/>
      <c r="K159" s="17"/>
      <c r="L159" s="17"/>
    </row>
    <row r="160" spans="1:12" ht="15" customHeight="1" x14ac:dyDescent="0.3">
      <c r="A160" s="13"/>
      <c r="B160" s="14"/>
      <c r="C160" s="14"/>
      <c r="D160" s="14"/>
      <c r="E160" s="15"/>
      <c r="F160" s="14"/>
      <c r="G160" s="14"/>
      <c r="H160" s="14"/>
      <c r="I160" s="15"/>
      <c r="J160" s="14"/>
      <c r="K160" s="14"/>
      <c r="L160" s="14"/>
    </row>
    <row r="161" spans="1:12" ht="15" customHeight="1" x14ac:dyDescent="0.3">
      <c r="A161" s="16"/>
      <c r="B161" s="17"/>
      <c r="C161" s="17"/>
      <c r="D161" s="17"/>
      <c r="E161" s="18"/>
      <c r="F161" s="17"/>
      <c r="G161" s="17"/>
      <c r="H161" s="17"/>
      <c r="I161" s="18"/>
      <c r="J161" s="17"/>
      <c r="K161" s="17"/>
      <c r="L161" s="17"/>
    </row>
    <row r="162" spans="1:12" ht="15" customHeight="1" x14ac:dyDescent="0.3">
      <c r="A162" s="13"/>
      <c r="B162" s="14"/>
      <c r="C162" s="14"/>
      <c r="D162" s="14"/>
      <c r="E162" s="15"/>
      <c r="F162" s="14"/>
      <c r="G162" s="14"/>
      <c r="H162" s="14"/>
      <c r="I162" s="15"/>
      <c r="J162" s="14"/>
      <c r="K162" s="14"/>
      <c r="L162" s="14"/>
    </row>
    <row r="163" spans="1:12" ht="15" customHeight="1" x14ac:dyDescent="0.3">
      <c r="A163" s="16"/>
      <c r="B163" s="17"/>
      <c r="C163" s="17"/>
      <c r="D163" s="17"/>
      <c r="E163" s="18"/>
      <c r="F163" s="17"/>
      <c r="G163" s="17"/>
      <c r="H163" s="17"/>
      <c r="I163" s="18"/>
      <c r="J163" s="17"/>
      <c r="K163" s="17"/>
      <c r="L163" s="17"/>
    </row>
    <row r="164" spans="1:12" ht="15" customHeight="1" x14ac:dyDescent="0.3">
      <c r="A164" s="13"/>
      <c r="B164" s="14"/>
      <c r="C164" s="14"/>
      <c r="D164" s="14"/>
      <c r="E164" s="15"/>
      <c r="F164" s="14"/>
      <c r="G164" s="14"/>
      <c r="H164" s="14"/>
      <c r="I164" s="15"/>
      <c r="J164" s="14"/>
      <c r="K164" s="14"/>
      <c r="L164" s="14"/>
    </row>
    <row r="165" spans="1:12" ht="15" customHeight="1" x14ac:dyDescent="0.3">
      <c r="A165" s="16"/>
      <c r="B165" s="17"/>
      <c r="C165" s="17"/>
      <c r="D165" s="17"/>
      <c r="E165" s="18"/>
      <c r="F165" s="17"/>
      <c r="G165" s="17"/>
      <c r="H165" s="17"/>
      <c r="I165" s="18"/>
      <c r="J165" s="17"/>
      <c r="K165" s="17"/>
      <c r="L165" s="17"/>
    </row>
    <row r="166" spans="1:12" ht="15" customHeight="1" x14ac:dyDescent="0.3">
      <c r="A166" s="13"/>
      <c r="B166" s="14"/>
      <c r="C166" s="14"/>
      <c r="D166" s="14"/>
      <c r="E166" s="15"/>
      <c r="F166" s="14"/>
      <c r="G166" s="14"/>
      <c r="H166" s="14"/>
      <c r="I166" s="15"/>
      <c r="J166" s="14"/>
      <c r="K166" s="14"/>
      <c r="L166" s="14"/>
    </row>
    <row r="167" spans="1:12" ht="15" customHeight="1" x14ac:dyDescent="0.3">
      <c r="A167" s="16"/>
      <c r="B167" s="17"/>
      <c r="C167" s="17"/>
      <c r="D167" s="17"/>
      <c r="E167" s="18"/>
      <c r="F167" s="17"/>
      <c r="G167" s="17"/>
      <c r="H167" s="17"/>
      <c r="I167" s="18"/>
      <c r="J167" s="17"/>
      <c r="K167" s="17"/>
      <c r="L167" s="17"/>
    </row>
    <row r="168" spans="1:12" ht="15" customHeight="1" x14ac:dyDescent="0.3">
      <c r="A168" s="13"/>
      <c r="B168" s="14"/>
      <c r="C168" s="14"/>
      <c r="D168" s="14"/>
      <c r="E168" s="15"/>
      <c r="F168" s="14"/>
      <c r="G168" s="14"/>
      <c r="H168" s="14"/>
      <c r="I168" s="15"/>
      <c r="J168" s="14"/>
      <c r="K168" s="14"/>
      <c r="L168" s="14"/>
    </row>
    <row r="169" spans="1:12" ht="15" customHeight="1" x14ac:dyDescent="0.3">
      <c r="A169" s="16"/>
      <c r="B169" s="17"/>
      <c r="C169" s="17"/>
      <c r="D169" s="17"/>
      <c r="E169" s="18"/>
      <c r="F169" s="17"/>
      <c r="G169" s="17"/>
      <c r="H169" s="17"/>
      <c r="I169" s="18"/>
      <c r="J169" s="17"/>
      <c r="K169" s="17"/>
      <c r="L169" s="17"/>
    </row>
    <row r="170" spans="1:12" ht="15" customHeight="1" x14ac:dyDescent="0.3">
      <c r="A170" s="13"/>
      <c r="B170" s="14"/>
      <c r="C170" s="14"/>
      <c r="D170" s="14"/>
      <c r="E170" s="15"/>
      <c r="F170" s="14"/>
      <c r="G170" s="14"/>
      <c r="H170" s="14"/>
      <c r="I170" s="15"/>
      <c r="J170" s="14"/>
      <c r="K170" s="14"/>
      <c r="L170" s="14"/>
    </row>
    <row r="171" spans="1:12" ht="15" customHeight="1" x14ac:dyDescent="0.3">
      <c r="A171" s="16"/>
      <c r="B171" s="17"/>
      <c r="C171" s="17"/>
      <c r="D171" s="17"/>
      <c r="E171" s="18"/>
      <c r="F171" s="17"/>
      <c r="G171" s="17"/>
      <c r="H171" s="17"/>
      <c r="I171" s="18"/>
      <c r="J171" s="17"/>
      <c r="K171" s="17"/>
      <c r="L171" s="17"/>
    </row>
    <row r="172" spans="1:12" ht="15" customHeight="1" x14ac:dyDescent="0.3">
      <c r="A172" s="13"/>
      <c r="B172" s="14"/>
      <c r="C172" s="14"/>
      <c r="D172" s="14"/>
      <c r="E172" s="15"/>
      <c r="F172" s="14"/>
      <c r="G172" s="14"/>
      <c r="H172" s="14"/>
      <c r="I172" s="15"/>
      <c r="J172" s="14"/>
      <c r="K172" s="14"/>
      <c r="L172" s="14"/>
    </row>
    <row r="173" spans="1:12" ht="15" customHeight="1" x14ac:dyDescent="0.3">
      <c r="A173" s="16"/>
      <c r="B173" s="17"/>
      <c r="C173" s="17"/>
      <c r="D173" s="17"/>
      <c r="E173" s="18"/>
      <c r="F173" s="17"/>
      <c r="G173" s="17"/>
      <c r="H173" s="17"/>
      <c r="I173" s="18"/>
      <c r="J173" s="17"/>
      <c r="K173" s="17"/>
      <c r="L173" s="17"/>
    </row>
    <row r="174" spans="1:12" ht="15" customHeight="1" x14ac:dyDescent="0.3">
      <c r="A174" s="13"/>
      <c r="B174" s="14"/>
      <c r="C174" s="14"/>
      <c r="D174" s="14"/>
      <c r="E174" s="15"/>
      <c r="F174" s="14"/>
      <c r="G174" s="14"/>
      <c r="H174" s="14"/>
      <c r="I174" s="15"/>
      <c r="J174" s="14"/>
      <c r="K174" s="14"/>
      <c r="L174" s="14"/>
    </row>
    <row r="175" spans="1:12" ht="15" customHeight="1" x14ac:dyDescent="0.3">
      <c r="A175" s="16"/>
      <c r="B175" s="17"/>
      <c r="C175" s="17"/>
      <c r="D175" s="17"/>
      <c r="E175" s="18"/>
      <c r="F175" s="17"/>
      <c r="G175" s="17"/>
      <c r="H175" s="17"/>
      <c r="I175" s="18"/>
      <c r="J175" s="17"/>
      <c r="K175" s="17"/>
      <c r="L175" s="17"/>
    </row>
    <row r="176" spans="1:12" ht="15" customHeight="1" x14ac:dyDescent="0.3">
      <c r="A176" s="13"/>
      <c r="B176" s="14"/>
      <c r="C176" s="14"/>
      <c r="D176" s="14"/>
      <c r="E176" s="15"/>
      <c r="F176" s="14"/>
      <c r="G176" s="14"/>
      <c r="H176" s="14"/>
      <c r="I176" s="15"/>
      <c r="J176" s="14"/>
      <c r="K176" s="14"/>
      <c r="L176" s="14"/>
    </row>
    <row r="177" spans="1:12" ht="15" customHeight="1" x14ac:dyDescent="0.3">
      <c r="A177" s="16"/>
      <c r="B177" s="17"/>
      <c r="C177" s="17"/>
      <c r="D177" s="17"/>
      <c r="E177" s="18"/>
      <c r="F177" s="17"/>
      <c r="G177" s="17"/>
      <c r="H177" s="17"/>
      <c r="I177" s="18"/>
      <c r="J177" s="17"/>
      <c r="K177" s="17"/>
      <c r="L177" s="17"/>
    </row>
    <row r="178" spans="1:12" ht="15" customHeight="1" x14ac:dyDescent="0.3">
      <c r="A178" s="13"/>
      <c r="B178" s="14"/>
      <c r="C178" s="14"/>
      <c r="D178" s="14"/>
      <c r="E178" s="15"/>
      <c r="F178" s="14"/>
      <c r="G178" s="14"/>
      <c r="H178" s="14"/>
      <c r="I178" s="15"/>
      <c r="J178" s="14"/>
      <c r="K178" s="14"/>
      <c r="L178" s="14"/>
    </row>
    <row r="179" spans="1:12" ht="15" customHeight="1" x14ac:dyDescent="0.3">
      <c r="A179" s="16"/>
      <c r="B179" s="17"/>
      <c r="C179" s="17"/>
      <c r="D179" s="17"/>
      <c r="E179" s="18"/>
      <c r="F179" s="17"/>
      <c r="G179" s="17"/>
      <c r="H179" s="17"/>
      <c r="I179" s="18"/>
      <c r="J179" s="17"/>
      <c r="K179" s="17"/>
      <c r="L179" s="17"/>
    </row>
    <row r="180" spans="1:12" ht="15" customHeight="1" x14ac:dyDescent="0.3">
      <c r="A180" s="13"/>
      <c r="B180" s="14"/>
      <c r="C180" s="14"/>
      <c r="D180" s="14"/>
      <c r="E180" s="15"/>
      <c r="F180" s="14"/>
      <c r="G180" s="14"/>
      <c r="H180" s="14"/>
      <c r="I180" s="15"/>
      <c r="J180" s="14"/>
      <c r="K180" s="14"/>
      <c r="L180" s="14"/>
    </row>
    <row r="181" spans="1:12" ht="15" customHeight="1" x14ac:dyDescent="0.3">
      <c r="A181" s="16"/>
      <c r="B181" s="17"/>
      <c r="C181" s="17"/>
      <c r="D181" s="17"/>
      <c r="E181" s="18"/>
      <c r="F181" s="17"/>
      <c r="G181" s="17"/>
      <c r="H181" s="17"/>
      <c r="I181" s="18"/>
      <c r="J181" s="17"/>
      <c r="K181" s="17"/>
      <c r="L181" s="17"/>
    </row>
    <row r="182" spans="1:12" ht="15" customHeight="1" x14ac:dyDescent="0.3">
      <c r="A182" s="13"/>
      <c r="B182" s="14"/>
      <c r="C182" s="14"/>
      <c r="D182" s="14"/>
      <c r="E182" s="15"/>
      <c r="F182" s="14"/>
      <c r="G182" s="14"/>
      <c r="H182" s="14"/>
      <c r="I182" s="15"/>
      <c r="J182" s="14"/>
      <c r="K182" s="14"/>
      <c r="L182" s="14"/>
    </row>
    <row r="183" spans="1:12" ht="15" customHeight="1" x14ac:dyDescent="0.3">
      <c r="A183" s="16"/>
      <c r="B183" s="17"/>
      <c r="C183" s="17"/>
      <c r="D183" s="17"/>
      <c r="E183" s="18"/>
      <c r="F183" s="17"/>
      <c r="G183" s="17"/>
      <c r="H183" s="17"/>
      <c r="I183" s="18"/>
      <c r="J183" s="17"/>
      <c r="K183" s="17"/>
      <c r="L183" s="17"/>
    </row>
    <row r="184" spans="1:12" ht="15" customHeight="1" x14ac:dyDescent="0.3">
      <c r="A184" s="13"/>
      <c r="B184" s="14"/>
      <c r="C184" s="14"/>
      <c r="D184" s="14"/>
      <c r="E184" s="15"/>
      <c r="F184" s="14"/>
      <c r="G184" s="14"/>
      <c r="H184" s="14"/>
      <c r="I184" s="15"/>
      <c r="J184" s="14"/>
      <c r="K184" s="14"/>
      <c r="L184" s="14"/>
    </row>
    <row r="185" spans="1:12" ht="15" customHeight="1" x14ac:dyDescent="0.3">
      <c r="A185" s="16"/>
      <c r="B185" s="17"/>
      <c r="C185" s="17"/>
      <c r="D185" s="17"/>
      <c r="E185" s="18"/>
      <c r="F185" s="17"/>
      <c r="G185" s="17"/>
      <c r="H185" s="17"/>
      <c r="I185" s="18"/>
      <c r="J185" s="17"/>
      <c r="K185" s="17"/>
      <c r="L185" s="17"/>
    </row>
    <row r="186" spans="1:12" ht="15" customHeight="1" x14ac:dyDescent="0.3">
      <c r="A186" s="13"/>
      <c r="B186" s="14"/>
      <c r="C186" s="14"/>
      <c r="D186" s="14"/>
      <c r="E186" s="15"/>
      <c r="F186" s="14"/>
      <c r="G186" s="14"/>
      <c r="H186" s="14"/>
      <c r="I186" s="15"/>
      <c r="J186" s="14"/>
      <c r="K186" s="14"/>
      <c r="L186" s="14"/>
    </row>
    <row r="187" spans="1:12" ht="15" customHeight="1" x14ac:dyDescent="0.3">
      <c r="A187" s="16"/>
      <c r="B187" s="17"/>
      <c r="C187" s="17"/>
      <c r="D187" s="17"/>
      <c r="E187" s="18"/>
      <c r="F187" s="17"/>
      <c r="G187" s="17"/>
      <c r="H187" s="17"/>
      <c r="I187" s="18"/>
      <c r="J187" s="17"/>
      <c r="K187" s="17"/>
      <c r="L187" s="17"/>
    </row>
    <row r="188" spans="1:12" ht="15" customHeight="1" x14ac:dyDescent="0.3">
      <c r="A188" s="13"/>
      <c r="B188" s="14"/>
      <c r="C188" s="14"/>
      <c r="D188" s="14"/>
      <c r="E188" s="15"/>
      <c r="F188" s="14"/>
      <c r="G188" s="14"/>
      <c r="H188" s="14"/>
      <c r="I188" s="15"/>
      <c r="J188" s="14"/>
      <c r="K188" s="14"/>
      <c r="L188" s="14"/>
    </row>
    <row r="189" spans="1:12" ht="15" customHeight="1" x14ac:dyDescent="0.3">
      <c r="A189" s="16"/>
      <c r="B189" s="17"/>
      <c r="C189" s="17"/>
      <c r="D189" s="17"/>
      <c r="E189" s="18"/>
      <c r="F189" s="17"/>
      <c r="G189" s="17"/>
      <c r="H189" s="17"/>
      <c r="I189" s="18"/>
      <c r="J189" s="17"/>
      <c r="K189" s="17"/>
      <c r="L189" s="17"/>
    </row>
    <row r="190" spans="1:12" ht="15" customHeight="1" x14ac:dyDescent="0.3">
      <c r="A190" s="13"/>
      <c r="B190" s="14"/>
      <c r="C190" s="14"/>
      <c r="D190" s="14"/>
      <c r="E190" s="15"/>
      <c r="F190" s="14"/>
      <c r="G190" s="14"/>
      <c r="H190" s="14"/>
      <c r="I190" s="15"/>
      <c r="J190" s="14"/>
      <c r="K190" s="14"/>
      <c r="L190" s="14"/>
    </row>
    <row r="191" spans="1:12" ht="15" customHeight="1" x14ac:dyDescent="0.3">
      <c r="A191" s="16"/>
      <c r="B191" s="17"/>
      <c r="C191" s="17"/>
      <c r="D191" s="17"/>
      <c r="E191" s="18"/>
      <c r="F191" s="17"/>
      <c r="G191" s="17"/>
      <c r="H191" s="17"/>
      <c r="I191" s="18"/>
      <c r="J191" s="17"/>
      <c r="K191" s="17"/>
      <c r="L191" s="17"/>
    </row>
    <row r="192" spans="1:12" ht="15" customHeight="1" x14ac:dyDescent="0.3">
      <c r="A192" s="13"/>
      <c r="B192" s="14"/>
      <c r="C192" s="14"/>
      <c r="D192" s="14"/>
      <c r="E192" s="15"/>
      <c r="F192" s="14"/>
      <c r="G192" s="14"/>
      <c r="H192" s="14"/>
      <c r="I192" s="15"/>
      <c r="J192" s="14"/>
      <c r="K192" s="14"/>
      <c r="L192" s="14"/>
    </row>
    <row r="193" spans="1:12" ht="15" customHeight="1" x14ac:dyDescent="0.3">
      <c r="A193" s="16"/>
      <c r="B193" s="17"/>
      <c r="C193" s="17"/>
      <c r="D193" s="17"/>
      <c r="E193" s="18"/>
      <c r="F193" s="17"/>
      <c r="G193" s="17"/>
      <c r="H193" s="17"/>
      <c r="I193" s="18"/>
      <c r="J193" s="17"/>
      <c r="K193" s="17"/>
      <c r="L193" s="17"/>
    </row>
    <row r="194" spans="1:12" ht="15" customHeight="1" x14ac:dyDescent="0.3">
      <c r="A194" s="13"/>
      <c r="B194" s="14"/>
      <c r="C194" s="14"/>
      <c r="D194" s="14"/>
      <c r="E194" s="15"/>
      <c r="F194" s="14"/>
      <c r="G194" s="14"/>
      <c r="H194" s="14"/>
      <c r="I194" s="15"/>
      <c r="J194" s="14"/>
      <c r="K194" s="14"/>
      <c r="L194" s="14"/>
    </row>
    <row r="195" spans="1:12" ht="15" customHeight="1" x14ac:dyDescent="0.3">
      <c r="A195" s="16"/>
      <c r="B195" s="17"/>
      <c r="C195" s="17"/>
      <c r="D195" s="17"/>
      <c r="E195" s="18"/>
      <c r="F195" s="17"/>
      <c r="G195" s="17"/>
      <c r="H195" s="17"/>
      <c r="I195" s="18"/>
      <c r="J195" s="17"/>
      <c r="K195" s="17"/>
      <c r="L195" s="17"/>
    </row>
    <row r="196" spans="1:12" ht="15" customHeight="1" x14ac:dyDescent="0.3">
      <c r="A196" s="13"/>
      <c r="B196" s="14"/>
      <c r="C196" s="14"/>
      <c r="D196" s="14"/>
      <c r="E196" s="15"/>
      <c r="F196" s="14"/>
      <c r="G196" s="14"/>
      <c r="H196" s="14"/>
      <c r="I196" s="15"/>
      <c r="J196" s="14"/>
      <c r="K196" s="14"/>
      <c r="L196" s="14"/>
    </row>
    <row r="197" spans="1:12" ht="15" customHeight="1" x14ac:dyDescent="0.3">
      <c r="A197" s="16"/>
      <c r="B197" s="17"/>
      <c r="C197" s="17"/>
      <c r="D197" s="17"/>
      <c r="E197" s="18"/>
      <c r="F197" s="17"/>
      <c r="G197" s="17"/>
      <c r="H197" s="17"/>
      <c r="I197" s="18"/>
      <c r="J197" s="17"/>
      <c r="K197" s="17"/>
      <c r="L197" s="17"/>
    </row>
    <row r="198" spans="1:12" ht="15" customHeight="1" x14ac:dyDescent="0.3">
      <c r="A198" s="13"/>
      <c r="B198" s="14"/>
      <c r="C198" s="14"/>
      <c r="D198" s="14"/>
      <c r="E198" s="15"/>
      <c r="F198" s="14"/>
      <c r="G198" s="14"/>
      <c r="H198" s="14"/>
      <c r="I198" s="15"/>
      <c r="J198" s="14"/>
      <c r="K198" s="14"/>
      <c r="L198" s="14"/>
    </row>
    <row r="199" spans="1:12" ht="15" customHeight="1" x14ac:dyDescent="0.3">
      <c r="A199" s="16"/>
      <c r="B199" s="17"/>
      <c r="C199" s="17"/>
      <c r="D199" s="17"/>
      <c r="E199" s="18"/>
      <c r="F199" s="17"/>
      <c r="G199" s="17"/>
      <c r="H199" s="17"/>
      <c r="I199" s="18"/>
      <c r="J199" s="17"/>
      <c r="K199" s="17"/>
      <c r="L199" s="17"/>
    </row>
    <row r="200" spans="1:12" ht="15" customHeight="1" x14ac:dyDescent="0.3">
      <c r="A200" s="13"/>
      <c r="B200" s="14"/>
      <c r="C200" s="14"/>
      <c r="D200" s="14"/>
      <c r="E200" s="15"/>
      <c r="F200" s="14"/>
      <c r="G200" s="14"/>
      <c r="H200" s="14"/>
      <c r="I200" s="15"/>
      <c r="J200" s="14"/>
      <c r="K200" s="14"/>
      <c r="L200" s="14"/>
    </row>
    <row r="201" spans="1:12" ht="15" customHeight="1" x14ac:dyDescent="0.3">
      <c r="A201" s="16"/>
      <c r="B201" s="17"/>
      <c r="C201" s="17"/>
      <c r="D201" s="17"/>
      <c r="E201" s="18"/>
      <c r="F201" s="17"/>
      <c r="G201" s="17"/>
      <c r="H201" s="17"/>
      <c r="I201" s="18"/>
      <c r="J201" s="17"/>
      <c r="K201" s="17"/>
      <c r="L201" s="17"/>
    </row>
    <row r="202" spans="1:12" ht="15" customHeight="1" x14ac:dyDescent="0.3">
      <c r="A202" s="13"/>
      <c r="B202" s="14"/>
      <c r="C202" s="14"/>
      <c r="D202" s="14"/>
      <c r="E202" s="15"/>
      <c r="F202" s="14"/>
      <c r="G202" s="14"/>
      <c r="H202" s="14"/>
      <c r="I202" s="15"/>
      <c r="J202" s="14"/>
      <c r="K202" s="14"/>
      <c r="L202" s="14"/>
    </row>
    <row r="203" spans="1:12" ht="15" customHeight="1" x14ac:dyDescent="0.3">
      <c r="A203" s="16"/>
      <c r="B203" s="17"/>
      <c r="C203" s="17"/>
      <c r="D203" s="17"/>
      <c r="E203" s="18"/>
      <c r="F203" s="17"/>
      <c r="G203" s="17"/>
      <c r="H203" s="17"/>
      <c r="I203" s="18"/>
      <c r="J203" s="17"/>
      <c r="K203" s="17"/>
      <c r="L203" s="17"/>
    </row>
    <row r="204" spans="1:12" ht="15" customHeight="1" x14ac:dyDescent="0.3">
      <c r="A204" s="13"/>
      <c r="B204" s="14"/>
      <c r="C204" s="14"/>
      <c r="D204" s="14"/>
      <c r="E204" s="15"/>
      <c r="F204" s="14"/>
      <c r="G204" s="14"/>
      <c r="H204" s="14"/>
      <c r="I204" s="15"/>
      <c r="J204" s="14"/>
      <c r="K204" s="14"/>
      <c r="L204" s="14"/>
    </row>
    <row r="205" spans="1:12" ht="15" customHeight="1" x14ac:dyDescent="0.3">
      <c r="A205" s="16"/>
      <c r="B205" s="17"/>
      <c r="C205" s="17"/>
      <c r="D205" s="17"/>
      <c r="E205" s="18"/>
      <c r="F205" s="17"/>
      <c r="G205" s="17"/>
      <c r="H205" s="17"/>
      <c r="I205" s="18"/>
      <c r="J205" s="17"/>
      <c r="K205" s="17"/>
      <c r="L205" s="17"/>
    </row>
    <row r="206" spans="1:12" ht="15" customHeight="1" x14ac:dyDescent="0.3">
      <c r="A206" s="13"/>
      <c r="B206" s="14"/>
      <c r="C206" s="14"/>
      <c r="D206" s="14"/>
      <c r="E206" s="15"/>
      <c r="F206" s="14"/>
      <c r="G206" s="14"/>
      <c r="H206" s="14"/>
      <c r="I206" s="15"/>
      <c r="J206" s="14"/>
      <c r="K206" s="14"/>
      <c r="L206" s="14"/>
    </row>
    <row r="207" spans="1:12" ht="15" customHeight="1" x14ac:dyDescent="0.3">
      <c r="A207" s="16"/>
      <c r="B207" s="17"/>
      <c r="C207" s="17"/>
      <c r="D207" s="17"/>
      <c r="E207" s="18"/>
      <c r="F207" s="17"/>
      <c r="G207" s="17"/>
      <c r="H207" s="17"/>
      <c r="I207" s="18"/>
      <c r="J207" s="17"/>
      <c r="K207" s="17"/>
      <c r="L207" s="17"/>
    </row>
    <row r="208" spans="1:12" ht="15" customHeight="1" x14ac:dyDescent="0.3">
      <c r="A208" s="13"/>
      <c r="B208" s="14"/>
      <c r="C208" s="14"/>
      <c r="D208" s="14"/>
      <c r="E208" s="15"/>
      <c r="F208" s="14"/>
      <c r="G208" s="14"/>
      <c r="H208" s="14"/>
      <c r="I208" s="15"/>
      <c r="J208" s="14"/>
      <c r="K208" s="14"/>
      <c r="L208" s="14"/>
    </row>
    <row r="209" spans="1:12" ht="15" customHeight="1" x14ac:dyDescent="0.3">
      <c r="A209" s="16"/>
      <c r="B209" s="17"/>
      <c r="C209" s="17"/>
      <c r="D209" s="17"/>
      <c r="E209" s="18"/>
      <c r="F209" s="17"/>
      <c r="G209" s="17"/>
      <c r="H209" s="17"/>
      <c r="I209" s="18"/>
      <c r="J209" s="17"/>
      <c r="K209" s="17"/>
      <c r="L209" s="17"/>
    </row>
    <row r="210" spans="1:12" ht="15" customHeight="1" x14ac:dyDescent="0.3">
      <c r="A210" s="13"/>
      <c r="B210" s="14"/>
      <c r="C210" s="14"/>
      <c r="D210" s="14"/>
      <c r="E210" s="15"/>
      <c r="F210" s="14"/>
      <c r="G210" s="14"/>
      <c r="H210" s="14"/>
      <c r="I210" s="15"/>
      <c r="J210" s="14"/>
      <c r="K210" s="14"/>
      <c r="L210" s="14"/>
    </row>
    <row r="211" spans="1:12" ht="15" customHeight="1" x14ac:dyDescent="0.3">
      <c r="A211" s="16"/>
      <c r="B211" s="17"/>
      <c r="C211" s="17"/>
      <c r="D211" s="17"/>
      <c r="E211" s="18"/>
      <c r="F211" s="17"/>
      <c r="G211" s="17"/>
      <c r="H211" s="17"/>
      <c r="I211" s="18"/>
      <c r="J211" s="17"/>
      <c r="K211" s="17"/>
      <c r="L211" s="17"/>
    </row>
    <row r="212" spans="1:12" ht="15" customHeight="1" x14ac:dyDescent="0.3">
      <c r="A212" s="13"/>
      <c r="B212" s="14"/>
      <c r="C212" s="14"/>
      <c r="D212" s="14"/>
      <c r="E212" s="15"/>
      <c r="F212" s="14"/>
      <c r="G212" s="14"/>
      <c r="H212" s="14"/>
      <c r="I212" s="15"/>
      <c r="J212" s="14"/>
      <c r="K212" s="14"/>
      <c r="L212" s="14"/>
    </row>
    <row r="213" spans="1:12" ht="15" customHeight="1" x14ac:dyDescent="0.3">
      <c r="A213" s="16"/>
      <c r="B213" s="17"/>
      <c r="C213" s="17"/>
      <c r="D213" s="17"/>
      <c r="E213" s="18"/>
      <c r="F213" s="17"/>
      <c r="G213" s="17"/>
      <c r="H213" s="17"/>
      <c r="I213" s="18"/>
      <c r="J213" s="17"/>
      <c r="K213" s="17"/>
      <c r="L213" s="17"/>
    </row>
    <row r="214" spans="1:12" ht="15" customHeight="1" x14ac:dyDescent="0.3">
      <c r="A214" s="13"/>
      <c r="B214" s="14"/>
      <c r="C214" s="14"/>
      <c r="D214" s="14"/>
      <c r="E214" s="15"/>
      <c r="F214" s="14"/>
      <c r="G214" s="14"/>
      <c r="H214" s="14"/>
      <c r="I214" s="15"/>
      <c r="J214" s="14"/>
      <c r="K214" s="14"/>
      <c r="L214" s="14"/>
    </row>
    <row r="215" spans="1:12" ht="15" customHeight="1" x14ac:dyDescent="0.3">
      <c r="A215" s="16"/>
      <c r="B215" s="17"/>
      <c r="C215" s="17"/>
      <c r="D215" s="17"/>
      <c r="E215" s="18"/>
      <c r="F215" s="17"/>
      <c r="G215" s="17"/>
      <c r="H215" s="17"/>
      <c r="I215" s="18"/>
      <c r="J215" s="17"/>
      <c r="K215" s="17"/>
      <c r="L215" s="17"/>
    </row>
    <row r="216" spans="1:12" ht="15" customHeight="1" x14ac:dyDescent="0.3">
      <c r="A216" s="13"/>
      <c r="B216" s="14"/>
      <c r="C216" s="14"/>
      <c r="D216" s="14"/>
      <c r="E216" s="15"/>
      <c r="F216" s="14"/>
      <c r="G216" s="14"/>
      <c r="H216" s="14"/>
      <c r="I216" s="15"/>
      <c r="J216" s="14"/>
      <c r="K216" s="14"/>
      <c r="L216" s="14"/>
    </row>
    <row r="217" spans="1:12" ht="15" customHeight="1" x14ac:dyDescent="0.3">
      <c r="A217" s="16"/>
      <c r="B217" s="17"/>
      <c r="C217" s="17"/>
      <c r="D217" s="17"/>
      <c r="E217" s="18"/>
      <c r="F217" s="17"/>
      <c r="G217" s="17"/>
      <c r="H217" s="17"/>
      <c r="I217" s="18"/>
      <c r="J217" s="17"/>
      <c r="K217" s="17"/>
      <c r="L217" s="17"/>
    </row>
    <row r="218" spans="1:12" ht="15" customHeight="1" x14ac:dyDescent="0.3">
      <c r="A218" s="13"/>
      <c r="B218" s="14"/>
      <c r="C218" s="14"/>
      <c r="D218" s="14"/>
      <c r="E218" s="15"/>
      <c r="F218" s="14"/>
      <c r="G218" s="14"/>
      <c r="H218" s="14"/>
      <c r="I218" s="15"/>
      <c r="J218" s="14"/>
      <c r="K218" s="14"/>
      <c r="L218" s="14"/>
    </row>
    <row r="219" spans="1:12" ht="15" customHeight="1" x14ac:dyDescent="0.3">
      <c r="A219" s="16"/>
      <c r="B219" s="17"/>
      <c r="C219" s="17"/>
      <c r="D219" s="17"/>
      <c r="E219" s="18"/>
      <c r="F219" s="17"/>
      <c r="G219" s="17"/>
      <c r="H219" s="17"/>
      <c r="I219" s="18"/>
      <c r="J219" s="17"/>
      <c r="K219" s="17"/>
      <c r="L219" s="17"/>
    </row>
    <row r="220" spans="1:12" ht="15" customHeight="1" x14ac:dyDescent="0.3">
      <c r="A220" s="13"/>
      <c r="B220" s="14"/>
      <c r="C220" s="14"/>
      <c r="D220" s="14"/>
      <c r="E220" s="15"/>
      <c r="F220" s="14"/>
      <c r="G220" s="14"/>
      <c r="H220" s="14"/>
      <c r="I220" s="15"/>
      <c r="J220" s="14"/>
      <c r="K220" s="14"/>
      <c r="L220" s="14"/>
    </row>
    <row r="221" spans="1:12" ht="15" customHeight="1" x14ac:dyDescent="0.3">
      <c r="A221" s="16"/>
      <c r="B221" s="17"/>
      <c r="C221" s="17"/>
      <c r="D221" s="17"/>
      <c r="E221" s="18"/>
      <c r="F221" s="17"/>
      <c r="G221" s="17"/>
      <c r="H221" s="17"/>
      <c r="I221" s="18"/>
      <c r="J221" s="17"/>
      <c r="K221" s="17"/>
      <c r="L221" s="17"/>
    </row>
    <row r="222" spans="1:12" ht="15" customHeight="1" x14ac:dyDescent="0.3">
      <c r="A222" s="13"/>
      <c r="B222" s="14"/>
      <c r="C222" s="14"/>
      <c r="D222" s="14"/>
      <c r="E222" s="15"/>
      <c r="F222" s="14"/>
      <c r="G222" s="14"/>
      <c r="H222" s="14"/>
      <c r="I222" s="15"/>
      <c r="J222" s="14"/>
      <c r="K222" s="14"/>
      <c r="L222" s="14"/>
    </row>
    <row r="223" spans="1:12" ht="15" customHeight="1" x14ac:dyDescent="0.3">
      <c r="A223" s="16"/>
      <c r="B223" s="17"/>
      <c r="C223" s="17"/>
      <c r="D223" s="17"/>
      <c r="E223" s="18"/>
      <c r="F223" s="17"/>
      <c r="G223" s="17"/>
      <c r="H223" s="17"/>
      <c r="I223" s="18"/>
      <c r="J223" s="17"/>
      <c r="K223" s="17"/>
      <c r="L223" s="17"/>
    </row>
    <row r="224" spans="1:12" ht="15" customHeight="1" x14ac:dyDescent="0.3">
      <c r="A224" s="13"/>
      <c r="B224" s="14"/>
      <c r="C224" s="14"/>
      <c r="D224" s="14"/>
      <c r="E224" s="15"/>
      <c r="F224" s="14"/>
      <c r="G224" s="14"/>
      <c r="H224" s="14"/>
      <c r="I224" s="15"/>
      <c r="J224" s="14"/>
      <c r="K224" s="14"/>
      <c r="L224" s="14"/>
    </row>
    <row r="225" spans="1:12" ht="15" customHeight="1" x14ac:dyDescent="0.3">
      <c r="A225" s="16"/>
      <c r="B225" s="17"/>
      <c r="C225" s="17"/>
      <c r="D225" s="17"/>
      <c r="E225" s="18"/>
      <c r="F225" s="17"/>
      <c r="G225" s="17"/>
      <c r="H225" s="17"/>
      <c r="I225" s="18"/>
      <c r="J225" s="17"/>
      <c r="K225" s="17"/>
      <c r="L225" s="17"/>
    </row>
    <row r="226" spans="1:12" ht="15" customHeight="1" x14ac:dyDescent="0.3">
      <c r="A226" s="13"/>
      <c r="B226" s="14"/>
      <c r="C226" s="14"/>
      <c r="D226" s="14"/>
      <c r="E226" s="15"/>
      <c r="F226" s="14"/>
      <c r="G226" s="14"/>
      <c r="H226" s="14"/>
      <c r="I226" s="15"/>
      <c r="J226" s="14"/>
      <c r="K226" s="14"/>
      <c r="L226" s="14"/>
    </row>
    <row r="227" spans="1:12" ht="15" customHeight="1" x14ac:dyDescent="0.3">
      <c r="A227" s="16"/>
      <c r="B227" s="17"/>
      <c r="C227" s="17"/>
      <c r="D227" s="17"/>
      <c r="E227" s="18"/>
      <c r="F227" s="17"/>
      <c r="G227" s="17"/>
      <c r="H227" s="17"/>
      <c r="I227" s="18"/>
      <c r="J227" s="17"/>
      <c r="K227" s="17"/>
      <c r="L227" s="17"/>
    </row>
    <row r="228" spans="1:12" ht="15" customHeight="1" x14ac:dyDescent="0.3">
      <c r="A228" s="13"/>
      <c r="B228" s="14"/>
      <c r="C228" s="14"/>
      <c r="D228" s="14"/>
      <c r="E228" s="15"/>
      <c r="F228" s="14"/>
      <c r="G228" s="14"/>
      <c r="H228" s="14"/>
      <c r="I228" s="15"/>
      <c r="J228" s="14"/>
      <c r="K228" s="14"/>
      <c r="L228" s="14"/>
    </row>
    <row r="229" spans="1:12" ht="15" customHeight="1" x14ac:dyDescent="0.3">
      <c r="A229" s="16"/>
      <c r="B229" s="17"/>
      <c r="C229" s="17"/>
      <c r="D229" s="17"/>
      <c r="E229" s="18"/>
      <c r="F229" s="17"/>
      <c r="G229" s="17"/>
      <c r="H229" s="17"/>
      <c r="I229" s="18"/>
      <c r="J229" s="17"/>
      <c r="K229" s="17"/>
      <c r="L229" s="17"/>
    </row>
    <row r="230" spans="1:12" ht="15" customHeight="1" x14ac:dyDescent="0.3">
      <c r="A230" s="13"/>
      <c r="B230" s="14"/>
      <c r="C230" s="14"/>
      <c r="D230" s="14"/>
      <c r="E230" s="15"/>
      <c r="F230" s="14"/>
      <c r="G230" s="14"/>
      <c r="H230" s="14"/>
      <c r="I230" s="15"/>
      <c r="J230" s="14"/>
      <c r="K230" s="14"/>
      <c r="L230" s="14"/>
    </row>
    <row r="231" spans="1:12" ht="15" customHeight="1" x14ac:dyDescent="0.3">
      <c r="A231" s="16"/>
      <c r="B231" s="17"/>
      <c r="C231" s="17"/>
      <c r="D231" s="17"/>
      <c r="E231" s="18"/>
      <c r="F231" s="17"/>
      <c r="G231" s="17"/>
      <c r="H231" s="17"/>
      <c r="I231" s="18"/>
      <c r="J231" s="17"/>
      <c r="K231" s="17"/>
      <c r="L231" s="17"/>
    </row>
    <row r="232" spans="1:12" ht="15" customHeight="1" x14ac:dyDescent="0.3">
      <c r="A232" s="13"/>
      <c r="B232" s="14"/>
      <c r="C232" s="14"/>
      <c r="D232" s="14"/>
      <c r="E232" s="15"/>
      <c r="F232" s="14"/>
      <c r="G232" s="14"/>
      <c r="H232" s="14"/>
      <c r="I232" s="15"/>
      <c r="J232" s="14"/>
      <c r="K232" s="14"/>
      <c r="L232" s="14"/>
    </row>
    <row r="233" spans="1:12" ht="15" customHeight="1" x14ac:dyDescent="0.3">
      <c r="A233" s="16"/>
      <c r="B233" s="17"/>
      <c r="C233" s="17"/>
      <c r="D233" s="17"/>
      <c r="E233" s="18"/>
      <c r="F233" s="17"/>
      <c r="G233" s="17"/>
      <c r="H233" s="17"/>
      <c r="I233" s="18"/>
      <c r="J233" s="17"/>
      <c r="K233" s="17"/>
      <c r="L233" s="17"/>
    </row>
    <row r="234" spans="1:12" ht="15" customHeight="1" x14ac:dyDescent="0.3">
      <c r="A234" s="13"/>
      <c r="B234" s="14"/>
      <c r="C234" s="14"/>
      <c r="D234" s="14"/>
      <c r="E234" s="15"/>
      <c r="F234" s="14"/>
      <c r="G234" s="14"/>
      <c r="H234" s="14"/>
      <c r="I234" s="15"/>
      <c r="J234" s="14"/>
      <c r="K234" s="14"/>
      <c r="L234" s="14"/>
    </row>
    <row r="235" spans="1:12" ht="15" customHeight="1" x14ac:dyDescent="0.3">
      <c r="A235" s="16"/>
      <c r="B235" s="17"/>
      <c r="C235" s="17"/>
      <c r="D235" s="17"/>
      <c r="E235" s="18"/>
      <c r="F235" s="17"/>
      <c r="G235" s="17"/>
      <c r="H235" s="17"/>
      <c r="I235" s="18"/>
      <c r="J235" s="17"/>
      <c r="K235" s="17"/>
      <c r="L235" s="17"/>
    </row>
    <row r="236" spans="1:12" ht="15" customHeight="1" x14ac:dyDescent="0.3">
      <c r="A236" s="13"/>
      <c r="B236" s="14"/>
      <c r="C236" s="14"/>
      <c r="D236" s="14"/>
      <c r="E236" s="15"/>
      <c r="F236" s="14"/>
      <c r="G236" s="14"/>
      <c r="H236" s="14"/>
      <c r="I236" s="15"/>
      <c r="J236" s="14"/>
      <c r="K236" s="14"/>
      <c r="L236" s="14"/>
    </row>
    <row r="237" spans="1:12" ht="15" customHeight="1" x14ac:dyDescent="0.3">
      <c r="A237" s="16"/>
      <c r="B237" s="17"/>
      <c r="C237" s="17"/>
      <c r="D237" s="17"/>
      <c r="E237" s="18"/>
      <c r="F237" s="17"/>
      <c r="G237" s="17"/>
      <c r="H237" s="17"/>
      <c r="I237" s="18"/>
      <c r="J237" s="17"/>
      <c r="K237" s="17"/>
      <c r="L237" s="17"/>
    </row>
    <row r="238" spans="1:12" ht="15" customHeight="1" x14ac:dyDescent="0.3">
      <c r="A238" s="13"/>
      <c r="B238" s="14"/>
      <c r="C238" s="14"/>
      <c r="D238" s="14"/>
      <c r="E238" s="15"/>
      <c r="F238" s="14"/>
      <c r="G238" s="14"/>
      <c r="H238" s="14"/>
      <c r="I238" s="15"/>
      <c r="J238" s="14"/>
      <c r="K238" s="14"/>
      <c r="L238" s="14"/>
    </row>
    <row r="239" spans="1:12" ht="15" customHeight="1" x14ac:dyDescent="0.3">
      <c r="A239" s="16"/>
      <c r="B239" s="17"/>
      <c r="C239" s="17"/>
      <c r="D239" s="17"/>
      <c r="E239" s="18"/>
      <c r="F239" s="17"/>
      <c r="G239" s="17"/>
      <c r="H239" s="17"/>
      <c r="I239" s="18"/>
      <c r="J239" s="17"/>
      <c r="K239" s="17"/>
      <c r="L239" s="17"/>
    </row>
    <row r="240" spans="1:12" ht="15" customHeight="1" x14ac:dyDescent="0.3">
      <c r="A240" s="13"/>
      <c r="B240" s="14"/>
      <c r="C240" s="14"/>
      <c r="D240" s="14"/>
      <c r="E240" s="15"/>
      <c r="F240" s="14"/>
      <c r="G240" s="14"/>
      <c r="H240" s="14"/>
      <c r="I240" s="15"/>
      <c r="J240" s="14"/>
      <c r="K240" s="14"/>
      <c r="L240" s="14"/>
    </row>
    <row r="241" spans="1:12" ht="15" customHeight="1" x14ac:dyDescent="0.3">
      <c r="A241" s="16"/>
      <c r="B241" s="17"/>
      <c r="C241" s="17"/>
      <c r="D241" s="17"/>
      <c r="E241" s="18"/>
      <c r="F241" s="17"/>
      <c r="G241" s="17"/>
      <c r="H241" s="17"/>
      <c r="I241" s="18"/>
      <c r="J241" s="17"/>
      <c r="K241" s="17"/>
      <c r="L241" s="17"/>
    </row>
    <row r="242" spans="1:12" ht="15" customHeight="1" x14ac:dyDescent="0.3">
      <c r="A242" s="13"/>
      <c r="B242" s="14"/>
      <c r="C242" s="14"/>
      <c r="D242" s="14"/>
      <c r="E242" s="15"/>
      <c r="F242" s="14"/>
      <c r="G242" s="14"/>
      <c r="H242" s="14"/>
      <c r="I242" s="15"/>
      <c r="J242" s="14"/>
      <c r="K242" s="14"/>
      <c r="L242" s="14"/>
    </row>
    <row r="243" spans="1:12" ht="15" customHeight="1" x14ac:dyDescent="0.3">
      <c r="A243" s="16"/>
      <c r="B243" s="17"/>
      <c r="C243" s="17"/>
      <c r="D243" s="17"/>
      <c r="E243" s="18"/>
      <c r="F243" s="17"/>
      <c r="G243" s="17"/>
      <c r="H243" s="17"/>
      <c r="I243" s="18"/>
      <c r="J243" s="17"/>
      <c r="K243" s="17"/>
      <c r="L243" s="17"/>
    </row>
    <row r="244" spans="1:12" ht="15" customHeight="1" x14ac:dyDescent="0.3">
      <c r="A244" s="13"/>
      <c r="B244" s="14"/>
      <c r="C244" s="14"/>
      <c r="D244" s="14"/>
      <c r="E244" s="15"/>
      <c r="F244" s="14"/>
      <c r="G244" s="14"/>
      <c r="H244" s="14"/>
      <c r="I244" s="15"/>
      <c r="J244" s="14"/>
      <c r="K244" s="14"/>
      <c r="L244" s="14"/>
    </row>
    <row r="245" spans="1:12" ht="15" customHeight="1" x14ac:dyDescent="0.3">
      <c r="A245" s="16"/>
      <c r="B245" s="17"/>
      <c r="C245" s="17"/>
      <c r="D245" s="17"/>
      <c r="E245" s="18"/>
      <c r="F245" s="17"/>
      <c r="G245" s="17"/>
      <c r="H245" s="17"/>
      <c r="I245" s="18"/>
      <c r="J245" s="17"/>
      <c r="K245" s="17"/>
      <c r="L245" s="17"/>
    </row>
    <row r="246" spans="1:12" ht="15" customHeight="1" x14ac:dyDescent="0.3">
      <c r="A246" s="13"/>
      <c r="B246" s="14"/>
      <c r="C246" s="14"/>
      <c r="D246" s="14"/>
      <c r="E246" s="15"/>
      <c r="F246" s="14"/>
      <c r="G246" s="14"/>
      <c r="H246" s="14"/>
      <c r="I246" s="15"/>
      <c r="J246" s="14"/>
      <c r="K246" s="14"/>
      <c r="L246" s="14"/>
    </row>
    <row r="247" spans="1:12" ht="15" customHeight="1" x14ac:dyDescent="0.3">
      <c r="A247" s="16"/>
      <c r="B247" s="17"/>
      <c r="C247" s="17"/>
      <c r="D247" s="17"/>
      <c r="E247" s="18"/>
      <c r="F247" s="17"/>
      <c r="G247" s="17"/>
      <c r="H247" s="17"/>
      <c r="I247" s="18"/>
      <c r="J247" s="17"/>
      <c r="K247" s="17"/>
      <c r="L247" s="17"/>
    </row>
    <row r="248" spans="1:12" ht="15" customHeight="1" x14ac:dyDescent="0.3">
      <c r="A248" s="13"/>
      <c r="B248" s="14"/>
      <c r="C248" s="14"/>
      <c r="D248" s="14"/>
      <c r="E248" s="15"/>
      <c r="F248" s="14"/>
      <c r="G248" s="14"/>
      <c r="H248" s="14"/>
      <c r="I248" s="15"/>
      <c r="J248" s="14"/>
      <c r="K248" s="14"/>
      <c r="L248" s="14"/>
    </row>
    <row r="249" spans="1:12" ht="15" customHeight="1" x14ac:dyDescent="0.3">
      <c r="A249" s="16"/>
      <c r="B249" s="17"/>
      <c r="C249" s="17"/>
      <c r="D249" s="17"/>
      <c r="E249" s="18"/>
      <c r="F249" s="17"/>
      <c r="G249" s="17"/>
      <c r="H249" s="17"/>
      <c r="I249" s="18"/>
      <c r="J249" s="17"/>
      <c r="K249" s="17"/>
      <c r="L249" s="17"/>
    </row>
    <row r="250" spans="1:12" ht="15" customHeight="1" x14ac:dyDescent="0.3">
      <c r="A250" s="13"/>
      <c r="B250" s="14"/>
      <c r="C250" s="14"/>
      <c r="D250" s="14"/>
      <c r="E250" s="15"/>
      <c r="F250" s="14"/>
      <c r="G250" s="14"/>
      <c r="H250" s="14"/>
      <c r="I250" s="15"/>
      <c r="J250" s="14"/>
      <c r="K250" s="14"/>
      <c r="L250" s="14"/>
    </row>
    <row r="251" spans="1:12" ht="15" customHeight="1" x14ac:dyDescent="0.3">
      <c r="A251" s="16"/>
      <c r="B251" s="17"/>
      <c r="C251" s="17"/>
      <c r="D251" s="17"/>
      <c r="E251" s="18"/>
      <c r="F251" s="17"/>
      <c r="G251" s="17"/>
      <c r="H251" s="17"/>
      <c r="I251" s="18"/>
      <c r="J251" s="17"/>
      <c r="K251" s="17"/>
      <c r="L251" s="17"/>
    </row>
    <row r="252" spans="1:12" ht="15" customHeight="1" x14ac:dyDescent="0.3">
      <c r="A252" s="13"/>
      <c r="B252" s="14"/>
      <c r="C252" s="14"/>
      <c r="D252" s="14"/>
      <c r="E252" s="15"/>
      <c r="F252" s="14"/>
      <c r="G252" s="14"/>
      <c r="H252" s="14"/>
      <c r="I252" s="15"/>
      <c r="J252" s="14"/>
      <c r="K252" s="14"/>
      <c r="L252" s="14"/>
    </row>
    <row r="253" spans="1:12" ht="15" customHeight="1" x14ac:dyDescent="0.3">
      <c r="A253" s="16"/>
      <c r="B253" s="17"/>
      <c r="C253" s="17"/>
      <c r="D253" s="17"/>
      <c r="E253" s="18"/>
      <c r="F253" s="17"/>
      <c r="G253" s="17"/>
      <c r="H253" s="17"/>
      <c r="I253" s="18"/>
      <c r="J253" s="17"/>
      <c r="K253" s="17"/>
      <c r="L253" s="17"/>
    </row>
    <row r="254" spans="1:12" ht="15" customHeight="1" x14ac:dyDescent="0.3">
      <c r="A254" s="13"/>
      <c r="B254" s="14"/>
      <c r="C254" s="14"/>
      <c r="D254" s="14"/>
      <c r="E254" s="15"/>
      <c r="F254" s="14"/>
      <c r="G254" s="14"/>
      <c r="H254" s="14"/>
      <c r="I254" s="15"/>
      <c r="J254" s="14"/>
      <c r="K254" s="14"/>
      <c r="L254" s="14"/>
    </row>
    <row r="255" spans="1:12" ht="15" customHeight="1" x14ac:dyDescent="0.3">
      <c r="A255" s="16"/>
      <c r="B255" s="17"/>
      <c r="C255" s="17"/>
      <c r="D255" s="17"/>
      <c r="E255" s="18"/>
      <c r="F255" s="17"/>
      <c r="G255" s="17"/>
      <c r="H255" s="17"/>
      <c r="I255" s="18"/>
      <c r="J255" s="17"/>
      <c r="K255" s="17"/>
      <c r="L255" s="17"/>
    </row>
    <row r="256" spans="1:12" ht="15" customHeight="1" x14ac:dyDescent="0.3">
      <c r="A256" s="13"/>
      <c r="B256" s="14"/>
      <c r="C256" s="14"/>
      <c r="D256" s="14"/>
      <c r="E256" s="15"/>
      <c r="F256" s="14"/>
      <c r="G256" s="14"/>
      <c r="H256" s="14"/>
      <c r="I256" s="15"/>
      <c r="J256" s="14"/>
      <c r="K256" s="14"/>
      <c r="L256" s="14"/>
    </row>
    <row r="257" spans="1:12" ht="15" customHeight="1" x14ac:dyDescent="0.3">
      <c r="A257" s="16"/>
      <c r="B257" s="17"/>
      <c r="C257" s="17"/>
      <c r="D257" s="17"/>
      <c r="E257" s="18"/>
      <c r="F257" s="17"/>
      <c r="G257" s="17"/>
      <c r="H257" s="17"/>
      <c r="I257" s="18"/>
      <c r="J257" s="17"/>
      <c r="K257" s="17"/>
      <c r="L257" s="17"/>
    </row>
    <row r="258" spans="1:12" ht="15" customHeight="1" x14ac:dyDescent="0.3">
      <c r="A258" s="13"/>
      <c r="B258" s="14"/>
      <c r="C258" s="14"/>
      <c r="D258" s="14"/>
      <c r="E258" s="15"/>
      <c r="F258" s="14"/>
      <c r="G258" s="14"/>
      <c r="H258" s="14"/>
      <c r="I258" s="15"/>
      <c r="J258" s="14"/>
      <c r="K258" s="14"/>
      <c r="L258" s="14"/>
    </row>
    <row r="259" spans="1:12" ht="15" customHeight="1" x14ac:dyDescent="0.3">
      <c r="A259" s="16"/>
      <c r="B259" s="17"/>
      <c r="C259" s="17"/>
      <c r="D259" s="17"/>
      <c r="E259" s="18"/>
      <c r="F259" s="17"/>
      <c r="G259" s="17"/>
      <c r="H259" s="17"/>
      <c r="I259" s="18"/>
      <c r="J259" s="17"/>
      <c r="K259" s="17"/>
      <c r="L259" s="17"/>
    </row>
    <row r="260" spans="1:12" ht="15" customHeight="1" x14ac:dyDescent="0.3">
      <c r="A260" s="13"/>
      <c r="B260" s="14"/>
      <c r="C260" s="14"/>
      <c r="D260" s="14"/>
      <c r="E260" s="15"/>
      <c r="F260" s="14"/>
      <c r="G260" s="14"/>
      <c r="H260" s="14"/>
      <c r="I260" s="15"/>
      <c r="J260" s="14"/>
      <c r="K260" s="14"/>
      <c r="L260" s="14"/>
    </row>
    <row r="261" spans="1:12" ht="15" customHeight="1" x14ac:dyDescent="0.3">
      <c r="A261" s="16"/>
      <c r="B261" s="17"/>
      <c r="C261" s="17"/>
      <c r="D261" s="17"/>
      <c r="E261" s="18"/>
      <c r="F261" s="17"/>
      <c r="G261" s="17"/>
      <c r="H261" s="17"/>
      <c r="I261" s="18"/>
      <c r="J261" s="17"/>
      <c r="K261" s="17"/>
      <c r="L261" s="17"/>
    </row>
    <row r="262" spans="1:12" ht="15" customHeight="1" x14ac:dyDescent="0.3">
      <c r="A262" s="13"/>
      <c r="B262" s="14"/>
      <c r="C262" s="14"/>
      <c r="D262" s="14"/>
      <c r="E262" s="15"/>
      <c r="F262" s="14"/>
      <c r="G262" s="14"/>
      <c r="H262" s="14"/>
      <c r="I262" s="15"/>
      <c r="J262" s="14"/>
      <c r="K262" s="14"/>
      <c r="L262" s="14"/>
    </row>
    <row r="263" spans="1:12" ht="15" customHeight="1" x14ac:dyDescent="0.3">
      <c r="A263" s="16"/>
      <c r="B263" s="17"/>
      <c r="C263" s="17"/>
      <c r="D263" s="17"/>
      <c r="E263" s="18"/>
      <c r="F263" s="17"/>
      <c r="G263" s="17"/>
      <c r="H263" s="17"/>
      <c r="I263" s="18"/>
      <c r="J263" s="17"/>
      <c r="K263" s="17"/>
      <c r="L263" s="17"/>
    </row>
    <row r="264" spans="1:12" ht="15" customHeight="1" x14ac:dyDescent="0.3">
      <c r="A264" s="13"/>
      <c r="B264" s="14"/>
      <c r="C264" s="14"/>
      <c r="D264" s="14"/>
      <c r="E264" s="15"/>
      <c r="F264" s="14"/>
      <c r="G264" s="14"/>
      <c r="H264" s="14"/>
      <c r="I264" s="15"/>
      <c r="J264" s="14"/>
      <c r="K264" s="14"/>
      <c r="L264" s="14"/>
    </row>
    <row r="265" spans="1:12" ht="15" customHeight="1" x14ac:dyDescent="0.3">
      <c r="A265" s="16"/>
      <c r="B265" s="17"/>
      <c r="C265" s="17"/>
      <c r="D265" s="17"/>
      <c r="E265" s="18"/>
      <c r="F265" s="17"/>
      <c r="G265" s="17"/>
      <c r="H265" s="17"/>
      <c r="I265" s="18"/>
      <c r="J265" s="17"/>
      <c r="K265" s="17"/>
      <c r="L265" s="17"/>
    </row>
    <row r="266" spans="1:12" ht="15" customHeight="1" x14ac:dyDescent="0.3">
      <c r="A266" s="13"/>
      <c r="B266" s="14"/>
      <c r="C266" s="14"/>
      <c r="D266" s="14"/>
      <c r="E266" s="15"/>
      <c r="F266" s="14"/>
      <c r="G266" s="14"/>
      <c r="H266" s="14"/>
      <c r="I266" s="15"/>
      <c r="J266" s="14"/>
      <c r="K266" s="14"/>
      <c r="L266" s="14"/>
    </row>
    <row r="267" spans="1:12" ht="15" customHeight="1" x14ac:dyDescent="0.3">
      <c r="A267" s="16"/>
      <c r="B267" s="17"/>
      <c r="C267" s="17"/>
      <c r="D267" s="17"/>
      <c r="E267" s="18"/>
      <c r="F267" s="17"/>
      <c r="G267" s="17"/>
      <c r="H267" s="17"/>
      <c r="I267" s="18"/>
      <c r="J267" s="17"/>
      <c r="K267" s="17"/>
      <c r="L267" s="17"/>
    </row>
    <row r="268" spans="1:12" ht="15" customHeight="1" x14ac:dyDescent="0.3">
      <c r="A268" s="13"/>
      <c r="B268" s="14"/>
      <c r="C268" s="14"/>
      <c r="D268" s="14"/>
      <c r="E268" s="15"/>
      <c r="F268" s="14"/>
      <c r="G268" s="14"/>
      <c r="H268" s="14"/>
      <c r="I268" s="15"/>
      <c r="J268" s="14"/>
      <c r="K268" s="14"/>
      <c r="L268" s="14"/>
    </row>
    <row r="269" spans="1:12" ht="15" customHeight="1" x14ac:dyDescent="0.3">
      <c r="A269" s="16"/>
      <c r="B269" s="17"/>
      <c r="C269" s="17"/>
      <c r="D269" s="17"/>
      <c r="E269" s="18"/>
      <c r="F269" s="17"/>
      <c r="G269" s="17"/>
      <c r="H269" s="17"/>
      <c r="I269" s="18"/>
      <c r="J269" s="17"/>
      <c r="K269" s="17"/>
      <c r="L269" s="17"/>
    </row>
    <row r="270" spans="1:12" ht="15" customHeight="1" x14ac:dyDescent="0.3">
      <c r="A270" s="13"/>
      <c r="B270" s="14"/>
      <c r="C270" s="14"/>
      <c r="D270" s="14"/>
      <c r="E270" s="15"/>
      <c r="F270" s="14"/>
      <c r="G270" s="14"/>
      <c r="H270" s="14"/>
      <c r="I270" s="15"/>
      <c r="J270" s="14"/>
      <c r="K270" s="14"/>
      <c r="L270" s="14"/>
    </row>
    <row r="271" spans="1:12" ht="15" customHeight="1" x14ac:dyDescent="0.3">
      <c r="A271" s="16"/>
      <c r="B271" s="17"/>
      <c r="C271" s="17"/>
      <c r="D271" s="17"/>
      <c r="E271" s="18"/>
      <c r="F271" s="17"/>
      <c r="G271" s="17"/>
      <c r="H271" s="17"/>
      <c r="I271" s="18"/>
      <c r="J271" s="17"/>
      <c r="K271" s="17"/>
      <c r="L271" s="17"/>
    </row>
    <row r="272" spans="1:12" ht="15" customHeight="1" x14ac:dyDescent="0.3">
      <c r="A272" s="13"/>
      <c r="B272" s="14"/>
      <c r="C272" s="14"/>
      <c r="D272" s="14"/>
      <c r="E272" s="15"/>
      <c r="F272" s="14"/>
      <c r="G272" s="14"/>
      <c r="H272" s="14"/>
      <c r="I272" s="15"/>
      <c r="J272" s="14"/>
      <c r="K272" s="14"/>
      <c r="L272" s="14"/>
    </row>
    <row r="273" spans="1:12" ht="15" customHeight="1" x14ac:dyDescent="0.3">
      <c r="A273" s="16"/>
      <c r="B273" s="17"/>
      <c r="C273" s="17"/>
      <c r="D273" s="17"/>
      <c r="E273" s="18"/>
      <c r="F273" s="17"/>
      <c r="G273" s="17"/>
      <c r="H273" s="17"/>
      <c r="I273" s="18"/>
      <c r="J273" s="17"/>
      <c r="K273" s="17"/>
      <c r="L273" s="17"/>
    </row>
    <row r="274" spans="1:12" ht="15" customHeight="1" x14ac:dyDescent="0.3">
      <c r="A274" s="13"/>
      <c r="B274" s="14"/>
      <c r="C274" s="14"/>
      <c r="D274" s="14"/>
      <c r="E274" s="15"/>
      <c r="F274" s="14"/>
      <c r="G274" s="14"/>
      <c r="H274" s="14"/>
      <c r="I274" s="15"/>
      <c r="J274" s="14"/>
      <c r="K274" s="14"/>
      <c r="L274" s="14"/>
    </row>
    <row r="275" spans="1:12" ht="15" customHeight="1" x14ac:dyDescent="0.3">
      <c r="A275" s="16"/>
      <c r="B275" s="17"/>
      <c r="C275" s="17"/>
      <c r="D275" s="17"/>
      <c r="E275" s="18"/>
      <c r="F275" s="17"/>
      <c r="G275" s="17"/>
      <c r="H275" s="17"/>
      <c r="I275" s="18"/>
      <c r="J275" s="17"/>
      <c r="K275" s="17"/>
      <c r="L275" s="17"/>
    </row>
    <row r="276" spans="1:12" ht="15" customHeight="1" x14ac:dyDescent="0.3">
      <c r="A276" s="13"/>
      <c r="B276" s="14"/>
      <c r="C276" s="14"/>
      <c r="D276" s="14"/>
      <c r="E276" s="15"/>
      <c r="F276" s="14"/>
      <c r="G276" s="14"/>
      <c r="H276" s="14"/>
      <c r="I276" s="15"/>
      <c r="J276" s="14"/>
      <c r="K276" s="14"/>
      <c r="L276" s="14"/>
    </row>
    <row r="277" spans="1:12" ht="15" customHeight="1" x14ac:dyDescent="0.3">
      <c r="A277" s="16"/>
      <c r="B277" s="17"/>
      <c r="C277" s="17"/>
      <c r="D277" s="17"/>
      <c r="E277" s="18"/>
      <c r="F277" s="17"/>
      <c r="G277" s="17"/>
      <c r="H277" s="17"/>
      <c r="I277" s="18"/>
      <c r="J277" s="17"/>
      <c r="K277" s="17"/>
      <c r="L277" s="17"/>
    </row>
    <row r="278" spans="1:12" ht="15" customHeight="1" x14ac:dyDescent="0.3">
      <c r="A278" s="13"/>
      <c r="B278" s="14"/>
      <c r="C278" s="14"/>
      <c r="D278" s="14"/>
      <c r="E278" s="15"/>
      <c r="F278" s="14"/>
      <c r="G278" s="14"/>
      <c r="H278" s="14"/>
      <c r="I278" s="15"/>
      <c r="J278" s="14"/>
      <c r="K278" s="14"/>
      <c r="L278" s="14"/>
    </row>
    <row r="279" spans="1:12" ht="15" customHeight="1" x14ac:dyDescent="0.3">
      <c r="A279" s="16"/>
      <c r="B279" s="17"/>
      <c r="C279" s="17"/>
      <c r="D279" s="17"/>
      <c r="E279" s="18"/>
      <c r="F279" s="17"/>
      <c r="G279" s="17"/>
      <c r="H279" s="17"/>
      <c r="I279" s="18"/>
      <c r="J279" s="17"/>
      <c r="K279" s="17"/>
      <c r="L279" s="17"/>
    </row>
    <row r="280" spans="1:12" ht="15" customHeight="1" x14ac:dyDescent="0.3">
      <c r="A280" s="13"/>
      <c r="B280" s="14"/>
      <c r="C280" s="14"/>
      <c r="D280" s="14"/>
      <c r="E280" s="15"/>
      <c r="F280" s="14"/>
      <c r="G280" s="14"/>
      <c r="H280" s="14"/>
      <c r="I280" s="15"/>
      <c r="J280" s="14"/>
      <c r="K280" s="14"/>
      <c r="L280" s="14"/>
    </row>
    <row r="281" spans="1:12" ht="15" customHeight="1" x14ac:dyDescent="0.3">
      <c r="A281" s="16"/>
      <c r="B281" s="17"/>
      <c r="C281" s="17"/>
      <c r="D281" s="17"/>
      <c r="E281" s="18"/>
      <c r="F281" s="17"/>
      <c r="G281" s="17"/>
      <c r="H281" s="17"/>
      <c r="I281" s="18"/>
      <c r="J281" s="17"/>
      <c r="K281" s="17"/>
      <c r="L281" s="17"/>
    </row>
    <row r="282" spans="1:12" ht="15" customHeight="1" x14ac:dyDescent="0.3">
      <c r="A282" s="13"/>
      <c r="B282" s="14"/>
      <c r="C282" s="14"/>
      <c r="D282" s="14"/>
      <c r="E282" s="15"/>
      <c r="F282" s="14"/>
      <c r="G282" s="14"/>
      <c r="H282" s="14"/>
      <c r="I282" s="15"/>
      <c r="J282" s="14"/>
      <c r="K282" s="14"/>
      <c r="L282" s="14"/>
    </row>
    <row r="283" spans="1:12" ht="15" customHeight="1" x14ac:dyDescent="0.3">
      <c r="A283" s="16"/>
      <c r="B283" s="17"/>
      <c r="C283" s="17"/>
      <c r="D283" s="17"/>
      <c r="E283" s="18"/>
      <c r="F283" s="17"/>
      <c r="G283" s="17"/>
      <c r="H283" s="17"/>
      <c r="I283" s="18"/>
      <c r="J283" s="17"/>
      <c r="K283" s="17"/>
      <c r="L283" s="17"/>
    </row>
    <row r="284" spans="1:12" ht="15" customHeight="1" x14ac:dyDescent="0.3">
      <c r="A284" s="13"/>
      <c r="B284" s="14"/>
      <c r="C284" s="14"/>
      <c r="D284" s="14"/>
      <c r="E284" s="15"/>
      <c r="F284" s="14"/>
      <c r="G284" s="14"/>
      <c r="H284" s="14"/>
      <c r="I284" s="15"/>
      <c r="J284" s="14"/>
      <c r="K284" s="14"/>
      <c r="L284" s="14"/>
    </row>
    <row r="285" spans="1:12" ht="15" customHeight="1" x14ac:dyDescent="0.3">
      <c r="A285" s="16"/>
      <c r="B285" s="17"/>
      <c r="C285" s="17"/>
      <c r="D285" s="17"/>
      <c r="E285" s="18"/>
      <c r="F285" s="17"/>
      <c r="G285" s="17"/>
      <c r="H285" s="17"/>
      <c r="I285" s="18"/>
      <c r="J285" s="17"/>
      <c r="K285" s="17"/>
      <c r="L285" s="17"/>
    </row>
    <row r="286" spans="1:12" ht="15" customHeight="1" x14ac:dyDescent="0.3">
      <c r="A286" s="13"/>
      <c r="B286" s="14"/>
      <c r="C286" s="14"/>
      <c r="D286" s="14"/>
      <c r="E286" s="15"/>
      <c r="F286" s="14"/>
      <c r="G286" s="14"/>
      <c r="H286" s="14"/>
      <c r="I286" s="15"/>
      <c r="J286" s="14"/>
      <c r="K286" s="14"/>
      <c r="L286" s="14"/>
    </row>
    <row r="287" spans="1:12" ht="15" customHeight="1" x14ac:dyDescent="0.3">
      <c r="A287" s="16"/>
      <c r="B287" s="17"/>
      <c r="C287" s="17"/>
      <c r="D287" s="17"/>
      <c r="E287" s="18"/>
      <c r="F287" s="17"/>
      <c r="G287" s="17"/>
      <c r="H287" s="17"/>
      <c r="I287" s="18"/>
      <c r="J287" s="17"/>
      <c r="K287" s="17"/>
      <c r="L287" s="17"/>
    </row>
    <row r="288" spans="1:12" ht="15" customHeight="1" x14ac:dyDescent="0.3">
      <c r="A288" s="13"/>
      <c r="B288" s="14"/>
      <c r="C288" s="14"/>
      <c r="D288" s="14"/>
      <c r="E288" s="15"/>
      <c r="F288" s="14"/>
      <c r="G288" s="14"/>
      <c r="H288" s="14"/>
      <c r="I288" s="15"/>
      <c r="J288" s="14"/>
      <c r="K288" s="14"/>
      <c r="L288" s="14"/>
    </row>
    <row r="289" spans="1:12" ht="15" customHeight="1" x14ac:dyDescent="0.3">
      <c r="A289" s="16"/>
      <c r="B289" s="17"/>
      <c r="C289" s="17"/>
      <c r="D289" s="17"/>
      <c r="E289" s="18"/>
      <c r="F289" s="17"/>
      <c r="G289" s="17"/>
      <c r="H289" s="17"/>
      <c r="I289" s="18"/>
      <c r="J289" s="17"/>
      <c r="K289" s="17"/>
      <c r="L289" s="17"/>
    </row>
    <row r="290" spans="1:12" ht="15" customHeight="1" x14ac:dyDescent="0.3">
      <c r="A290" s="13"/>
      <c r="B290" s="14"/>
      <c r="C290" s="14"/>
      <c r="D290" s="14"/>
      <c r="E290" s="15"/>
      <c r="F290" s="14"/>
      <c r="G290" s="14"/>
      <c r="H290" s="14"/>
      <c r="I290" s="15"/>
      <c r="J290" s="14"/>
      <c r="K290" s="14"/>
      <c r="L290" s="14"/>
    </row>
    <row r="291" spans="1:12" ht="15" customHeight="1" x14ac:dyDescent="0.3">
      <c r="A291" s="16"/>
      <c r="B291" s="17"/>
      <c r="C291" s="17"/>
      <c r="D291" s="17"/>
      <c r="E291" s="18"/>
      <c r="F291" s="17"/>
      <c r="G291" s="17"/>
      <c r="H291" s="17"/>
      <c r="I291" s="18"/>
      <c r="J291" s="17"/>
      <c r="K291" s="17"/>
      <c r="L291" s="17"/>
    </row>
    <row r="292" spans="1:12" ht="15" customHeight="1" x14ac:dyDescent="0.3">
      <c r="A292" s="13"/>
      <c r="B292" s="14"/>
      <c r="C292" s="14"/>
      <c r="D292" s="14"/>
      <c r="E292" s="15"/>
      <c r="F292" s="14"/>
      <c r="G292" s="14"/>
      <c r="H292" s="14"/>
      <c r="I292" s="15"/>
      <c r="J292" s="14"/>
      <c r="K292" s="14"/>
      <c r="L292" s="14"/>
    </row>
    <row r="293" spans="1:12" ht="15" customHeight="1" x14ac:dyDescent="0.3">
      <c r="A293" s="16"/>
      <c r="B293" s="17"/>
      <c r="C293" s="17"/>
      <c r="D293" s="17"/>
      <c r="E293" s="18"/>
      <c r="F293" s="17"/>
      <c r="G293" s="17"/>
      <c r="H293" s="17"/>
      <c r="I293" s="18"/>
      <c r="J293" s="17"/>
      <c r="K293" s="17"/>
      <c r="L293" s="17"/>
    </row>
    <row r="294" spans="1:12" ht="15" customHeight="1" x14ac:dyDescent="0.3">
      <c r="A294" s="13"/>
      <c r="B294" s="14"/>
      <c r="C294" s="14"/>
      <c r="D294" s="14"/>
      <c r="E294" s="15"/>
      <c r="F294" s="14"/>
      <c r="G294" s="14"/>
      <c r="H294" s="14"/>
      <c r="I294" s="15"/>
      <c r="J294" s="14"/>
      <c r="K294" s="14"/>
      <c r="L294" s="14"/>
    </row>
    <row r="295" spans="1:12" ht="15" customHeight="1" x14ac:dyDescent="0.3">
      <c r="A295" s="16"/>
      <c r="B295" s="17"/>
      <c r="C295" s="17"/>
      <c r="D295" s="17"/>
      <c r="E295" s="18"/>
      <c r="F295" s="17"/>
      <c r="G295" s="17"/>
      <c r="H295" s="17"/>
      <c r="I295" s="18"/>
      <c r="J295" s="17"/>
      <c r="K295" s="17"/>
      <c r="L295" s="17"/>
    </row>
    <row r="296" spans="1:12" ht="15" customHeight="1" x14ac:dyDescent="0.3">
      <c r="A296" s="13"/>
      <c r="B296" s="14"/>
      <c r="C296" s="14"/>
      <c r="D296" s="14"/>
      <c r="E296" s="15"/>
      <c r="F296" s="14"/>
      <c r="G296" s="14"/>
      <c r="H296" s="14"/>
      <c r="I296" s="15"/>
      <c r="J296" s="14"/>
      <c r="K296" s="14"/>
      <c r="L296" s="14"/>
    </row>
    <row r="297" spans="1:12" ht="15" customHeight="1" x14ac:dyDescent="0.3">
      <c r="A297" s="16"/>
      <c r="B297" s="17"/>
      <c r="C297" s="17"/>
      <c r="D297" s="17"/>
      <c r="E297" s="18"/>
      <c r="F297" s="17"/>
      <c r="G297" s="17"/>
      <c r="H297" s="17"/>
      <c r="I297" s="18"/>
      <c r="J297" s="17"/>
      <c r="K297" s="17"/>
      <c r="L297" s="17"/>
    </row>
    <row r="298" spans="1:12" ht="15" customHeight="1" x14ac:dyDescent="0.3">
      <c r="A298" s="13"/>
      <c r="B298" s="14"/>
      <c r="C298" s="14"/>
      <c r="D298" s="14"/>
      <c r="E298" s="15"/>
      <c r="F298" s="14"/>
      <c r="G298" s="14"/>
      <c r="H298" s="14"/>
      <c r="I298" s="15"/>
      <c r="J298" s="14"/>
      <c r="K298" s="14"/>
      <c r="L298" s="14"/>
    </row>
    <row r="299" spans="1:12" ht="15" customHeight="1" x14ac:dyDescent="0.3">
      <c r="A299" s="16"/>
      <c r="B299" s="17"/>
      <c r="C299" s="17"/>
      <c r="D299" s="17"/>
      <c r="E299" s="18"/>
      <c r="F299" s="17"/>
      <c r="G299" s="17"/>
      <c r="H299" s="17"/>
      <c r="I299" s="18"/>
      <c r="J299" s="17"/>
      <c r="K299" s="17"/>
      <c r="L299" s="17"/>
    </row>
    <row r="300" spans="1:12" ht="15" customHeight="1" x14ac:dyDescent="0.3">
      <c r="A300" s="13"/>
      <c r="B300" s="14"/>
      <c r="C300" s="14"/>
      <c r="D300" s="14"/>
      <c r="E300" s="15"/>
      <c r="F300" s="14"/>
      <c r="G300" s="14"/>
      <c r="H300" s="14"/>
      <c r="I300" s="15"/>
      <c r="J300" s="14"/>
      <c r="K300" s="14"/>
      <c r="L300" s="14"/>
    </row>
    <row r="301" spans="1:12" ht="15" customHeight="1" x14ac:dyDescent="0.3">
      <c r="A301" s="16"/>
      <c r="B301" s="17"/>
      <c r="C301" s="17"/>
      <c r="D301" s="17"/>
      <c r="E301" s="18"/>
      <c r="F301" s="17"/>
      <c r="G301" s="17"/>
      <c r="H301" s="17"/>
      <c r="I301" s="18"/>
      <c r="J301" s="17"/>
      <c r="K301" s="17"/>
      <c r="L301" s="17"/>
    </row>
    <row r="302" spans="1:12" ht="15" customHeight="1" x14ac:dyDescent="0.3">
      <c r="A302" s="13"/>
      <c r="B302" s="14"/>
      <c r="C302" s="14"/>
      <c r="D302" s="14"/>
      <c r="E302" s="15"/>
      <c r="F302" s="14"/>
      <c r="G302" s="14"/>
      <c r="H302" s="14"/>
      <c r="I302" s="15"/>
      <c r="J302" s="14"/>
      <c r="K302" s="14"/>
      <c r="L302" s="14"/>
    </row>
    <row r="303" spans="1:12" ht="15" customHeight="1" x14ac:dyDescent="0.3">
      <c r="A303" s="16"/>
      <c r="B303" s="17"/>
      <c r="C303" s="17"/>
      <c r="D303" s="17"/>
      <c r="E303" s="18"/>
      <c r="F303" s="17"/>
      <c r="G303" s="17"/>
      <c r="H303" s="17"/>
      <c r="I303" s="18"/>
      <c r="J303" s="17"/>
      <c r="K303" s="17"/>
      <c r="L303" s="17"/>
    </row>
    <row r="304" spans="1:12" ht="15" customHeight="1" x14ac:dyDescent="0.3">
      <c r="A304" s="13"/>
      <c r="B304" s="14"/>
      <c r="C304" s="14"/>
      <c r="D304" s="14"/>
      <c r="E304" s="15"/>
      <c r="F304" s="14"/>
      <c r="G304" s="14"/>
      <c r="H304" s="14"/>
      <c r="I304" s="15"/>
      <c r="J304" s="14"/>
      <c r="K304" s="14"/>
      <c r="L304" s="14"/>
    </row>
    <row r="305" spans="1:12" ht="15" customHeight="1" x14ac:dyDescent="0.3">
      <c r="A305" s="16"/>
      <c r="B305" s="17"/>
      <c r="C305" s="17"/>
      <c r="D305" s="17"/>
      <c r="E305" s="18"/>
      <c r="F305" s="17"/>
      <c r="G305" s="17"/>
      <c r="H305" s="17"/>
      <c r="I305" s="18"/>
      <c r="J305" s="17"/>
      <c r="K305" s="17"/>
      <c r="L305" s="17"/>
    </row>
    <row r="306" spans="1:12" ht="15" customHeight="1" x14ac:dyDescent="0.3">
      <c r="A306" s="13"/>
      <c r="B306" s="14"/>
      <c r="C306" s="14"/>
      <c r="D306" s="14"/>
      <c r="E306" s="15"/>
      <c r="F306" s="14"/>
      <c r="G306" s="14"/>
      <c r="H306" s="14"/>
      <c r="I306" s="15"/>
      <c r="J306" s="14"/>
      <c r="K306" s="14"/>
      <c r="L306" s="14"/>
    </row>
    <row r="307" spans="1:12" ht="15" customHeight="1" x14ac:dyDescent="0.3">
      <c r="A307" s="16"/>
      <c r="B307" s="17"/>
      <c r="C307" s="17"/>
      <c r="D307" s="17"/>
      <c r="E307" s="18"/>
      <c r="F307" s="17"/>
      <c r="G307" s="17"/>
      <c r="H307" s="17"/>
      <c r="I307" s="18"/>
      <c r="J307" s="17"/>
      <c r="K307" s="17"/>
      <c r="L307" s="17"/>
    </row>
    <row r="308" spans="1:12" ht="15" customHeight="1" x14ac:dyDescent="0.3">
      <c r="A308" s="13"/>
      <c r="B308" s="14"/>
      <c r="C308" s="14"/>
      <c r="D308" s="14"/>
      <c r="E308" s="15"/>
      <c r="F308" s="14"/>
      <c r="G308" s="14"/>
      <c r="H308" s="14"/>
      <c r="I308" s="15"/>
      <c r="J308" s="14"/>
      <c r="K308" s="14"/>
      <c r="L308" s="14"/>
    </row>
    <row r="309" spans="1:12" ht="15" customHeight="1" x14ac:dyDescent="0.3">
      <c r="A309" s="16"/>
      <c r="B309" s="17"/>
      <c r="C309" s="17"/>
      <c r="D309" s="17"/>
      <c r="E309" s="18"/>
      <c r="F309" s="17"/>
      <c r="G309" s="17"/>
      <c r="H309" s="17"/>
      <c r="I309" s="18"/>
      <c r="J309" s="17"/>
      <c r="K309" s="17"/>
      <c r="L309" s="17"/>
    </row>
    <row r="310" spans="1:12" ht="15" customHeight="1" x14ac:dyDescent="0.3">
      <c r="A310" s="13"/>
      <c r="B310" s="14"/>
      <c r="C310" s="14"/>
      <c r="D310" s="14"/>
      <c r="E310" s="15"/>
      <c r="F310" s="14"/>
      <c r="G310" s="14"/>
      <c r="H310" s="14"/>
      <c r="I310" s="15"/>
      <c r="J310" s="14"/>
      <c r="K310" s="14"/>
      <c r="L310" s="14"/>
    </row>
    <row r="311" spans="1:12" ht="15" customHeight="1" x14ac:dyDescent="0.3">
      <c r="A311" s="16"/>
      <c r="B311" s="17"/>
      <c r="C311" s="17"/>
      <c r="D311" s="17"/>
      <c r="E311" s="18"/>
      <c r="F311" s="17"/>
      <c r="G311" s="17"/>
      <c r="H311" s="17"/>
      <c r="I311" s="18"/>
      <c r="J311" s="17"/>
      <c r="K311" s="17"/>
      <c r="L311" s="17"/>
    </row>
    <row r="312" spans="1:12" ht="15" customHeight="1" x14ac:dyDescent="0.3">
      <c r="A312" s="13"/>
      <c r="B312" s="14"/>
      <c r="C312" s="14"/>
      <c r="D312" s="14"/>
      <c r="E312" s="15"/>
      <c r="F312" s="14"/>
      <c r="G312" s="14"/>
      <c r="H312" s="14"/>
      <c r="I312" s="15"/>
      <c r="J312" s="14"/>
      <c r="K312" s="14"/>
      <c r="L312" s="14"/>
    </row>
    <row r="313" spans="1:12" ht="15" customHeight="1" x14ac:dyDescent="0.3">
      <c r="A313" s="16"/>
      <c r="B313" s="17"/>
      <c r="C313" s="17"/>
      <c r="D313" s="17"/>
      <c r="E313" s="18"/>
      <c r="F313" s="17"/>
      <c r="G313" s="17"/>
      <c r="H313" s="17"/>
      <c r="I313" s="18"/>
      <c r="J313" s="17"/>
      <c r="K313" s="17"/>
      <c r="L313" s="17"/>
    </row>
    <row r="314" spans="1:12" ht="15" customHeight="1" x14ac:dyDescent="0.3">
      <c r="A314" s="13"/>
      <c r="B314" s="14"/>
      <c r="C314" s="14"/>
      <c r="D314" s="14"/>
      <c r="E314" s="15"/>
      <c r="F314" s="14"/>
      <c r="G314" s="14"/>
      <c r="H314" s="14"/>
      <c r="I314" s="15"/>
      <c r="J314" s="14"/>
      <c r="K314" s="14"/>
      <c r="L314" s="14"/>
    </row>
    <row r="315" spans="1:12" ht="15" customHeight="1" x14ac:dyDescent="0.3">
      <c r="A315" s="16"/>
      <c r="B315" s="17"/>
      <c r="C315" s="17"/>
      <c r="D315" s="17"/>
      <c r="E315" s="18"/>
      <c r="F315" s="17"/>
      <c r="G315" s="17"/>
      <c r="H315" s="17"/>
      <c r="I315" s="18"/>
      <c r="J315" s="17"/>
      <c r="K315" s="17"/>
      <c r="L315" s="17"/>
    </row>
    <row r="316" spans="1:12" ht="15" customHeight="1" x14ac:dyDescent="0.3">
      <c r="A316" s="13"/>
      <c r="B316" s="14"/>
      <c r="C316" s="14"/>
      <c r="D316" s="14"/>
      <c r="E316" s="15"/>
      <c r="F316" s="14"/>
      <c r="G316" s="14"/>
      <c r="H316" s="14"/>
      <c r="I316" s="15"/>
      <c r="J316" s="14"/>
      <c r="K316" s="14"/>
      <c r="L316" s="14"/>
    </row>
    <row r="317" spans="1:12" ht="15" customHeight="1" x14ac:dyDescent="0.3">
      <c r="A317" s="16"/>
      <c r="B317" s="17"/>
      <c r="C317" s="17"/>
      <c r="D317" s="17"/>
      <c r="E317" s="18"/>
      <c r="F317" s="17"/>
      <c r="G317" s="17"/>
      <c r="H317" s="17"/>
      <c r="I317" s="18"/>
      <c r="J317" s="17"/>
      <c r="K317" s="17"/>
      <c r="L317" s="17"/>
    </row>
    <row r="318" spans="1:12" ht="15" customHeight="1" x14ac:dyDescent="0.3">
      <c r="A318" s="13"/>
      <c r="B318" s="14"/>
      <c r="C318" s="14"/>
      <c r="D318" s="14"/>
      <c r="E318" s="15"/>
      <c r="F318" s="14"/>
      <c r="G318" s="14"/>
      <c r="H318" s="14"/>
      <c r="I318" s="15"/>
      <c r="J318" s="14"/>
      <c r="K318" s="14"/>
      <c r="L318" s="14"/>
    </row>
    <row r="319" spans="1:12" ht="15" customHeight="1" x14ac:dyDescent="0.3">
      <c r="A319" s="16"/>
      <c r="B319" s="17"/>
      <c r="C319" s="17"/>
      <c r="D319" s="17"/>
      <c r="E319" s="18"/>
      <c r="F319" s="17"/>
      <c r="G319" s="17"/>
      <c r="H319" s="17"/>
      <c r="I319" s="18"/>
      <c r="J319" s="17"/>
      <c r="K319" s="17"/>
      <c r="L319" s="17"/>
    </row>
    <row r="320" spans="1:12" ht="15" customHeight="1" x14ac:dyDescent="0.3">
      <c r="A320" s="13"/>
      <c r="B320" s="14"/>
      <c r="C320" s="14"/>
      <c r="D320" s="14"/>
      <c r="E320" s="15"/>
      <c r="F320" s="14"/>
      <c r="G320" s="14"/>
      <c r="H320" s="14"/>
      <c r="I320" s="15"/>
      <c r="J320" s="14"/>
      <c r="K320" s="14"/>
      <c r="L320" s="14"/>
    </row>
    <row r="321" spans="1:12" ht="15" customHeight="1" x14ac:dyDescent="0.3">
      <c r="A321" s="16"/>
      <c r="B321" s="17"/>
      <c r="C321" s="17"/>
      <c r="D321" s="17"/>
      <c r="E321" s="18"/>
      <c r="F321" s="17"/>
      <c r="G321" s="17"/>
      <c r="H321" s="17"/>
      <c r="I321" s="18"/>
      <c r="J321" s="17"/>
      <c r="K321" s="17"/>
      <c r="L321" s="17"/>
    </row>
    <row r="322" spans="1:12" ht="15" customHeight="1" x14ac:dyDescent="0.3">
      <c r="A322" s="13"/>
      <c r="B322" s="14"/>
      <c r="C322" s="14"/>
      <c r="D322" s="14"/>
      <c r="E322" s="15"/>
      <c r="F322" s="14"/>
      <c r="G322" s="14"/>
      <c r="H322" s="14"/>
      <c r="I322" s="15"/>
      <c r="J322" s="14"/>
      <c r="K322" s="14"/>
      <c r="L322" s="14"/>
    </row>
    <row r="323" spans="1:12" ht="15" customHeight="1" x14ac:dyDescent="0.3">
      <c r="A323" s="16"/>
      <c r="B323" s="17"/>
      <c r="C323" s="17"/>
      <c r="D323" s="17"/>
      <c r="E323" s="18"/>
      <c r="F323" s="17"/>
      <c r="G323" s="17"/>
      <c r="H323" s="17"/>
      <c r="I323" s="18"/>
      <c r="J323" s="17"/>
      <c r="K323" s="17"/>
      <c r="L323" s="17"/>
    </row>
    <row r="324" spans="1:12" ht="15" customHeight="1" x14ac:dyDescent="0.3">
      <c r="A324" s="13"/>
      <c r="B324" s="14"/>
      <c r="C324" s="14"/>
      <c r="D324" s="14"/>
      <c r="E324" s="15"/>
      <c r="F324" s="14"/>
      <c r="G324" s="14"/>
      <c r="H324" s="14"/>
      <c r="I324" s="15"/>
      <c r="J324" s="14"/>
      <c r="K324" s="14"/>
      <c r="L324" s="14"/>
    </row>
    <row r="325" spans="1:12" ht="15" customHeight="1" x14ac:dyDescent="0.3">
      <c r="A325" s="16"/>
      <c r="B325" s="17"/>
      <c r="C325" s="17"/>
      <c r="D325" s="17"/>
      <c r="E325" s="18"/>
      <c r="F325" s="17"/>
      <c r="G325" s="17"/>
      <c r="H325" s="17"/>
      <c r="I325" s="18"/>
      <c r="J325" s="17"/>
      <c r="K325" s="17"/>
      <c r="L325" s="17"/>
    </row>
    <row r="326" spans="1:12" ht="15" customHeight="1" x14ac:dyDescent="0.3">
      <c r="A326" s="13"/>
      <c r="B326" s="14"/>
      <c r="C326" s="14"/>
      <c r="D326" s="14"/>
      <c r="E326" s="15"/>
      <c r="F326" s="14"/>
      <c r="G326" s="14"/>
      <c r="H326" s="14"/>
      <c r="I326" s="15"/>
      <c r="J326" s="14"/>
      <c r="K326" s="14"/>
      <c r="L326" s="14"/>
    </row>
    <row r="327" spans="1:12" ht="15" customHeight="1" x14ac:dyDescent="0.3">
      <c r="A327" s="16"/>
      <c r="B327" s="17"/>
      <c r="C327" s="17"/>
      <c r="D327" s="17"/>
      <c r="E327" s="18"/>
      <c r="F327" s="17"/>
      <c r="G327" s="17"/>
      <c r="H327" s="17"/>
      <c r="I327" s="18"/>
      <c r="J327" s="17"/>
      <c r="K327" s="17"/>
      <c r="L327" s="17"/>
    </row>
    <row r="328" spans="1:12" ht="15" customHeight="1" x14ac:dyDescent="0.3">
      <c r="A328" s="13"/>
      <c r="B328" s="14"/>
      <c r="C328" s="14"/>
      <c r="D328" s="14"/>
      <c r="E328" s="15"/>
      <c r="F328" s="14"/>
      <c r="G328" s="14"/>
      <c r="H328" s="14"/>
      <c r="I328" s="15"/>
      <c r="J328" s="14"/>
      <c r="K328" s="14"/>
      <c r="L328" s="14"/>
    </row>
    <row r="329" spans="1:12" ht="15" customHeight="1" x14ac:dyDescent="0.3">
      <c r="A329" s="16"/>
      <c r="B329" s="17"/>
      <c r="C329" s="17"/>
      <c r="D329" s="17"/>
      <c r="E329" s="18"/>
      <c r="F329" s="17"/>
      <c r="G329" s="17"/>
      <c r="H329" s="17"/>
      <c r="I329" s="18"/>
      <c r="J329" s="17"/>
      <c r="K329" s="17"/>
      <c r="L329" s="17"/>
    </row>
    <row r="330" spans="1:12" ht="15" customHeight="1" x14ac:dyDescent="0.3">
      <c r="A330" s="13"/>
      <c r="B330" s="14"/>
      <c r="C330" s="14"/>
      <c r="D330" s="14"/>
      <c r="E330" s="15"/>
      <c r="F330" s="14"/>
      <c r="G330" s="14"/>
      <c r="H330" s="14"/>
      <c r="I330" s="15"/>
      <c r="J330" s="14"/>
      <c r="K330" s="14"/>
      <c r="L330" s="14"/>
    </row>
    <row r="331" spans="1:12" ht="15" customHeight="1" x14ac:dyDescent="0.3">
      <c r="A331" s="16"/>
      <c r="B331" s="17"/>
      <c r="C331" s="17"/>
      <c r="D331" s="17"/>
      <c r="E331" s="18"/>
      <c r="F331" s="17"/>
      <c r="G331" s="17"/>
      <c r="H331" s="17"/>
      <c r="I331" s="18"/>
      <c r="J331" s="17"/>
      <c r="K331" s="17"/>
      <c r="L331" s="17"/>
    </row>
    <row r="332" spans="1:12" ht="15" customHeight="1" x14ac:dyDescent="0.3">
      <c r="A332" s="13"/>
      <c r="B332" s="14"/>
      <c r="C332" s="14"/>
      <c r="D332" s="14"/>
      <c r="E332" s="15"/>
      <c r="F332" s="14"/>
      <c r="G332" s="14"/>
      <c r="H332" s="14"/>
      <c r="I332" s="15"/>
      <c r="J332" s="14"/>
      <c r="K332" s="14"/>
      <c r="L332" s="14"/>
    </row>
    <row r="333" spans="1:12" ht="15" customHeight="1" x14ac:dyDescent="0.3">
      <c r="A333" s="16"/>
      <c r="B333" s="17"/>
      <c r="C333" s="17"/>
      <c r="D333" s="17"/>
      <c r="E333" s="18"/>
      <c r="F333" s="17"/>
      <c r="G333" s="17"/>
      <c r="H333" s="17"/>
      <c r="I333" s="18"/>
      <c r="J333" s="17"/>
      <c r="K333" s="17"/>
      <c r="L333" s="17"/>
    </row>
    <row r="334" spans="1:12" ht="15" customHeight="1" x14ac:dyDescent="0.3">
      <c r="A334" s="13"/>
      <c r="B334" s="14"/>
      <c r="C334" s="14"/>
      <c r="D334" s="14"/>
      <c r="E334" s="15"/>
      <c r="F334" s="14"/>
      <c r="G334" s="14"/>
      <c r="H334" s="14"/>
      <c r="I334" s="15"/>
      <c r="J334" s="14"/>
      <c r="K334" s="14"/>
      <c r="L334" s="14"/>
    </row>
    <row r="335" spans="1:12" ht="15" customHeight="1" x14ac:dyDescent="0.3">
      <c r="A335" s="16"/>
      <c r="B335" s="17"/>
      <c r="C335" s="17"/>
      <c r="D335" s="17"/>
      <c r="E335" s="18"/>
      <c r="F335" s="17"/>
      <c r="G335" s="17"/>
      <c r="H335" s="17"/>
      <c r="I335" s="18"/>
      <c r="J335" s="17"/>
      <c r="K335" s="17"/>
      <c r="L335" s="17"/>
    </row>
    <row r="336" spans="1:12" ht="15" customHeight="1" x14ac:dyDescent="0.3">
      <c r="A336" s="13"/>
      <c r="B336" s="14"/>
      <c r="C336" s="14"/>
      <c r="D336" s="14"/>
      <c r="E336" s="15"/>
      <c r="F336" s="14"/>
      <c r="G336" s="14"/>
      <c r="H336" s="14"/>
      <c r="I336" s="15"/>
      <c r="J336" s="14"/>
      <c r="K336" s="14"/>
      <c r="L336" s="14"/>
    </row>
    <row r="337" spans="1:12" ht="15" customHeight="1" x14ac:dyDescent="0.3">
      <c r="A337" s="16"/>
      <c r="B337" s="17"/>
      <c r="C337" s="17"/>
      <c r="D337" s="17"/>
      <c r="E337" s="18"/>
      <c r="F337" s="17"/>
      <c r="G337" s="17"/>
      <c r="H337" s="17"/>
      <c r="I337" s="18"/>
      <c r="J337" s="17"/>
      <c r="K337" s="17"/>
      <c r="L337" s="17"/>
    </row>
    <row r="338" spans="1:12" ht="15" customHeight="1" x14ac:dyDescent="0.3">
      <c r="A338" s="13"/>
      <c r="B338" s="14"/>
      <c r="C338" s="14"/>
      <c r="D338" s="14"/>
      <c r="E338" s="15"/>
      <c r="F338" s="14"/>
      <c r="G338" s="14"/>
      <c r="H338" s="14"/>
      <c r="I338" s="15"/>
      <c r="J338" s="14"/>
      <c r="K338" s="14"/>
      <c r="L338" s="14"/>
    </row>
    <row r="339" spans="1:12" ht="15" customHeight="1" x14ac:dyDescent="0.3">
      <c r="A339" s="16"/>
      <c r="B339" s="17"/>
      <c r="C339" s="17"/>
      <c r="D339" s="17"/>
      <c r="E339" s="18"/>
      <c r="F339" s="17"/>
      <c r="G339" s="17"/>
      <c r="H339" s="17"/>
      <c r="I339" s="18"/>
      <c r="J339" s="17"/>
      <c r="K339" s="17"/>
      <c r="L339" s="17"/>
    </row>
    <row r="340" spans="1:12" ht="15" customHeight="1" x14ac:dyDescent="0.3">
      <c r="A340" s="13"/>
      <c r="B340" s="14"/>
      <c r="C340" s="14"/>
      <c r="D340" s="14"/>
      <c r="E340" s="15"/>
      <c r="F340" s="14"/>
      <c r="G340" s="14"/>
      <c r="H340" s="14"/>
      <c r="I340" s="15"/>
      <c r="J340" s="14"/>
      <c r="K340" s="14"/>
      <c r="L340" s="14"/>
    </row>
    <row r="341" spans="1:12" ht="15" customHeight="1" x14ac:dyDescent="0.3">
      <c r="A341" s="16"/>
      <c r="B341" s="17"/>
      <c r="C341" s="17"/>
      <c r="D341" s="17"/>
      <c r="E341" s="18"/>
      <c r="F341" s="17"/>
      <c r="G341" s="17"/>
      <c r="H341" s="17"/>
      <c r="I341" s="18"/>
      <c r="J341" s="17"/>
      <c r="K341" s="17"/>
      <c r="L341" s="17"/>
    </row>
    <row r="342" spans="1:12" ht="15" customHeight="1" x14ac:dyDescent="0.3">
      <c r="A342" s="13"/>
      <c r="B342" s="14"/>
      <c r="C342" s="14"/>
      <c r="D342" s="14"/>
      <c r="E342" s="15"/>
      <c r="F342" s="14"/>
      <c r="G342" s="14"/>
      <c r="H342" s="14"/>
      <c r="I342" s="15"/>
      <c r="J342" s="14"/>
      <c r="K342" s="14"/>
      <c r="L342" s="14"/>
    </row>
    <row r="343" spans="1:12" ht="15" customHeight="1" x14ac:dyDescent="0.3">
      <c r="A343" s="16"/>
      <c r="B343" s="17"/>
      <c r="C343" s="17"/>
      <c r="D343" s="17"/>
      <c r="E343" s="18"/>
      <c r="F343" s="17"/>
      <c r="G343" s="17"/>
      <c r="H343" s="17"/>
      <c r="I343" s="18"/>
      <c r="J343" s="17"/>
      <c r="K343" s="17"/>
      <c r="L343" s="17"/>
    </row>
    <row r="344" spans="1:12" ht="15" customHeight="1" x14ac:dyDescent="0.3">
      <c r="A344" s="13"/>
      <c r="B344" s="14"/>
      <c r="C344" s="14"/>
      <c r="D344" s="14"/>
      <c r="E344" s="15"/>
      <c r="F344" s="14"/>
      <c r="G344" s="14"/>
      <c r="H344" s="14"/>
      <c r="I344" s="15"/>
      <c r="J344" s="14"/>
      <c r="K344" s="14"/>
      <c r="L344" s="14"/>
    </row>
    <row r="345" spans="1:12" ht="15" customHeight="1" x14ac:dyDescent="0.3">
      <c r="A345" s="16"/>
      <c r="B345" s="17"/>
      <c r="C345" s="17"/>
      <c r="D345" s="17"/>
      <c r="E345" s="18"/>
      <c r="F345" s="17"/>
      <c r="G345" s="17"/>
      <c r="H345" s="17"/>
      <c r="I345" s="18"/>
      <c r="J345" s="17"/>
      <c r="K345" s="17"/>
      <c r="L345" s="17"/>
    </row>
    <row r="346" spans="1:12" ht="15" customHeight="1" x14ac:dyDescent="0.3">
      <c r="A346" s="13"/>
      <c r="B346" s="14"/>
      <c r="C346" s="14"/>
      <c r="D346" s="14"/>
      <c r="E346" s="15"/>
      <c r="F346" s="14"/>
      <c r="G346" s="14"/>
      <c r="H346" s="14"/>
      <c r="I346" s="15"/>
      <c r="J346" s="14"/>
      <c r="K346" s="14"/>
      <c r="L346" s="14"/>
    </row>
    <row r="347" spans="1:12" ht="15" customHeight="1" x14ac:dyDescent="0.3">
      <c r="A347" s="16"/>
      <c r="B347" s="17"/>
      <c r="C347" s="17"/>
      <c r="D347" s="17"/>
      <c r="E347" s="18"/>
      <c r="F347" s="17"/>
      <c r="G347" s="17"/>
      <c r="H347" s="17"/>
      <c r="I347" s="18"/>
      <c r="J347" s="17"/>
      <c r="K347" s="17"/>
      <c r="L347" s="17"/>
    </row>
    <row r="348" spans="1:12" ht="15" customHeight="1" x14ac:dyDescent="0.3">
      <c r="A348" s="13"/>
      <c r="B348" s="14"/>
      <c r="C348" s="14"/>
      <c r="D348" s="14"/>
      <c r="E348" s="15"/>
      <c r="F348" s="14"/>
      <c r="G348" s="14"/>
      <c r="H348" s="14"/>
      <c r="I348" s="15"/>
      <c r="J348" s="14"/>
      <c r="K348" s="14"/>
      <c r="L348" s="14"/>
    </row>
    <row r="349" spans="1:12" ht="15" customHeight="1" x14ac:dyDescent="0.3">
      <c r="A349" s="16"/>
      <c r="B349" s="17"/>
      <c r="C349" s="17"/>
      <c r="D349" s="17"/>
      <c r="E349" s="18"/>
      <c r="F349" s="17"/>
      <c r="G349" s="17"/>
      <c r="H349" s="17"/>
      <c r="I349" s="18"/>
      <c r="J349" s="17"/>
      <c r="K349" s="17"/>
      <c r="L349" s="17"/>
    </row>
    <row r="350" spans="1:12" ht="15" customHeight="1" x14ac:dyDescent="0.3">
      <c r="A350" s="13"/>
      <c r="B350" s="14"/>
      <c r="C350" s="14"/>
      <c r="D350" s="14"/>
      <c r="E350" s="15"/>
      <c r="F350" s="14"/>
      <c r="G350" s="14"/>
      <c r="H350" s="14"/>
      <c r="I350" s="15"/>
      <c r="J350" s="14"/>
      <c r="K350" s="14"/>
      <c r="L350" s="14"/>
    </row>
    <row r="351" spans="1:12" ht="15" customHeight="1" x14ac:dyDescent="0.3">
      <c r="A351" s="16"/>
      <c r="B351" s="17"/>
      <c r="C351" s="17"/>
      <c r="D351" s="17"/>
      <c r="E351" s="18"/>
      <c r="F351" s="17"/>
      <c r="G351" s="17"/>
      <c r="H351" s="17"/>
      <c r="I351" s="18"/>
      <c r="J351" s="17"/>
      <c r="K351" s="17"/>
      <c r="L351" s="17"/>
    </row>
    <row r="352" spans="1:12" ht="15" customHeight="1" x14ac:dyDescent="0.3">
      <c r="A352" s="13"/>
      <c r="B352" s="14"/>
      <c r="C352" s="14"/>
      <c r="D352" s="14"/>
      <c r="E352" s="15"/>
      <c r="F352" s="14"/>
      <c r="G352" s="14"/>
      <c r="H352" s="14"/>
      <c r="I352" s="15"/>
      <c r="J352" s="14"/>
      <c r="K352" s="14"/>
      <c r="L352" s="14"/>
    </row>
    <row r="353" spans="1:12" ht="15" customHeight="1" x14ac:dyDescent="0.3">
      <c r="A353" s="16"/>
      <c r="B353" s="17"/>
      <c r="C353" s="17"/>
      <c r="D353" s="17"/>
      <c r="E353" s="18"/>
      <c r="F353" s="17"/>
      <c r="G353" s="17"/>
      <c r="H353" s="17"/>
      <c r="I353" s="18"/>
      <c r="J353" s="17"/>
      <c r="K353" s="17"/>
      <c r="L353" s="17"/>
    </row>
    <row r="354" spans="1:12" ht="15" customHeight="1" x14ac:dyDescent="0.3">
      <c r="A354" s="13"/>
      <c r="B354" s="14"/>
      <c r="C354" s="14"/>
      <c r="D354" s="14"/>
      <c r="E354" s="15"/>
      <c r="F354" s="14"/>
      <c r="G354" s="14"/>
      <c r="H354" s="14"/>
      <c r="I354" s="15"/>
      <c r="J354" s="14"/>
      <c r="K354" s="14"/>
      <c r="L354" s="14"/>
    </row>
    <row r="355" spans="1:12" ht="15" customHeight="1" x14ac:dyDescent="0.3">
      <c r="A355" s="16"/>
      <c r="B355" s="17"/>
      <c r="C355" s="17"/>
      <c r="D355" s="17"/>
      <c r="E355" s="18"/>
      <c r="F355" s="17"/>
      <c r="G355" s="17"/>
      <c r="H355" s="17"/>
      <c r="I355" s="18"/>
      <c r="J355" s="17"/>
      <c r="K355" s="17"/>
      <c r="L355" s="17"/>
    </row>
    <row r="356" spans="1:12" ht="15" customHeight="1" x14ac:dyDescent="0.3">
      <c r="A356" s="13"/>
      <c r="B356" s="14"/>
      <c r="C356" s="14"/>
      <c r="D356" s="14"/>
      <c r="E356" s="15"/>
      <c r="F356" s="14"/>
      <c r="G356" s="14"/>
      <c r="H356" s="14"/>
      <c r="I356" s="15"/>
      <c r="J356" s="14"/>
      <c r="K356" s="14"/>
      <c r="L356" s="14"/>
    </row>
    <row r="357" spans="1:12" ht="15" customHeight="1" x14ac:dyDescent="0.3">
      <c r="A357" s="16"/>
      <c r="B357" s="17"/>
      <c r="C357" s="17"/>
      <c r="D357" s="17"/>
      <c r="E357" s="18"/>
      <c r="F357" s="17"/>
      <c r="G357" s="17"/>
      <c r="H357" s="17"/>
      <c r="I357" s="18"/>
      <c r="J357" s="17"/>
      <c r="K357" s="17"/>
      <c r="L357" s="17"/>
    </row>
    <row r="358" spans="1:12" ht="15" customHeight="1" x14ac:dyDescent="0.3">
      <c r="A358" s="13"/>
      <c r="B358" s="14"/>
      <c r="C358" s="14"/>
      <c r="D358" s="14"/>
      <c r="E358" s="15"/>
      <c r="F358" s="14"/>
      <c r="G358" s="14"/>
      <c r="H358" s="14"/>
      <c r="I358" s="15"/>
      <c r="J358" s="14"/>
      <c r="K358" s="14"/>
      <c r="L358" s="14"/>
    </row>
    <row r="359" spans="1:12" ht="15" customHeight="1" x14ac:dyDescent="0.3">
      <c r="A359" s="16"/>
      <c r="B359" s="17"/>
      <c r="C359" s="17"/>
      <c r="D359" s="17"/>
      <c r="E359" s="18"/>
      <c r="F359" s="17"/>
      <c r="G359" s="17"/>
      <c r="H359" s="17"/>
      <c r="I359" s="18"/>
      <c r="J359" s="17"/>
      <c r="K359" s="17"/>
      <c r="L359" s="17"/>
    </row>
    <row r="360" spans="1:12" ht="15" customHeight="1" x14ac:dyDescent="0.3">
      <c r="A360" s="13"/>
      <c r="B360" s="14"/>
      <c r="C360" s="14"/>
      <c r="D360" s="14"/>
      <c r="E360" s="15"/>
      <c r="F360" s="14"/>
      <c r="G360" s="14"/>
      <c r="H360" s="14"/>
      <c r="I360" s="15"/>
      <c r="J360" s="14"/>
      <c r="K360" s="14"/>
      <c r="L360" s="14"/>
    </row>
    <row r="361" spans="1:12" ht="15" customHeight="1" x14ac:dyDescent="0.3">
      <c r="A361" s="16"/>
      <c r="B361" s="17"/>
      <c r="C361" s="17"/>
      <c r="D361" s="17"/>
      <c r="E361" s="18"/>
      <c r="F361" s="17"/>
      <c r="G361" s="17"/>
      <c r="H361" s="17"/>
      <c r="I361" s="18"/>
      <c r="J361" s="17"/>
      <c r="K361" s="17"/>
      <c r="L361" s="17"/>
    </row>
    <row r="362" spans="1:12" ht="15" customHeight="1" x14ac:dyDescent="0.3">
      <c r="A362" s="13"/>
      <c r="B362" s="14"/>
      <c r="C362" s="14"/>
      <c r="D362" s="14"/>
      <c r="E362" s="15"/>
      <c r="F362" s="14"/>
      <c r="G362" s="14"/>
      <c r="H362" s="14"/>
      <c r="I362" s="15"/>
      <c r="J362" s="14"/>
      <c r="K362" s="14"/>
      <c r="L362" s="14"/>
    </row>
    <row r="363" spans="1:12" ht="15" customHeight="1" x14ac:dyDescent="0.3">
      <c r="A363" s="16"/>
      <c r="B363" s="17"/>
      <c r="C363" s="17"/>
      <c r="D363" s="17"/>
      <c r="E363" s="18"/>
      <c r="F363" s="17"/>
      <c r="G363" s="17"/>
      <c r="H363" s="17"/>
      <c r="I363" s="18"/>
      <c r="J363" s="17"/>
      <c r="K363" s="17"/>
      <c r="L363" s="17"/>
    </row>
    <row r="364" spans="1:12" ht="15" customHeight="1" x14ac:dyDescent="0.3">
      <c r="A364" s="13"/>
      <c r="B364" s="14"/>
      <c r="C364" s="14"/>
      <c r="D364" s="14"/>
      <c r="E364" s="15"/>
      <c r="F364" s="14"/>
      <c r="G364" s="14"/>
      <c r="H364" s="14"/>
      <c r="I364" s="15"/>
      <c r="J364" s="14"/>
      <c r="K364" s="14"/>
      <c r="L364" s="14"/>
    </row>
    <row r="365" spans="1:12" ht="15" customHeight="1" x14ac:dyDescent="0.3">
      <c r="A365" s="16"/>
      <c r="B365" s="17"/>
      <c r="C365" s="17"/>
      <c r="D365" s="17"/>
      <c r="E365" s="18"/>
      <c r="F365" s="17"/>
      <c r="G365" s="17"/>
      <c r="H365" s="17"/>
      <c r="I365" s="18"/>
      <c r="J365" s="17"/>
      <c r="K365" s="17"/>
      <c r="L365" s="17"/>
    </row>
    <row r="366" spans="1:12" ht="15" customHeight="1" x14ac:dyDescent="0.3">
      <c r="A366" s="13"/>
      <c r="B366" s="14"/>
      <c r="C366" s="14"/>
      <c r="D366" s="14"/>
      <c r="E366" s="15"/>
      <c r="F366" s="14"/>
      <c r="G366" s="14"/>
      <c r="H366" s="14"/>
      <c r="I366" s="15"/>
      <c r="J366" s="14"/>
      <c r="K366" s="14"/>
      <c r="L366" s="14"/>
    </row>
    <row r="367" spans="1:12" ht="15" customHeight="1" x14ac:dyDescent="0.3">
      <c r="A367" s="16"/>
      <c r="B367" s="17"/>
      <c r="C367" s="17"/>
      <c r="D367" s="17"/>
      <c r="E367" s="18"/>
      <c r="F367" s="17"/>
      <c r="G367" s="17"/>
      <c r="H367" s="17"/>
      <c r="I367" s="18"/>
      <c r="J367" s="17"/>
      <c r="K367" s="17"/>
      <c r="L367" s="17"/>
    </row>
    <row r="368" spans="1:12" ht="15" customHeight="1" x14ac:dyDescent="0.3">
      <c r="A368" s="13"/>
      <c r="B368" s="14"/>
      <c r="C368" s="14"/>
      <c r="D368" s="14"/>
      <c r="E368" s="15"/>
      <c r="F368" s="14"/>
      <c r="G368" s="14"/>
      <c r="H368" s="14"/>
      <c r="I368" s="15"/>
      <c r="J368" s="14"/>
      <c r="K368" s="14"/>
      <c r="L368" s="14"/>
    </row>
    <row r="369" spans="1:12" ht="15" customHeight="1" x14ac:dyDescent="0.3">
      <c r="A369" s="16"/>
      <c r="B369" s="17"/>
      <c r="C369" s="17"/>
      <c r="D369" s="17"/>
      <c r="E369" s="18"/>
      <c r="F369" s="17"/>
      <c r="G369" s="17"/>
      <c r="H369" s="17"/>
      <c r="I369" s="18"/>
      <c r="J369" s="17"/>
      <c r="K369" s="17"/>
      <c r="L369" s="17"/>
    </row>
    <row r="370" spans="1:12" ht="15" customHeight="1" x14ac:dyDescent="0.3">
      <c r="A370" s="13"/>
      <c r="B370" s="14"/>
      <c r="C370" s="14"/>
      <c r="D370" s="14"/>
      <c r="E370" s="15"/>
      <c r="F370" s="14"/>
      <c r="G370" s="14"/>
      <c r="H370" s="14"/>
      <c r="I370" s="15"/>
      <c r="J370" s="14"/>
      <c r="K370" s="14"/>
      <c r="L370" s="14"/>
    </row>
    <row r="371" spans="1:12" ht="15" customHeight="1" x14ac:dyDescent="0.3">
      <c r="A371" s="16"/>
      <c r="B371" s="17"/>
      <c r="C371" s="17"/>
      <c r="D371" s="17"/>
      <c r="E371" s="18"/>
      <c r="F371" s="17"/>
      <c r="G371" s="17"/>
      <c r="H371" s="17"/>
      <c r="I371" s="18"/>
      <c r="J371" s="17"/>
      <c r="K371" s="17"/>
      <c r="L371" s="17"/>
    </row>
    <row r="372" spans="1:12" ht="15" customHeight="1" x14ac:dyDescent="0.3">
      <c r="A372" s="13"/>
      <c r="B372" s="14"/>
      <c r="C372" s="14"/>
      <c r="D372" s="14"/>
      <c r="E372" s="15"/>
      <c r="F372" s="14"/>
      <c r="G372" s="14"/>
      <c r="H372" s="14"/>
      <c r="I372" s="15"/>
      <c r="J372" s="14"/>
      <c r="K372" s="14"/>
      <c r="L372" s="14"/>
    </row>
    <row r="373" spans="1:12" ht="15" customHeight="1" x14ac:dyDescent="0.3">
      <c r="A373" s="16"/>
      <c r="B373" s="17"/>
      <c r="C373" s="17"/>
      <c r="D373" s="17"/>
      <c r="E373" s="18"/>
      <c r="F373" s="17"/>
      <c r="G373" s="17"/>
      <c r="H373" s="17"/>
      <c r="I373" s="18"/>
      <c r="J373" s="17"/>
      <c r="K373" s="17"/>
      <c r="L373" s="17"/>
    </row>
    <row r="374" spans="1:12" ht="15" customHeight="1" x14ac:dyDescent="0.3">
      <c r="A374" s="13"/>
      <c r="B374" s="14"/>
      <c r="C374" s="14"/>
      <c r="D374" s="14"/>
      <c r="E374" s="15"/>
      <c r="F374" s="14"/>
      <c r="G374" s="14"/>
      <c r="H374" s="14"/>
      <c r="I374" s="15"/>
      <c r="J374" s="14"/>
      <c r="K374" s="14"/>
      <c r="L374" s="14"/>
    </row>
    <row r="375" spans="1:12" ht="15" customHeight="1" x14ac:dyDescent="0.3">
      <c r="A375" s="16"/>
      <c r="B375" s="17"/>
      <c r="C375" s="17"/>
      <c r="D375" s="17"/>
      <c r="E375" s="18"/>
      <c r="F375" s="17"/>
      <c r="G375" s="17"/>
      <c r="H375" s="17"/>
      <c r="I375" s="18"/>
      <c r="J375" s="17"/>
      <c r="K375" s="17"/>
      <c r="L375" s="17"/>
    </row>
    <row r="376" spans="1:12" ht="15" customHeight="1" x14ac:dyDescent="0.3">
      <c r="A376" s="13"/>
      <c r="B376" s="14"/>
      <c r="C376" s="14"/>
      <c r="D376" s="14"/>
      <c r="E376" s="15"/>
      <c r="F376" s="14"/>
      <c r="G376" s="14"/>
      <c r="H376" s="14"/>
      <c r="I376" s="15"/>
      <c r="J376" s="14"/>
      <c r="K376" s="14"/>
      <c r="L376" s="14"/>
    </row>
    <row r="377" spans="1:12" ht="15" customHeight="1" x14ac:dyDescent="0.3">
      <c r="A377" s="16"/>
      <c r="B377" s="17"/>
      <c r="C377" s="17"/>
      <c r="D377" s="17"/>
      <c r="E377" s="18"/>
      <c r="F377" s="17"/>
      <c r="G377" s="17"/>
      <c r="H377" s="17"/>
      <c r="I377" s="18"/>
      <c r="J377" s="17"/>
      <c r="K377" s="17"/>
      <c r="L377" s="17"/>
    </row>
    <row r="378" spans="1:12" ht="15" customHeight="1" x14ac:dyDescent="0.3">
      <c r="A378" s="13"/>
      <c r="B378" s="14"/>
      <c r="C378" s="14"/>
      <c r="D378" s="14"/>
      <c r="E378" s="15"/>
      <c r="F378" s="14"/>
      <c r="G378" s="14"/>
      <c r="H378" s="14"/>
      <c r="I378" s="15"/>
      <c r="J378" s="14"/>
      <c r="K378" s="14"/>
      <c r="L378" s="14"/>
    </row>
    <row r="379" spans="1:12" ht="15" customHeight="1" x14ac:dyDescent="0.3">
      <c r="A379" s="16"/>
      <c r="B379" s="17"/>
      <c r="C379" s="17"/>
      <c r="D379" s="17"/>
      <c r="E379" s="18"/>
      <c r="F379" s="17"/>
      <c r="G379" s="17"/>
      <c r="H379" s="17"/>
      <c r="I379" s="18"/>
      <c r="J379" s="17"/>
      <c r="K379" s="17"/>
      <c r="L379" s="17"/>
    </row>
    <row r="380" spans="1:12" ht="15" customHeight="1" x14ac:dyDescent="0.3">
      <c r="A380" s="13"/>
      <c r="B380" s="14"/>
      <c r="C380" s="14"/>
      <c r="D380" s="14"/>
      <c r="E380" s="15"/>
      <c r="F380" s="14"/>
      <c r="G380" s="14"/>
      <c r="H380" s="14"/>
      <c r="I380" s="15"/>
      <c r="J380" s="14"/>
      <c r="K380" s="14"/>
      <c r="L380" s="14"/>
    </row>
    <row r="381" spans="1:12" ht="15" customHeight="1" x14ac:dyDescent="0.3">
      <c r="A381" s="16"/>
      <c r="B381" s="17"/>
      <c r="C381" s="17"/>
      <c r="D381" s="17"/>
      <c r="E381" s="18"/>
      <c r="F381" s="17"/>
      <c r="G381" s="17"/>
      <c r="H381" s="17"/>
      <c r="I381" s="18"/>
      <c r="J381" s="17"/>
      <c r="K381" s="17"/>
      <c r="L381" s="17"/>
    </row>
    <row r="382" spans="1:12" ht="15" customHeight="1" x14ac:dyDescent="0.3">
      <c r="A382" s="13"/>
      <c r="B382" s="14"/>
      <c r="C382" s="14"/>
      <c r="D382" s="14"/>
      <c r="E382" s="15"/>
      <c r="F382" s="14"/>
      <c r="G382" s="14"/>
      <c r="H382" s="14"/>
      <c r="I382" s="15"/>
      <c r="J382" s="14"/>
      <c r="K382" s="14"/>
      <c r="L382" s="14"/>
    </row>
    <row r="383" spans="1:12" ht="15" customHeight="1" x14ac:dyDescent="0.3">
      <c r="A383" s="16"/>
      <c r="B383" s="17"/>
      <c r="C383" s="17"/>
      <c r="D383" s="17"/>
      <c r="E383" s="18"/>
      <c r="F383" s="17"/>
      <c r="G383" s="17"/>
      <c r="H383" s="17"/>
      <c r="I383" s="18"/>
      <c r="J383" s="17"/>
      <c r="K383" s="17"/>
      <c r="L383" s="17"/>
    </row>
    <row r="384" spans="1:12" ht="15" customHeight="1" x14ac:dyDescent="0.3">
      <c r="A384" s="13"/>
      <c r="B384" s="14"/>
      <c r="C384" s="14"/>
      <c r="D384" s="14"/>
      <c r="E384" s="15"/>
      <c r="F384" s="14"/>
      <c r="G384" s="14"/>
      <c r="H384" s="14"/>
      <c r="I384" s="15"/>
      <c r="J384" s="14"/>
      <c r="K384" s="14"/>
      <c r="L384" s="14"/>
    </row>
    <row r="385" spans="1:12" ht="15" customHeight="1" x14ac:dyDescent="0.3">
      <c r="A385" s="16"/>
      <c r="B385" s="17"/>
      <c r="C385" s="17"/>
      <c r="D385" s="17"/>
      <c r="E385" s="18"/>
      <c r="F385" s="17"/>
      <c r="G385" s="17"/>
      <c r="H385" s="17"/>
      <c r="I385" s="18"/>
      <c r="J385" s="17"/>
      <c r="K385" s="17"/>
      <c r="L385" s="17"/>
    </row>
    <row r="386" spans="1:12" ht="15" customHeight="1" x14ac:dyDescent="0.3">
      <c r="A386" s="13"/>
      <c r="B386" s="14"/>
      <c r="C386" s="14"/>
      <c r="D386" s="14"/>
      <c r="E386" s="15"/>
      <c r="F386" s="14"/>
      <c r="G386" s="14"/>
      <c r="H386" s="14"/>
      <c r="I386" s="15"/>
      <c r="J386" s="14"/>
      <c r="K386" s="14"/>
      <c r="L386" s="14"/>
    </row>
    <row r="387" spans="1:12" ht="15" customHeight="1" x14ac:dyDescent="0.3">
      <c r="A387" s="16"/>
      <c r="B387" s="17"/>
      <c r="C387" s="17"/>
      <c r="D387" s="17"/>
      <c r="E387" s="18"/>
      <c r="F387" s="17"/>
      <c r="G387" s="17"/>
      <c r="H387" s="17"/>
      <c r="I387" s="18"/>
      <c r="J387" s="17"/>
      <c r="K387" s="17"/>
      <c r="L387" s="17"/>
    </row>
    <row r="388" spans="1:12" ht="15" customHeight="1" x14ac:dyDescent="0.3">
      <c r="A388" s="13"/>
      <c r="B388" s="14"/>
      <c r="C388" s="14"/>
      <c r="D388" s="14"/>
      <c r="E388" s="15"/>
      <c r="F388" s="14"/>
      <c r="G388" s="14"/>
      <c r="H388" s="14"/>
      <c r="I388" s="15"/>
      <c r="J388" s="14"/>
      <c r="K388" s="14"/>
      <c r="L388" s="14"/>
    </row>
    <row r="389" spans="1:12" ht="15" customHeight="1" x14ac:dyDescent="0.3">
      <c r="A389" s="16"/>
      <c r="B389" s="17"/>
      <c r="C389" s="17"/>
      <c r="D389" s="17"/>
      <c r="E389" s="18"/>
      <c r="F389" s="17"/>
      <c r="G389" s="17"/>
      <c r="H389" s="17"/>
      <c r="I389" s="18"/>
      <c r="J389" s="17"/>
      <c r="K389" s="17"/>
      <c r="L389" s="17"/>
    </row>
    <row r="390" spans="1:12" ht="15" customHeight="1" x14ac:dyDescent="0.3">
      <c r="A390" s="13"/>
      <c r="B390" s="14"/>
      <c r="C390" s="14"/>
      <c r="D390" s="14"/>
      <c r="E390" s="15"/>
      <c r="F390" s="14"/>
      <c r="G390" s="14"/>
      <c r="H390" s="14"/>
      <c r="I390" s="15"/>
      <c r="J390" s="14"/>
      <c r="K390" s="14"/>
      <c r="L390" s="14"/>
    </row>
    <row r="391" spans="1:12" ht="15" customHeight="1" x14ac:dyDescent="0.3">
      <c r="A391" s="16"/>
      <c r="B391" s="17"/>
      <c r="C391" s="17"/>
      <c r="D391" s="17"/>
      <c r="E391" s="18"/>
      <c r="F391" s="17"/>
      <c r="G391" s="17"/>
      <c r="H391" s="17"/>
      <c r="I391" s="18"/>
      <c r="J391" s="17"/>
      <c r="K391" s="17"/>
      <c r="L391" s="17"/>
    </row>
    <row r="392" spans="1:12" ht="15" customHeight="1" x14ac:dyDescent="0.3">
      <c r="A392" s="13"/>
      <c r="B392" s="14"/>
      <c r="C392" s="14"/>
      <c r="D392" s="14"/>
      <c r="E392" s="15"/>
      <c r="F392" s="14"/>
      <c r="G392" s="14"/>
      <c r="H392" s="14"/>
      <c r="I392" s="15"/>
      <c r="J392" s="14"/>
      <c r="K392" s="14"/>
      <c r="L392" s="14"/>
    </row>
    <row r="393" spans="1:12" ht="15" customHeight="1" x14ac:dyDescent="0.3">
      <c r="A393" s="16"/>
      <c r="B393" s="17"/>
      <c r="C393" s="17"/>
      <c r="D393" s="17"/>
      <c r="E393" s="18"/>
      <c r="F393" s="17"/>
      <c r="G393" s="17"/>
      <c r="H393" s="17"/>
      <c r="I393" s="18"/>
      <c r="J393" s="17"/>
      <c r="K393" s="17"/>
      <c r="L393" s="17"/>
    </row>
    <row r="394" spans="1:12" ht="15" customHeight="1" x14ac:dyDescent="0.3">
      <c r="A394" s="13"/>
      <c r="B394" s="14"/>
      <c r="C394" s="14"/>
      <c r="D394" s="14"/>
      <c r="E394" s="15"/>
      <c r="F394" s="14"/>
      <c r="G394" s="14"/>
      <c r="H394" s="14"/>
      <c r="I394" s="15"/>
      <c r="J394" s="14"/>
      <c r="K394" s="14"/>
      <c r="L394" s="14"/>
    </row>
    <row r="395" spans="1:12" ht="15" customHeight="1" x14ac:dyDescent="0.3">
      <c r="A395" s="16"/>
      <c r="B395" s="17"/>
      <c r="C395" s="17"/>
      <c r="D395" s="17"/>
      <c r="E395" s="18"/>
      <c r="F395" s="17"/>
      <c r="G395" s="17"/>
      <c r="H395" s="17"/>
      <c r="I395" s="18"/>
      <c r="J395" s="17"/>
      <c r="K395" s="17"/>
      <c r="L395" s="17"/>
    </row>
    <row r="396" spans="1:12" ht="15" customHeight="1" x14ac:dyDescent="0.3">
      <c r="A396" s="13"/>
      <c r="B396" s="14"/>
      <c r="C396" s="14"/>
      <c r="D396" s="14"/>
      <c r="E396" s="15"/>
      <c r="F396" s="14"/>
      <c r="G396" s="14"/>
      <c r="H396" s="14"/>
      <c r="I396" s="15"/>
      <c r="J396" s="14"/>
      <c r="K396" s="14"/>
      <c r="L396" s="14"/>
    </row>
    <row r="397" spans="1:12" ht="15" customHeight="1" x14ac:dyDescent="0.3">
      <c r="A397" s="16"/>
      <c r="B397" s="17"/>
      <c r="C397" s="17"/>
      <c r="D397" s="17"/>
      <c r="E397" s="18"/>
      <c r="F397" s="17"/>
      <c r="G397" s="17"/>
      <c r="H397" s="17"/>
      <c r="I397" s="18"/>
      <c r="J397" s="17"/>
      <c r="K397" s="17"/>
      <c r="L397" s="17"/>
    </row>
    <row r="398" spans="1:12" ht="15" customHeight="1" x14ac:dyDescent="0.3">
      <c r="A398" s="13"/>
      <c r="B398" s="14"/>
      <c r="C398" s="14"/>
      <c r="D398" s="14"/>
      <c r="E398" s="15"/>
      <c r="F398" s="14"/>
      <c r="G398" s="14"/>
      <c r="H398" s="14"/>
      <c r="I398" s="15"/>
      <c r="J398" s="14"/>
      <c r="K398" s="14"/>
      <c r="L398" s="14"/>
    </row>
    <row r="399" spans="1:12" ht="15" customHeight="1" x14ac:dyDescent="0.3">
      <c r="A399" s="16"/>
      <c r="B399" s="17"/>
      <c r="C399" s="17"/>
      <c r="D399" s="17"/>
      <c r="E399" s="18"/>
      <c r="F399" s="17"/>
      <c r="G399" s="17"/>
      <c r="H399" s="17"/>
      <c r="I399" s="18"/>
      <c r="J399" s="17"/>
      <c r="K399" s="17"/>
      <c r="L399" s="17"/>
    </row>
    <row r="400" spans="1:12" ht="15" customHeight="1" x14ac:dyDescent="0.3">
      <c r="A400" s="13"/>
      <c r="B400" s="14"/>
      <c r="C400" s="14"/>
      <c r="D400" s="14"/>
      <c r="E400" s="15"/>
      <c r="F400" s="14"/>
      <c r="G400" s="14"/>
      <c r="H400" s="14"/>
      <c r="I400" s="15"/>
      <c r="J400" s="14"/>
      <c r="K400" s="14"/>
      <c r="L400" s="14"/>
    </row>
    <row r="401" spans="1:12" ht="15" customHeight="1" x14ac:dyDescent="0.3">
      <c r="A401" s="16"/>
      <c r="B401" s="17"/>
      <c r="C401" s="17"/>
      <c r="D401" s="17"/>
      <c r="E401" s="18"/>
      <c r="F401" s="17"/>
      <c r="G401" s="17"/>
      <c r="H401" s="17"/>
      <c r="I401" s="18"/>
      <c r="J401" s="17"/>
      <c r="K401" s="17"/>
      <c r="L401" s="17"/>
    </row>
    <row r="402" spans="1:12" ht="15" customHeight="1" x14ac:dyDescent="0.3">
      <c r="A402" s="13"/>
      <c r="B402" s="14"/>
      <c r="C402" s="14"/>
      <c r="D402" s="14"/>
      <c r="E402" s="15"/>
      <c r="F402" s="14"/>
      <c r="G402" s="14"/>
      <c r="H402" s="14"/>
      <c r="I402" s="15"/>
      <c r="J402" s="14"/>
      <c r="K402" s="14"/>
      <c r="L402" s="14"/>
    </row>
    <row r="403" spans="1:12" ht="15" customHeight="1" x14ac:dyDescent="0.3">
      <c r="A403" s="16"/>
      <c r="B403" s="17"/>
      <c r="C403" s="17"/>
      <c r="D403" s="17"/>
      <c r="E403" s="18"/>
      <c r="F403" s="17"/>
      <c r="G403" s="17"/>
      <c r="H403" s="17"/>
      <c r="I403" s="18"/>
      <c r="J403" s="17"/>
      <c r="K403" s="17"/>
      <c r="L403" s="17"/>
    </row>
    <row r="404" spans="1:12" ht="15" customHeight="1" x14ac:dyDescent="0.3">
      <c r="A404" s="13"/>
      <c r="B404" s="14"/>
      <c r="C404" s="14"/>
      <c r="D404" s="14"/>
      <c r="E404" s="15"/>
      <c r="F404" s="14"/>
      <c r="G404" s="14"/>
      <c r="H404" s="14"/>
      <c r="I404" s="15"/>
      <c r="J404" s="14"/>
      <c r="K404" s="14"/>
      <c r="L404" s="14"/>
    </row>
    <row r="405" spans="1:12" ht="15" customHeight="1" x14ac:dyDescent="0.3">
      <c r="A405" s="16"/>
      <c r="B405" s="17"/>
      <c r="C405" s="17"/>
      <c r="D405" s="17"/>
      <c r="E405" s="18"/>
      <c r="F405" s="17"/>
      <c r="G405" s="17"/>
      <c r="H405" s="17"/>
      <c r="I405" s="18"/>
      <c r="J405" s="17"/>
      <c r="K405" s="17"/>
      <c r="L405" s="17"/>
    </row>
    <row r="406" spans="1:12" ht="15" customHeight="1" x14ac:dyDescent="0.3">
      <c r="A406" s="13"/>
      <c r="B406" s="14"/>
      <c r="C406" s="14"/>
      <c r="D406" s="14"/>
      <c r="E406" s="15"/>
      <c r="F406" s="14"/>
      <c r="G406" s="14"/>
      <c r="H406" s="14"/>
      <c r="I406" s="15"/>
      <c r="J406" s="14"/>
      <c r="K406" s="14"/>
      <c r="L406" s="14"/>
    </row>
    <row r="407" spans="1:12" ht="15" customHeight="1" x14ac:dyDescent="0.3">
      <c r="A407" s="16"/>
      <c r="B407" s="17"/>
      <c r="C407" s="17"/>
      <c r="D407" s="17"/>
      <c r="E407" s="18"/>
      <c r="F407" s="17"/>
      <c r="G407" s="17"/>
      <c r="H407" s="17"/>
      <c r="I407" s="18"/>
      <c r="J407" s="17"/>
      <c r="K407" s="17"/>
      <c r="L407" s="17"/>
    </row>
    <row r="408" spans="1:12" ht="15" customHeight="1" x14ac:dyDescent="0.3">
      <c r="A408" s="13"/>
      <c r="B408" s="14"/>
      <c r="C408" s="14"/>
      <c r="D408" s="14"/>
      <c r="E408" s="15"/>
      <c r="F408" s="14"/>
      <c r="G408" s="14"/>
      <c r="H408" s="14"/>
      <c r="I408" s="15"/>
      <c r="J408" s="14"/>
      <c r="K408" s="14"/>
      <c r="L408" s="14"/>
    </row>
    <row r="409" spans="1:12" ht="15" customHeight="1" x14ac:dyDescent="0.3">
      <c r="A409" s="16"/>
      <c r="B409" s="17"/>
      <c r="C409" s="17"/>
      <c r="D409" s="17"/>
      <c r="E409" s="18"/>
      <c r="F409" s="17"/>
      <c r="G409" s="17"/>
      <c r="H409" s="17"/>
      <c r="I409" s="18"/>
      <c r="J409" s="17"/>
      <c r="K409" s="17"/>
      <c r="L409" s="17"/>
    </row>
    <row r="410" spans="1:12" ht="15" customHeight="1" x14ac:dyDescent="0.3">
      <c r="A410" s="13"/>
      <c r="B410" s="14"/>
      <c r="C410" s="14"/>
      <c r="D410" s="14"/>
      <c r="E410" s="15"/>
      <c r="F410" s="14"/>
      <c r="G410" s="14"/>
      <c r="H410" s="14"/>
      <c r="I410" s="15"/>
      <c r="J410" s="14"/>
      <c r="K410" s="14"/>
      <c r="L410" s="14"/>
    </row>
    <row r="411" spans="1:12" ht="15" customHeight="1" x14ac:dyDescent="0.3">
      <c r="A411" s="16"/>
      <c r="B411" s="17"/>
      <c r="C411" s="17"/>
      <c r="D411" s="17"/>
      <c r="E411" s="18"/>
      <c r="F411" s="17"/>
      <c r="G411" s="17"/>
      <c r="H411" s="17"/>
      <c r="I411" s="18"/>
      <c r="J411" s="17"/>
      <c r="K411" s="17"/>
      <c r="L411" s="17"/>
    </row>
    <row r="412" spans="1:12" ht="15" customHeight="1" x14ac:dyDescent="0.3">
      <c r="A412" s="13"/>
      <c r="B412" s="14"/>
      <c r="C412" s="14"/>
      <c r="D412" s="14"/>
      <c r="E412" s="15"/>
      <c r="F412" s="14"/>
      <c r="G412" s="14"/>
      <c r="H412" s="14"/>
      <c r="I412" s="15"/>
      <c r="J412" s="14"/>
      <c r="K412" s="14"/>
      <c r="L412" s="14"/>
    </row>
    <row r="413" spans="1:12" ht="15" customHeight="1" x14ac:dyDescent="0.3">
      <c r="A413" s="16"/>
      <c r="B413" s="17"/>
      <c r="C413" s="17"/>
      <c r="D413" s="17"/>
      <c r="E413" s="18"/>
      <c r="F413" s="17"/>
      <c r="G413" s="17"/>
      <c r="H413" s="17"/>
      <c r="I413" s="18"/>
      <c r="J413" s="17"/>
      <c r="K413" s="17"/>
      <c r="L413" s="17"/>
    </row>
    <row r="414" spans="1:12" ht="15" customHeight="1" x14ac:dyDescent="0.3">
      <c r="A414" s="13"/>
      <c r="B414" s="14"/>
      <c r="C414" s="14"/>
      <c r="D414" s="14"/>
      <c r="E414" s="15"/>
      <c r="F414" s="14"/>
      <c r="G414" s="14"/>
      <c r="H414" s="14"/>
      <c r="I414" s="15"/>
      <c r="J414" s="14"/>
      <c r="K414" s="14"/>
      <c r="L414" s="14"/>
    </row>
    <row r="415" spans="1:12" ht="15" customHeight="1" x14ac:dyDescent="0.3">
      <c r="A415" s="16"/>
      <c r="B415" s="17"/>
      <c r="C415" s="17"/>
      <c r="D415" s="17"/>
      <c r="E415" s="18"/>
      <c r="F415" s="17"/>
      <c r="G415" s="17"/>
      <c r="H415" s="17"/>
      <c r="I415" s="18"/>
      <c r="J415" s="17"/>
      <c r="K415" s="17"/>
      <c r="L415" s="17"/>
    </row>
    <row r="416" spans="1:12" ht="15" customHeight="1" x14ac:dyDescent="0.3">
      <c r="A416" s="13"/>
      <c r="B416" s="14"/>
      <c r="C416" s="14"/>
      <c r="D416" s="14"/>
      <c r="E416" s="15"/>
      <c r="F416" s="14"/>
      <c r="G416" s="14"/>
      <c r="H416" s="14"/>
      <c r="I416" s="15"/>
      <c r="J416" s="14"/>
      <c r="K416" s="14"/>
      <c r="L416" s="14"/>
    </row>
    <row r="417" spans="1:12" ht="15" customHeight="1" x14ac:dyDescent="0.3">
      <c r="A417" s="16"/>
      <c r="B417" s="17"/>
      <c r="C417" s="17"/>
      <c r="D417" s="17"/>
      <c r="E417" s="18"/>
      <c r="F417" s="17"/>
      <c r="G417" s="17"/>
      <c r="H417" s="17"/>
      <c r="I417" s="18"/>
      <c r="J417" s="17"/>
      <c r="K417" s="17"/>
      <c r="L417" s="17"/>
    </row>
    <row r="418" spans="1:12" ht="15" customHeight="1" x14ac:dyDescent="0.3">
      <c r="A418" s="13"/>
      <c r="B418" s="14"/>
      <c r="C418" s="14"/>
      <c r="D418" s="14"/>
      <c r="E418" s="15"/>
      <c r="F418" s="14"/>
      <c r="G418" s="14"/>
      <c r="H418" s="14"/>
      <c r="I418" s="15"/>
      <c r="J418" s="14"/>
      <c r="K418" s="14"/>
      <c r="L418" s="14"/>
    </row>
    <row r="419" spans="1:12" ht="15" customHeight="1" x14ac:dyDescent="0.3">
      <c r="A419" s="16"/>
      <c r="B419" s="17"/>
      <c r="C419" s="17"/>
      <c r="D419" s="17"/>
      <c r="E419" s="18"/>
      <c r="F419" s="17"/>
      <c r="G419" s="17"/>
      <c r="H419" s="17"/>
      <c r="I419" s="18"/>
      <c r="J419" s="17"/>
      <c r="K419" s="17"/>
      <c r="L419" s="17"/>
    </row>
    <row r="420" spans="1:12" ht="15" customHeight="1" x14ac:dyDescent="0.3">
      <c r="A420" s="13"/>
      <c r="B420" s="14"/>
      <c r="C420" s="14"/>
      <c r="D420" s="14"/>
      <c r="E420" s="15"/>
      <c r="F420" s="14"/>
      <c r="G420" s="14"/>
      <c r="H420" s="14"/>
      <c r="I420" s="15"/>
      <c r="J420" s="14"/>
      <c r="K420" s="14"/>
      <c r="L420" s="14"/>
    </row>
    <row r="421" spans="1:12" ht="15" customHeight="1" x14ac:dyDescent="0.3">
      <c r="A421" s="16"/>
      <c r="B421" s="17"/>
      <c r="C421" s="17"/>
      <c r="D421" s="17"/>
      <c r="E421" s="18"/>
      <c r="F421" s="17"/>
      <c r="G421" s="17"/>
      <c r="H421" s="17"/>
      <c r="I421" s="18"/>
      <c r="J421" s="17"/>
      <c r="K421" s="17"/>
      <c r="L421" s="17"/>
    </row>
    <row r="422" spans="1:12" ht="15" customHeight="1" x14ac:dyDescent="0.3">
      <c r="A422" s="13"/>
      <c r="B422" s="14"/>
      <c r="C422" s="14"/>
      <c r="D422" s="14"/>
      <c r="E422" s="15"/>
      <c r="F422" s="14"/>
      <c r="G422" s="14"/>
      <c r="H422" s="14"/>
      <c r="I422" s="15"/>
      <c r="J422" s="14"/>
      <c r="K422" s="14"/>
      <c r="L422" s="14"/>
    </row>
    <row r="423" spans="1:12" ht="15" customHeight="1" x14ac:dyDescent="0.3">
      <c r="A423" s="16"/>
      <c r="B423" s="17"/>
      <c r="C423" s="17"/>
      <c r="D423" s="17"/>
      <c r="E423" s="18"/>
      <c r="F423" s="17"/>
      <c r="G423" s="17"/>
      <c r="H423" s="17"/>
      <c r="I423" s="18"/>
      <c r="J423" s="17"/>
      <c r="K423" s="17"/>
      <c r="L423" s="17"/>
    </row>
    <row r="424" spans="1:12" ht="15" customHeight="1" x14ac:dyDescent="0.3">
      <c r="A424" s="13"/>
      <c r="B424" s="14"/>
      <c r="C424" s="14"/>
      <c r="D424" s="14"/>
      <c r="E424" s="15"/>
      <c r="F424" s="14"/>
      <c r="G424" s="14"/>
      <c r="H424" s="14"/>
      <c r="I424" s="15"/>
      <c r="J424" s="14"/>
      <c r="K424" s="14"/>
      <c r="L424" s="14"/>
    </row>
    <row r="425" spans="1:12" ht="15" customHeight="1" x14ac:dyDescent="0.3">
      <c r="A425" s="16"/>
      <c r="B425" s="17"/>
      <c r="C425" s="17"/>
      <c r="D425" s="17"/>
      <c r="E425" s="18"/>
      <c r="F425" s="17"/>
      <c r="G425" s="17"/>
      <c r="H425" s="17"/>
      <c r="I425" s="18"/>
      <c r="J425" s="17"/>
      <c r="K425" s="17"/>
      <c r="L425" s="17"/>
    </row>
    <row r="426" spans="1:12" ht="15" customHeight="1" x14ac:dyDescent="0.3">
      <c r="A426" s="13"/>
      <c r="B426" s="14"/>
      <c r="C426" s="14"/>
      <c r="D426" s="14"/>
      <c r="E426" s="15"/>
      <c r="F426" s="14"/>
      <c r="G426" s="14"/>
      <c r="H426" s="14"/>
      <c r="I426" s="15"/>
      <c r="J426" s="14"/>
      <c r="K426" s="14"/>
      <c r="L426" s="14"/>
    </row>
    <row r="427" spans="1:12" ht="15" customHeight="1" x14ac:dyDescent="0.3">
      <c r="A427" s="16"/>
      <c r="B427" s="17"/>
      <c r="C427" s="17"/>
      <c r="D427" s="17"/>
      <c r="E427" s="18"/>
      <c r="F427" s="17"/>
      <c r="G427" s="17"/>
      <c r="H427" s="17"/>
      <c r="I427" s="18"/>
      <c r="J427" s="17"/>
      <c r="K427" s="17"/>
      <c r="L427" s="17"/>
    </row>
    <row r="428" spans="1:12" ht="15" customHeight="1" x14ac:dyDescent="0.3">
      <c r="A428" s="13"/>
      <c r="B428" s="14"/>
      <c r="C428" s="14"/>
      <c r="D428" s="14"/>
      <c r="E428" s="15"/>
      <c r="F428" s="14"/>
      <c r="G428" s="14"/>
      <c r="H428" s="14"/>
      <c r="I428" s="15"/>
      <c r="J428" s="14"/>
      <c r="K428" s="14"/>
      <c r="L428" s="14"/>
    </row>
    <row r="429" spans="1:12" ht="15" customHeight="1" x14ac:dyDescent="0.3">
      <c r="A429" s="16"/>
      <c r="B429" s="17"/>
      <c r="C429" s="17"/>
      <c r="D429" s="17"/>
      <c r="E429" s="18"/>
      <c r="F429" s="17"/>
      <c r="G429" s="17"/>
      <c r="H429" s="17"/>
      <c r="I429" s="18"/>
      <c r="J429" s="17"/>
      <c r="K429" s="17"/>
      <c r="L429" s="17"/>
    </row>
    <row r="430" spans="1:12" ht="15" customHeight="1" x14ac:dyDescent="0.3">
      <c r="A430" s="13"/>
      <c r="B430" s="14"/>
      <c r="C430" s="14"/>
      <c r="D430" s="14"/>
      <c r="E430" s="15"/>
      <c r="F430" s="14"/>
      <c r="G430" s="14"/>
      <c r="H430" s="14"/>
      <c r="I430" s="15"/>
      <c r="J430" s="14"/>
      <c r="K430" s="14"/>
      <c r="L430" s="14"/>
    </row>
    <row r="431" spans="1:12" ht="15" customHeight="1" x14ac:dyDescent="0.3">
      <c r="A431" s="16"/>
      <c r="B431" s="17"/>
      <c r="C431" s="17"/>
      <c r="D431" s="17"/>
      <c r="E431" s="18"/>
      <c r="F431" s="17"/>
      <c r="G431" s="17"/>
      <c r="H431" s="17"/>
      <c r="I431" s="18"/>
      <c r="J431" s="17"/>
      <c r="K431" s="17"/>
      <c r="L431" s="17"/>
    </row>
    <row r="432" spans="1:12" ht="15" customHeight="1" x14ac:dyDescent="0.3">
      <c r="A432" s="13"/>
      <c r="B432" s="14"/>
      <c r="C432" s="14"/>
      <c r="D432" s="14"/>
      <c r="E432" s="15"/>
      <c r="F432" s="14"/>
      <c r="G432" s="14"/>
      <c r="H432" s="14"/>
      <c r="I432" s="15"/>
      <c r="J432" s="14"/>
      <c r="K432" s="14"/>
      <c r="L432" s="14"/>
    </row>
    <row r="433" spans="1:12" ht="15" customHeight="1" x14ac:dyDescent="0.3">
      <c r="A433" s="16"/>
      <c r="B433" s="17"/>
      <c r="C433" s="17"/>
      <c r="D433" s="17"/>
      <c r="E433" s="18"/>
      <c r="F433" s="17"/>
      <c r="G433" s="17"/>
      <c r="H433" s="17"/>
      <c r="I433" s="18"/>
      <c r="J433" s="17"/>
      <c r="K433" s="17"/>
      <c r="L433" s="17"/>
    </row>
    <row r="434" spans="1:12" ht="15" customHeight="1" x14ac:dyDescent="0.3">
      <c r="A434" s="13"/>
      <c r="B434" s="14"/>
      <c r="C434" s="14"/>
      <c r="D434" s="14"/>
      <c r="E434" s="15"/>
      <c r="F434" s="14"/>
      <c r="G434" s="14"/>
      <c r="H434" s="14"/>
      <c r="I434" s="15"/>
      <c r="J434" s="14"/>
      <c r="K434" s="14"/>
      <c r="L434" s="14"/>
    </row>
    <row r="435" spans="1:12" ht="15" customHeight="1" x14ac:dyDescent="0.3">
      <c r="A435" s="16"/>
      <c r="B435" s="17"/>
      <c r="C435" s="17"/>
      <c r="D435" s="17"/>
      <c r="E435" s="18"/>
      <c r="F435" s="17"/>
      <c r="G435" s="17"/>
      <c r="H435" s="17"/>
      <c r="I435" s="18"/>
      <c r="J435" s="17"/>
      <c r="K435" s="17"/>
      <c r="L435" s="17"/>
    </row>
    <row r="436" spans="1:12" ht="15" customHeight="1" x14ac:dyDescent="0.3">
      <c r="A436" s="13"/>
      <c r="B436" s="14"/>
      <c r="C436" s="14"/>
      <c r="D436" s="14"/>
      <c r="E436" s="15"/>
      <c r="F436" s="14"/>
      <c r="G436" s="14"/>
      <c r="H436" s="14"/>
      <c r="I436" s="15"/>
      <c r="J436" s="14"/>
      <c r="K436" s="14"/>
      <c r="L436" s="14"/>
    </row>
    <row r="437" spans="1:12" ht="15" customHeight="1" x14ac:dyDescent="0.3">
      <c r="A437" s="16"/>
      <c r="B437" s="17"/>
      <c r="C437" s="17"/>
      <c r="D437" s="17"/>
      <c r="E437" s="18"/>
      <c r="F437" s="17"/>
      <c r="G437" s="17"/>
      <c r="H437" s="17"/>
      <c r="I437" s="18"/>
      <c r="J437" s="17"/>
      <c r="K437" s="17"/>
      <c r="L437" s="17"/>
    </row>
    <row r="438" spans="1:12" ht="15" customHeight="1" x14ac:dyDescent="0.3">
      <c r="A438" s="13"/>
      <c r="B438" s="14"/>
      <c r="C438" s="14"/>
      <c r="D438" s="14"/>
      <c r="E438" s="15"/>
      <c r="F438" s="14"/>
      <c r="G438" s="14"/>
      <c r="H438" s="14"/>
      <c r="I438" s="15"/>
      <c r="J438" s="14"/>
      <c r="K438" s="14"/>
      <c r="L438" s="14"/>
    </row>
    <row r="439" spans="1:12" ht="15" customHeight="1" x14ac:dyDescent="0.3">
      <c r="A439" s="16"/>
      <c r="B439" s="17"/>
      <c r="C439" s="17"/>
      <c r="D439" s="17"/>
      <c r="E439" s="18"/>
      <c r="F439" s="17"/>
      <c r="G439" s="17"/>
      <c r="H439" s="17"/>
      <c r="I439" s="18"/>
      <c r="J439" s="17"/>
      <c r="K439" s="17"/>
      <c r="L439" s="17"/>
    </row>
    <row r="440" spans="1:12" ht="15" customHeight="1" x14ac:dyDescent="0.3">
      <c r="A440" s="13"/>
      <c r="B440" s="14"/>
      <c r="C440" s="14"/>
      <c r="D440" s="14"/>
      <c r="E440" s="15"/>
      <c r="F440" s="14"/>
      <c r="G440" s="14"/>
      <c r="H440" s="14"/>
      <c r="I440" s="15"/>
      <c r="J440" s="14"/>
      <c r="K440" s="14"/>
      <c r="L440" s="14"/>
    </row>
    <row r="441" spans="1:12" ht="15" customHeight="1" x14ac:dyDescent="0.3">
      <c r="A441" s="16"/>
      <c r="B441" s="17"/>
      <c r="C441" s="17"/>
      <c r="D441" s="17"/>
      <c r="E441" s="18"/>
      <c r="F441" s="17"/>
      <c r="G441" s="17"/>
      <c r="H441" s="17"/>
      <c r="I441" s="18"/>
      <c r="J441" s="17"/>
      <c r="K441" s="17"/>
      <c r="L441" s="17"/>
    </row>
    <row r="442" spans="1:12" ht="15" customHeight="1" x14ac:dyDescent="0.3">
      <c r="A442" s="13"/>
      <c r="B442" s="14"/>
      <c r="C442" s="14"/>
      <c r="D442" s="14"/>
      <c r="E442" s="15"/>
      <c r="F442" s="14"/>
      <c r="G442" s="14"/>
      <c r="H442" s="14"/>
      <c r="I442" s="15"/>
      <c r="J442" s="14"/>
      <c r="K442" s="14"/>
      <c r="L442" s="14"/>
    </row>
    <row r="443" spans="1:12" ht="15" customHeight="1" x14ac:dyDescent="0.3">
      <c r="A443" s="16"/>
      <c r="B443" s="17"/>
      <c r="C443" s="17"/>
      <c r="D443" s="17"/>
      <c r="E443" s="18"/>
      <c r="F443" s="17"/>
      <c r="G443" s="17"/>
      <c r="H443" s="17"/>
      <c r="I443" s="18"/>
      <c r="J443" s="17"/>
      <c r="K443" s="17"/>
      <c r="L443" s="17"/>
    </row>
    <row r="444" spans="1:12" ht="15" customHeight="1" x14ac:dyDescent="0.3">
      <c r="A444" s="13"/>
      <c r="B444" s="14"/>
      <c r="C444" s="14"/>
      <c r="D444" s="14"/>
      <c r="E444" s="15"/>
      <c r="F444" s="14"/>
      <c r="G444" s="14"/>
      <c r="H444" s="14"/>
      <c r="I444" s="15"/>
      <c r="J444" s="14"/>
      <c r="K444" s="14"/>
      <c r="L444" s="14"/>
    </row>
    <row r="445" spans="1:12" ht="15" customHeight="1" x14ac:dyDescent="0.3">
      <c r="A445" s="16"/>
      <c r="B445" s="17"/>
      <c r="C445" s="17"/>
      <c r="D445" s="17"/>
      <c r="E445" s="18"/>
      <c r="F445" s="17"/>
      <c r="G445" s="17"/>
      <c r="H445" s="17"/>
      <c r="I445" s="18"/>
      <c r="J445" s="17"/>
      <c r="K445" s="17"/>
      <c r="L445" s="17"/>
    </row>
    <row r="446" spans="1:12" ht="15" customHeight="1" x14ac:dyDescent="0.3">
      <c r="A446" s="13"/>
      <c r="B446" s="14"/>
      <c r="C446" s="14"/>
      <c r="D446" s="14"/>
      <c r="E446" s="15"/>
      <c r="F446" s="14"/>
      <c r="G446" s="14"/>
      <c r="H446" s="14"/>
      <c r="I446" s="15"/>
      <c r="J446" s="14"/>
      <c r="K446" s="14"/>
      <c r="L446" s="14"/>
    </row>
    <row r="447" spans="1:12" ht="15" customHeight="1" x14ac:dyDescent="0.3">
      <c r="A447" s="16"/>
      <c r="B447" s="17"/>
      <c r="C447" s="17"/>
      <c r="D447" s="17"/>
      <c r="E447" s="18"/>
      <c r="F447" s="17"/>
      <c r="G447" s="17"/>
      <c r="H447" s="17"/>
      <c r="I447" s="18"/>
      <c r="J447" s="17"/>
      <c r="K447" s="17"/>
      <c r="L447" s="17"/>
    </row>
    <row r="448" spans="1:12" ht="15" customHeight="1" x14ac:dyDescent="0.3">
      <c r="A448" s="13"/>
      <c r="B448" s="14"/>
      <c r="C448" s="14"/>
      <c r="D448" s="14"/>
      <c r="E448" s="15"/>
      <c r="F448" s="14"/>
      <c r="G448" s="14"/>
      <c r="H448" s="14"/>
      <c r="I448" s="15"/>
      <c r="J448" s="14"/>
      <c r="K448" s="14"/>
      <c r="L448" s="14"/>
    </row>
    <row r="449" spans="1:12" ht="15" customHeight="1" x14ac:dyDescent="0.3">
      <c r="A449" s="16"/>
      <c r="B449" s="17"/>
      <c r="C449" s="17"/>
      <c r="D449" s="17"/>
      <c r="E449" s="18"/>
      <c r="F449" s="17"/>
      <c r="G449" s="17"/>
      <c r="H449" s="17"/>
      <c r="I449" s="18"/>
      <c r="J449" s="17"/>
      <c r="K449" s="17"/>
      <c r="L449" s="17"/>
    </row>
    <row r="450" spans="1:12" ht="15" customHeight="1" x14ac:dyDescent="0.3">
      <c r="A450" s="13"/>
      <c r="B450" s="14"/>
      <c r="C450" s="14"/>
      <c r="D450" s="14"/>
      <c r="E450" s="15"/>
      <c r="F450" s="14"/>
      <c r="G450" s="14"/>
      <c r="H450" s="14"/>
      <c r="I450" s="15"/>
      <c r="J450" s="14"/>
      <c r="K450" s="14"/>
      <c r="L450" s="14"/>
    </row>
    <row r="451" spans="1:12" ht="15" customHeight="1" x14ac:dyDescent="0.3">
      <c r="A451" s="16"/>
      <c r="B451" s="17"/>
      <c r="C451" s="17"/>
      <c r="D451" s="17"/>
      <c r="E451" s="18"/>
      <c r="F451" s="17"/>
      <c r="G451" s="17"/>
      <c r="H451" s="17"/>
      <c r="I451" s="18"/>
      <c r="J451" s="17"/>
      <c r="K451" s="17"/>
      <c r="L451" s="17"/>
    </row>
    <row r="452" spans="1:12" ht="15" customHeight="1" x14ac:dyDescent="0.3">
      <c r="A452" s="13"/>
      <c r="B452" s="14"/>
      <c r="C452" s="14"/>
      <c r="D452" s="14"/>
      <c r="E452" s="15"/>
      <c r="F452" s="14"/>
      <c r="G452" s="14"/>
      <c r="H452" s="14"/>
      <c r="I452" s="15"/>
      <c r="J452" s="14"/>
      <c r="K452" s="14"/>
      <c r="L452" s="14"/>
    </row>
    <row r="453" spans="1:12" ht="15" customHeight="1" x14ac:dyDescent="0.3">
      <c r="A453" s="16"/>
      <c r="B453" s="17"/>
      <c r="C453" s="17"/>
      <c r="D453" s="17"/>
      <c r="E453" s="18"/>
      <c r="F453" s="17"/>
      <c r="G453" s="17"/>
      <c r="H453" s="17"/>
      <c r="I453" s="18"/>
      <c r="J453" s="17"/>
      <c r="K453" s="17"/>
      <c r="L453" s="17"/>
    </row>
    <row r="454" spans="1:12" ht="15" customHeight="1" x14ac:dyDescent="0.3">
      <c r="A454" s="13"/>
      <c r="B454" s="14"/>
      <c r="C454" s="14"/>
      <c r="D454" s="14"/>
      <c r="E454" s="15"/>
      <c r="F454" s="14"/>
      <c r="G454" s="14"/>
      <c r="H454" s="14"/>
      <c r="I454" s="15"/>
      <c r="J454" s="14"/>
      <c r="K454" s="14"/>
      <c r="L454" s="14"/>
    </row>
    <row r="455" spans="1:12" ht="15" customHeight="1" x14ac:dyDescent="0.3">
      <c r="A455" s="16"/>
      <c r="B455" s="17"/>
      <c r="C455" s="17"/>
      <c r="D455" s="17"/>
      <c r="E455" s="18"/>
      <c r="F455" s="17"/>
      <c r="G455" s="17"/>
      <c r="H455" s="17"/>
      <c r="I455" s="18"/>
      <c r="J455" s="17"/>
      <c r="K455" s="17"/>
      <c r="L455" s="17"/>
    </row>
    <row r="456" spans="1:12" ht="15" customHeight="1" x14ac:dyDescent="0.3">
      <c r="A456" s="13"/>
      <c r="B456" s="14"/>
      <c r="C456" s="14"/>
      <c r="D456" s="14"/>
      <c r="E456" s="15"/>
      <c r="F456" s="14"/>
      <c r="G456" s="14"/>
      <c r="H456" s="14"/>
      <c r="I456" s="15"/>
      <c r="J456" s="14"/>
      <c r="K456" s="14"/>
      <c r="L456" s="14"/>
    </row>
    <row r="457" spans="1:12" ht="15" customHeight="1" x14ac:dyDescent="0.3">
      <c r="A457" s="16"/>
      <c r="B457" s="17"/>
      <c r="C457" s="17"/>
      <c r="D457" s="17"/>
      <c r="E457" s="18"/>
      <c r="F457" s="17"/>
      <c r="G457" s="17"/>
      <c r="H457" s="17"/>
      <c r="I457" s="18"/>
      <c r="J457" s="17"/>
      <c r="K457" s="17"/>
      <c r="L457" s="17"/>
    </row>
    <row r="458" spans="1:12" ht="15" customHeight="1" x14ac:dyDescent="0.3">
      <c r="A458" s="13"/>
      <c r="B458" s="14"/>
      <c r="C458" s="14"/>
      <c r="D458" s="14"/>
      <c r="E458" s="15"/>
      <c r="F458" s="14"/>
      <c r="G458" s="14"/>
      <c r="H458" s="14"/>
      <c r="I458" s="15"/>
      <c r="J458" s="14"/>
      <c r="K458" s="14"/>
      <c r="L458" s="14"/>
    </row>
    <row r="459" spans="1:12" ht="15" customHeight="1" x14ac:dyDescent="0.3">
      <c r="A459" s="16"/>
      <c r="B459" s="17"/>
      <c r="C459" s="17"/>
      <c r="D459" s="17"/>
      <c r="E459" s="18"/>
      <c r="F459" s="17"/>
      <c r="G459" s="17"/>
      <c r="H459" s="17"/>
      <c r="I459" s="18"/>
      <c r="J459" s="17"/>
      <c r="K459" s="17"/>
      <c r="L459" s="17"/>
    </row>
    <row r="460" spans="1:12" ht="15" customHeight="1" x14ac:dyDescent="0.3">
      <c r="A460" s="13"/>
      <c r="B460" s="14"/>
      <c r="C460" s="14"/>
      <c r="D460" s="14"/>
      <c r="E460" s="15"/>
      <c r="F460" s="14"/>
      <c r="G460" s="14"/>
      <c r="H460" s="14"/>
      <c r="I460" s="15"/>
      <c r="J460" s="14"/>
      <c r="K460" s="14"/>
      <c r="L460" s="14"/>
    </row>
    <row r="461" spans="1:12" ht="15" customHeight="1" x14ac:dyDescent="0.3">
      <c r="A461" s="16"/>
      <c r="B461" s="17"/>
      <c r="C461" s="17"/>
      <c r="D461" s="17"/>
      <c r="E461" s="18"/>
      <c r="F461" s="17"/>
      <c r="G461" s="17"/>
      <c r="H461" s="17"/>
      <c r="I461" s="18"/>
      <c r="J461" s="17"/>
      <c r="K461" s="17"/>
      <c r="L461" s="17"/>
    </row>
    <row r="462" spans="1:12" ht="15" customHeight="1" x14ac:dyDescent="0.3">
      <c r="A462" s="13"/>
      <c r="B462" s="14"/>
      <c r="C462" s="14"/>
      <c r="D462" s="14"/>
      <c r="E462" s="15"/>
      <c r="F462" s="14"/>
      <c r="G462" s="14"/>
      <c r="H462" s="14"/>
      <c r="I462" s="15"/>
      <c r="J462" s="14"/>
      <c r="K462" s="14"/>
      <c r="L462" s="14"/>
    </row>
    <row r="463" spans="1:12" ht="15" customHeight="1" x14ac:dyDescent="0.3">
      <c r="A463" s="16"/>
      <c r="B463" s="17"/>
      <c r="C463" s="17"/>
      <c r="D463" s="17"/>
      <c r="E463" s="18"/>
      <c r="F463" s="17"/>
      <c r="G463" s="17"/>
      <c r="H463" s="17"/>
      <c r="I463" s="18"/>
      <c r="J463" s="17"/>
      <c r="K463" s="17"/>
      <c r="L463" s="17"/>
    </row>
    <row r="464" spans="1:12" ht="15" customHeight="1" x14ac:dyDescent="0.3">
      <c r="A464" s="13"/>
      <c r="B464" s="14"/>
      <c r="C464" s="14"/>
      <c r="D464" s="14"/>
      <c r="E464" s="15"/>
      <c r="F464" s="14"/>
      <c r="G464" s="14"/>
      <c r="H464" s="14"/>
      <c r="I464" s="15"/>
      <c r="J464" s="14"/>
      <c r="K464" s="14"/>
      <c r="L464" s="14"/>
    </row>
    <row r="465" spans="1:12" ht="15" customHeight="1" x14ac:dyDescent="0.3">
      <c r="A465" s="16"/>
      <c r="B465" s="17"/>
      <c r="C465" s="17"/>
      <c r="D465" s="17"/>
      <c r="E465" s="18"/>
      <c r="F465" s="17"/>
      <c r="G465" s="17"/>
      <c r="H465" s="17"/>
      <c r="I465" s="18"/>
      <c r="J465" s="17"/>
      <c r="K465" s="17"/>
      <c r="L465" s="17"/>
    </row>
    <row r="466" spans="1:12" ht="15" customHeight="1" x14ac:dyDescent="0.3">
      <c r="A466" s="13"/>
      <c r="B466" s="14"/>
      <c r="C466" s="14"/>
      <c r="D466" s="14"/>
      <c r="E466" s="15"/>
      <c r="F466" s="14"/>
      <c r="G466" s="14"/>
      <c r="H466" s="14"/>
      <c r="I466" s="15"/>
      <c r="J466" s="14"/>
      <c r="K466" s="14"/>
      <c r="L466" s="14"/>
    </row>
    <row r="467" spans="1:12" ht="15" customHeight="1" x14ac:dyDescent="0.3">
      <c r="A467" s="16"/>
      <c r="B467" s="17"/>
      <c r="C467" s="17"/>
      <c r="D467" s="17"/>
      <c r="E467" s="18"/>
      <c r="F467" s="17"/>
      <c r="G467" s="17"/>
      <c r="H467" s="17"/>
      <c r="I467" s="18"/>
      <c r="J467" s="17"/>
      <c r="K467" s="17"/>
      <c r="L467" s="17"/>
    </row>
    <row r="468" spans="1:12" ht="15" customHeight="1" x14ac:dyDescent="0.3">
      <c r="A468" s="13"/>
      <c r="B468" s="14"/>
      <c r="C468" s="14"/>
      <c r="D468" s="14"/>
      <c r="E468" s="15"/>
      <c r="F468" s="14"/>
      <c r="G468" s="14"/>
      <c r="H468" s="14"/>
      <c r="I468" s="15"/>
      <c r="J468" s="14"/>
      <c r="K468" s="14"/>
      <c r="L468" s="14"/>
    </row>
    <row r="469" spans="1:12" ht="15" customHeight="1" x14ac:dyDescent="0.3">
      <c r="A469" s="16"/>
      <c r="B469" s="17"/>
      <c r="C469" s="17"/>
      <c r="D469" s="17"/>
      <c r="E469" s="18"/>
      <c r="F469" s="17"/>
      <c r="G469" s="17"/>
      <c r="H469" s="17"/>
      <c r="I469" s="18"/>
      <c r="J469" s="17"/>
      <c r="K469" s="17"/>
      <c r="L469" s="17"/>
    </row>
    <row r="470" spans="1:12" ht="15" customHeight="1" x14ac:dyDescent="0.3">
      <c r="A470" s="13"/>
      <c r="B470" s="14"/>
      <c r="C470" s="14"/>
      <c r="D470" s="14"/>
      <c r="E470" s="15"/>
      <c r="F470" s="14"/>
      <c r="G470" s="14"/>
      <c r="H470" s="14"/>
      <c r="I470" s="15"/>
      <c r="J470" s="14"/>
      <c r="K470" s="14"/>
      <c r="L470" s="14"/>
    </row>
    <row r="471" spans="1:12" ht="15" customHeight="1" x14ac:dyDescent="0.3">
      <c r="A471" s="16"/>
      <c r="B471" s="17"/>
      <c r="C471" s="17"/>
      <c r="D471" s="17"/>
      <c r="E471" s="18"/>
      <c r="F471" s="17"/>
      <c r="G471" s="17"/>
      <c r="H471" s="17"/>
      <c r="I471" s="18"/>
      <c r="J471" s="17"/>
      <c r="K471" s="17"/>
      <c r="L471" s="17"/>
    </row>
    <row r="472" spans="1:12" ht="15" customHeight="1" x14ac:dyDescent="0.3">
      <c r="A472" s="13"/>
      <c r="B472" s="14"/>
      <c r="C472" s="14"/>
      <c r="D472" s="14"/>
      <c r="E472" s="15"/>
      <c r="F472" s="14"/>
      <c r="G472" s="14"/>
      <c r="H472" s="14"/>
      <c r="I472" s="15"/>
      <c r="J472" s="14"/>
      <c r="K472" s="14"/>
      <c r="L472" s="14"/>
    </row>
    <row r="473" spans="1:12" ht="15" customHeight="1" x14ac:dyDescent="0.3">
      <c r="A473" s="16"/>
      <c r="B473" s="17"/>
      <c r="C473" s="17"/>
      <c r="D473" s="17"/>
      <c r="E473" s="18"/>
      <c r="F473" s="17"/>
      <c r="G473" s="17"/>
      <c r="H473" s="17"/>
      <c r="I473" s="18"/>
      <c r="J473" s="17"/>
      <c r="K473" s="17"/>
      <c r="L473" s="17"/>
    </row>
    <row r="474" spans="1:12" ht="15" customHeight="1" x14ac:dyDescent="0.3">
      <c r="A474" s="13"/>
      <c r="B474" s="14"/>
      <c r="C474" s="14"/>
      <c r="D474" s="14"/>
      <c r="E474" s="15"/>
      <c r="F474" s="14"/>
      <c r="G474" s="14"/>
      <c r="H474" s="14"/>
      <c r="I474" s="15"/>
      <c r="J474" s="14"/>
      <c r="K474" s="14"/>
      <c r="L474" s="14"/>
    </row>
    <row r="475" spans="1:12" ht="15" customHeight="1" x14ac:dyDescent="0.3">
      <c r="A475" s="16"/>
      <c r="B475" s="17"/>
      <c r="C475" s="17"/>
      <c r="D475" s="17"/>
      <c r="E475" s="18"/>
      <c r="F475" s="17"/>
      <c r="G475" s="17"/>
      <c r="H475" s="17"/>
      <c r="I475" s="18"/>
      <c r="J475" s="17"/>
      <c r="K475" s="17"/>
      <c r="L475" s="17"/>
    </row>
    <row r="476" spans="1:12" ht="15" customHeight="1" x14ac:dyDescent="0.3">
      <c r="A476" s="13"/>
      <c r="B476" s="14"/>
      <c r="C476" s="14"/>
      <c r="D476" s="14"/>
      <c r="E476" s="15"/>
      <c r="F476" s="14"/>
      <c r="G476" s="14"/>
      <c r="H476" s="14"/>
      <c r="I476" s="15"/>
      <c r="J476" s="14"/>
      <c r="K476" s="14"/>
      <c r="L476" s="14"/>
    </row>
    <row r="477" spans="1:12" ht="15" customHeight="1" x14ac:dyDescent="0.3">
      <c r="A477" s="16"/>
      <c r="B477" s="17"/>
      <c r="C477" s="17"/>
      <c r="D477" s="17"/>
      <c r="E477" s="18"/>
      <c r="F477" s="17"/>
      <c r="G477" s="17"/>
      <c r="H477" s="17"/>
      <c r="I477" s="18"/>
      <c r="J477" s="17"/>
      <c r="K477" s="17"/>
      <c r="L477" s="17"/>
    </row>
    <row r="478" spans="1:12" ht="15" customHeight="1" x14ac:dyDescent="0.3">
      <c r="A478" s="13"/>
      <c r="B478" s="14"/>
      <c r="C478" s="14"/>
      <c r="D478" s="14"/>
      <c r="E478" s="15"/>
      <c r="F478" s="14"/>
      <c r="G478" s="14"/>
      <c r="H478" s="14"/>
      <c r="I478" s="15"/>
      <c r="J478" s="14"/>
      <c r="K478" s="14"/>
      <c r="L478" s="14"/>
    </row>
    <row r="479" spans="1:12" ht="15" customHeight="1" x14ac:dyDescent="0.3">
      <c r="A479" s="16"/>
      <c r="B479" s="17"/>
      <c r="C479" s="17"/>
      <c r="D479" s="17"/>
      <c r="E479" s="18"/>
      <c r="F479" s="17"/>
      <c r="G479" s="17"/>
      <c r="H479" s="17"/>
      <c r="I479" s="18"/>
      <c r="J479" s="17"/>
      <c r="K479" s="17"/>
      <c r="L479" s="17"/>
    </row>
    <row r="480" spans="1:12" ht="15" customHeight="1" x14ac:dyDescent="0.3">
      <c r="A480" s="13"/>
      <c r="B480" s="14"/>
      <c r="C480" s="14"/>
      <c r="D480" s="14"/>
      <c r="E480" s="15"/>
      <c r="F480" s="14"/>
      <c r="G480" s="14"/>
      <c r="H480" s="14"/>
      <c r="I480" s="15"/>
      <c r="J480" s="14"/>
      <c r="K480" s="14"/>
      <c r="L480" s="14"/>
    </row>
    <row r="481" spans="1:12" ht="15" customHeight="1" x14ac:dyDescent="0.3">
      <c r="A481" s="16"/>
      <c r="B481" s="17"/>
      <c r="C481" s="17"/>
      <c r="D481" s="17"/>
      <c r="E481" s="18"/>
      <c r="F481" s="17"/>
      <c r="G481" s="17"/>
      <c r="H481" s="17"/>
      <c r="I481" s="18"/>
      <c r="J481" s="17"/>
      <c r="K481" s="17"/>
      <c r="L481" s="17"/>
    </row>
    <row r="482" spans="1:12" ht="15" customHeight="1" x14ac:dyDescent="0.3">
      <c r="A482" s="13"/>
      <c r="B482" s="14"/>
      <c r="C482" s="14"/>
      <c r="D482" s="14"/>
      <c r="E482" s="15"/>
      <c r="F482" s="14"/>
      <c r="G482" s="14"/>
      <c r="H482" s="14"/>
      <c r="I482" s="15"/>
      <c r="J482" s="14"/>
      <c r="K482" s="14"/>
      <c r="L482" s="14"/>
    </row>
    <row r="483" spans="1:12" ht="15" customHeight="1" x14ac:dyDescent="0.3">
      <c r="A483" s="16"/>
      <c r="B483" s="17"/>
      <c r="C483" s="17"/>
      <c r="D483" s="17"/>
      <c r="E483" s="18"/>
      <c r="F483" s="17"/>
      <c r="G483" s="17"/>
      <c r="H483" s="17"/>
      <c r="I483" s="18"/>
      <c r="J483" s="17"/>
      <c r="K483" s="17"/>
      <c r="L483" s="17"/>
    </row>
    <row r="484" spans="1:12" ht="15" customHeight="1" x14ac:dyDescent="0.3">
      <c r="A484" s="13"/>
      <c r="B484" s="14"/>
      <c r="C484" s="14"/>
      <c r="D484" s="14"/>
      <c r="E484" s="15"/>
      <c r="F484" s="14"/>
      <c r="G484" s="14"/>
      <c r="H484" s="14"/>
      <c r="I484" s="15"/>
      <c r="J484" s="14"/>
      <c r="K484" s="14"/>
      <c r="L484" s="14"/>
    </row>
    <row r="485" spans="1:12" ht="15" customHeight="1" x14ac:dyDescent="0.3">
      <c r="A485" s="16"/>
      <c r="B485" s="17"/>
      <c r="C485" s="17"/>
      <c r="D485" s="17"/>
      <c r="E485" s="18"/>
      <c r="F485" s="17"/>
      <c r="G485" s="17"/>
      <c r="H485" s="17"/>
      <c r="I485" s="18"/>
      <c r="J485" s="17"/>
      <c r="K485" s="17"/>
      <c r="L485" s="17"/>
    </row>
    <row r="486" spans="1:12" ht="15" customHeight="1" x14ac:dyDescent="0.3">
      <c r="A486" s="13"/>
      <c r="B486" s="14"/>
      <c r="C486" s="14"/>
      <c r="D486" s="14"/>
      <c r="E486" s="15"/>
      <c r="F486" s="14"/>
      <c r="G486" s="14"/>
      <c r="H486" s="14"/>
      <c r="I486" s="15"/>
      <c r="J486" s="14"/>
      <c r="K486" s="14"/>
      <c r="L486" s="14"/>
    </row>
    <row r="487" spans="1:12" ht="15" customHeight="1" x14ac:dyDescent="0.3">
      <c r="A487" s="16"/>
      <c r="B487" s="17"/>
      <c r="C487" s="17"/>
      <c r="D487" s="17"/>
      <c r="E487" s="18"/>
      <c r="F487" s="17"/>
      <c r="G487" s="17"/>
      <c r="H487" s="17"/>
      <c r="I487" s="18"/>
      <c r="J487" s="17"/>
      <c r="K487" s="17"/>
      <c r="L487" s="17"/>
    </row>
    <row r="488" spans="1:12" ht="15" customHeight="1" x14ac:dyDescent="0.3">
      <c r="A488" s="13"/>
      <c r="B488" s="14"/>
      <c r="C488" s="14"/>
      <c r="D488" s="14"/>
      <c r="E488" s="15"/>
      <c r="F488" s="14"/>
      <c r="G488" s="14"/>
      <c r="H488" s="14"/>
      <c r="I488" s="15"/>
      <c r="J488" s="14"/>
      <c r="K488" s="14"/>
      <c r="L488" s="14"/>
    </row>
    <row r="489" spans="1:12" ht="15" customHeight="1" x14ac:dyDescent="0.3">
      <c r="A489" s="16"/>
      <c r="B489" s="17"/>
      <c r="C489" s="17"/>
      <c r="D489" s="17"/>
      <c r="E489" s="18"/>
      <c r="F489" s="17"/>
      <c r="G489" s="17"/>
      <c r="H489" s="17"/>
      <c r="I489" s="18"/>
      <c r="J489" s="17"/>
      <c r="K489" s="17"/>
      <c r="L489" s="17"/>
    </row>
    <row r="490" spans="1:12" ht="15" customHeight="1" x14ac:dyDescent="0.3">
      <c r="A490" s="13"/>
      <c r="B490" s="14"/>
      <c r="C490" s="14"/>
      <c r="D490" s="14"/>
      <c r="E490" s="15"/>
      <c r="F490" s="14"/>
      <c r="G490" s="14"/>
      <c r="H490" s="14"/>
      <c r="I490" s="15"/>
      <c r="J490" s="14"/>
      <c r="K490" s="14"/>
      <c r="L490" s="14"/>
    </row>
    <row r="491" spans="1:12" ht="15" customHeight="1" x14ac:dyDescent="0.3">
      <c r="A491" s="16"/>
      <c r="B491" s="17"/>
      <c r="C491" s="17"/>
      <c r="D491" s="17"/>
      <c r="E491" s="18"/>
      <c r="F491" s="17"/>
      <c r="G491" s="17"/>
      <c r="H491" s="17"/>
      <c r="I491" s="18"/>
      <c r="J491" s="17"/>
      <c r="K491" s="17"/>
      <c r="L491" s="17"/>
    </row>
    <row r="492" spans="1:12" ht="15" customHeight="1" x14ac:dyDescent="0.3">
      <c r="A492" s="13"/>
      <c r="B492" s="14"/>
      <c r="C492" s="14"/>
      <c r="D492" s="14"/>
      <c r="E492" s="15"/>
      <c r="F492" s="14"/>
      <c r="G492" s="14"/>
      <c r="H492" s="14"/>
      <c r="I492" s="15"/>
      <c r="J492" s="14"/>
      <c r="K492" s="14"/>
      <c r="L492" s="14"/>
    </row>
    <row r="493" spans="1:12" ht="15" customHeight="1" x14ac:dyDescent="0.3">
      <c r="A493" s="16"/>
      <c r="B493" s="17"/>
      <c r="C493" s="17"/>
      <c r="D493" s="17"/>
      <c r="E493" s="18"/>
      <c r="F493" s="17"/>
      <c r="G493" s="17"/>
      <c r="H493" s="17"/>
      <c r="I493" s="18"/>
      <c r="J493" s="17"/>
      <c r="K493" s="17"/>
      <c r="L493" s="17"/>
    </row>
    <row r="494" spans="1:12" ht="15" customHeight="1" x14ac:dyDescent="0.3">
      <c r="A494" s="13"/>
      <c r="B494" s="14"/>
      <c r="C494" s="14"/>
      <c r="D494" s="14"/>
      <c r="E494" s="15"/>
      <c r="F494" s="14"/>
      <c r="G494" s="14"/>
      <c r="H494" s="14"/>
      <c r="I494" s="15"/>
      <c r="J494" s="14"/>
      <c r="K494" s="14"/>
      <c r="L494" s="14"/>
    </row>
    <row r="495" spans="1:12" ht="15" customHeight="1" x14ac:dyDescent="0.3">
      <c r="A495" s="16"/>
      <c r="B495" s="17"/>
      <c r="C495" s="17"/>
      <c r="D495" s="17"/>
      <c r="E495" s="18"/>
      <c r="F495" s="17"/>
      <c r="G495" s="17"/>
      <c r="H495" s="17"/>
      <c r="I495" s="18"/>
      <c r="J495" s="17"/>
      <c r="K495" s="17"/>
      <c r="L495" s="17"/>
    </row>
    <row r="496" spans="1:12" ht="15" customHeight="1" x14ac:dyDescent="0.3">
      <c r="A496" s="13"/>
      <c r="B496" s="14"/>
      <c r="C496" s="14"/>
      <c r="D496" s="14"/>
      <c r="E496" s="15"/>
      <c r="F496" s="14"/>
      <c r="G496" s="14"/>
      <c r="H496" s="14"/>
      <c r="I496" s="15"/>
      <c r="J496" s="14"/>
      <c r="K496" s="14"/>
      <c r="L496" s="14"/>
    </row>
    <row r="497" spans="1:12" ht="15" customHeight="1" x14ac:dyDescent="0.3">
      <c r="A497" s="16"/>
      <c r="B497" s="17"/>
      <c r="C497" s="17"/>
      <c r="D497" s="17"/>
      <c r="E497" s="18"/>
      <c r="F497" s="17"/>
      <c r="G497" s="17"/>
      <c r="H497" s="17"/>
      <c r="I497" s="18"/>
      <c r="J497" s="17"/>
      <c r="K497" s="17"/>
      <c r="L497" s="17"/>
    </row>
    <row r="498" spans="1:12" ht="15" customHeight="1" x14ac:dyDescent="0.3">
      <c r="A498" s="13"/>
      <c r="B498" s="14"/>
      <c r="C498" s="14"/>
      <c r="D498" s="14"/>
      <c r="E498" s="15"/>
      <c r="F498" s="14"/>
      <c r="G498" s="14"/>
      <c r="H498" s="14"/>
      <c r="I498" s="15"/>
      <c r="J498" s="14"/>
      <c r="K498" s="14"/>
      <c r="L498" s="14"/>
    </row>
    <row r="499" spans="1:12" ht="15" customHeight="1" x14ac:dyDescent="0.3">
      <c r="A499" s="16"/>
      <c r="B499" s="17"/>
      <c r="C499" s="17"/>
      <c r="D499" s="17"/>
      <c r="E499" s="18"/>
      <c r="F499" s="17"/>
      <c r="G499" s="17"/>
      <c r="H499" s="17"/>
      <c r="I499" s="18"/>
      <c r="J499" s="17"/>
      <c r="K499" s="17"/>
      <c r="L499" s="17"/>
    </row>
    <row r="500" spans="1:12" ht="15" customHeight="1" x14ac:dyDescent="0.3">
      <c r="A500" s="13"/>
      <c r="B500" s="14"/>
      <c r="C500" s="14"/>
      <c r="D500" s="14"/>
      <c r="E500" s="15"/>
      <c r="F500" s="14"/>
      <c r="G500" s="14"/>
      <c r="H500" s="14"/>
      <c r="I500" s="15"/>
      <c r="J500" s="14"/>
      <c r="K500" s="14"/>
      <c r="L500" s="14"/>
    </row>
    <row r="501" spans="1:12" ht="15" customHeight="1" x14ac:dyDescent="0.3">
      <c r="A501" s="16"/>
      <c r="B501" s="17"/>
      <c r="C501" s="17"/>
      <c r="D501" s="17"/>
      <c r="E501" s="18"/>
      <c r="F501" s="17"/>
      <c r="G501" s="17"/>
      <c r="H501" s="17"/>
      <c r="I501" s="18"/>
      <c r="J501" s="17"/>
      <c r="K501" s="17"/>
      <c r="L501" s="17"/>
    </row>
    <row r="502" spans="1:12" ht="15" customHeight="1" x14ac:dyDescent="0.3">
      <c r="A502" s="13"/>
      <c r="B502" s="14"/>
      <c r="C502" s="14"/>
      <c r="D502" s="14"/>
      <c r="E502" s="15"/>
      <c r="F502" s="14"/>
      <c r="G502" s="14"/>
      <c r="H502" s="14"/>
      <c r="I502" s="15"/>
      <c r="J502" s="14"/>
      <c r="K502" s="14"/>
      <c r="L502" s="14"/>
    </row>
    <row r="503" spans="1:12" ht="15" customHeight="1" x14ac:dyDescent="0.3">
      <c r="A503" s="16"/>
      <c r="B503" s="17"/>
      <c r="C503" s="17"/>
      <c r="D503" s="17"/>
      <c r="E503" s="18"/>
      <c r="F503" s="17"/>
      <c r="G503" s="17"/>
      <c r="H503" s="17"/>
      <c r="I503" s="18"/>
      <c r="J503" s="17"/>
      <c r="K503" s="17"/>
      <c r="L503" s="17"/>
    </row>
    <row r="504" spans="1:12" ht="15" customHeight="1" x14ac:dyDescent="0.3">
      <c r="A504" s="13"/>
      <c r="B504" s="14"/>
      <c r="C504" s="14"/>
      <c r="D504" s="14"/>
      <c r="E504" s="15"/>
      <c r="F504" s="14"/>
      <c r="G504" s="14"/>
      <c r="H504" s="14"/>
      <c r="I504" s="15"/>
      <c r="J504" s="14"/>
      <c r="K504" s="14"/>
      <c r="L504" s="14"/>
    </row>
    <row r="505" spans="1:12" ht="15" customHeight="1" x14ac:dyDescent="0.3">
      <c r="A505" s="16"/>
      <c r="B505" s="17"/>
      <c r="C505" s="17"/>
      <c r="D505" s="17"/>
      <c r="E505" s="18"/>
      <c r="F505" s="17"/>
      <c r="G505" s="17"/>
      <c r="H505" s="17"/>
      <c r="I505" s="18"/>
      <c r="J505" s="17"/>
      <c r="K505" s="17"/>
      <c r="L505" s="17"/>
    </row>
    <row r="506" spans="1:12" ht="15" customHeight="1" x14ac:dyDescent="0.3">
      <c r="A506" s="13"/>
      <c r="B506" s="14"/>
      <c r="C506" s="14"/>
      <c r="D506" s="14"/>
      <c r="E506" s="15"/>
      <c r="F506" s="14"/>
      <c r="G506" s="14"/>
      <c r="H506" s="14"/>
      <c r="I506" s="15"/>
      <c r="J506" s="14"/>
      <c r="K506" s="14"/>
      <c r="L506" s="14"/>
    </row>
    <row r="507" spans="1:12" ht="15" customHeight="1" x14ac:dyDescent="0.3">
      <c r="A507" s="16"/>
      <c r="B507" s="17"/>
      <c r="C507" s="17"/>
      <c r="D507" s="17"/>
      <c r="E507" s="18"/>
      <c r="F507" s="17"/>
      <c r="G507" s="17"/>
      <c r="H507" s="17"/>
      <c r="I507" s="18"/>
      <c r="J507" s="17"/>
      <c r="K507" s="17"/>
      <c r="L507" s="17"/>
    </row>
    <row r="508" spans="1:12" ht="15" customHeight="1" x14ac:dyDescent="0.3">
      <c r="A508" s="13"/>
      <c r="B508" s="14"/>
      <c r="C508" s="14"/>
      <c r="D508" s="14"/>
      <c r="E508" s="15"/>
      <c r="F508" s="14"/>
      <c r="G508" s="14"/>
      <c r="H508" s="14"/>
      <c r="I508" s="15"/>
      <c r="J508" s="14"/>
      <c r="K508" s="14"/>
      <c r="L508" s="14"/>
    </row>
    <row r="509" spans="1:12" ht="15" customHeight="1" x14ac:dyDescent="0.3">
      <c r="A509" s="16"/>
      <c r="B509" s="17"/>
      <c r="C509" s="17"/>
      <c r="D509" s="17"/>
      <c r="E509" s="18"/>
      <c r="F509" s="17"/>
      <c r="G509" s="17"/>
      <c r="H509" s="17"/>
      <c r="I509" s="18"/>
      <c r="J509" s="17"/>
      <c r="K509" s="17"/>
      <c r="L509" s="17"/>
    </row>
    <row r="510" spans="1:12" ht="15" customHeight="1" x14ac:dyDescent="0.3">
      <c r="A510" s="13"/>
      <c r="B510" s="14"/>
      <c r="C510" s="14"/>
      <c r="D510" s="14"/>
      <c r="E510" s="15"/>
      <c r="F510" s="14"/>
      <c r="G510" s="14"/>
      <c r="H510" s="14"/>
      <c r="I510" s="15"/>
      <c r="J510" s="14"/>
      <c r="K510" s="14"/>
      <c r="L510" s="14"/>
    </row>
    <row r="511" spans="1:12" ht="15" customHeight="1" x14ac:dyDescent="0.3">
      <c r="A511" s="16"/>
      <c r="B511" s="17"/>
      <c r="C511" s="17"/>
      <c r="D511" s="17"/>
      <c r="E511" s="18"/>
      <c r="F511" s="17"/>
      <c r="G511" s="17"/>
      <c r="H511" s="17"/>
      <c r="I511" s="18"/>
      <c r="J511" s="17"/>
      <c r="K511" s="17"/>
      <c r="L511" s="17"/>
    </row>
    <row r="512" spans="1:12" ht="15" customHeight="1" x14ac:dyDescent="0.3">
      <c r="A512" s="13"/>
      <c r="B512" s="14"/>
      <c r="C512" s="14"/>
      <c r="D512" s="14"/>
      <c r="E512" s="15"/>
      <c r="F512" s="14"/>
      <c r="G512" s="14"/>
      <c r="H512" s="14"/>
      <c r="I512" s="15"/>
      <c r="J512" s="14"/>
      <c r="K512" s="14"/>
      <c r="L512" s="14"/>
    </row>
    <row r="513" spans="1:12" ht="15" customHeight="1" x14ac:dyDescent="0.3">
      <c r="A513" s="16"/>
      <c r="B513" s="17"/>
      <c r="C513" s="17"/>
      <c r="D513" s="17"/>
      <c r="E513" s="18"/>
      <c r="F513" s="17"/>
      <c r="G513" s="17"/>
      <c r="H513" s="17"/>
      <c r="I513" s="18"/>
      <c r="J513" s="17"/>
      <c r="K513" s="17"/>
      <c r="L513" s="17"/>
    </row>
    <row r="514" spans="1:12" ht="15" customHeight="1" x14ac:dyDescent="0.3">
      <c r="A514" s="13"/>
      <c r="B514" s="14"/>
      <c r="C514" s="14"/>
      <c r="D514" s="14"/>
      <c r="E514" s="15"/>
      <c r="F514" s="14"/>
      <c r="G514" s="14"/>
      <c r="H514" s="14"/>
      <c r="I514" s="15"/>
      <c r="J514" s="14"/>
      <c r="K514" s="14"/>
      <c r="L514" s="14"/>
    </row>
    <row r="515" spans="1:12" ht="15" customHeight="1" x14ac:dyDescent="0.3">
      <c r="A515" s="16"/>
      <c r="B515" s="17"/>
      <c r="C515" s="17"/>
      <c r="D515" s="17"/>
      <c r="E515" s="18"/>
      <c r="F515" s="17"/>
      <c r="G515" s="17"/>
      <c r="H515" s="17"/>
      <c r="I515" s="18"/>
      <c r="J515" s="17"/>
      <c r="K515" s="17"/>
      <c r="L515" s="17"/>
    </row>
    <row r="516" spans="1:12" ht="15" customHeight="1" x14ac:dyDescent="0.3">
      <c r="A516" s="13"/>
      <c r="B516" s="14"/>
      <c r="C516" s="14"/>
      <c r="D516" s="14"/>
      <c r="E516" s="15"/>
      <c r="F516" s="14"/>
      <c r="G516" s="14"/>
      <c r="H516" s="14"/>
      <c r="I516" s="15"/>
      <c r="J516" s="14"/>
      <c r="K516" s="14"/>
      <c r="L516" s="14"/>
    </row>
    <row r="517" spans="1:12" ht="15" customHeight="1" x14ac:dyDescent="0.3">
      <c r="A517" s="16"/>
      <c r="B517" s="17"/>
      <c r="C517" s="17"/>
      <c r="D517" s="17"/>
      <c r="E517" s="18"/>
      <c r="F517" s="17"/>
      <c r="G517" s="17"/>
      <c r="H517" s="17"/>
      <c r="I517" s="18"/>
      <c r="J517" s="17"/>
      <c r="K517" s="17"/>
      <c r="L517" s="17"/>
    </row>
    <row r="518" spans="1:12" ht="15" customHeight="1" x14ac:dyDescent="0.3">
      <c r="A518" s="13"/>
      <c r="B518" s="14"/>
      <c r="C518" s="14"/>
      <c r="D518" s="14"/>
      <c r="E518" s="15"/>
      <c r="F518" s="14"/>
      <c r="G518" s="14"/>
      <c r="H518" s="14"/>
      <c r="I518" s="15"/>
      <c r="J518" s="14"/>
      <c r="K518" s="14"/>
      <c r="L518" s="14"/>
    </row>
    <row r="519" spans="1:12" ht="15" customHeight="1" x14ac:dyDescent="0.3">
      <c r="A519" s="16"/>
      <c r="B519" s="17"/>
      <c r="C519" s="17"/>
      <c r="D519" s="17"/>
      <c r="E519" s="18"/>
      <c r="F519" s="17"/>
      <c r="G519" s="17"/>
      <c r="H519" s="17"/>
      <c r="I519" s="18"/>
      <c r="J519" s="17"/>
      <c r="K519" s="17"/>
      <c r="L519" s="17"/>
    </row>
    <row r="520" spans="1:12" ht="15" customHeight="1" x14ac:dyDescent="0.3">
      <c r="A520" s="13"/>
      <c r="B520" s="14"/>
      <c r="C520" s="14"/>
      <c r="D520" s="14"/>
      <c r="E520" s="15"/>
      <c r="F520" s="14"/>
      <c r="G520" s="14"/>
      <c r="H520" s="14"/>
      <c r="I520" s="15"/>
      <c r="J520" s="14"/>
      <c r="K520" s="14"/>
      <c r="L520" s="14"/>
    </row>
    <row r="521" spans="1:12" ht="15" customHeight="1" x14ac:dyDescent="0.3">
      <c r="A521" s="16"/>
      <c r="B521" s="17"/>
      <c r="C521" s="17"/>
      <c r="D521" s="17"/>
      <c r="E521" s="18"/>
      <c r="F521" s="17"/>
      <c r="G521" s="17"/>
      <c r="H521" s="17"/>
      <c r="I521" s="18"/>
      <c r="J521" s="17"/>
      <c r="K521" s="17"/>
      <c r="L521" s="17"/>
    </row>
    <row r="522" spans="1:12" ht="15" customHeight="1" x14ac:dyDescent="0.3">
      <c r="A522" s="13"/>
      <c r="B522" s="14"/>
      <c r="C522" s="14"/>
      <c r="D522" s="14"/>
      <c r="E522" s="15"/>
      <c r="F522" s="14"/>
      <c r="G522" s="14"/>
      <c r="H522" s="14"/>
      <c r="I522" s="15"/>
      <c r="J522" s="14"/>
      <c r="K522" s="14"/>
      <c r="L522" s="14"/>
    </row>
    <row r="523" spans="1:12" ht="15" customHeight="1" x14ac:dyDescent="0.3">
      <c r="A523" s="16"/>
      <c r="B523" s="17"/>
      <c r="C523" s="17"/>
      <c r="D523" s="17"/>
      <c r="E523" s="18"/>
      <c r="F523" s="17"/>
      <c r="G523" s="17"/>
      <c r="H523" s="17"/>
      <c r="I523" s="18"/>
      <c r="J523" s="17"/>
      <c r="K523" s="17"/>
      <c r="L523" s="17"/>
    </row>
    <row r="524" spans="1:12" ht="15" customHeight="1" x14ac:dyDescent="0.3">
      <c r="A524" s="13"/>
      <c r="B524" s="14"/>
      <c r="C524" s="14"/>
      <c r="D524" s="14"/>
      <c r="E524" s="15"/>
      <c r="F524" s="14"/>
      <c r="G524" s="14"/>
      <c r="H524" s="14"/>
      <c r="I524" s="15"/>
      <c r="J524" s="14"/>
      <c r="K524" s="14"/>
      <c r="L524" s="14"/>
    </row>
    <row r="525" spans="1:12" ht="15" customHeight="1" x14ac:dyDescent="0.3">
      <c r="A525" s="16"/>
      <c r="B525" s="17"/>
      <c r="C525" s="17"/>
      <c r="D525" s="17"/>
      <c r="E525" s="18"/>
      <c r="F525" s="17"/>
      <c r="G525" s="17"/>
      <c r="H525" s="17"/>
      <c r="I525" s="18"/>
      <c r="J525" s="17"/>
      <c r="K525" s="17"/>
      <c r="L525" s="17"/>
    </row>
    <row r="526" spans="1:12" ht="15" customHeight="1" x14ac:dyDescent="0.3">
      <c r="A526" s="13"/>
      <c r="B526" s="14"/>
      <c r="C526" s="14"/>
      <c r="D526" s="14"/>
      <c r="E526" s="15"/>
      <c r="F526" s="14"/>
      <c r="G526" s="14"/>
      <c r="H526" s="14"/>
      <c r="I526" s="15"/>
      <c r="J526" s="14"/>
      <c r="K526" s="14"/>
      <c r="L526" s="14"/>
    </row>
    <row r="527" spans="1:12" ht="15" customHeight="1" x14ac:dyDescent="0.3">
      <c r="A527" s="16"/>
      <c r="B527" s="17"/>
      <c r="C527" s="17"/>
      <c r="D527" s="17"/>
      <c r="E527" s="18"/>
      <c r="F527" s="17"/>
      <c r="G527" s="17"/>
      <c r="H527" s="17"/>
      <c r="I527" s="18"/>
      <c r="J527" s="17"/>
      <c r="K527" s="17"/>
      <c r="L527" s="17"/>
    </row>
    <row r="528" spans="1:12" ht="15" customHeight="1" x14ac:dyDescent="0.3">
      <c r="A528" s="13"/>
      <c r="B528" s="14"/>
      <c r="C528" s="14"/>
      <c r="D528" s="14"/>
      <c r="E528" s="15"/>
      <c r="F528" s="14"/>
      <c r="G528" s="14"/>
      <c r="H528" s="14"/>
      <c r="I528" s="15"/>
      <c r="J528" s="14"/>
      <c r="K528" s="14"/>
      <c r="L528" s="14"/>
    </row>
    <row r="529" spans="1:12" ht="15" customHeight="1" x14ac:dyDescent="0.3">
      <c r="A529" s="16"/>
      <c r="B529" s="17"/>
      <c r="C529" s="17"/>
      <c r="D529" s="17"/>
      <c r="E529" s="18"/>
      <c r="F529" s="17"/>
      <c r="G529" s="17"/>
      <c r="H529" s="17"/>
      <c r="I529" s="18"/>
      <c r="J529" s="17"/>
      <c r="K529" s="17"/>
      <c r="L529" s="17"/>
    </row>
    <row r="530" spans="1:12" ht="15" customHeight="1" x14ac:dyDescent="0.3">
      <c r="A530" s="13"/>
      <c r="B530" s="14"/>
      <c r="C530" s="14"/>
      <c r="D530" s="14"/>
      <c r="E530" s="15"/>
      <c r="F530" s="14"/>
      <c r="G530" s="14"/>
      <c r="H530" s="14"/>
      <c r="I530" s="15"/>
      <c r="J530" s="14"/>
      <c r="K530" s="14"/>
      <c r="L530" s="14"/>
    </row>
    <row r="531" spans="1:12" ht="15" customHeight="1" x14ac:dyDescent="0.3">
      <c r="A531" s="16"/>
      <c r="B531" s="17"/>
      <c r="C531" s="17"/>
      <c r="D531" s="17"/>
      <c r="E531" s="18"/>
      <c r="F531" s="17"/>
      <c r="G531" s="17"/>
      <c r="H531" s="17"/>
      <c r="I531" s="18"/>
      <c r="J531" s="17"/>
      <c r="K531" s="17"/>
      <c r="L531" s="17"/>
    </row>
    <row r="532" spans="1:12" ht="15" customHeight="1" x14ac:dyDescent="0.3">
      <c r="A532" s="13"/>
      <c r="B532" s="14"/>
      <c r="C532" s="14"/>
      <c r="D532" s="14"/>
      <c r="E532" s="15"/>
      <c r="F532" s="14"/>
      <c r="G532" s="14"/>
      <c r="H532" s="14"/>
      <c r="I532" s="15"/>
      <c r="J532" s="14"/>
      <c r="K532" s="14"/>
      <c r="L532" s="14"/>
    </row>
    <row r="533" spans="1:12" ht="15" customHeight="1" x14ac:dyDescent="0.3">
      <c r="A533" s="16"/>
      <c r="B533" s="17"/>
      <c r="C533" s="17"/>
      <c r="D533" s="17"/>
      <c r="E533" s="18"/>
      <c r="F533" s="17"/>
      <c r="G533" s="17"/>
      <c r="H533" s="17"/>
      <c r="I533" s="18"/>
      <c r="J533" s="17"/>
      <c r="K533" s="17"/>
      <c r="L533" s="17"/>
    </row>
    <row r="534" spans="1:12" ht="15" customHeight="1" x14ac:dyDescent="0.3">
      <c r="A534" s="13"/>
      <c r="B534" s="14"/>
      <c r="C534" s="14"/>
      <c r="D534" s="14"/>
      <c r="E534" s="15"/>
      <c r="F534" s="14"/>
      <c r="G534" s="14"/>
      <c r="H534" s="14"/>
      <c r="I534" s="15"/>
      <c r="J534" s="14"/>
      <c r="K534" s="14"/>
      <c r="L534" s="14"/>
    </row>
    <row r="535" spans="1:12" ht="15" customHeight="1" x14ac:dyDescent="0.3">
      <c r="A535" s="16"/>
      <c r="B535" s="17"/>
      <c r="C535" s="17"/>
      <c r="D535" s="17"/>
      <c r="E535" s="18"/>
      <c r="F535" s="17"/>
      <c r="G535" s="17"/>
      <c r="H535" s="17"/>
      <c r="I535" s="18"/>
      <c r="J535" s="17"/>
      <c r="K535" s="17"/>
      <c r="L535" s="17"/>
    </row>
    <row r="536" spans="1:12" ht="15" customHeight="1" x14ac:dyDescent="0.3">
      <c r="A536" s="13"/>
      <c r="B536" s="14"/>
      <c r="C536" s="14"/>
      <c r="D536" s="14"/>
      <c r="E536" s="15"/>
      <c r="F536" s="14"/>
      <c r="G536" s="14"/>
      <c r="H536" s="14"/>
      <c r="I536" s="15"/>
      <c r="J536" s="14"/>
      <c r="K536" s="14"/>
      <c r="L536" s="14"/>
    </row>
    <row r="537" spans="1:12" ht="15" customHeight="1" x14ac:dyDescent="0.3">
      <c r="A537" s="16"/>
      <c r="B537" s="17"/>
      <c r="C537" s="17"/>
      <c r="D537" s="17"/>
      <c r="E537" s="18"/>
      <c r="F537" s="17"/>
      <c r="G537" s="17"/>
      <c r="H537" s="17"/>
      <c r="I537" s="18"/>
      <c r="J537" s="17"/>
      <c r="K537" s="17"/>
      <c r="L537" s="17"/>
    </row>
    <row r="538" spans="1:12" ht="15" customHeight="1" x14ac:dyDescent="0.3">
      <c r="A538" s="13"/>
      <c r="B538" s="14"/>
      <c r="C538" s="14"/>
      <c r="D538" s="14"/>
      <c r="E538" s="15"/>
      <c r="F538" s="14"/>
      <c r="G538" s="14"/>
      <c r="H538" s="14"/>
      <c r="I538" s="15"/>
      <c r="J538" s="14"/>
      <c r="K538" s="14"/>
      <c r="L538" s="14"/>
    </row>
    <row r="539" spans="1:12" ht="15" customHeight="1" x14ac:dyDescent="0.3">
      <c r="A539" s="16"/>
      <c r="B539" s="17"/>
      <c r="C539" s="17"/>
      <c r="D539" s="17"/>
      <c r="E539" s="18"/>
      <c r="F539" s="17"/>
      <c r="G539" s="17"/>
      <c r="H539" s="17"/>
      <c r="I539" s="18"/>
      <c r="J539" s="17"/>
      <c r="K539" s="17"/>
      <c r="L539" s="17"/>
    </row>
    <row r="540" spans="1:12" ht="15" customHeight="1" x14ac:dyDescent="0.3">
      <c r="A540" s="13"/>
      <c r="B540" s="14"/>
      <c r="C540" s="14"/>
      <c r="D540" s="14"/>
      <c r="E540" s="15"/>
      <c r="F540" s="14"/>
      <c r="G540" s="14"/>
      <c r="H540" s="14"/>
      <c r="I540" s="15"/>
      <c r="J540" s="14"/>
      <c r="K540" s="14"/>
      <c r="L540" s="14"/>
    </row>
    <row r="541" spans="1:12" ht="15" customHeight="1" x14ac:dyDescent="0.3">
      <c r="A541" s="16"/>
      <c r="B541" s="17"/>
      <c r="C541" s="17"/>
      <c r="D541" s="17"/>
      <c r="E541" s="18"/>
      <c r="F541" s="17"/>
      <c r="G541" s="17"/>
      <c r="H541" s="17"/>
      <c r="I541" s="18"/>
      <c r="J541" s="17"/>
      <c r="K541" s="17"/>
      <c r="L541" s="17"/>
    </row>
    <row r="542" spans="1:12" ht="15" customHeight="1" x14ac:dyDescent="0.3">
      <c r="A542" s="13"/>
      <c r="B542" s="14"/>
      <c r="C542" s="14"/>
      <c r="D542" s="14"/>
      <c r="E542" s="15"/>
      <c r="F542" s="14"/>
      <c r="G542" s="14"/>
      <c r="H542" s="14"/>
      <c r="I542" s="15"/>
      <c r="J542" s="14"/>
      <c r="K542" s="14"/>
      <c r="L542" s="14"/>
    </row>
    <row r="543" spans="1:12" ht="15" customHeight="1" x14ac:dyDescent="0.3">
      <c r="A543" s="16"/>
      <c r="B543" s="17"/>
      <c r="C543" s="17"/>
      <c r="D543" s="17"/>
      <c r="E543" s="18"/>
      <c r="F543" s="17"/>
      <c r="G543" s="17"/>
      <c r="H543" s="17"/>
      <c r="I543" s="18"/>
      <c r="J543" s="17"/>
      <c r="K543" s="17"/>
      <c r="L543" s="17"/>
    </row>
    <row r="544" spans="1:12" ht="15" customHeight="1" x14ac:dyDescent="0.3">
      <c r="A544" s="13"/>
      <c r="B544" s="14"/>
      <c r="C544" s="14"/>
      <c r="D544" s="14"/>
      <c r="E544" s="15"/>
      <c r="F544" s="14"/>
      <c r="G544" s="14"/>
      <c r="H544" s="14"/>
      <c r="I544" s="15"/>
      <c r="J544" s="14"/>
      <c r="K544" s="14"/>
      <c r="L544" s="14"/>
    </row>
    <row r="545" spans="1:12" ht="15" customHeight="1" x14ac:dyDescent="0.3">
      <c r="A545" s="16"/>
      <c r="B545" s="17"/>
      <c r="C545" s="17"/>
      <c r="D545" s="17"/>
      <c r="E545" s="18"/>
      <c r="F545" s="17"/>
      <c r="G545" s="17"/>
      <c r="H545" s="17"/>
      <c r="I545" s="18"/>
      <c r="J545" s="17"/>
      <c r="K545" s="17"/>
      <c r="L545" s="17"/>
    </row>
    <row r="546" spans="1:12" ht="15" customHeight="1" x14ac:dyDescent="0.3">
      <c r="A546" s="13"/>
      <c r="B546" s="14"/>
      <c r="C546" s="14"/>
      <c r="D546" s="14"/>
      <c r="E546" s="15"/>
      <c r="F546" s="14"/>
      <c r="G546" s="14"/>
      <c r="H546" s="14"/>
      <c r="I546" s="15"/>
      <c r="J546" s="14"/>
      <c r="K546" s="14"/>
      <c r="L546" s="14"/>
    </row>
    <row r="547" spans="1:12" ht="15" customHeight="1" x14ac:dyDescent="0.3">
      <c r="A547" s="16"/>
      <c r="B547" s="17"/>
      <c r="C547" s="17"/>
      <c r="D547" s="17"/>
      <c r="E547" s="18"/>
      <c r="F547" s="17"/>
      <c r="G547" s="17"/>
      <c r="H547" s="17"/>
      <c r="I547" s="18"/>
      <c r="J547" s="17"/>
      <c r="K547" s="17"/>
      <c r="L547" s="17"/>
    </row>
    <row r="548" spans="1:12" ht="15" customHeight="1" x14ac:dyDescent="0.3">
      <c r="A548" s="13"/>
      <c r="B548" s="14"/>
      <c r="C548" s="14"/>
      <c r="D548" s="14"/>
      <c r="E548" s="15"/>
      <c r="F548" s="14"/>
      <c r="G548" s="14"/>
      <c r="H548" s="14"/>
      <c r="I548" s="15"/>
      <c r="J548" s="14"/>
      <c r="K548" s="14"/>
      <c r="L548" s="14"/>
    </row>
    <row r="549" spans="1:12" ht="15" customHeight="1" x14ac:dyDescent="0.3">
      <c r="A549" s="16"/>
      <c r="B549" s="17"/>
      <c r="C549" s="17"/>
      <c r="D549" s="17"/>
      <c r="E549" s="18"/>
      <c r="F549" s="17"/>
      <c r="G549" s="17"/>
      <c r="H549" s="17"/>
      <c r="I549" s="18"/>
      <c r="J549" s="17"/>
      <c r="K549" s="17"/>
      <c r="L549" s="17"/>
    </row>
    <row r="550" spans="1:12" ht="15" customHeight="1" x14ac:dyDescent="0.3">
      <c r="A550" s="13"/>
      <c r="B550" s="14"/>
      <c r="C550" s="14"/>
      <c r="D550" s="14"/>
      <c r="E550" s="15"/>
      <c r="F550" s="14"/>
      <c r="G550" s="14"/>
      <c r="H550" s="14"/>
      <c r="I550" s="15"/>
      <c r="J550" s="14"/>
      <c r="K550" s="14"/>
      <c r="L550" s="14"/>
    </row>
    <row r="551" spans="1:12" ht="15" customHeight="1" x14ac:dyDescent="0.3">
      <c r="A551" s="16"/>
      <c r="B551" s="17"/>
      <c r="C551" s="17"/>
      <c r="D551" s="17"/>
      <c r="E551" s="18"/>
      <c r="F551" s="17"/>
      <c r="G551" s="17"/>
      <c r="H551" s="17"/>
      <c r="I551" s="18"/>
      <c r="J551" s="17"/>
      <c r="K551" s="17"/>
      <c r="L551" s="17"/>
    </row>
    <row r="552" spans="1:12" ht="15" customHeight="1" x14ac:dyDescent="0.3">
      <c r="A552" s="13"/>
      <c r="B552" s="14"/>
      <c r="C552" s="14"/>
      <c r="D552" s="14"/>
      <c r="E552" s="15"/>
      <c r="F552" s="14"/>
      <c r="G552" s="14"/>
      <c r="H552" s="14"/>
      <c r="I552" s="15"/>
      <c r="J552" s="14"/>
      <c r="K552" s="14"/>
      <c r="L552" s="14"/>
    </row>
    <row r="553" spans="1:12" ht="15" customHeight="1" x14ac:dyDescent="0.3">
      <c r="A553" s="16"/>
      <c r="B553" s="17"/>
      <c r="C553" s="17"/>
      <c r="D553" s="17"/>
      <c r="E553" s="18"/>
      <c r="F553" s="17"/>
      <c r="G553" s="17"/>
      <c r="H553" s="17"/>
      <c r="I553" s="18"/>
      <c r="J553" s="17"/>
      <c r="K553" s="17"/>
      <c r="L553" s="17"/>
    </row>
    <row r="554" spans="1:12" ht="15" customHeight="1" x14ac:dyDescent="0.3">
      <c r="A554" s="13"/>
      <c r="B554" s="14"/>
      <c r="C554" s="14"/>
      <c r="D554" s="14"/>
      <c r="E554" s="15"/>
      <c r="F554" s="14"/>
      <c r="G554" s="14"/>
      <c r="H554" s="14"/>
      <c r="I554" s="15"/>
      <c r="J554" s="14"/>
      <c r="K554" s="14"/>
      <c r="L554" s="14"/>
    </row>
    <row r="555" spans="1:12" ht="15" customHeight="1" x14ac:dyDescent="0.3">
      <c r="A555" s="16"/>
      <c r="B555" s="17"/>
      <c r="C555" s="17"/>
      <c r="D555" s="17"/>
      <c r="E555" s="18"/>
      <c r="F555" s="17"/>
      <c r="G555" s="17"/>
      <c r="H555" s="17"/>
      <c r="I555" s="18"/>
      <c r="J555" s="17"/>
      <c r="K555" s="17"/>
      <c r="L555" s="17"/>
    </row>
    <row r="556" spans="1:12" ht="15" customHeight="1" x14ac:dyDescent="0.3">
      <c r="A556" s="13"/>
      <c r="B556" s="14"/>
      <c r="C556" s="14"/>
      <c r="D556" s="14"/>
      <c r="E556" s="15"/>
      <c r="F556" s="14"/>
      <c r="G556" s="14"/>
      <c r="H556" s="14"/>
      <c r="I556" s="15"/>
      <c r="J556" s="14"/>
      <c r="K556" s="14"/>
      <c r="L556" s="14"/>
    </row>
    <row r="557" spans="1:12" ht="15" customHeight="1" x14ac:dyDescent="0.3">
      <c r="A557" s="16"/>
      <c r="B557" s="17"/>
      <c r="C557" s="17"/>
      <c r="D557" s="17"/>
      <c r="E557" s="18"/>
      <c r="F557" s="17"/>
      <c r="G557" s="17"/>
      <c r="H557" s="17"/>
      <c r="I557" s="18"/>
      <c r="J557" s="17"/>
      <c r="K557" s="17"/>
      <c r="L557" s="17"/>
    </row>
    <row r="558" spans="1:12" ht="15" customHeight="1" x14ac:dyDescent="0.3">
      <c r="A558" s="13"/>
      <c r="B558" s="14"/>
      <c r="C558" s="14"/>
      <c r="D558" s="14"/>
      <c r="E558" s="15"/>
      <c r="F558" s="14"/>
      <c r="G558" s="14"/>
      <c r="H558" s="14"/>
      <c r="I558" s="15"/>
      <c r="J558" s="14"/>
      <c r="K558" s="14"/>
      <c r="L558" s="14"/>
    </row>
    <row r="559" spans="1:12" ht="15" customHeight="1" x14ac:dyDescent="0.3">
      <c r="A559" s="16"/>
      <c r="B559" s="17"/>
      <c r="C559" s="17"/>
      <c r="D559" s="17"/>
      <c r="E559" s="18"/>
      <c r="F559" s="17"/>
      <c r="G559" s="17"/>
      <c r="H559" s="17"/>
      <c r="I559" s="18"/>
      <c r="J559" s="17"/>
      <c r="K559" s="17"/>
      <c r="L559" s="17"/>
    </row>
    <row r="560" spans="1:12" ht="15" customHeight="1" x14ac:dyDescent="0.3">
      <c r="A560" s="13"/>
      <c r="B560" s="14"/>
      <c r="C560" s="14"/>
      <c r="D560" s="14"/>
      <c r="E560" s="15"/>
      <c r="F560" s="14"/>
      <c r="G560" s="14"/>
      <c r="H560" s="14"/>
      <c r="I560" s="15"/>
      <c r="J560" s="14"/>
      <c r="K560" s="14"/>
      <c r="L560" s="14"/>
    </row>
    <row r="561" spans="1:12" ht="15" customHeight="1" x14ac:dyDescent="0.3">
      <c r="A561" s="16"/>
      <c r="B561" s="17"/>
      <c r="C561" s="17"/>
      <c r="D561" s="17"/>
      <c r="E561" s="18"/>
      <c r="F561" s="17"/>
      <c r="G561" s="17"/>
      <c r="H561" s="17"/>
      <c r="I561" s="18"/>
      <c r="J561" s="17"/>
      <c r="K561" s="17"/>
      <c r="L561" s="17"/>
    </row>
    <row r="562" spans="1:12" ht="15" customHeight="1" x14ac:dyDescent="0.3">
      <c r="A562" s="13"/>
      <c r="B562" s="14"/>
      <c r="C562" s="14"/>
      <c r="D562" s="14"/>
      <c r="E562" s="15"/>
      <c r="F562" s="14"/>
      <c r="G562" s="14"/>
      <c r="H562" s="14"/>
      <c r="I562" s="15"/>
      <c r="J562" s="14"/>
      <c r="K562" s="14"/>
      <c r="L562" s="14"/>
    </row>
    <row r="563" spans="1:12" ht="15" customHeight="1" x14ac:dyDescent="0.3">
      <c r="A563" s="16"/>
      <c r="B563" s="17"/>
      <c r="C563" s="17"/>
      <c r="D563" s="17"/>
      <c r="E563" s="18"/>
      <c r="F563" s="17"/>
      <c r="G563" s="17"/>
      <c r="H563" s="17"/>
      <c r="I563" s="18"/>
      <c r="J563" s="17"/>
      <c r="K563" s="17"/>
      <c r="L563" s="17"/>
    </row>
    <row r="564" spans="1:12" ht="15" customHeight="1" x14ac:dyDescent="0.3">
      <c r="A564" s="13"/>
      <c r="B564" s="14"/>
      <c r="C564" s="14"/>
      <c r="D564" s="14"/>
      <c r="E564" s="15"/>
      <c r="F564" s="14"/>
      <c r="G564" s="14"/>
      <c r="H564" s="14"/>
      <c r="I564" s="15"/>
      <c r="J564" s="14"/>
      <c r="K564" s="14"/>
      <c r="L564" s="14"/>
    </row>
    <row r="565" spans="1:12" ht="15" customHeight="1" x14ac:dyDescent="0.3">
      <c r="A565" s="16"/>
      <c r="B565" s="17"/>
      <c r="C565" s="17"/>
      <c r="D565" s="17"/>
      <c r="E565" s="18"/>
      <c r="F565" s="17"/>
      <c r="G565" s="17"/>
      <c r="H565" s="17"/>
      <c r="I565" s="18"/>
      <c r="J565" s="17"/>
      <c r="K565" s="17"/>
      <c r="L565" s="17"/>
    </row>
    <row r="566" spans="1:12" ht="15" customHeight="1" x14ac:dyDescent="0.3">
      <c r="A566" s="13"/>
      <c r="B566" s="14"/>
      <c r="C566" s="14"/>
      <c r="D566" s="14"/>
      <c r="E566" s="15"/>
      <c r="F566" s="14"/>
      <c r="G566" s="14"/>
      <c r="H566" s="14"/>
      <c r="I566" s="15"/>
      <c r="J566" s="14"/>
      <c r="K566" s="14"/>
      <c r="L566" s="14"/>
    </row>
    <row r="567" spans="1:12" ht="15" customHeight="1" x14ac:dyDescent="0.3">
      <c r="A567" s="16"/>
      <c r="B567" s="17"/>
      <c r="C567" s="17"/>
      <c r="D567" s="17"/>
      <c r="E567" s="18"/>
      <c r="F567" s="17"/>
      <c r="G567" s="17"/>
      <c r="H567" s="17"/>
      <c r="I567" s="18"/>
      <c r="J567" s="17"/>
      <c r="K567" s="17"/>
      <c r="L567" s="17"/>
    </row>
    <row r="568" spans="1:12" ht="15" customHeight="1" x14ac:dyDescent="0.3">
      <c r="A568" s="13"/>
      <c r="B568" s="14"/>
      <c r="C568" s="14"/>
      <c r="D568" s="14"/>
      <c r="E568" s="15"/>
      <c r="F568" s="14"/>
      <c r="G568" s="14"/>
      <c r="H568" s="14"/>
      <c r="I568" s="15"/>
      <c r="J568" s="14"/>
      <c r="K568" s="14"/>
      <c r="L568" s="14"/>
    </row>
    <row r="569" spans="1:12" ht="15" customHeight="1" x14ac:dyDescent="0.3">
      <c r="A569" s="16"/>
      <c r="B569" s="17"/>
      <c r="C569" s="17"/>
      <c r="D569" s="17"/>
      <c r="E569" s="18"/>
      <c r="F569" s="17"/>
      <c r="G569" s="17"/>
      <c r="H569" s="17"/>
      <c r="I569" s="18"/>
      <c r="J569" s="17"/>
      <c r="K569" s="17"/>
      <c r="L569" s="17"/>
    </row>
    <row r="570" spans="1:12" ht="15" customHeight="1" x14ac:dyDescent="0.3">
      <c r="A570" s="13"/>
      <c r="B570" s="14"/>
      <c r="C570" s="14"/>
      <c r="D570" s="14"/>
      <c r="E570" s="15"/>
      <c r="F570" s="14"/>
      <c r="G570" s="14"/>
      <c r="H570" s="14"/>
      <c r="I570" s="15"/>
      <c r="J570" s="14"/>
      <c r="K570" s="14"/>
      <c r="L570" s="14"/>
    </row>
    <row r="571" spans="1:12" ht="15" customHeight="1" x14ac:dyDescent="0.3">
      <c r="A571" s="16"/>
      <c r="B571" s="17"/>
      <c r="C571" s="17"/>
      <c r="D571" s="17"/>
      <c r="E571" s="18"/>
      <c r="F571" s="17"/>
      <c r="G571" s="17"/>
      <c r="H571" s="17"/>
      <c r="I571" s="18"/>
      <c r="J571" s="17"/>
      <c r="K571" s="17"/>
      <c r="L571" s="17"/>
    </row>
    <row r="572" spans="1:12" ht="15" customHeight="1" x14ac:dyDescent="0.3">
      <c r="A572" s="13"/>
      <c r="B572" s="14"/>
      <c r="C572" s="14"/>
      <c r="D572" s="14"/>
      <c r="E572" s="15"/>
      <c r="F572" s="14"/>
      <c r="G572" s="14"/>
      <c r="H572" s="14"/>
      <c r="I572" s="15"/>
      <c r="J572" s="14"/>
      <c r="K572" s="14"/>
      <c r="L572" s="14"/>
    </row>
    <row r="573" spans="1:12" ht="15" customHeight="1" x14ac:dyDescent="0.3">
      <c r="A573" s="16"/>
      <c r="B573" s="17"/>
      <c r="C573" s="17"/>
      <c r="D573" s="17"/>
      <c r="E573" s="18"/>
      <c r="F573" s="17"/>
      <c r="G573" s="17"/>
      <c r="H573" s="17"/>
      <c r="I573" s="18"/>
      <c r="J573" s="17"/>
      <c r="K573" s="17"/>
      <c r="L573" s="17"/>
    </row>
    <row r="574" spans="1:12" ht="15" customHeight="1" x14ac:dyDescent="0.3">
      <c r="A574" s="13"/>
      <c r="B574" s="14"/>
      <c r="C574" s="14"/>
      <c r="D574" s="14"/>
      <c r="E574" s="15"/>
      <c r="F574" s="14"/>
      <c r="G574" s="14"/>
      <c r="H574" s="14"/>
      <c r="I574" s="15"/>
      <c r="J574" s="14"/>
      <c r="K574" s="14"/>
      <c r="L574" s="14"/>
    </row>
    <row r="575" spans="1:12" ht="15" customHeight="1" x14ac:dyDescent="0.3">
      <c r="A575" s="16"/>
      <c r="B575" s="17"/>
      <c r="C575" s="17"/>
      <c r="D575" s="17"/>
      <c r="E575" s="18"/>
      <c r="F575" s="17"/>
      <c r="G575" s="17"/>
      <c r="H575" s="17"/>
      <c r="I575" s="18"/>
      <c r="J575" s="17"/>
      <c r="K575" s="17"/>
      <c r="L575" s="17"/>
    </row>
    <row r="576" spans="1:12" ht="15" customHeight="1" x14ac:dyDescent="0.3">
      <c r="A576" s="13"/>
      <c r="B576" s="14"/>
      <c r="C576" s="14"/>
      <c r="D576" s="14"/>
      <c r="E576" s="15"/>
      <c r="F576" s="14"/>
      <c r="G576" s="14"/>
      <c r="H576" s="14"/>
      <c r="I576" s="15"/>
      <c r="J576" s="14"/>
      <c r="K576" s="14"/>
      <c r="L576" s="14"/>
    </row>
    <row r="577" spans="1:12" ht="15" customHeight="1" x14ac:dyDescent="0.3">
      <c r="A577" s="16"/>
      <c r="B577" s="17"/>
      <c r="C577" s="17"/>
      <c r="D577" s="17"/>
      <c r="E577" s="18"/>
      <c r="F577" s="17"/>
      <c r="G577" s="17"/>
      <c r="H577" s="17"/>
      <c r="I577" s="18"/>
      <c r="J577" s="17"/>
      <c r="K577" s="17"/>
      <c r="L577" s="17"/>
    </row>
    <row r="578" spans="1:12" ht="15" customHeight="1" x14ac:dyDescent="0.3">
      <c r="A578" s="13"/>
      <c r="B578" s="14"/>
      <c r="C578" s="14"/>
      <c r="D578" s="14"/>
      <c r="E578" s="15"/>
      <c r="F578" s="14"/>
      <c r="G578" s="14"/>
      <c r="H578" s="14"/>
      <c r="I578" s="15"/>
      <c r="J578" s="14"/>
      <c r="K578" s="14"/>
      <c r="L578" s="14"/>
    </row>
    <row r="579" spans="1:12" ht="15" customHeight="1" x14ac:dyDescent="0.3">
      <c r="A579" s="16"/>
      <c r="B579" s="17"/>
      <c r="C579" s="17"/>
      <c r="D579" s="17"/>
      <c r="E579" s="18"/>
      <c r="F579" s="17"/>
      <c r="G579" s="17"/>
      <c r="H579" s="17"/>
      <c r="I579" s="18"/>
      <c r="J579" s="17"/>
      <c r="K579" s="17"/>
      <c r="L579" s="17"/>
    </row>
    <row r="580" spans="1:12" ht="15" customHeight="1" x14ac:dyDescent="0.3">
      <c r="A580" s="13"/>
      <c r="B580" s="14"/>
      <c r="C580" s="14"/>
      <c r="D580" s="14"/>
      <c r="E580" s="15"/>
      <c r="F580" s="14"/>
      <c r="G580" s="14"/>
      <c r="H580" s="14"/>
      <c r="I580" s="15"/>
      <c r="J580" s="14"/>
      <c r="K580" s="14"/>
      <c r="L580" s="14"/>
    </row>
    <row r="581" spans="1:12" ht="15" customHeight="1" x14ac:dyDescent="0.3">
      <c r="A581" s="16"/>
      <c r="B581" s="17"/>
      <c r="C581" s="17"/>
      <c r="D581" s="17"/>
      <c r="E581" s="18"/>
      <c r="F581" s="17"/>
      <c r="G581" s="17"/>
      <c r="H581" s="17"/>
      <c r="I581" s="18"/>
      <c r="J581" s="17"/>
      <c r="K581" s="17"/>
      <c r="L581" s="17"/>
    </row>
    <row r="582" spans="1:12" ht="15" customHeight="1" x14ac:dyDescent="0.3">
      <c r="A582" s="13"/>
      <c r="B582" s="14"/>
      <c r="C582" s="14"/>
      <c r="D582" s="14"/>
      <c r="E582" s="15"/>
      <c r="F582" s="14"/>
      <c r="G582" s="14"/>
      <c r="H582" s="14"/>
      <c r="I582" s="15"/>
      <c r="J582" s="14"/>
      <c r="K582" s="14"/>
      <c r="L582" s="14"/>
    </row>
    <row r="583" spans="1:12" ht="15" customHeight="1" x14ac:dyDescent="0.3">
      <c r="A583" s="16"/>
      <c r="B583" s="17"/>
      <c r="C583" s="17"/>
      <c r="D583" s="17"/>
      <c r="E583" s="18"/>
      <c r="F583" s="17"/>
      <c r="G583" s="17"/>
      <c r="H583" s="17"/>
      <c r="I583" s="18"/>
      <c r="J583" s="17"/>
      <c r="K583" s="17"/>
      <c r="L583" s="17"/>
    </row>
    <row r="584" spans="1:12" ht="15" customHeight="1" x14ac:dyDescent="0.3">
      <c r="A584" s="13"/>
      <c r="B584" s="14"/>
      <c r="C584" s="14"/>
      <c r="D584" s="14"/>
      <c r="E584" s="15"/>
      <c r="F584" s="14"/>
      <c r="G584" s="14"/>
      <c r="H584" s="14"/>
      <c r="I584" s="15"/>
      <c r="J584" s="14"/>
      <c r="K584" s="14"/>
      <c r="L584" s="14"/>
    </row>
    <row r="585" spans="1:12" ht="15" customHeight="1" x14ac:dyDescent="0.3">
      <c r="A585" s="16"/>
      <c r="B585" s="17"/>
      <c r="C585" s="17"/>
      <c r="D585" s="17"/>
      <c r="E585" s="18"/>
      <c r="F585" s="17"/>
      <c r="G585" s="17"/>
      <c r="H585" s="17"/>
      <c r="I585" s="18"/>
      <c r="J585" s="17"/>
      <c r="K585" s="17"/>
      <c r="L585" s="17"/>
    </row>
    <row r="586" spans="1:12" ht="15" customHeight="1" x14ac:dyDescent="0.3">
      <c r="A586" s="13"/>
      <c r="B586" s="14"/>
      <c r="C586" s="14"/>
      <c r="D586" s="14"/>
      <c r="E586" s="15"/>
      <c r="F586" s="14"/>
      <c r="G586" s="14"/>
      <c r="H586" s="14"/>
      <c r="I586" s="15"/>
      <c r="J586" s="14"/>
      <c r="K586" s="14"/>
      <c r="L586" s="14"/>
    </row>
    <row r="587" spans="1:12" ht="15" customHeight="1" x14ac:dyDescent="0.3">
      <c r="A587" s="16"/>
      <c r="B587" s="17"/>
      <c r="C587" s="17"/>
      <c r="D587" s="17"/>
      <c r="E587" s="18"/>
      <c r="F587" s="17"/>
      <c r="G587" s="17"/>
      <c r="H587" s="17"/>
      <c r="I587" s="18"/>
      <c r="J587" s="17"/>
      <c r="K587" s="17"/>
      <c r="L587" s="17"/>
    </row>
    <row r="588" spans="1:12" ht="15" customHeight="1" x14ac:dyDescent="0.3">
      <c r="A588" s="13"/>
      <c r="B588" s="14"/>
      <c r="C588" s="14"/>
      <c r="D588" s="14"/>
      <c r="E588" s="15"/>
      <c r="F588" s="14"/>
      <c r="G588" s="14"/>
      <c r="H588" s="14"/>
      <c r="I588" s="15"/>
      <c r="J588" s="14"/>
      <c r="K588" s="14"/>
      <c r="L588" s="14"/>
    </row>
    <row r="589" spans="1:12" ht="15" customHeight="1" x14ac:dyDescent="0.3">
      <c r="A589" s="16"/>
      <c r="B589" s="17"/>
      <c r="C589" s="17"/>
      <c r="D589" s="17"/>
      <c r="E589" s="18"/>
      <c r="F589" s="17"/>
      <c r="G589" s="17"/>
      <c r="H589" s="17"/>
      <c r="I589" s="18"/>
      <c r="J589" s="17"/>
      <c r="K589" s="17"/>
      <c r="L589" s="17"/>
    </row>
    <row r="590" spans="1:12" ht="15" customHeight="1" x14ac:dyDescent="0.3">
      <c r="A590" s="13"/>
      <c r="B590" s="14"/>
      <c r="C590" s="14"/>
      <c r="D590" s="14"/>
      <c r="E590" s="15"/>
      <c r="F590" s="14"/>
      <c r="G590" s="14"/>
      <c r="H590" s="14"/>
      <c r="I590" s="15"/>
      <c r="J590" s="14"/>
      <c r="K590" s="14"/>
      <c r="L590" s="14"/>
    </row>
    <row r="591" spans="1:12" ht="15" customHeight="1" x14ac:dyDescent="0.3">
      <c r="A591" s="16"/>
      <c r="B591" s="17"/>
      <c r="C591" s="17"/>
      <c r="D591" s="17"/>
      <c r="E591" s="18"/>
      <c r="F591" s="17"/>
      <c r="G591" s="17"/>
      <c r="H591" s="17"/>
      <c r="I591" s="18"/>
      <c r="J591" s="17"/>
      <c r="K591" s="17"/>
      <c r="L591" s="17"/>
    </row>
    <row r="592" spans="1:12" ht="15" customHeight="1" x14ac:dyDescent="0.3">
      <c r="A592" s="13"/>
      <c r="B592" s="14"/>
      <c r="C592" s="14"/>
      <c r="D592" s="14"/>
      <c r="E592" s="15"/>
      <c r="F592" s="14"/>
      <c r="G592" s="14"/>
      <c r="H592" s="14"/>
      <c r="I592" s="15"/>
      <c r="J592" s="14"/>
      <c r="K592" s="14"/>
      <c r="L592" s="14"/>
    </row>
    <row r="593" spans="1:12" ht="15" customHeight="1" x14ac:dyDescent="0.3">
      <c r="A593" s="16"/>
      <c r="B593" s="17"/>
      <c r="C593" s="17"/>
      <c r="D593" s="17"/>
      <c r="E593" s="18"/>
      <c r="F593" s="17"/>
      <c r="G593" s="17"/>
      <c r="H593" s="17"/>
      <c r="I593" s="18"/>
      <c r="J593" s="17"/>
      <c r="K593" s="17"/>
      <c r="L593" s="17"/>
    </row>
    <row r="594" spans="1:12" ht="15" customHeight="1" x14ac:dyDescent="0.3">
      <c r="A594" s="13"/>
      <c r="B594" s="14"/>
      <c r="C594" s="14"/>
      <c r="D594" s="14"/>
      <c r="E594" s="15"/>
      <c r="F594" s="14"/>
      <c r="G594" s="14"/>
      <c r="H594" s="14"/>
      <c r="I594" s="15"/>
      <c r="J594" s="14"/>
      <c r="K594" s="14"/>
      <c r="L594" s="14"/>
    </row>
    <row r="595" spans="1:12" ht="15" customHeight="1" x14ac:dyDescent="0.3">
      <c r="A595" s="16"/>
      <c r="B595" s="17"/>
      <c r="C595" s="17"/>
      <c r="D595" s="17"/>
      <c r="E595" s="18"/>
      <c r="F595" s="17"/>
      <c r="G595" s="17"/>
      <c r="H595" s="17"/>
      <c r="I595" s="18"/>
      <c r="J595" s="17"/>
      <c r="K595" s="17"/>
      <c r="L595" s="17"/>
    </row>
    <row r="596" spans="1:12" ht="15" customHeight="1" x14ac:dyDescent="0.3">
      <c r="A596" s="13"/>
      <c r="B596" s="14"/>
      <c r="C596" s="14"/>
      <c r="D596" s="14"/>
      <c r="E596" s="15"/>
      <c r="F596" s="14"/>
      <c r="G596" s="14"/>
      <c r="H596" s="14"/>
      <c r="I596" s="15"/>
      <c r="J596" s="14"/>
      <c r="K596" s="14"/>
      <c r="L596" s="14"/>
    </row>
    <row r="597" spans="1:12" ht="15" customHeight="1" x14ac:dyDescent="0.3">
      <c r="A597" s="16"/>
      <c r="B597" s="17"/>
      <c r="C597" s="17"/>
      <c r="D597" s="17"/>
      <c r="E597" s="18"/>
      <c r="F597" s="17"/>
      <c r="G597" s="17"/>
      <c r="H597" s="17"/>
      <c r="I597" s="18"/>
      <c r="J597" s="17"/>
      <c r="K597" s="17"/>
      <c r="L597" s="17"/>
    </row>
    <row r="598" spans="1:12" ht="15" customHeight="1" x14ac:dyDescent="0.3">
      <c r="A598" s="13"/>
      <c r="B598" s="14"/>
      <c r="C598" s="14"/>
      <c r="D598" s="14"/>
      <c r="E598" s="15"/>
      <c r="F598" s="14"/>
      <c r="G598" s="14"/>
      <c r="H598" s="14"/>
      <c r="I598" s="15"/>
      <c r="J598" s="14"/>
      <c r="K598" s="14"/>
      <c r="L598" s="14"/>
    </row>
    <row r="599" spans="1:12" ht="15" customHeight="1" x14ac:dyDescent="0.3">
      <c r="A599" s="16"/>
      <c r="B599" s="17"/>
      <c r="C599" s="17"/>
      <c r="D599" s="17"/>
      <c r="E599" s="18"/>
      <c r="F599" s="17"/>
      <c r="G599" s="17"/>
      <c r="H599" s="17"/>
      <c r="I599" s="18"/>
      <c r="J599" s="17"/>
      <c r="K599" s="17"/>
      <c r="L599" s="17"/>
    </row>
    <row r="600" spans="1:12" ht="15" customHeight="1" x14ac:dyDescent="0.3">
      <c r="A600" s="13"/>
      <c r="B600" s="14"/>
      <c r="C600" s="14"/>
      <c r="D600" s="14"/>
      <c r="E600" s="15"/>
      <c r="F600" s="14"/>
      <c r="G600" s="14"/>
      <c r="H600" s="14"/>
      <c r="I600" s="15"/>
      <c r="J600" s="14"/>
      <c r="K600" s="14"/>
      <c r="L600" s="14"/>
    </row>
    <row r="601" spans="1:12" ht="15" customHeight="1" x14ac:dyDescent="0.3">
      <c r="A601" s="16"/>
      <c r="B601" s="17"/>
      <c r="C601" s="17"/>
      <c r="D601" s="17"/>
      <c r="E601" s="18"/>
      <c r="F601" s="17"/>
      <c r="G601" s="17"/>
      <c r="H601" s="17"/>
      <c r="I601" s="18"/>
      <c r="J601" s="17"/>
      <c r="K601" s="17"/>
      <c r="L601" s="17"/>
    </row>
    <row r="602" spans="1:12" ht="15" customHeight="1" x14ac:dyDescent="0.3">
      <c r="A602" s="13"/>
      <c r="B602" s="14"/>
      <c r="C602" s="14"/>
      <c r="D602" s="14"/>
      <c r="E602" s="15"/>
      <c r="F602" s="14"/>
      <c r="G602" s="14"/>
      <c r="H602" s="14"/>
      <c r="I602" s="15"/>
      <c r="J602" s="14"/>
      <c r="K602" s="14"/>
      <c r="L602" s="14"/>
    </row>
    <row r="603" spans="1:12" ht="15" customHeight="1" x14ac:dyDescent="0.3">
      <c r="A603" s="16"/>
      <c r="B603" s="17"/>
      <c r="C603" s="17"/>
      <c r="D603" s="17"/>
      <c r="E603" s="18"/>
      <c r="F603" s="17"/>
      <c r="G603" s="17"/>
      <c r="H603" s="17"/>
      <c r="I603" s="18"/>
      <c r="J603" s="17"/>
      <c r="K603" s="17"/>
      <c r="L603" s="17"/>
    </row>
    <row r="604" spans="1:12" ht="15" customHeight="1" x14ac:dyDescent="0.3">
      <c r="A604" s="13"/>
      <c r="B604" s="14"/>
      <c r="C604" s="14"/>
      <c r="D604" s="14"/>
      <c r="E604" s="15"/>
      <c r="F604" s="14"/>
      <c r="G604" s="14"/>
      <c r="H604" s="14"/>
      <c r="I604" s="15"/>
      <c r="J604" s="14"/>
      <c r="K604" s="14"/>
      <c r="L604" s="14"/>
    </row>
    <row r="605" spans="1:12" ht="15" customHeight="1" x14ac:dyDescent="0.3">
      <c r="A605" s="16"/>
      <c r="B605" s="17"/>
      <c r="C605" s="17"/>
      <c r="D605" s="17"/>
      <c r="E605" s="18"/>
      <c r="F605" s="17"/>
      <c r="G605" s="17"/>
      <c r="H605" s="17"/>
      <c r="I605" s="18"/>
      <c r="J605" s="17"/>
      <c r="K605" s="17"/>
      <c r="L605" s="17"/>
    </row>
    <row r="606" spans="1:12" ht="15" customHeight="1" x14ac:dyDescent="0.3">
      <c r="A606" s="13"/>
      <c r="B606" s="14"/>
      <c r="C606" s="14"/>
      <c r="D606" s="14"/>
      <c r="E606" s="15"/>
      <c r="F606" s="14"/>
      <c r="G606" s="14"/>
      <c r="H606" s="14"/>
      <c r="I606" s="15"/>
      <c r="J606" s="14"/>
      <c r="K606" s="14"/>
      <c r="L606" s="14"/>
    </row>
    <row r="607" spans="1:12" ht="15" customHeight="1" x14ac:dyDescent="0.3">
      <c r="A607" s="16"/>
      <c r="B607" s="17"/>
      <c r="C607" s="17"/>
      <c r="D607" s="17"/>
      <c r="E607" s="18"/>
      <c r="F607" s="17"/>
      <c r="G607" s="17"/>
      <c r="H607" s="17"/>
      <c r="I607" s="18"/>
      <c r="J607" s="17"/>
      <c r="K607" s="17"/>
      <c r="L607" s="17"/>
    </row>
    <row r="608" spans="1:12" ht="15" customHeight="1" x14ac:dyDescent="0.3">
      <c r="A608" s="13"/>
      <c r="B608" s="14"/>
      <c r="C608" s="14"/>
      <c r="D608" s="14"/>
      <c r="E608" s="15"/>
      <c r="F608" s="14"/>
      <c r="G608" s="14"/>
      <c r="H608" s="14"/>
      <c r="I608" s="15"/>
      <c r="J608" s="14"/>
      <c r="K608" s="14"/>
      <c r="L608" s="14"/>
    </row>
    <row r="609" spans="1:12" ht="15" customHeight="1" x14ac:dyDescent="0.3">
      <c r="A609" s="16"/>
      <c r="B609" s="17"/>
      <c r="C609" s="17"/>
      <c r="D609" s="17"/>
      <c r="E609" s="18"/>
      <c r="F609" s="17"/>
      <c r="G609" s="17"/>
      <c r="H609" s="17"/>
      <c r="I609" s="18"/>
      <c r="J609" s="17"/>
      <c r="K609" s="17"/>
      <c r="L609" s="17"/>
    </row>
    <row r="610" spans="1:12" ht="15" customHeight="1" x14ac:dyDescent="0.3">
      <c r="A610" s="13"/>
      <c r="B610" s="14"/>
      <c r="C610" s="14"/>
      <c r="D610" s="14"/>
      <c r="E610" s="15"/>
      <c r="F610" s="14"/>
      <c r="G610" s="14"/>
      <c r="H610" s="14"/>
      <c r="I610" s="15"/>
      <c r="J610" s="14"/>
      <c r="K610" s="14"/>
      <c r="L610" s="14"/>
    </row>
    <row r="611" spans="1:12" ht="15" customHeight="1" x14ac:dyDescent="0.3">
      <c r="A611" s="16"/>
      <c r="B611" s="17"/>
      <c r="C611" s="17"/>
      <c r="D611" s="17"/>
      <c r="E611" s="18"/>
      <c r="F611" s="17"/>
      <c r="G611" s="17"/>
      <c r="H611" s="17"/>
      <c r="I611" s="18"/>
      <c r="J611" s="17"/>
      <c r="K611" s="17"/>
      <c r="L611" s="17"/>
    </row>
    <row r="612" spans="1:12" ht="15" customHeight="1" x14ac:dyDescent="0.3">
      <c r="A612" s="13"/>
      <c r="B612" s="14"/>
      <c r="C612" s="14"/>
      <c r="D612" s="14"/>
      <c r="E612" s="15"/>
      <c r="F612" s="14"/>
      <c r="G612" s="14"/>
      <c r="H612" s="14"/>
      <c r="I612" s="15"/>
      <c r="J612" s="14"/>
      <c r="K612" s="14"/>
      <c r="L612" s="14"/>
    </row>
    <row r="613" spans="1:12" ht="15" customHeight="1" x14ac:dyDescent="0.3">
      <c r="A613" s="16"/>
      <c r="B613" s="17"/>
      <c r="C613" s="17"/>
      <c r="D613" s="17"/>
      <c r="E613" s="18"/>
      <c r="F613" s="17"/>
      <c r="G613" s="17"/>
      <c r="H613" s="17"/>
      <c r="I613" s="18"/>
      <c r="J613" s="17"/>
      <c r="K613" s="17"/>
      <c r="L613" s="17"/>
    </row>
    <row r="614" spans="1:12" ht="15" customHeight="1" x14ac:dyDescent="0.3">
      <c r="A614" s="13"/>
      <c r="B614" s="14"/>
      <c r="C614" s="14"/>
      <c r="D614" s="14"/>
      <c r="E614" s="15"/>
      <c r="F614" s="14"/>
      <c r="G614" s="14"/>
      <c r="H614" s="14"/>
      <c r="I614" s="15"/>
      <c r="J614" s="14"/>
      <c r="K614" s="14"/>
      <c r="L614" s="14"/>
    </row>
    <row r="615" spans="1:12" ht="15" customHeight="1" x14ac:dyDescent="0.3">
      <c r="A615" s="16"/>
      <c r="B615" s="17"/>
      <c r="C615" s="17"/>
      <c r="D615" s="17"/>
      <c r="E615" s="18"/>
      <c r="F615" s="17"/>
      <c r="G615" s="17"/>
      <c r="H615" s="17"/>
      <c r="I615" s="18"/>
      <c r="J615" s="17"/>
      <c r="K615" s="17"/>
      <c r="L615" s="17"/>
    </row>
    <row r="616" spans="1:12" ht="15" customHeight="1" x14ac:dyDescent="0.3">
      <c r="A616" s="13"/>
      <c r="B616" s="14"/>
      <c r="C616" s="14"/>
      <c r="D616" s="14"/>
      <c r="E616" s="15"/>
      <c r="F616" s="14"/>
      <c r="G616" s="14"/>
      <c r="H616" s="14"/>
      <c r="I616" s="15"/>
      <c r="J616" s="14"/>
      <c r="K616" s="14"/>
      <c r="L616" s="14"/>
    </row>
    <row r="617" spans="1:12" ht="15" customHeight="1" x14ac:dyDescent="0.3">
      <c r="A617" s="16"/>
      <c r="B617" s="17"/>
      <c r="C617" s="17"/>
      <c r="D617" s="17"/>
      <c r="E617" s="18"/>
      <c r="F617" s="17"/>
      <c r="G617" s="17"/>
      <c r="H617" s="17"/>
      <c r="I617" s="18"/>
      <c r="J617" s="17"/>
      <c r="K617" s="17"/>
      <c r="L617" s="17"/>
    </row>
    <row r="618" spans="1:12" ht="15" customHeight="1" x14ac:dyDescent="0.3">
      <c r="A618" s="13"/>
      <c r="B618" s="14"/>
      <c r="C618" s="14"/>
      <c r="D618" s="14"/>
      <c r="E618" s="15"/>
      <c r="F618" s="14"/>
      <c r="G618" s="14"/>
      <c r="H618" s="14"/>
      <c r="I618" s="15"/>
      <c r="J618" s="14"/>
      <c r="K618" s="14"/>
      <c r="L618" s="14"/>
    </row>
    <row r="619" spans="1:12" ht="15" customHeight="1" x14ac:dyDescent="0.3">
      <c r="A619" s="16"/>
      <c r="B619" s="17"/>
      <c r="C619" s="17"/>
      <c r="D619" s="17"/>
      <c r="E619" s="18"/>
      <c r="F619" s="17"/>
      <c r="G619" s="17"/>
      <c r="H619" s="17"/>
      <c r="I619" s="18"/>
      <c r="J619" s="17"/>
      <c r="K619" s="17"/>
      <c r="L619" s="17"/>
    </row>
    <row r="620" spans="1:12" ht="15" customHeight="1" x14ac:dyDescent="0.3">
      <c r="A620" s="13"/>
      <c r="B620" s="14"/>
      <c r="C620" s="14"/>
      <c r="D620" s="14"/>
      <c r="E620" s="15"/>
      <c r="F620" s="14"/>
      <c r="G620" s="14"/>
      <c r="H620" s="14"/>
      <c r="I620" s="15"/>
      <c r="J620" s="14"/>
      <c r="K620" s="14"/>
      <c r="L620" s="14"/>
    </row>
    <row r="621" spans="1:12" ht="15" customHeight="1" x14ac:dyDescent="0.3">
      <c r="A621" s="16"/>
      <c r="B621" s="17"/>
      <c r="C621" s="17"/>
      <c r="D621" s="17"/>
      <c r="E621" s="18"/>
      <c r="F621" s="17"/>
      <c r="G621" s="17"/>
      <c r="H621" s="17"/>
      <c r="I621" s="18"/>
      <c r="J621" s="17"/>
      <c r="K621" s="17"/>
      <c r="L621" s="17"/>
    </row>
    <row r="622" spans="1:12" ht="15" customHeight="1" x14ac:dyDescent="0.3">
      <c r="A622" s="13"/>
      <c r="B622" s="14"/>
      <c r="C622" s="14"/>
      <c r="D622" s="14"/>
      <c r="E622" s="15"/>
      <c r="F622" s="14"/>
      <c r="G622" s="14"/>
      <c r="H622" s="14"/>
      <c r="I622" s="15"/>
      <c r="J622" s="14"/>
      <c r="K622" s="14"/>
      <c r="L622" s="14"/>
    </row>
    <row r="623" spans="1:12" ht="15" customHeight="1" x14ac:dyDescent="0.3">
      <c r="A623" s="16"/>
      <c r="B623" s="17"/>
      <c r="C623" s="17"/>
      <c r="D623" s="17"/>
      <c r="E623" s="18"/>
      <c r="F623" s="17"/>
      <c r="G623" s="17"/>
      <c r="H623" s="17"/>
      <c r="I623" s="18"/>
      <c r="J623" s="17"/>
      <c r="K623" s="17"/>
      <c r="L623" s="17"/>
    </row>
    <row r="624" spans="1:12" ht="15" customHeight="1" x14ac:dyDescent="0.3">
      <c r="A624" s="13"/>
      <c r="B624" s="14"/>
      <c r="C624" s="14"/>
      <c r="D624" s="14"/>
      <c r="E624" s="15"/>
      <c r="F624" s="14"/>
      <c r="G624" s="14"/>
      <c r="H624" s="14"/>
      <c r="I624" s="15"/>
      <c r="J624" s="14"/>
      <c r="K624" s="14"/>
      <c r="L624" s="14"/>
    </row>
    <row r="625" spans="1:12" ht="15" customHeight="1" x14ac:dyDescent="0.3">
      <c r="A625" s="16"/>
      <c r="B625" s="17"/>
      <c r="C625" s="17"/>
      <c r="D625" s="17"/>
      <c r="E625" s="18"/>
      <c r="F625" s="17"/>
      <c r="G625" s="17"/>
      <c r="H625" s="17"/>
      <c r="I625" s="18"/>
      <c r="J625" s="17"/>
      <c r="K625" s="17"/>
      <c r="L625" s="17"/>
    </row>
    <row r="626" spans="1:12" ht="15" customHeight="1" x14ac:dyDescent="0.3">
      <c r="A626" s="13"/>
      <c r="B626" s="14"/>
      <c r="C626" s="14"/>
      <c r="D626" s="14"/>
      <c r="E626" s="15"/>
      <c r="F626" s="14"/>
      <c r="G626" s="14"/>
      <c r="H626" s="14"/>
      <c r="I626" s="15"/>
      <c r="J626" s="14"/>
      <c r="K626" s="14"/>
      <c r="L626" s="14"/>
    </row>
    <row r="627" spans="1:12" ht="15" customHeight="1" x14ac:dyDescent="0.3">
      <c r="A627" s="16"/>
      <c r="B627" s="17"/>
      <c r="C627" s="17"/>
      <c r="D627" s="17"/>
      <c r="E627" s="18"/>
      <c r="F627" s="17"/>
      <c r="G627" s="17"/>
      <c r="H627" s="17"/>
      <c r="I627" s="18"/>
      <c r="J627" s="17"/>
      <c r="K627" s="17"/>
      <c r="L627" s="17"/>
    </row>
    <row r="628" spans="1:12" ht="15" customHeight="1" x14ac:dyDescent="0.3">
      <c r="A628" s="13"/>
      <c r="B628" s="14"/>
      <c r="C628" s="14"/>
      <c r="D628" s="14"/>
      <c r="E628" s="15"/>
      <c r="F628" s="14"/>
      <c r="G628" s="14"/>
      <c r="H628" s="14"/>
      <c r="I628" s="15"/>
      <c r="J628" s="14"/>
      <c r="K628" s="14"/>
      <c r="L628" s="14"/>
    </row>
    <row r="629" spans="1:12" ht="15" customHeight="1" x14ac:dyDescent="0.3">
      <c r="A629" s="16"/>
      <c r="B629" s="17"/>
      <c r="C629" s="17"/>
      <c r="D629" s="17"/>
      <c r="E629" s="18"/>
      <c r="F629" s="17"/>
      <c r="G629" s="17"/>
      <c r="H629" s="17"/>
      <c r="I629" s="18"/>
      <c r="J629" s="17"/>
      <c r="K629" s="17"/>
      <c r="L629" s="17"/>
    </row>
    <row r="630" spans="1:12" ht="15" customHeight="1" x14ac:dyDescent="0.3">
      <c r="A630" s="13"/>
      <c r="B630" s="14"/>
      <c r="C630" s="14"/>
      <c r="D630" s="14"/>
      <c r="E630" s="15"/>
      <c r="F630" s="14"/>
      <c r="G630" s="14"/>
      <c r="H630" s="14"/>
      <c r="I630" s="15"/>
      <c r="J630" s="14"/>
      <c r="K630" s="14"/>
      <c r="L630" s="14"/>
    </row>
    <row r="631" spans="1:12" ht="15" customHeight="1" x14ac:dyDescent="0.3">
      <c r="A631" s="16"/>
      <c r="B631" s="17"/>
      <c r="C631" s="17"/>
      <c r="D631" s="17"/>
      <c r="E631" s="18"/>
      <c r="F631" s="17"/>
      <c r="G631" s="17"/>
      <c r="H631" s="17"/>
      <c r="I631" s="18"/>
      <c r="J631" s="17"/>
      <c r="K631" s="17"/>
      <c r="L631" s="17"/>
    </row>
    <row r="632" spans="1:12" ht="15" customHeight="1" x14ac:dyDescent="0.3">
      <c r="A632" s="13"/>
      <c r="B632" s="14"/>
      <c r="C632" s="14"/>
      <c r="D632" s="14"/>
      <c r="E632" s="15"/>
      <c r="F632" s="14"/>
      <c r="G632" s="14"/>
      <c r="H632" s="14"/>
      <c r="I632" s="15"/>
      <c r="J632" s="14"/>
      <c r="K632" s="14"/>
      <c r="L632" s="14"/>
    </row>
    <row r="633" spans="1:12" ht="15" customHeight="1" x14ac:dyDescent="0.3">
      <c r="A633" s="16"/>
      <c r="B633" s="17"/>
      <c r="C633" s="17"/>
      <c r="D633" s="17"/>
      <c r="E633" s="18"/>
      <c r="F633" s="17"/>
      <c r="G633" s="17"/>
      <c r="H633" s="17"/>
      <c r="I633" s="18"/>
      <c r="J633" s="17"/>
      <c r="K633" s="17"/>
      <c r="L633" s="17"/>
    </row>
    <row r="634" spans="1:12" ht="15" customHeight="1" x14ac:dyDescent="0.3">
      <c r="A634" s="13"/>
      <c r="B634" s="14"/>
      <c r="C634" s="14"/>
      <c r="D634" s="14"/>
      <c r="E634" s="15"/>
      <c r="F634" s="14"/>
      <c r="G634" s="14"/>
      <c r="H634" s="14"/>
      <c r="I634" s="15"/>
      <c r="J634" s="14"/>
      <c r="K634" s="14"/>
      <c r="L634" s="14"/>
    </row>
    <row r="635" spans="1:12" ht="15" customHeight="1" x14ac:dyDescent="0.3">
      <c r="A635" s="16"/>
      <c r="B635" s="17"/>
      <c r="C635" s="17"/>
      <c r="D635" s="17"/>
      <c r="E635" s="18"/>
      <c r="F635" s="17"/>
      <c r="G635" s="17"/>
      <c r="H635" s="17"/>
      <c r="I635" s="18"/>
      <c r="J635" s="17"/>
      <c r="K635" s="17"/>
      <c r="L635" s="17"/>
    </row>
    <row r="636" spans="1:12" ht="15" customHeight="1" x14ac:dyDescent="0.3">
      <c r="A636" s="13"/>
      <c r="B636" s="14"/>
      <c r="C636" s="14"/>
      <c r="D636" s="14"/>
      <c r="E636" s="15"/>
      <c r="F636" s="14"/>
      <c r="G636" s="14"/>
      <c r="H636" s="14"/>
      <c r="I636" s="15"/>
      <c r="J636" s="14"/>
      <c r="K636" s="14"/>
      <c r="L636" s="14"/>
    </row>
    <row r="637" spans="1:12" ht="15" customHeight="1" x14ac:dyDescent="0.3">
      <c r="A637" s="16"/>
      <c r="B637" s="17"/>
      <c r="C637" s="17"/>
      <c r="D637" s="17"/>
      <c r="E637" s="18"/>
      <c r="F637" s="17"/>
      <c r="G637" s="17"/>
      <c r="H637" s="17"/>
      <c r="I637" s="18"/>
      <c r="J637" s="17"/>
      <c r="K637" s="17"/>
      <c r="L637" s="17"/>
    </row>
    <row r="638" spans="1:12" ht="15" customHeight="1" x14ac:dyDescent="0.3">
      <c r="A638" s="13"/>
      <c r="B638" s="14"/>
      <c r="C638" s="14"/>
      <c r="D638" s="14"/>
      <c r="E638" s="15"/>
      <c r="F638" s="14"/>
      <c r="G638" s="14"/>
      <c r="H638" s="14"/>
      <c r="I638" s="15"/>
      <c r="J638" s="14"/>
      <c r="K638" s="14"/>
      <c r="L638" s="14"/>
    </row>
    <row r="639" spans="1:12" ht="15" customHeight="1" x14ac:dyDescent="0.3">
      <c r="A639" s="16"/>
      <c r="B639" s="17"/>
      <c r="C639" s="17"/>
      <c r="D639" s="17"/>
      <c r="E639" s="18"/>
      <c r="F639" s="17"/>
      <c r="G639" s="17"/>
      <c r="H639" s="17"/>
      <c r="I639" s="18"/>
      <c r="J639" s="17"/>
      <c r="K639" s="17"/>
      <c r="L639" s="17"/>
    </row>
    <row r="640" spans="1:12" ht="15" customHeight="1" x14ac:dyDescent="0.3">
      <c r="A640" s="13"/>
      <c r="B640" s="14"/>
      <c r="C640" s="14"/>
      <c r="D640" s="14"/>
      <c r="E640" s="15"/>
      <c r="F640" s="14"/>
      <c r="G640" s="14"/>
      <c r="H640" s="14"/>
      <c r="I640" s="15"/>
      <c r="J640" s="14"/>
      <c r="K640" s="14"/>
      <c r="L640" s="14"/>
    </row>
    <row r="641" spans="1:12" ht="15" customHeight="1" x14ac:dyDescent="0.3">
      <c r="A641" s="16"/>
      <c r="B641" s="17"/>
      <c r="C641" s="17"/>
      <c r="D641" s="17"/>
      <c r="E641" s="18"/>
      <c r="F641" s="17"/>
      <c r="G641" s="17"/>
      <c r="H641" s="17"/>
      <c r="I641" s="18"/>
      <c r="J641" s="17"/>
      <c r="K641" s="17"/>
      <c r="L641" s="17"/>
    </row>
    <row r="642" spans="1:12" ht="15" customHeight="1" x14ac:dyDescent="0.3">
      <c r="A642" s="13"/>
      <c r="B642" s="14"/>
      <c r="C642" s="14"/>
      <c r="D642" s="14"/>
      <c r="E642" s="15"/>
      <c r="F642" s="14"/>
      <c r="G642" s="14"/>
      <c r="H642" s="14"/>
      <c r="I642" s="15"/>
      <c r="J642" s="14"/>
      <c r="K642" s="14"/>
      <c r="L642" s="14"/>
    </row>
    <row r="643" spans="1:12" ht="15" customHeight="1" x14ac:dyDescent="0.3">
      <c r="A643" s="16"/>
      <c r="B643" s="17"/>
      <c r="C643" s="17"/>
      <c r="D643" s="17"/>
      <c r="E643" s="18"/>
      <c r="F643" s="17"/>
      <c r="G643" s="17"/>
      <c r="H643" s="17"/>
      <c r="I643" s="18"/>
      <c r="J643" s="17"/>
      <c r="K643" s="17"/>
      <c r="L643" s="17"/>
    </row>
    <row r="644" spans="1:12" ht="15" customHeight="1" x14ac:dyDescent="0.3">
      <c r="A644" s="13"/>
      <c r="B644" s="14"/>
      <c r="C644" s="14"/>
      <c r="D644" s="14"/>
      <c r="E644" s="15"/>
      <c r="F644" s="14"/>
      <c r="G644" s="14"/>
      <c r="H644" s="14"/>
      <c r="I644" s="15"/>
      <c r="J644" s="14"/>
      <c r="K644" s="14"/>
      <c r="L644" s="14"/>
    </row>
    <row r="645" spans="1:12" ht="15" customHeight="1" x14ac:dyDescent="0.3">
      <c r="A645" s="16"/>
      <c r="B645" s="17"/>
      <c r="C645" s="17"/>
      <c r="D645" s="17"/>
      <c r="E645" s="18"/>
      <c r="F645" s="17"/>
      <c r="G645" s="17"/>
      <c r="H645" s="17"/>
      <c r="I645" s="18"/>
      <c r="J645" s="17"/>
      <c r="K645" s="17"/>
      <c r="L645" s="17"/>
    </row>
    <row r="646" spans="1:12" ht="15" customHeight="1" x14ac:dyDescent="0.3">
      <c r="A646" s="13"/>
      <c r="B646" s="14"/>
      <c r="C646" s="14"/>
      <c r="D646" s="14"/>
      <c r="E646" s="15"/>
      <c r="F646" s="14"/>
      <c r="G646" s="14"/>
      <c r="H646" s="14"/>
      <c r="I646" s="15"/>
      <c r="J646" s="14"/>
      <c r="K646" s="14"/>
      <c r="L646" s="14"/>
    </row>
    <row r="647" spans="1:12" ht="15" customHeight="1" x14ac:dyDescent="0.3">
      <c r="A647" s="16"/>
      <c r="B647" s="17"/>
      <c r="C647" s="17"/>
      <c r="D647" s="17"/>
      <c r="E647" s="18"/>
      <c r="F647" s="17"/>
      <c r="G647" s="17"/>
      <c r="H647" s="17"/>
      <c r="I647" s="18"/>
      <c r="J647" s="17"/>
      <c r="K647" s="17"/>
      <c r="L647" s="17"/>
    </row>
    <row r="648" spans="1:12" ht="15" customHeight="1" x14ac:dyDescent="0.3">
      <c r="A648" s="13"/>
      <c r="B648" s="14"/>
      <c r="C648" s="14"/>
      <c r="D648" s="14"/>
      <c r="E648" s="15"/>
      <c r="F648" s="14"/>
      <c r="G648" s="14"/>
      <c r="H648" s="14"/>
      <c r="I648" s="15"/>
      <c r="J648" s="14"/>
      <c r="K648" s="14"/>
      <c r="L648" s="14"/>
    </row>
    <row r="649" spans="1:12" ht="15" customHeight="1" x14ac:dyDescent="0.3">
      <c r="A649" s="16"/>
      <c r="B649" s="17"/>
      <c r="C649" s="17"/>
      <c r="D649" s="17"/>
      <c r="E649" s="18"/>
      <c r="F649" s="17"/>
      <c r="G649" s="17"/>
      <c r="H649" s="17"/>
      <c r="I649" s="18"/>
      <c r="J649" s="17"/>
      <c r="K649" s="17"/>
      <c r="L649" s="17"/>
    </row>
    <row r="650" spans="1:12" ht="15" customHeight="1" x14ac:dyDescent="0.3">
      <c r="A650" s="13"/>
      <c r="B650" s="14"/>
      <c r="C650" s="14"/>
      <c r="D650" s="14"/>
      <c r="E650" s="15"/>
      <c r="F650" s="14"/>
      <c r="G650" s="14"/>
      <c r="H650" s="14"/>
      <c r="I650" s="15"/>
      <c r="J650" s="14"/>
      <c r="K650" s="14"/>
      <c r="L650" s="14"/>
    </row>
    <row r="651" spans="1:12" ht="15" customHeight="1" x14ac:dyDescent="0.3">
      <c r="A651" s="16"/>
      <c r="B651" s="17"/>
      <c r="C651" s="17"/>
      <c r="D651" s="17"/>
      <c r="E651" s="18"/>
      <c r="F651" s="17"/>
      <c r="G651" s="17"/>
      <c r="H651" s="17"/>
      <c r="I651" s="18"/>
      <c r="J651" s="17"/>
      <c r="K651" s="17"/>
      <c r="L651" s="17"/>
    </row>
    <row r="652" spans="1:12" ht="15" customHeight="1" x14ac:dyDescent="0.3">
      <c r="A652" s="13"/>
      <c r="B652" s="14"/>
      <c r="C652" s="14"/>
      <c r="D652" s="14"/>
      <c r="E652" s="15"/>
      <c r="F652" s="14"/>
      <c r="G652" s="14"/>
      <c r="H652" s="14"/>
      <c r="I652" s="15"/>
      <c r="J652" s="14"/>
      <c r="K652" s="14"/>
      <c r="L652" s="14"/>
    </row>
    <row r="653" spans="1:12" ht="15" customHeight="1" x14ac:dyDescent="0.3">
      <c r="A653" s="16"/>
      <c r="B653" s="17"/>
      <c r="C653" s="17"/>
      <c r="D653" s="17"/>
      <c r="E653" s="18"/>
      <c r="F653" s="17"/>
      <c r="G653" s="17"/>
      <c r="H653" s="17"/>
      <c r="I653" s="18"/>
      <c r="J653" s="17"/>
      <c r="K653" s="17"/>
      <c r="L653" s="17"/>
    </row>
    <row r="654" spans="1:12" ht="15" customHeight="1" x14ac:dyDescent="0.3">
      <c r="A654" s="13"/>
      <c r="B654" s="14"/>
      <c r="C654" s="14"/>
      <c r="D654" s="14"/>
      <c r="E654" s="15"/>
      <c r="F654" s="14"/>
      <c r="G654" s="14"/>
      <c r="H654" s="14"/>
      <c r="I654" s="15"/>
      <c r="J654" s="14"/>
      <c r="K654" s="14"/>
      <c r="L654" s="14"/>
    </row>
    <row r="655" spans="1:12" ht="15" customHeight="1" x14ac:dyDescent="0.3">
      <c r="A655" s="16"/>
      <c r="B655" s="17"/>
      <c r="C655" s="17"/>
      <c r="D655" s="17"/>
      <c r="E655" s="18"/>
      <c r="F655" s="17"/>
      <c r="G655" s="17"/>
      <c r="H655" s="17"/>
      <c r="I655" s="18"/>
      <c r="J655" s="17"/>
      <c r="K655" s="17"/>
      <c r="L655" s="17"/>
    </row>
    <row r="656" spans="1:12" ht="15" customHeight="1" x14ac:dyDescent="0.3">
      <c r="A656" s="13"/>
      <c r="B656" s="14"/>
      <c r="C656" s="14"/>
      <c r="D656" s="14"/>
      <c r="E656" s="15"/>
      <c r="F656" s="14"/>
      <c r="G656" s="14"/>
      <c r="H656" s="14"/>
      <c r="I656" s="15"/>
      <c r="J656" s="14"/>
      <c r="K656" s="14"/>
      <c r="L656" s="14"/>
    </row>
    <row r="657" spans="1:12" ht="15" customHeight="1" x14ac:dyDescent="0.3">
      <c r="A657" s="16"/>
      <c r="B657" s="17"/>
      <c r="C657" s="17"/>
      <c r="D657" s="17"/>
      <c r="E657" s="18"/>
      <c r="F657" s="17"/>
      <c r="G657" s="17"/>
      <c r="H657" s="17"/>
      <c r="I657" s="18"/>
      <c r="J657" s="17"/>
      <c r="K657" s="17"/>
      <c r="L657" s="17"/>
    </row>
    <row r="658" spans="1:12" ht="15" customHeight="1" x14ac:dyDescent="0.3">
      <c r="A658" s="13"/>
      <c r="B658" s="14"/>
      <c r="C658" s="14"/>
      <c r="D658" s="14"/>
      <c r="E658" s="15"/>
      <c r="F658" s="14"/>
      <c r="G658" s="14"/>
      <c r="H658" s="14"/>
      <c r="I658" s="15"/>
      <c r="J658" s="14"/>
      <c r="K658" s="14"/>
      <c r="L658" s="14"/>
    </row>
    <row r="659" spans="1:12" ht="15" customHeight="1" x14ac:dyDescent="0.3">
      <c r="A659" s="16"/>
      <c r="B659" s="17"/>
      <c r="C659" s="17"/>
      <c r="D659" s="17"/>
      <c r="E659" s="18"/>
      <c r="F659" s="17"/>
      <c r="G659" s="17"/>
      <c r="H659" s="17"/>
      <c r="I659" s="18"/>
      <c r="J659" s="17"/>
      <c r="K659" s="17"/>
      <c r="L659" s="17"/>
    </row>
    <row r="660" spans="1:12" ht="15" customHeight="1" x14ac:dyDescent="0.3">
      <c r="A660" s="13"/>
      <c r="B660" s="14"/>
      <c r="C660" s="14"/>
      <c r="D660" s="14"/>
      <c r="E660" s="15"/>
      <c r="F660" s="14"/>
      <c r="G660" s="14"/>
      <c r="H660" s="14"/>
      <c r="I660" s="15"/>
      <c r="J660" s="14"/>
      <c r="K660" s="14"/>
      <c r="L660" s="14"/>
    </row>
    <row r="661" spans="1:12" ht="15" customHeight="1" x14ac:dyDescent="0.3">
      <c r="A661" s="16"/>
      <c r="B661" s="17"/>
      <c r="C661" s="17"/>
      <c r="D661" s="17"/>
      <c r="E661" s="18"/>
      <c r="F661" s="17"/>
      <c r="G661" s="17"/>
      <c r="H661" s="17"/>
      <c r="I661" s="18"/>
      <c r="J661" s="17"/>
      <c r="K661" s="17"/>
      <c r="L661" s="17"/>
    </row>
    <row r="662" spans="1:12" ht="15" customHeight="1" x14ac:dyDescent="0.3">
      <c r="A662" s="13"/>
      <c r="B662" s="14"/>
      <c r="C662" s="14"/>
      <c r="D662" s="14"/>
      <c r="E662" s="15"/>
      <c r="F662" s="14"/>
      <c r="G662" s="14"/>
      <c r="H662" s="14"/>
      <c r="I662" s="15"/>
      <c r="J662" s="14"/>
      <c r="K662" s="14"/>
      <c r="L662" s="14"/>
    </row>
    <row r="663" spans="1:12" ht="15" customHeight="1" x14ac:dyDescent="0.3">
      <c r="A663" s="16"/>
      <c r="B663" s="17"/>
      <c r="C663" s="17"/>
      <c r="D663" s="17"/>
      <c r="E663" s="18"/>
      <c r="F663" s="17"/>
      <c r="G663" s="17"/>
      <c r="H663" s="17"/>
      <c r="I663" s="18"/>
      <c r="J663" s="17"/>
      <c r="K663" s="17"/>
      <c r="L663" s="17"/>
    </row>
    <row r="664" spans="1:12" ht="15" customHeight="1" x14ac:dyDescent="0.3">
      <c r="A664" s="13"/>
      <c r="B664" s="14"/>
      <c r="C664" s="14"/>
      <c r="D664" s="14"/>
      <c r="E664" s="15"/>
      <c r="F664" s="14"/>
      <c r="G664" s="14"/>
      <c r="H664" s="14"/>
      <c r="I664" s="15"/>
      <c r="J664" s="14"/>
      <c r="K664" s="14"/>
      <c r="L664" s="14"/>
    </row>
    <row r="665" spans="1:12" ht="15" customHeight="1" x14ac:dyDescent="0.3">
      <c r="A665" s="16"/>
      <c r="B665" s="17"/>
      <c r="C665" s="17"/>
      <c r="D665" s="17"/>
      <c r="E665" s="18"/>
      <c r="F665" s="17"/>
      <c r="G665" s="17"/>
      <c r="H665" s="17"/>
      <c r="I665" s="18"/>
      <c r="J665" s="17"/>
      <c r="K665" s="17"/>
      <c r="L665" s="17"/>
    </row>
    <row r="666" spans="1:12" ht="15" customHeight="1" x14ac:dyDescent="0.3">
      <c r="A666" s="13"/>
      <c r="B666" s="14"/>
      <c r="C666" s="14"/>
      <c r="D666" s="14"/>
      <c r="E666" s="15"/>
      <c r="F666" s="14"/>
      <c r="G666" s="14"/>
      <c r="H666" s="14"/>
      <c r="I666" s="15"/>
      <c r="J666" s="14"/>
      <c r="K666" s="14"/>
      <c r="L666" s="14"/>
    </row>
    <row r="667" spans="1:12" ht="15" customHeight="1" x14ac:dyDescent="0.3">
      <c r="A667" s="16"/>
      <c r="B667" s="17"/>
      <c r="C667" s="17"/>
      <c r="D667" s="17"/>
      <c r="E667" s="18"/>
      <c r="F667" s="17"/>
      <c r="G667" s="17"/>
      <c r="H667" s="17"/>
      <c r="I667" s="18"/>
      <c r="J667" s="17"/>
      <c r="K667" s="17"/>
      <c r="L667" s="17"/>
    </row>
    <row r="668" spans="1:12" ht="15" customHeight="1" x14ac:dyDescent="0.3">
      <c r="A668" s="13"/>
      <c r="B668" s="14"/>
      <c r="C668" s="14"/>
      <c r="D668" s="14"/>
      <c r="E668" s="15"/>
      <c r="F668" s="14"/>
      <c r="G668" s="14"/>
      <c r="H668" s="14"/>
      <c r="I668" s="15"/>
      <c r="J668" s="14"/>
      <c r="K668" s="14"/>
      <c r="L668" s="14"/>
    </row>
    <row r="669" spans="1:12" ht="15" customHeight="1" x14ac:dyDescent="0.3">
      <c r="A669" s="16"/>
      <c r="B669" s="17"/>
      <c r="C669" s="17"/>
      <c r="D669" s="17"/>
      <c r="E669" s="18"/>
      <c r="F669" s="17"/>
      <c r="G669" s="17"/>
      <c r="H669" s="17"/>
      <c r="I669" s="18"/>
      <c r="J669" s="17"/>
      <c r="K669" s="17"/>
      <c r="L669" s="17"/>
    </row>
    <row r="670" spans="1:12" ht="15" customHeight="1" x14ac:dyDescent="0.3">
      <c r="A670" s="13"/>
      <c r="B670" s="14"/>
      <c r="C670" s="14"/>
      <c r="D670" s="14"/>
      <c r="E670" s="15"/>
      <c r="F670" s="14"/>
      <c r="G670" s="14"/>
      <c r="H670" s="14"/>
      <c r="I670" s="15"/>
      <c r="J670" s="14"/>
      <c r="K670" s="14"/>
      <c r="L670" s="14"/>
    </row>
    <row r="671" spans="1:12" ht="15" customHeight="1" x14ac:dyDescent="0.3">
      <c r="A671" s="16"/>
      <c r="B671" s="17"/>
      <c r="C671" s="17"/>
      <c r="D671" s="17"/>
      <c r="E671" s="18"/>
      <c r="F671" s="17"/>
      <c r="G671" s="17"/>
      <c r="H671" s="17"/>
      <c r="I671" s="18"/>
      <c r="J671" s="17"/>
      <c r="K671" s="17"/>
      <c r="L671" s="17"/>
    </row>
    <row r="672" spans="1:12" ht="15" customHeight="1" x14ac:dyDescent="0.3">
      <c r="A672" s="13"/>
      <c r="B672" s="14"/>
      <c r="C672" s="14"/>
      <c r="D672" s="14"/>
      <c r="E672" s="15"/>
      <c r="F672" s="14"/>
      <c r="G672" s="14"/>
      <c r="H672" s="14"/>
      <c r="I672" s="15"/>
      <c r="J672" s="14"/>
      <c r="K672" s="14"/>
      <c r="L672" s="14"/>
    </row>
    <row r="673" spans="1:12" ht="15" customHeight="1" x14ac:dyDescent="0.3">
      <c r="A673" s="16"/>
      <c r="B673" s="17"/>
      <c r="C673" s="17"/>
      <c r="D673" s="17"/>
      <c r="E673" s="18"/>
      <c r="F673" s="17"/>
      <c r="G673" s="17"/>
      <c r="H673" s="17"/>
      <c r="I673" s="18"/>
      <c r="J673" s="17"/>
      <c r="K673" s="17"/>
      <c r="L673" s="17"/>
    </row>
    <row r="674" spans="1:12" ht="15" customHeight="1" x14ac:dyDescent="0.3">
      <c r="A674" s="13"/>
      <c r="B674" s="14"/>
      <c r="C674" s="14"/>
      <c r="D674" s="14"/>
      <c r="E674" s="15"/>
      <c r="F674" s="14"/>
      <c r="G674" s="14"/>
      <c r="H674" s="14"/>
      <c r="I674" s="15"/>
      <c r="J674" s="14"/>
      <c r="K674" s="14"/>
      <c r="L674" s="14"/>
    </row>
    <row r="675" spans="1:12" ht="15" customHeight="1" x14ac:dyDescent="0.3">
      <c r="A675" s="16"/>
      <c r="B675" s="17"/>
      <c r="C675" s="17"/>
      <c r="D675" s="17"/>
      <c r="E675" s="18"/>
      <c r="F675" s="17"/>
      <c r="G675" s="17"/>
      <c r="H675" s="17"/>
      <c r="I675" s="18"/>
      <c r="J675" s="17"/>
      <c r="K675" s="17"/>
      <c r="L675" s="17"/>
    </row>
    <row r="676" spans="1:12" ht="15" customHeight="1" x14ac:dyDescent="0.3">
      <c r="A676" s="13"/>
      <c r="B676" s="14"/>
      <c r="C676" s="14"/>
      <c r="D676" s="14"/>
      <c r="E676" s="15"/>
      <c r="F676" s="14"/>
      <c r="G676" s="14"/>
      <c r="H676" s="14"/>
      <c r="I676" s="15"/>
      <c r="J676" s="14"/>
      <c r="K676" s="14"/>
      <c r="L676" s="14"/>
    </row>
    <row r="677" spans="1:12" ht="15" customHeight="1" x14ac:dyDescent="0.3">
      <c r="A677" s="16"/>
      <c r="B677" s="17"/>
      <c r="C677" s="17"/>
      <c r="D677" s="17"/>
      <c r="E677" s="18"/>
      <c r="F677" s="17"/>
      <c r="G677" s="17"/>
      <c r="H677" s="17"/>
      <c r="I677" s="18"/>
      <c r="J677" s="17"/>
      <c r="K677" s="17"/>
      <c r="L677" s="17"/>
    </row>
    <row r="678" spans="1:12" ht="15" customHeight="1" x14ac:dyDescent="0.3">
      <c r="A678" s="13"/>
      <c r="B678" s="14"/>
      <c r="C678" s="14"/>
      <c r="D678" s="14"/>
      <c r="E678" s="15"/>
      <c r="F678" s="14"/>
      <c r="G678" s="14"/>
      <c r="H678" s="14"/>
      <c r="I678" s="15"/>
      <c r="J678" s="14"/>
      <c r="K678" s="14"/>
      <c r="L678" s="14"/>
    </row>
    <row r="679" spans="1:12" ht="15" customHeight="1" x14ac:dyDescent="0.3">
      <c r="A679" s="16"/>
      <c r="B679" s="17"/>
      <c r="C679" s="17"/>
      <c r="D679" s="17"/>
      <c r="E679" s="18"/>
      <c r="F679" s="17"/>
      <c r="G679" s="17"/>
      <c r="H679" s="17"/>
      <c r="I679" s="18"/>
      <c r="J679" s="17"/>
      <c r="K679" s="17"/>
      <c r="L679" s="17"/>
    </row>
    <row r="680" spans="1:12" ht="15" customHeight="1" x14ac:dyDescent="0.3">
      <c r="A680" s="13"/>
      <c r="B680" s="14"/>
      <c r="C680" s="14"/>
      <c r="D680" s="14"/>
      <c r="E680" s="15"/>
      <c r="F680" s="14"/>
      <c r="G680" s="14"/>
      <c r="H680" s="14"/>
      <c r="I680" s="15"/>
      <c r="J680" s="14"/>
      <c r="K680" s="14"/>
      <c r="L680" s="14"/>
    </row>
    <row r="681" spans="1:12" ht="15" customHeight="1" x14ac:dyDescent="0.3">
      <c r="A681" s="16"/>
      <c r="B681" s="17"/>
      <c r="C681" s="17"/>
      <c r="D681" s="17"/>
      <c r="E681" s="18"/>
      <c r="F681" s="17"/>
      <c r="G681" s="17"/>
      <c r="H681" s="17"/>
      <c r="I681" s="18"/>
      <c r="J681" s="17"/>
      <c r="K681" s="17"/>
      <c r="L681" s="17"/>
    </row>
    <row r="682" spans="1:12" ht="15" customHeight="1" x14ac:dyDescent="0.3">
      <c r="A682" s="13"/>
      <c r="B682" s="14"/>
      <c r="C682" s="14"/>
      <c r="D682" s="14"/>
      <c r="E682" s="15"/>
      <c r="F682" s="14"/>
      <c r="G682" s="14"/>
      <c r="H682" s="14"/>
      <c r="I682" s="15"/>
      <c r="J682" s="14"/>
      <c r="K682" s="14"/>
      <c r="L682" s="14"/>
    </row>
    <row r="683" spans="1:12" ht="15" customHeight="1" x14ac:dyDescent="0.3">
      <c r="A683" s="16"/>
      <c r="B683" s="17"/>
      <c r="C683" s="17"/>
      <c r="D683" s="17"/>
      <c r="E683" s="18"/>
      <c r="F683" s="17"/>
      <c r="G683" s="17"/>
      <c r="H683" s="17"/>
      <c r="I683" s="18"/>
      <c r="J683" s="17"/>
      <c r="K683" s="17"/>
      <c r="L683" s="17"/>
    </row>
    <row r="684" spans="1:12" ht="15" customHeight="1" x14ac:dyDescent="0.3">
      <c r="A684" s="13"/>
      <c r="B684" s="14"/>
      <c r="C684" s="14"/>
      <c r="D684" s="14"/>
      <c r="E684" s="15"/>
      <c r="F684" s="14"/>
      <c r="G684" s="14"/>
      <c r="H684" s="14"/>
      <c r="I684" s="15"/>
      <c r="J684" s="14"/>
      <c r="K684" s="14"/>
      <c r="L684" s="14"/>
    </row>
    <row r="685" spans="1:12" ht="15" customHeight="1" x14ac:dyDescent="0.3">
      <c r="A685" s="16"/>
      <c r="B685" s="17"/>
      <c r="C685" s="17"/>
      <c r="D685" s="17"/>
      <c r="E685" s="18"/>
      <c r="F685" s="17"/>
      <c r="G685" s="17"/>
      <c r="H685" s="17"/>
      <c r="I685" s="18"/>
      <c r="J685" s="17"/>
      <c r="K685" s="17"/>
      <c r="L685" s="17"/>
    </row>
    <row r="686" spans="1:12" ht="15" customHeight="1" x14ac:dyDescent="0.3">
      <c r="A686" s="13"/>
      <c r="B686" s="14"/>
      <c r="C686" s="14"/>
      <c r="D686" s="14"/>
      <c r="E686" s="15"/>
      <c r="F686" s="14"/>
      <c r="G686" s="14"/>
      <c r="H686" s="14"/>
      <c r="I686" s="15"/>
      <c r="J686" s="14"/>
      <c r="K686" s="14"/>
      <c r="L686" s="14"/>
    </row>
    <row r="687" spans="1:12" ht="15" customHeight="1" x14ac:dyDescent="0.3">
      <c r="A687" s="16"/>
      <c r="B687" s="17"/>
      <c r="C687" s="17"/>
      <c r="D687" s="17"/>
      <c r="E687" s="18"/>
      <c r="F687" s="17"/>
      <c r="G687" s="17"/>
      <c r="H687" s="17"/>
      <c r="I687" s="18"/>
      <c r="J687" s="17"/>
      <c r="K687" s="17"/>
      <c r="L687" s="17"/>
    </row>
    <row r="688" spans="1:12" ht="15" customHeight="1" x14ac:dyDescent="0.3">
      <c r="A688" s="13"/>
      <c r="B688" s="14"/>
      <c r="C688" s="14"/>
      <c r="D688" s="14"/>
      <c r="E688" s="15"/>
      <c r="F688" s="14"/>
      <c r="G688" s="14"/>
      <c r="H688" s="14"/>
      <c r="I688" s="15"/>
      <c r="J688" s="14"/>
      <c r="K688" s="14"/>
      <c r="L688" s="14"/>
    </row>
    <row r="689" spans="1:12" ht="15" customHeight="1" x14ac:dyDescent="0.3">
      <c r="A689" s="16"/>
      <c r="B689" s="17"/>
      <c r="C689" s="17"/>
      <c r="D689" s="17"/>
      <c r="E689" s="18"/>
      <c r="F689" s="17"/>
      <c r="G689" s="17"/>
      <c r="H689" s="17"/>
      <c r="I689" s="18"/>
      <c r="J689" s="17"/>
      <c r="K689" s="17"/>
      <c r="L689" s="17"/>
    </row>
    <row r="690" spans="1:12" ht="15" customHeight="1" x14ac:dyDescent="0.3">
      <c r="A690" s="13"/>
      <c r="B690" s="14"/>
      <c r="C690" s="14"/>
      <c r="D690" s="14"/>
      <c r="E690" s="15"/>
      <c r="F690" s="14"/>
      <c r="G690" s="14"/>
      <c r="H690" s="14"/>
      <c r="I690" s="15"/>
      <c r="J690" s="14"/>
      <c r="K690" s="14"/>
      <c r="L690" s="14"/>
    </row>
    <row r="691" spans="1:12" ht="15" customHeight="1" x14ac:dyDescent="0.3">
      <c r="A691" s="16"/>
      <c r="B691" s="17"/>
      <c r="C691" s="17"/>
      <c r="D691" s="17"/>
      <c r="E691" s="18"/>
      <c r="F691" s="17"/>
      <c r="G691" s="17"/>
      <c r="H691" s="17"/>
      <c r="I691" s="18"/>
      <c r="J691" s="17"/>
      <c r="K691" s="17"/>
      <c r="L691" s="17"/>
    </row>
    <row r="692" spans="1:12" ht="15" customHeight="1" x14ac:dyDescent="0.3">
      <c r="A692" s="13"/>
      <c r="B692" s="14"/>
      <c r="C692" s="14"/>
      <c r="D692" s="14"/>
      <c r="E692" s="15"/>
      <c r="F692" s="14"/>
      <c r="G692" s="14"/>
      <c r="H692" s="14"/>
      <c r="I692" s="15"/>
      <c r="J692" s="14"/>
      <c r="K692" s="14"/>
      <c r="L692" s="14"/>
    </row>
    <row r="693" spans="1:12" ht="15" customHeight="1" x14ac:dyDescent="0.3">
      <c r="A693" s="16"/>
      <c r="B693" s="17"/>
      <c r="C693" s="17"/>
      <c r="D693" s="17"/>
      <c r="E693" s="18"/>
      <c r="F693" s="17"/>
      <c r="G693" s="17"/>
      <c r="H693" s="17"/>
      <c r="I693" s="18"/>
      <c r="J693" s="17"/>
      <c r="K693" s="17"/>
      <c r="L693" s="17"/>
    </row>
    <row r="694" spans="1:12" ht="15" customHeight="1" x14ac:dyDescent="0.3">
      <c r="A694" s="13"/>
      <c r="B694" s="14"/>
      <c r="C694" s="14"/>
      <c r="D694" s="14"/>
      <c r="E694" s="15"/>
      <c r="F694" s="14"/>
      <c r="G694" s="14"/>
      <c r="H694" s="14"/>
      <c r="I694" s="15"/>
      <c r="J694" s="14"/>
      <c r="K694" s="14"/>
      <c r="L694" s="14"/>
    </row>
    <row r="695" spans="1:12" ht="15" customHeight="1" x14ac:dyDescent="0.3">
      <c r="A695" s="16"/>
      <c r="B695" s="17"/>
      <c r="C695" s="17"/>
      <c r="D695" s="17"/>
      <c r="E695" s="18"/>
      <c r="F695" s="17"/>
      <c r="G695" s="17"/>
      <c r="H695" s="17"/>
      <c r="I695" s="18"/>
      <c r="J695" s="17"/>
      <c r="K695" s="17"/>
      <c r="L695" s="17"/>
    </row>
    <row r="696" spans="1:12" ht="15" customHeight="1" x14ac:dyDescent="0.3">
      <c r="A696" s="13"/>
      <c r="B696" s="14"/>
      <c r="C696" s="14"/>
      <c r="D696" s="14"/>
      <c r="E696" s="15"/>
      <c r="F696" s="14"/>
      <c r="G696" s="14"/>
      <c r="H696" s="14"/>
      <c r="I696" s="15"/>
      <c r="J696" s="14"/>
      <c r="K696" s="14"/>
      <c r="L696" s="14"/>
    </row>
    <row r="697" spans="1:12" ht="15" customHeight="1" x14ac:dyDescent="0.3">
      <c r="A697" s="16"/>
      <c r="B697" s="17"/>
      <c r="C697" s="17"/>
      <c r="D697" s="17"/>
      <c r="E697" s="18"/>
      <c r="F697" s="17"/>
      <c r="G697" s="17"/>
      <c r="H697" s="17"/>
      <c r="I697" s="18"/>
      <c r="J697" s="17"/>
      <c r="K697" s="17"/>
      <c r="L697" s="17"/>
    </row>
    <row r="698" spans="1:12" ht="15" customHeight="1" x14ac:dyDescent="0.3">
      <c r="A698" s="13"/>
      <c r="B698" s="14"/>
      <c r="C698" s="14"/>
      <c r="D698" s="14"/>
      <c r="E698" s="15"/>
      <c r="F698" s="14"/>
      <c r="G698" s="14"/>
      <c r="H698" s="14"/>
      <c r="I698" s="15"/>
      <c r="J698" s="14"/>
      <c r="K698" s="14"/>
      <c r="L698" s="14"/>
    </row>
    <row r="699" spans="1:12" ht="15" customHeight="1" x14ac:dyDescent="0.3">
      <c r="A699" s="16"/>
      <c r="B699" s="17"/>
      <c r="C699" s="17"/>
      <c r="D699" s="17"/>
      <c r="E699" s="18"/>
      <c r="F699" s="17"/>
      <c r="G699" s="17"/>
      <c r="H699" s="17"/>
      <c r="I699" s="18"/>
      <c r="J699" s="17"/>
      <c r="K699" s="17"/>
      <c r="L699" s="17"/>
    </row>
    <row r="700" spans="1:12" ht="15" customHeight="1" x14ac:dyDescent="0.3">
      <c r="A700" s="13"/>
      <c r="B700" s="14"/>
      <c r="C700" s="14"/>
      <c r="D700" s="14"/>
      <c r="E700" s="15"/>
      <c r="F700" s="14"/>
      <c r="G700" s="14"/>
      <c r="H700" s="14"/>
      <c r="I700" s="15"/>
      <c r="J700" s="14"/>
      <c r="K700" s="14"/>
      <c r="L700" s="14"/>
    </row>
    <row r="701" spans="1:12" ht="15" customHeight="1" x14ac:dyDescent="0.3">
      <c r="A701" s="16"/>
      <c r="B701" s="17"/>
      <c r="C701" s="17"/>
      <c r="D701" s="17"/>
      <c r="E701" s="18"/>
      <c r="F701" s="17"/>
      <c r="G701" s="17"/>
      <c r="H701" s="17"/>
      <c r="I701" s="18"/>
      <c r="J701" s="17"/>
      <c r="K701" s="17"/>
      <c r="L701" s="17"/>
    </row>
    <row r="702" spans="1:12" ht="15" customHeight="1" x14ac:dyDescent="0.3">
      <c r="A702" s="13"/>
      <c r="B702" s="14"/>
      <c r="C702" s="14"/>
      <c r="D702" s="14"/>
      <c r="E702" s="15"/>
      <c r="F702" s="14"/>
      <c r="G702" s="14"/>
      <c r="H702" s="14"/>
      <c r="I702" s="15"/>
      <c r="J702" s="14"/>
      <c r="K702" s="14"/>
      <c r="L702" s="14"/>
    </row>
    <row r="703" spans="1:12" ht="15" customHeight="1" x14ac:dyDescent="0.3">
      <c r="A703" s="16"/>
      <c r="B703" s="17"/>
      <c r="C703" s="17"/>
      <c r="D703" s="17"/>
      <c r="E703" s="18"/>
      <c r="F703" s="17"/>
      <c r="G703" s="17"/>
      <c r="H703" s="17"/>
      <c r="I703" s="18"/>
      <c r="J703" s="17"/>
      <c r="K703" s="17"/>
      <c r="L703" s="17"/>
    </row>
    <row r="704" spans="1:12" ht="15" customHeight="1" x14ac:dyDescent="0.3">
      <c r="A704" s="13"/>
      <c r="B704" s="14"/>
      <c r="C704" s="14"/>
      <c r="D704" s="14"/>
      <c r="E704" s="15"/>
      <c r="F704" s="14"/>
      <c r="G704" s="14"/>
      <c r="H704" s="14"/>
      <c r="I704" s="15"/>
      <c r="J704" s="14"/>
      <c r="K704" s="14"/>
      <c r="L704" s="14"/>
    </row>
    <row r="705" spans="1:12" ht="15" customHeight="1" x14ac:dyDescent="0.3">
      <c r="A705" s="16"/>
      <c r="B705" s="17"/>
      <c r="C705" s="17"/>
      <c r="D705" s="17"/>
      <c r="E705" s="18"/>
      <c r="F705" s="17"/>
      <c r="G705" s="17"/>
      <c r="H705" s="17"/>
      <c r="I705" s="18"/>
      <c r="J705" s="17"/>
      <c r="K705" s="17"/>
      <c r="L705" s="17"/>
    </row>
    <row r="706" spans="1:12" ht="15" customHeight="1" x14ac:dyDescent="0.3">
      <c r="A706" s="13"/>
      <c r="B706" s="14"/>
      <c r="C706" s="14"/>
      <c r="D706" s="14"/>
      <c r="E706" s="15"/>
      <c r="F706" s="14"/>
      <c r="G706" s="14"/>
      <c r="H706" s="14"/>
      <c r="I706" s="15"/>
      <c r="J706" s="14"/>
      <c r="K706" s="14"/>
      <c r="L706" s="14"/>
    </row>
    <row r="707" spans="1:12" ht="15" customHeight="1" x14ac:dyDescent="0.3">
      <c r="A707" s="16"/>
      <c r="B707" s="17"/>
      <c r="C707" s="17"/>
      <c r="D707" s="17"/>
      <c r="E707" s="18"/>
      <c r="F707" s="17"/>
      <c r="G707" s="17"/>
      <c r="H707" s="17"/>
      <c r="I707" s="18"/>
      <c r="J707" s="17"/>
      <c r="K707" s="17"/>
      <c r="L707" s="17"/>
    </row>
    <row r="708" spans="1:12" ht="15" customHeight="1" x14ac:dyDescent="0.3">
      <c r="A708" s="13"/>
      <c r="B708" s="14"/>
      <c r="C708" s="14"/>
      <c r="D708" s="14"/>
      <c r="E708" s="15"/>
      <c r="F708" s="14"/>
      <c r="G708" s="14"/>
      <c r="H708" s="14"/>
      <c r="I708" s="15"/>
      <c r="J708" s="14"/>
      <c r="K708" s="14"/>
      <c r="L708" s="14"/>
    </row>
    <row r="709" spans="1:12" ht="15" customHeight="1" x14ac:dyDescent="0.3">
      <c r="A709" s="16"/>
      <c r="B709" s="17"/>
      <c r="C709" s="17"/>
      <c r="D709" s="17"/>
      <c r="E709" s="18"/>
      <c r="F709" s="17"/>
      <c r="G709" s="17"/>
      <c r="H709" s="17"/>
      <c r="I709" s="18"/>
      <c r="J709" s="17"/>
      <c r="K709" s="17"/>
      <c r="L709" s="17"/>
    </row>
    <row r="710" spans="1:12" ht="15" customHeight="1" x14ac:dyDescent="0.3">
      <c r="A710" s="13"/>
      <c r="B710" s="14"/>
      <c r="C710" s="14"/>
      <c r="D710" s="14"/>
      <c r="E710" s="15"/>
      <c r="F710" s="14"/>
      <c r="G710" s="14"/>
      <c r="H710" s="14"/>
      <c r="I710" s="15"/>
      <c r="J710" s="14"/>
      <c r="K710" s="14"/>
      <c r="L710" s="14"/>
    </row>
    <row r="711" spans="1:12" ht="15" customHeight="1" x14ac:dyDescent="0.3">
      <c r="A711" s="16"/>
      <c r="B711" s="17"/>
      <c r="C711" s="17"/>
      <c r="D711" s="17"/>
      <c r="E711" s="18"/>
      <c r="F711" s="17"/>
      <c r="G711" s="17"/>
      <c r="H711" s="17"/>
      <c r="I711" s="18"/>
      <c r="J711" s="17"/>
      <c r="K711" s="17"/>
      <c r="L711" s="17"/>
    </row>
    <row r="712" spans="1:12" ht="15" customHeight="1" x14ac:dyDescent="0.3">
      <c r="A712" s="13"/>
      <c r="B712" s="14"/>
      <c r="C712" s="14"/>
      <c r="D712" s="14"/>
      <c r="E712" s="15"/>
      <c r="F712" s="14"/>
      <c r="G712" s="14"/>
      <c r="H712" s="14"/>
      <c r="I712" s="15"/>
      <c r="J712" s="14"/>
      <c r="K712" s="14"/>
      <c r="L712" s="14"/>
    </row>
    <row r="713" spans="1:12" ht="15" customHeight="1" x14ac:dyDescent="0.3">
      <c r="A713" s="16"/>
      <c r="B713" s="17"/>
      <c r="C713" s="17"/>
      <c r="D713" s="17"/>
      <c r="E713" s="18"/>
      <c r="F713" s="17"/>
      <c r="G713" s="17"/>
      <c r="H713" s="17"/>
      <c r="I713" s="18"/>
      <c r="J713" s="17"/>
      <c r="K713" s="17"/>
      <c r="L713" s="17"/>
    </row>
    <row r="714" spans="1:12" ht="15" customHeight="1" x14ac:dyDescent="0.3">
      <c r="A714" s="13"/>
      <c r="B714" s="14"/>
      <c r="C714" s="14"/>
      <c r="D714" s="14"/>
      <c r="E714" s="15"/>
      <c r="F714" s="14"/>
      <c r="G714" s="14"/>
      <c r="H714" s="14"/>
      <c r="I714" s="15"/>
      <c r="J714" s="14"/>
      <c r="K714" s="14"/>
      <c r="L714" s="14"/>
    </row>
    <row r="715" spans="1:12" ht="15" customHeight="1" x14ac:dyDescent="0.3">
      <c r="A715" s="16"/>
      <c r="B715" s="17"/>
      <c r="C715" s="17"/>
      <c r="D715" s="17"/>
      <c r="E715" s="18"/>
      <c r="F715" s="17"/>
      <c r="G715" s="17"/>
      <c r="H715" s="17"/>
      <c r="I715" s="18"/>
      <c r="J715" s="17"/>
      <c r="K715" s="17"/>
      <c r="L715" s="17"/>
    </row>
    <row r="716" spans="1:12" ht="15" customHeight="1" x14ac:dyDescent="0.3">
      <c r="A716" s="13"/>
      <c r="B716" s="14"/>
      <c r="C716" s="14"/>
      <c r="D716" s="14"/>
      <c r="E716" s="15"/>
      <c r="F716" s="14"/>
      <c r="G716" s="14"/>
      <c r="H716" s="14"/>
      <c r="I716" s="15"/>
      <c r="J716" s="14"/>
      <c r="K716" s="14"/>
      <c r="L716" s="14"/>
    </row>
    <row r="717" spans="1:12" ht="15" customHeight="1" x14ac:dyDescent="0.3">
      <c r="A717" s="16"/>
      <c r="B717" s="17"/>
      <c r="C717" s="17"/>
      <c r="D717" s="17"/>
      <c r="E717" s="18"/>
      <c r="F717" s="17"/>
      <c r="G717" s="17"/>
      <c r="H717" s="17"/>
      <c r="I717" s="18"/>
      <c r="J717" s="17"/>
      <c r="K717" s="17"/>
      <c r="L717" s="17"/>
    </row>
    <row r="718" spans="1:12" ht="15" customHeight="1" x14ac:dyDescent="0.3">
      <c r="A718" s="13"/>
      <c r="B718" s="14"/>
      <c r="C718" s="14"/>
      <c r="D718" s="14"/>
      <c r="E718" s="15"/>
      <c r="F718" s="14"/>
      <c r="G718" s="14"/>
      <c r="H718" s="14"/>
      <c r="I718" s="15"/>
      <c r="J718" s="14"/>
      <c r="K718" s="14"/>
      <c r="L718" s="14"/>
    </row>
    <row r="719" spans="1:12" ht="15" customHeight="1" x14ac:dyDescent="0.3">
      <c r="A719" s="16"/>
      <c r="B719" s="17"/>
      <c r="C719" s="17"/>
      <c r="D719" s="17"/>
      <c r="E719" s="18"/>
      <c r="F719" s="17"/>
      <c r="G719" s="17"/>
      <c r="H719" s="17"/>
      <c r="I719" s="18"/>
      <c r="J719" s="17"/>
      <c r="K719" s="17"/>
      <c r="L719" s="17"/>
    </row>
    <row r="720" spans="1:12" ht="15" customHeight="1" x14ac:dyDescent="0.3">
      <c r="A720" s="13"/>
      <c r="B720" s="14"/>
      <c r="C720" s="14"/>
      <c r="D720" s="14"/>
      <c r="E720" s="15"/>
      <c r="F720" s="14"/>
      <c r="G720" s="14"/>
      <c r="H720" s="14"/>
      <c r="I720" s="15"/>
      <c r="J720" s="14"/>
      <c r="K720" s="14"/>
      <c r="L720" s="14"/>
    </row>
    <row r="721" spans="1:12" ht="15" customHeight="1" x14ac:dyDescent="0.3">
      <c r="A721" s="16"/>
      <c r="B721" s="17"/>
      <c r="C721" s="17"/>
      <c r="D721" s="17"/>
      <c r="E721" s="18"/>
      <c r="F721" s="17"/>
      <c r="G721" s="17"/>
      <c r="H721" s="17"/>
      <c r="I721" s="18"/>
      <c r="J721" s="17"/>
      <c r="K721" s="17"/>
      <c r="L721" s="17"/>
    </row>
    <row r="722" spans="1:12" ht="15" customHeight="1" x14ac:dyDescent="0.3">
      <c r="A722" s="13"/>
      <c r="B722" s="14"/>
      <c r="C722" s="14"/>
      <c r="D722" s="14"/>
      <c r="E722" s="15"/>
      <c r="F722" s="14"/>
      <c r="G722" s="14"/>
      <c r="H722" s="14"/>
      <c r="I722" s="15"/>
      <c r="J722" s="14"/>
      <c r="K722" s="14"/>
      <c r="L722" s="14"/>
    </row>
    <row r="723" spans="1:12" ht="15" customHeight="1" x14ac:dyDescent="0.3">
      <c r="A723" s="16"/>
      <c r="B723" s="17"/>
      <c r="C723" s="17"/>
      <c r="D723" s="17"/>
      <c r="E723" s="18"/>
      <c r="F723" s="17"/>
      <c r="G723" s="17"/>
      <c r="H723" s="17"/>
      <c r="I723" s="18"/>
      <c r="J723" s="17"/>
      <c r="K723" s="17"/>
      <c r="L723" s="17"/>
    </row>
    <row r="724" spans="1:12" ht="15" customHeight="1" x14ac:dyDescent="0.3">
      <c r="A724" s="13"/>
      <c r="B724" s="14"/>
      <c r="C724" s="14"/>
      <c r="D724" s="14"/>
      <c r="E724" s="15"/>
      <c r="F724" s="14"/>
      <c r="G724" s="14"/>
      <c r="H724" s="14"/>
      <c r="I724" s="15"/>
      <c r="J724" s="14"/>
      <c r="K724" s="14"/>
      <c r="L724" s="14"/>
    </row>
    <row r="725" spans="1:12" ht="15" customHeight="1" x14ac:dyDescent="0.3">
      <c r="A725" s="16"/>
      <c r="B725" s="17"/>
      <c r="C725" s="17"/>
      <c r="D725" s="17"/>
      <c r="E725" s="18"/>
      <c r="F725" s="17"/>
      <c r="G725" s="17"/>
      <c r="H725" s="17"/>
      <c r="I725" s="18"/>
      <c r="J725" s="17"/>
      <c r="K725" s="17"/>
      <c r="L725" s="17"/>
    </row>
    <row r="726" spans="1:12" ht="15" customHeight="1" x14ac:dyDescent="0.3">
      <c r="A726" s="13"/>
      <c r="B726" s="14"/>
      <c r="C726" s="14"/>
      <c r="D726" s="14"/>
      <c r="E726" s="15"/>
      <c r="F726" s="14"/>
      <c r="G726" s="14"/>
      <c r="H726" s="14"/>
      <c r="I726" s="15"/>
      <c r="J726" s="14"/>
      <c r="K726" s="14"/>
      <c r="L726" s="14"/>
    </row>
    <row r="727" spans="1:12" ht="15" customHeight="1" x14ac:dyDescent="0.3">
      <c r="A727" s="16"/>
      <c r="B727" s="17"/>
      <c r="C727" s="17"/>
      <c r="D727" s="17"/>
      <c r="E727" s="18"/>
      <c r="F727" s="17"/>
      <c r="G727" s="17"/>
      <c r="H727" s="17"/>
      <c r="I727" s="18"/>
      <c r="J727" s="17"/>
      <c r="K727" s="17"/>
      <c r="L727" s="17"/>
    </row>
    <row r="728" spans="1:12" ht="15" customHeight="1" x14ac:dyDescent="0.3">
      <c r="A728" s="13"/>
      <c r="B728" s="14"/>
      <c r="C728" s="14"/>
      <c r="D728" s="14"/>
      <c r="E728" s="15"/>
      <c r="F728" s="14"/>
      <c r="G728" s="14"/>
      <c r="H728" s="14"/>
      <c r="I728" s="15"/>
      <c r="J728" s="14"/>
      <c r="K728" s="14"/>
      <c r="L728" s="14"/>
    </row>
    <row r="729" spans="1:12" ht="15" customHeight="1" x14ac:dyDescent="0.3">
      <c r="A729" s="16"/>
      <c r="B729" s="17"/>
      <c r="C729" s="17"/>
      <c r="D729" s="17"/>
      <c r="E729" s="18"/>
      <c r="F729" s="17"/>
      <c r="G729" s="17"/>
      <c r="H729" s="17"/>
      <c r="I729" s="18"/>
      <c r="J729" s="17"/>
      <c r="K729" s="17"/>
      <c r="L729" s="17"/>
    </row>
    <row r="730" spans="1:12" ht="15" customHeight="1" x14ac:dyDescent="0.3">
      <c r="A730" s="13"/>
      <c r="B730" s="14"/>
      <c r="C730" s="14"/>
      <c r="D730" s="14"/>
      <c r="E730" s="15"/>
      <c r="F730" s="14"/>
      <c r="G730" s="14"/>
      <c r="H730" s="14"/>
      <c r="I730" s="15"/>
      <c r="J730" s="14"/>
      <c r="K730" s="14"/>
      <c r="L730" s="14"/>
    </row>
    <row r="731" spans="1:12" ht="15" customHeight="1" x14ac:dyDescent="0.3">
      <c r="A731" s="16"/>
      <c r="B731" s="17"/>
      <c r="C731" s="17"/>
      <c r="D731" s="17"/>
      <c r="E731" s="18"/>
      <c r="F731" s="17"/>
      <c r="G731" s="17"/>
      <c r="H731" s="17"/>
      <c r="I731" s="18"/>
      <c r="J731" s="17"/>
      <c r="K731" s="17"/>
      <c r="L731" s="17"/>
    </row>
    <row r="732" spans="1:12" ht="15" customHeight="1" x14ac:dyDescent="0.3">
      <c r="A732" s="13"/>
      <c r="B732" s="14"/>
      <c r="C732" s="14"/>
      <c r="D732" s="14"/>
      <c r="E732" s="15"/>
      <c r="F732" s="14"/>
      <c r="G732" s="14"/>
      <c r="H732" s="14"/>
      <c r="I732" s="15"/>
      <c r="J732" s="14"/>
      <c r="K732" s="14"/>
      <c r="L732" s="14"/>
    </row>
    <row r="733" spans="1:12" ht="15" customHeight="1" x14ac:dyDescent="0.3">
      <c r="A733" s="16"/>
      <c r="B733" s="17"/>
      <c r="C733" s="17"/>
      <c r="D733" s="17"/>
      <c r="E733" s="18"/>
      <c r="F733" s="17"/>
      <c r="G733" s="17"/>
      <c r="H733" s="17"/>
      <c r="I733" s="18"/>
      <c r="J733" s="17"/>
      <c r="K733" s="17"/>
      <c r="L733" s="17"/>
    </row>
    <row r="734" spans="1:12" ht="15" customHeight="1" x14ac:dyDescent="0.3">
      <c r="A734" s="13"/>
      <c r="B734" s="14"/>
      <c r="C734" s="14"/>
      <c r="D734" s="14"/>
      <c r="E734" s="15"/>
      <c r="F734" s="14"/>
      <c r="G734" s="14"/>
      <c r="H734" s="14"/>
      <c r="I734" s="15"/>
      <c r="J734" s="14"/>
      <c r="K734" s="14"/>
      <c r="L734" s="14"/>
    </row>
    <row r="735" spans="1:12" ht="15" customHeight="1" x14ac:dyDescent="0.3">
      <c r="A735" s="16"/>
      <c r="B735" s="17"/>
      <c r="C735" s="17"/>
      <c r="D735" s="17"/>
      <c r="E735" s="18"/>
      <c r="F735" s="17"/>
      <c r="G735" s="17"/>
      <c r="H735" s="17"/>
      <c r="I735" s="18"/>
      <c r="J735" s="17"/>
      <c r="K735" s="17"/>
      <c r="L735" s="17"/>
    </row>
    <row r="736" spans="1:12" ht="15" customHeight="1" x14ac:dyDescent="0.3">
      <c r="A736" s="13"/>
      <c r="B736" s="14"/>
      <c r="C736" s="14"/>
      <c r="D736" s="14"/>
      <c r="E736" s="15"/>
      <c r="F736" s="14"/>
      <c r="G736" s="14"/>
      <c r="H736" s="14"/>
      <c r="I736" s="15"/>
      <c r="J736" s="14"/>
      <c r="K736" s="14"/>
      <c r="L736" s="14"/>
    </row>
    <row r="737" spans="1:12" ht="15" customHeight="1" x14ac:dyDescent="0.3">
      <c r="A737" s="16"/>
      <c r="B737" s="17"/>
      <c r="C737" s="17"/>
      <c r="D737" s="17"/>
      <c r="E737" s="18"/>
      <c r="F737" s="17"/>
      <c r="G737" s="17"/>
      <c r="H737" s="17"/>
      <c r="I737" s="18"/>
      <c r="J737" s="17"/>
      <c r="K737" s="17"/>
      <c r="L737" s="17"/>
    </row>
    <row r="738" spans="1:12" ht="15" customHeight="1" x14ac:dyDescent="0.3">
      <c r="A738" s="13"/>
      <c r="B738" s="14"/>
      <c r="C738" s="14"/>
      <c r="D738" s="14"/>
      <c r="E738" s="15"/>
      <c r="F738" s="14"/>
      <c r="G738" s="14"/>
      <c r="H738" s="14"/>
      <c r="I738" s="15"/>
      <c r="J738" s="14"/>
      <c r="K738" s="14"/>
      <c r="L738" s="14"/>
    </row>
    <row r="739" spans="1:12" ht="15" customHeight="1" x14ac:dyDescent="0.3">
      <c r="A739" s="16"/>
      <c r="B739" s="17"/>
      <c r="C739" s="17"/>
      <c r="D739" s="17"/>
      <c r="E739" s="18"/>
      <c r="F739" s="17"/>
      <c r="G739" s="17"/>
      <c r="H739" s="17"/>
      <c r="I739" s="18"/>
      <c r="J739" s="17"/>
      <c r="K739" s="17"/>
      <c r="L739" s="17"/>
    </row>
    <row r="740" spans="1:12" ht="15" customHeight="1" x14ac:dyDescent="0.3">
      <c r="A740" s="13"/>
      <c r="B740" s="14"/>
      <c r="C740" s="14"/>
      <c r="D740" s="14"/>
      <c r="E740" s="15"/>
      <c r="F740" s="14"/>
      <c r="G740" s="14"/>
      <c r="H740" s="14"/>
      <c r="I740" s="15"/>
      <c r="J740" s="14"/>
      <c r="K740" s="14"/>
      <c r="L740" s="14"/>
    </row>
    <row r="741" spans="1:12" ht="15" customHeight="1" x14ac:dyDescent="0.3">
      <c r="A741" s="16"/>
      <c r="B741" s="17"/>
      <c r="C741" s="17"/>
      <c r="D741" s="17"/>
      <c r="E741" s="18"/>
      <c r="F741" s="17"/>
      <c r="G741" s="17"/>
      <c r="H741" s="17"/>
      <c r="I741" s="18"/>
      <c r="J741" s="17"/>
      <c r="K741" s="17"/>
      <c r="L741" s="17"/>
    </row>
    <row r="742" spans="1:12" ht="15" customHeight="1" x14ac:dyDescent="0.3">
      <c r="A742" s="13"/>
      <c r="B742" s="14"/>
      <c r="C742" s="14"/>
      <c r="D742" s="14"/>
      <c r="E742" s="15"/>
      <c r="F742" s="14"/>
      <c r="G742" s="14"/>
      <c r="H742" s="14"/>
      <c r="I742" s="15"/>
      <c r="J742" s="14"/>
      <c r="K742" s="14"/>
      <c r="L742" s="14"/>
    </row>
    <row r="743" spans="1:12" ht="15" customHeight="1" x14ac:dyDescent="0.3">
      <c r="A743" s="16"/>
      <c r="B743" s="17"/>
      <c r="C743" s="17"/>
      <c r="D743" s="17"/>
      <c r="E743" s="18"/>
      <c r="F743" s="17"/>
      <c r="G743" s="17"/>
      <c r="H743" s="17"/>
      <c r="I743" s="18"/>
      <c r="J743" s="17"/>
      <c r="K743" s="17"/>
      <c r="L743" s="17"/>
    </row>
    <row r="744" spans="1:12" ht="15" customHeight="1" x14ac:dyDescent="0.3">
      <c r="A744" s="13"/>
      <c r="B744" s="14"/>
      <c r="C744" s="14"/>
      <c r="D744" s="14"/>
      <c r="E744" s="15"/>
      <c r="F744" s="14"/>
      <c r="G744" s="14"/>
      <c r="H744" s="14"/>
      <c r="I744" s="15"/>
      <c r="J744" s="14"/>
      <c r="K744" s="14"/>
      <c r="L744" s="14"/>
    </row>
    <row r="745" spans="1:12" ht="15" customHeight="1" x14ac:dyDescent="0.3">
      <c r="A745" s="16"/>
      <c r="B745" s="17"/>
      <c r="C745" s="17"/>
      <c r="D745" s="17"/>
      <c r="E745" s="18"/>
      <c r="F745" s="17"/>
      <c r="G745" s="17"/>
      <c r="H745" s="17"/>
      <c r="I745" s="18"/>
      <c r="J745" s="17"/>
      <c r="K745" s="17"/>
      <c r="L745" s="17"/>
    </row>
    <row r="746" spans="1:12" ht="15" customHeight="1" x14ac:dyDescent="0.3">
      <c r="A746" s="13"/>
      <c r="B746" s="14"/>
      <c r="C746" s="14"/>
      <c r="D746" s="14"/>
      <c r="E746" s="15"/>
      <c r="F746" s="14"/>
      <c r="G746" s="14"/>
      <c r="H746" s="14"/>
      <c r="I746" s="15"/>
      <c r="J746" s="14"/>
      <c r="K746" s="14"/>
      <c r="L746" s="14"/>
    </row>
    <row r="747" spans="1:12" ht="15" customHeight="1" x14ac:dyDescent="0.3">
      <c r="A747" s="16"/>
      <c r="B747" s="17"/>
      <c r="C747" s="17"/>
      <c r="D747" s="17"/>
      <c r="E747" s="18"/>
      <c r="F747" s="17"/>
      <c r="G747" s="17"/>
      <c r="H747" s="17"/>
      <c r="I747" s="18"/>
      <c r="J747" s="17"/>
      <c r="K747" s="17"/>
      <c r="L747" s="17"/>
    </row>
    <row r="748" spans="1:12" ht="15" customHeight="1" x14ac:dyDescent="0.3">
      <c r="A748" s="13"/>
      <c r="B748" s="14"/>
      <c r="C748" s="14"/>
      <c r="D748" s="14"/>
      <c r="E748" s="15"/>
      <c r="F748" s="14"/>
      <c r="G748" s="14"/>
      <c r="H748" s="14"/>
      <c r="I748" s="15"/>
      <c r="J748" s="14"/>
      <c r="K748" s="14"/>
      <c r="L748" s="14"/>
    </row>
    <row r="749" spans="1:12" ht="15" customHeight="1" x14ac:dyDescent="0.3">
      <c r="A749" s="16"/>
      <c r="B749" s="17"/>
      <c r="C749" s="17"/>
      <c r="D749" s="17"/>
      <c r="E749" s="18"/>
      <c r="F749" s="17"/>
      <c r="G749" s="17"/>
      <c r="H749" s="17"/>
      <c r="I749" s="18"/>
      <c r="J749" s="17"/>
      <c r="K749" s="17"/>
      <c r="L749" s="17"/>
    </row>
    <row r="750" spans="1:12" ht="15" customHeight="1" x14ac:dyDescent="0.3">
      <c r="A750" s="13"/>
      <c r="B750" s="14"/>
      <c r="C750" s="14"/>
      <c r="D750" s="14"/>
      <c r="E750" s="15"/>
      <c r="F750" s="14"/>
      <c r="G750" s="14"/>
      <c r="H750" s="14"/>
      <c r="I750" s="15"/>
      <c r="J750" s="14"/>
      <c r="K750" s="14"/>
      <c r="L750" s="14"/>
    </row>
    <row r="751" spans="1:12" ht="15" customHeight="1" x14ac:dyDescent="0.3">
      <c r="A751" s="16"/>
      <c r="B751" s="17"/>
      <c r="C751" s="17"/>
      <c r="D751" s="17"/>
      <c r="E751" s="18"/>
      <c r="F751" s="17"/>
      <c r="G751" s="17"/>
      <c r="H751" s="17"/>
      <c r="I751" s="18"/>
      <c r="J751" s="17"/>
      <c r="K751" s="17"/>
      <c r="L751" s="17"/>
    </row>
    <row r="752" spans="1:12" ht="15" customHeight="1" x14ac:dyDescent="0.3">
      <c r="A752" s="13"/>
      <c r="B752" s="14"/>
      <c r="C752" s="14"/>
      <c r="D752" s="14"/>
      <c r="E752" s="15"/>
      <c r="F752" s="14"/>
      <c r="G752" s="14"/>
      <c r="H752" s="14"/>
      <c r="I752" s="15"/>
      <c r="J752" s="14"/>
      <c r="K752" s="14"/>
      <c r="L752" s="14"/>
    </row>
    <row r="753" spans="1:12" ht="15" customHeight="1" x14ac:dyDescent="0.3">
      <c r="A753" s="16"/>
      <c r="B753" s="17"/>
      <c r="C753" s="17"/>
      <c r="D753" s="17"/>
      <c r="E753" s="18"/>
      <c r="F753" s="17"/>
      <c r="G753" s="17"/>
      <c r="H753" s="17"/>
      <c r="I753" s="18"/>
      <c r="J753" s="17"/>
      <c r="K753" s="17"/>
      <c r="L753" s="17"/>
    </row>
    <row r="754" spans="1:12" ht="15" customHeight="1" x14ac:dyDescent="0.3">
      <c r="A754" s="13"/>
      <c r="B754" s="14"/>
      <c r="C754" s="14"/>
      <c r="D754" s="14"/>
      <c r="E754" s="15"/>
      <c r="F754" s="14"/>
      <c r="G754" s="14"/>
      <c r="H754" s="14"/>
      <c r="I754" s="15"/>
      <c r="J754" s="14"/>
      <c r="K754" s="14"/>
      <c r="L754" s="14"/>
    </row>
    <row r="755" spans="1:12" ht="15" customHeight="1" x14ac:dyDescent="0.3">
      <c r="A755" s="16"/>
      <c r="B755" s="17"/>
      <c r="C755" s="17"/>
      <c r="D755" s="17"/>
      <c r="E755" s="18"/>
      <c r="F755" s="17"/>
      <c r="G755" s="17"/>
      <c r="H755" s="17"/>
      <c r="I755" s="18"/>
      <c r="J755" s="17"/>
      <c r="K755" s="17"/>
      <c r="L755" s="17"/>
    </row>
    <row r="756" spans="1:12" ht="15" customHeight="1" x14ac:dyDescent="0.3">
      <c r="A756" s="13"/>
      <c r="B756" s="14"/>
      <c r="C756" s="14"/>
      <c r="D756" s="14"/>
      <c r="E756" s="15"/>
      <c r="F756" s="14"/>
      <c r="G756" s="14"/>
      <c r="H756" s="14"/>
      <c r="I756" s="15"/>
      <c r="J756" s="14"/>
      <c r="K756" s="14"/>
      <c r="L756" s="14"/>
    </row>
    <row r="757" spans="1:12" ht="15" customHeight="1" x14ac:dyDescent="0.3">
      <c r="A757" s="16"/>
      <c r="B757" s="17"/>
      <c r="C757" s="17"/>
      <c r="D757" s="17"/>
      <c r="E757" s="18"/>
      <c r="F757" s="17"/>
      <c r="G757" s="17"/>
      <c r="H757" s="17"/>
      <c r="I757" s="18"/>
      <c r="J757" s="17"/>
      <c r="K757" s="17"/>
      <c r="L757" s="17"/>
    </row>
    <row r="758" spans="1:12" ht="15" customHeight="1" x14ac:dyDescent="0.3">
      <c r="A758" s="13"/>
      <c r="B758" s="14"/>
      <c r="C758" s="14"/>
      <c r="D758" s="14"/>
      <c r="E758" s="15"/>
      <c r="F758" s="14"/>
      <c r="G758" s="14"/>
      <c r="H758" s="14"/>
      <c r="I758" s="15"/>
      <c r="J758" s="14"/>
      <c r="K758" s="14"/>
      <c r="L758" s="14"/>
    </row>
    <row r="759" spans="1:12" ht="15" customHeight="1" x14ac:dyDescent="0.3">
      <c r="A759" s="16"/>
      <c r="B759" s="17"/>
      <c r="C759" s="17"/>
      <c r="D759" s="17"/>
      <c r="E759" s="18"/>
      <c r="F759" s="17"/>
      <c r="G759" s="17"/>
      <c r="H759" s="17"/>
      <c r="I759" s="18"/>
      <c r="J759" s="17"/>
      <c r="K759" s="17"/>
      <c r="L759" s="17"/>
    </row>
    <row r="760" spans="1:12" ht="15" customHeight="1" x14ac:dyDescent="0.3">
      <c r="A760" s="13"/>
      <c r="B760" s="14"/>
      <c r="C760" s="14"/>
      <c r="D760" s="14"/>
      <c r="E760" s="15"/>
      <c r="F760" s="14"/>
      <c r="G760" s="14"/>
      <c r="H760" s="14"/>
      <c r="I760" s="15"/>
      <c r="J760" s="14"/>
      <c r="K760" s="14"/>
      <c r="L760" s="14"/>
    </row>
    <row r="761" spans="1:12" ht="15" customHeight="1" x14ac:dyDescent="0.3">
      <c r="A761" s="16"/>
      <c r="B761" s="17"/>
      <c r="C761" s="17"/>
      <c r="D761" s="17"/>
      <c r="E761" s="18"/>
      <c r="F761" s="17"/>
      <c r="G761" s="17"/>
      <c r="H761" s="17"/>
      <c r="I761" s="18"/>
      <c r="J761" s="17"/>
      <c r="K761" s="17"/>
      <c r="L761" s="17"/>
    </row>
    <row r="762" spans="1:12" ht="15" customHeight="1" x14ac:dyDescent="0.3">
      <c r="A762" s="13"/>
      <c r="B762" s="14"/>
      <c r="C762" s="14"/>
      <c r="D762" s="14"/>
      <c r="E762" s="15"/>
      <c r="F762" s="14"/>
      <c r="G762" s="14"/>
      <c r="H762" s="14"/>
      <c r="I762" s="15"/>
      <c r="J762" s="14"/>
      <c r="K762" s="14"/>
      <c r="L762" s="14"/>
    </row>
    <row r="763" spans="1:12" ht="15" customHeight="1" x14ac:dyDescent="0.3">
      <c r="A763" s="16"/>
      <c r="B763" s="17"/>
      <c r="C763" s="17"/>
      <c r="D763" s="17"/>
      <c r="E763" s="18"/>
      <c r="F763" s="17"/>
      <c r="G763" s="17"/>
      <c r="H763" s="17"/>
      <c r="I763" s="18"/>
      <c r="J763" s="17"/>
      <c r="K763" s="17"/>
      <c r="L763" s="17"/>
    </row>
    <row r="764" spans="1:12" ht="15" customHeight="1" x14ac:dyDescent="0.3">
      <c r="A764" s="13"/>
      <c r="B764" s="14"/>
      <c r="C764" s="14"/>
      <c r="D764" s="14"/>
      <c r="E764" s="15"/>
      <c r="F764" s="14"/>
      <c r="G764" s="14"/>
      <c r="H764" s="14"/>
      <c r="I764" s="15"/>
      <c r="J764" s="14"/>
      <c r="K764" s="14"/>
      <c r="L764" s="14"/>
    </row>
    <row r="765" spans="1:12" ht="15" customHeight="1" x14ac:dyDescent="0.3">
      <c r="A765" s="16"/>
      <c r="B765" s="17"/>
      <c r="C765" s="17"/>
      <c r="D765" s="17"/>
      <c r="E765" s="18"/>
      <c r="F765" s="17"/>
      <c r="G765" s="17"/>
      <c r="H765" s="17"/>
      <c r="I765" s="18"/>
      <c r="J765" s="17"/>
      <c r="K765" s="17"/>
      <c r="L765" s="17"/>
    </row>
    <row r="766" spans="1:12" ht="15" customHeight="1" x14ac:dyDescent="0.3">
      <c r="A766" s="13"/>
      <c r="B766" s="14"/>
      <c r="C766" s="14"/>
      <c r="D766" s="14"/>
      <c r="E766" s="15"/>
      <c r="F766" s="14"/>
      <c r="G766" s="14"/>
      <c r="H766" s="14"/>
      <c r="I766" s="15"/>
      <c r="J766" s="14"/>
      <c r="K766" s="14"/>
      <c r="L766" s="14"/>
    </row>
    <row r="767" spans="1:12" ht="15" customHeight="1" x14ac:dyDescent="0.3">
      <c r="A767" s="16"/>
      <c r="B767" s="17"/>
      <c r="C767" s="17"/>
      <c r="D767" s="17"/>
      <c r="E767" s="18"/>
      <c r="F767" s="17"/>
      <c r="G767" s="17"/>
      <c r="H767" s="17"/>
      <c r="I767" s="18"/>
      <c r="J767" s="17"/>
      <c r="K767" s="17"/>
      <c r="L767" s="17"/>
    </row>
    <row r="768" spans="1:12" ht="15" customHeight="1" x14ac:dyDescent="0.3">
      <c r="A768" s="13"/>
      <c r="B768" s="14"/>
      <c r="C768" s="14"/>
      <c r="D768" s="14"/>
      <c r="E768" s="15"/>
      <c r="F768" s="14"/>
      <c r="G768" s="14"/>
      <c r="H768" s="14"/>
      <c r="I768" s="15"/>
      <c r="J768" s="14"/>
      <c r="K768" s="14"/>
      <c r="L768" s="14"/>
    </row>
    <row r="769" spans="1:12" ht="15" customHeight="1" x14ac:dyDescent="0.3">
      <c r="A769" s="16"/>
      <c r="B769" s="17"/>
      <c r="C769" s="17"/>
      <c r="D769" s="17"/>
      <c r="E769" s="18"/>
      <c r="F769" s="17"/>
      <c r="G769" s="17"/>
      <c r="H769" s="17"/>
      <c r="I769" s="18"/>
      <c r="J769" s="17"/>
      <c r="K769" s="17"/>
      <c r="L769" s="17"/>
    </row>
    <row r="770" spans="1:12" ht="15" customHeight="1" x14ac:dyDescent="0.3">
      <c r="A770" s="13"/>
      <c r="B770" s="14"/>
      <c r="C770" s="14"/>
      <c r="D770" s="14"/>
      <c r="E770" s="15"/>
      <c r="F770" s="14"/>
      <c r="G770" s="14"/>
      <c r="H770" s="14"/>
      <c r="I770" s="15"/>
      <c r="J770" s="14"/>
      <c r="K770" s="14"/>
      <c r="L770" s="14"/>
    </row>
    <row r="771" spans="1:12" ht="15" customHeight="1" x14ac:dyDescent="0.3">
      <c r="A771" s="16"/>
      <c r="B771" s="17"/>
      <c r="C771" s="17"/>
      <c r="D771" s="17"/>
      <c r="E771" s="18"/>
      <c r="F771" s="17"/>
      <c r="G771" s="17"/>
      <c r="H771" s="17"/>
      <c r="I771" s="18"/>
      <c r="J771" s="17"/>
      <c r="K771" s="17"/>
      <c r="L771" s="17"/>
    </row>
    <row r="772" spans="1:12" ht="15" customHeight="1" x14ac:dyDescent="0.3">
      <c r="A772" s="13"/>
      <c r="B772" s="14"/>
      <c r="C772" s="14"/>
      <c r="D772" s="14"/>
      <c r="E772" s="15"/>
      <c r="F772" s="14"/>
      <c r="G772" s="14"/>
      <c r="H772" s="14"/>
      <c r="I772" s="15"/>
      <c r="J772" s="14"/>
      <c r="K772" s="14"/>
      <c r="L772" s="14"/>
    </row>
    <row r="773" spans="1:12" ht="15" customHeight="1" x14ac:dyDescent="0.3">
      <c r="A773" s="16"/>
      <c r="B773" s="17"/>
      <c r="C773" s="17"/>
      <c r="D773" s="17"/>
      <c r="E773" s="18"/>
      <c r="F773" s="17"/>
      <c r="G773" s="17"/>
      <c r="H773" s="17"/>
      <c r="I773" s="18"/>
      <c r="J773" s="17"/>
      <c r="K773" s="17"/>
      <c r="L773" s="17"/>
    </row>
    <row r="774" spans="1:12" ht="15" customHeight="1" x14ac:dyDescent="0.3">
      <c r="A774" s="13"/>
      <c r="B774" s="14"/>
      <c r="C774" s="14"/>
      <c r="D774" s="14"/>
      <c r="E774" s="15"/>
      <c r="F774" s="14"/>
      <c r="G774" s="14"/>
      <c r="H774" s="14"/>
      <c r="I774" s="15"/>
      <c r="J774" s="14"/>
      <c r="K774" s="14"/>
      <c r="L774" s="14"/>
    </row>
    <row r="775" spans="1:12" ht="15" customHeight="1" x14ac:dyDescent="0.3">
      <c r="A775" s="16"/>
      <c r="B775" s="17"/>
      <c r="C775" s="17"/>
      <c r="D775" s="17"/>
      <c r="E775" s="18"/>
      <c r="F775" s="17"/>
      <c r="G775" s="17"/>
      <c r="H775" s="17"/>
      <c r="I775" s="18"/>
      <c r="J775" s="17"/>
      <c r="K775" s="17"/>
      <c r="L775" s="17"/>
    </row>
    <row r="776" spans="1:12" ht="15" customHeight="1" x14ac:dyDescent="0.3">
      <c r="A776" s="13"/>
      <c r="B776" s="14"/>
      <c r="C776" s="14"/>
      <c r="D776" s="14"/>
      <c r="E776" s="15"/>
      <c r="F776" s="14"/>
      <c r="G776" s="14"/>
      <c r="H776" s="14"/>
      <c r="I776" s="15"/>
      <c r="J776" s="14"/>
      <c r="K776" s="14"/>
      <c r="L776" s="14"/>
    </row>
    <row r="777" spans="1:12" ht="15" customHeight="1" x14ac:dyDescent="0.3">
      <c r="A777" s="16"/>
      <c r="B777" s="17"/>
      <c r="C777" s="17"/>
      <c r="D777" s="17"/>
      <c r="E777" s="18"/>
      <c r="F777" s="17"/>
      <c r="G777" s="17"/>
      <c r="H777" s="17"/>
      <c r="I777" s="18"/>
      <c r="J777" s="17"/>
      <c r="K777" s="17"/>
      <c r="L777" s="17"/>
    </row>
    <row r="778" spans="1:12" ht="15" customHeight="1" x14ac:dyDescent="0.3">
      <c r="A778" s="13"/>
      <c r="B778" s="14"/>
      <c r="C778" s="14"/>
      <c r="D778" s="14"/>
      <c r="E778" s="15"/>
      <c r="F778" s="14"/>
      <c r="G778" s="14"/>
      <c r="H778" s="14"/>
      <c r="I778" s="15"/>
      <c r="J778" s="14"/>
      <c r="K778" s="14"/>
      <c r="L778" s="14"/>
    </row>
    <row r="779" spans="1:12" ht="15" customHeight="1" x14ac:dyDescent="0.3">
      <c r="A779" s="16"/>
      <c r="B779" s="17"/>
      <c r="C779" s="17"/>
      <c r="D779" s="17"/>
      <c r="E779" s="18"/>
      <c r="F779" s="17"/>
      <c r="G779" s="17"/>
      <c r="H779" s="17"/>
      <c r="I779" s="18"/>
      <c r="J779" s="17"/>
      <c r="K779" s="17"/>
      <c r="L779" s="17"/>
    </row>
    <row r="780" spans="1:12" ht="15" customHeight="1" x14ac:dyDescent="0.3">
      <c r="A780" s="13"/>
      <c r="B780" s="14"/>
      <c r="C780" s="14"/>
      <c r="D780" s="14"/>
      <c r="E780" s="15"/>
      <c r="F780" s="14"/>
      <c r="G780" s="14"/>
      <c r="H780" s="14"/>
      <c r="I780" s="15"/>
      <c r="J780" s="14"/>
      <c r="K780" s="14"/>
      <c r="L780" s="14"/>
    </row>
    <row r="781" spans="1:12" ht="15" customHeight="1" x14ac:dyDescent="0.3">
      <c r="A781" s="16"/>
      <c r="B781" s="17"/>
      <c r="C781" s="17"/>
      <c r="D781" s="17"/>
      <c r="E781" s="18"/>
      <c r="F781" s="17"/>
      <c r="G781" s="17"/>
      <c r="H781" s="17"/>
      <c r="I781" s="18"/>
      <c r="J781" s="17"/>
      <c r="K781" s="17"/>
      <c r="L781" s="17"/>
    </row>
    <row r="782" spans="1:12" ht="15" customHeight="1" x14ac:dyDescent="0.3">
      <c r="A782" s="13"/>
      <c r="B782" s="14"/>
      <c r="C782" s="14"/>
      <c r="D782" s="14"/>
      <c r="E782" s="15"/>
      <c r="F782" s="14"/>
      <c r="G782" s="14"/>
      <c r="H782" s="14"/>
      <c r="I782" s="15"/>
      <c r="J782" s="14"/>
      <c r="K782" s="14"/>
      <c r="L782" s="14"/>
    </row>
    <row r="783" spans="1:12" ht="15" customHeight="1" x14ac:dyDescent="0.3">
      <c r="A783" s="16"/>
      <c r="B783" s="17"/>
      <c r="C783" s="17"/>
      <c r="D783" s="17"/>
      <c r="E783" s="18"/>
      <c r="F783" s="17"/>
      <c r="G783" s="17"/>
      <c r="H783" s="17"/>
      <c r="I783" s="18"/>
      <c r="J783" s="17"/>
      <c r="K783" s="17"/>
      <c r="L783" s="17"/>
    </row>
    <row r="784" spans="1:12" ht="15" customHeight="1" x14ac:dyDescent="0.3">
      <c r="A784" s="13"/>
      <c r="B784" s="14"/>
      <c r="C784" s="14"/>
      <c r="D784" s="14"/>
      <c r="E784" s="15"/>
      <c r="F784" s="14"/>
      <c r="G784" s="14"/>
      <c r="H784" s="14"/>
      <c r="I784" s="15"/>
      <c r="J784" s="14"/>
      <c r="K784" s="14"/>
      <c r="L784" s="14"/>
    </row>
    <row r="785" spans="1:12" ht="15" customHeight="1" x14ac:dyDescent="0.3">
      <c r="A785" s="16"/>
      <c r="B785" s="17"/>
      <c r="C785" s="17"/>
      <c r="D785" s="17"/>
      <c r="E785" s="18"/>
      <c r="F785" s="17"/>
      <c r="G785" s="17"/>
      <c r="H785" s="17"/>
      <c r="I785" s="18"/>
      <c r="J785" s="17"/>
      <c r="K785" s="17"/>
      <c r="L785" s="17"/>
    </row>
    <row r="786" spans="1:12" ht="15" customHeight="1" x14ac:dyDescent="0.3">
      <c r="A786" s="13"/>
      <c r="B786" s="14"/>
      <c r="C786" s="14"/>
      <c r="D786" s="14"/>
      <c r="E786" s="15"/>
      <c r="F786" s="14"/>
      <c r="G786" s="14"/>
      <c r="H786" s="14"/>
      <c r="I786" s="15"/>
      <c r="J786" s="14"/>
      <c r="K786" s="14"/>
      <c r="L786" s="14"/>
    </row>
    <row r="787" spans="1:12" ht="15" customHeight="1" x14ac:dyDescent="0.3">
      <c r="A787" s="16"/>
      <c r="B787" s="17"/>
      <c r="C787" s="17"/>
      <c r="D787" s="17"/>
      <c r="E787" s="18"/>
      <c r="F787" s="17"/>
      <c r="G787" s="17"/>
      <c r="H787" s="17"/>
      <c r="I787" s="18"/>
      <c r="J787" s="17"/>
      <c r="K787" s="17"/>
      <c r="L787" s="17"/>
    </row>
    <row r="788" spans="1:12" ht="15" customHeight="1" x14ac:dyDescent="0.3">
      <c r="A788" s="13"/>
      <c r="B788" s="14"/>
      <c r="C788" s="14"/>
      <c r="D788" s="14"/>
      <c r="E788" s="15"/>
      <c r="F788" s="14"/>
      <c r="G788" s="14"/>
      <c r="H788" s="14"/>
      <c r="I788" s="15"/>
      <c r="J788" s="14"/>
      <c r="K788" s="14"/>
      <c r="L788" s="14"/>
    </row>
    <row r="789" spans="1:12" ht="15" customHeight="1" x14ac:dyDescent="0.3">
      <c r="A789" s="16"/>
      <c r="B789" s="17"/>
      <c r="C789" s="17"/>
      <c r="D789" s="17"/>
      <c r="E789" s="18"/>
      <c r="F789" s="17"/>
      <c r="G789" s="17"/>
      <c r="H789" s="17"/>
      <c r="I789" s="18"/>
      <c r="J789" s="17"/>
      <c r="K789" s="17"/>
      <c r="L789" s="17"/>
    </row>
    <row r="790" spans="1:12" ht="15" customHeight="1" x14ac:dyDescent="0.3">
      <c r="A790" s="13"/>
      <c r="B790" s="14"/>
      <c r="C790" s="14"/>
      <c r="D790" s="14"/>
      <c r="E790" s="15"/>
      <c r="F790" s="14"/>
      <c r="G790" s="14"/>
      <c r="H790" s="14"/>
      <c r="I790" s="15"/>
      <c r="J790" s="14"/>
      <c r="K790" s="14"/>
      <c r="L790" s="14"/>
    </row>
    <row r="791" spans="1:12" ht="15" customHeight="1" x14ac:dyDescent="0.3">
      <c r="A791" s="16"/>
      <c r="B791" s="17"/>
      <c r="C791" s="17"/>
      <c r="D791" s="17"/>
      <c r="E791" s="18"/>
      <c r="F791" s="17"/>
      <c r="G791" s="17"/>
      <c r="H791" s="17"/>
      <c r="I791" s="18"/>
      <c r="J791" s="17"/>
      <c r="K791" s="17"/>
      <c r="L791" s="17"/>
    </row>
    <row r="792" spans="1:12" ht="15" customHeight="1" x14ac:dyDescent="0.3">
      <c r="A792" s="13"/>
      <c r="B792" s="14"/>
      <c r="C792" s="14"/>
      <c r="D792" s="14"/>
      <c r="E792" s="15"/>
      <c r="F792" s="14"/>
      <c r="G792" s="14"/>
      <c r="H792" s="14"/>
      <c r="I792" s="15"/>
      <c r="J792" s="14"/>
      <c r="K792" s="14"/>
      <c r="L792" s="14"/>
    </row>
    <row r="793" spans="1:12" ht="15" customHeight="1" x14ac:dyDescent="0.3">
      <c r="A793" s="16"/>
      <c r="B793" s="17"/>
      <c r="C793" s="17"/>
      <c r="D793" s="17"/>
      <c r="E793" s="18"/>
      <c r="F793" s="17"/>
      <c r="G793" s="17"/>
      <c r="H793" s="17"/>
      <c r="I793" s="18"/>
      <c r="J793" s="17"/>
      <c r="K793" s="17"/>
      <c r="L793" s="17"/>
    </row>
    <row r="794" spans="1:12" ht="15" customHeight="1" x14ac:dyDescent="0.3">
      <c r="A794" s="13"/>
      <c r="B794" s="14"/>
      <c r="C794" s="14"/>
      <c r="D794" s="14"/>
      <c r="E794" s="15"/>
      <c r="F794" s="14"/>
      <c r="G794" s="14"/>
      <c r="H794" s="14"/>
      <c r="I794" s="15"/>
      <c r="J794" s="14"/>
      <c r="K794" s="14"/>
      <c r="L794" s="14"/>
    </row>
    <row r="795" spans="1:12" ht="15" customHeight="1" x14ac:dyDescent="0.3">
      <c r="A795" s="16"/>
      <c r="B795" s="17"/>
      <c r="C795" s="17"/>
      <c r="D795" s="17"/>
      <c r="E795" s="18"/>
      <c r="F795" s="17"/>
      <c r="G795" s="17"/>
      <c r="H795" s="17"/>
      <c r="I795" s="18"/>
      <c r="J795" s="17"/>
      <c r="K795" s="17"/>
      <c r="L795" s="17"/>
    </row>
    <row r="796" spans="1:12" ht="15" customHeight="1" x14ac:dyDescent="0.3">
      <c r="A796" s="13"/>
      <c r="B796" s="14"/>
      <c r="C796" s="14"/>
      <c r="D796" s="14"/>
      <c r="E796" s="15"/>
      <c r="F796" s="14"/>
      <c r="G796" s="14"/>
      <c r="H796" s="14"/>
      <c r="I796" s="15"/>
      <c r="J796" s="14"/>
      <c r="K796" s="14"/>
      <c r="L796" s="14"/>
    </row>
    <row r="797" spans="1:12" ht="15" customHeight="1" x14ac:dyDescent="0.3">
      <c r="A797" s="16"/>
      <c r="B797" s="17"/>
      <c r="C797" s="17"/>
      <c r="D797" s="17"/>
      <c r="E797" s="18"/>
      <c r="F797" s="17"/>
      <c r="G797" s="17"/>
      <c r="H797" s="17"/>
      <c r="I797" s="18"/>
      <c r="J797" s="17"/>
      <c r="K797" s="17"/>
      <c r="L797" s="17"/>
    </row>
    <row r="798" spans="1:12" ht="15" customHeight="1" x14ac:dyDescent="0.3">
      <c r="A798" s="13"/>
      <c r="B798" s="14"/>
      <c r="C798" s="14"/>
      <c r="D798" s="14"/>
      <c r="E798" s="15"/>
      <c r="F798" s="14"/>
      <c r="G798" s="14"/>
      <c r="H798" s="14"/>
      <c r="I798" s="15"/>
      <c r="J798" s="14"/>
      <c r="K798" s="14"/>
      <c r="L798" s="14"/>
    </row>
    <row r="799" spans="1:12" ht="15" customHeight="1" x14ac:dyDescent="0.3">
      <c r="A799" s="16"/>
      <c r="B799" s="17"/>
      <c r="C799" s="17"/>
      <c r="D799" s="17"/>
      <c r="E799" s="18"/>
      <c r="F799" s="17"/>
      <c r="G799" s="17"/>
      <c r="H799" s="17"/>
      <c r="I799" s="18"/>
      <c r="J799" s="17"/>
      <c r="K799" s="17"/>
      <c r="L799" s="17"/>
    </row>
    <row r="800" spans="1:12" ht="15" customHeight="1" x14ac:dyDescent="0.3">
      <c r="A800" s="13"/>
      <c r="B800" s="14"/>
      <c r="C800" s="14"/>
      <c r="D800" s="14"/>
      <c r="E800" s="15"/>
      <c r="F800" s="14"/>
      <c r="G800" s="14"/>
      <c r="H800" s="14"/>
      <c r="I800" s="15"/>
      <c r="J800" s="14"/>
      <c r="K800" s="14"/>
      <c r="L800" s="14"/>
    </row>
    <row r="801" spans="1:12" ht="15" customHeight="1" x14ac:dyDescent="0.3">
      <c r="A801" s="16"/>
      <c r="B801" s="17"/>
      <c r="C801" s="17"/>
      <c r="D801" s="17"/>
      <c r="E801" s="18"/>
      <c r="F801" s="17"/>
      <c r="G801" s="17"/>
      <c r="H801" s="17"/>
      <c r="I801" s="18"/>
      <c r="J801" s="17"/>
      <c r="K801" s="17"/>
      <c r="L801" s="17"/>
    </row>
    <row r="802" spans="1:12" ht="15" customHeight="1" x14ac:dyDescent="0.3">
      <c r="A802" s="13"/>
      <c r="B802" s="14"/>
      <c r="C802" s="14"/>
      <c r="D802" s="14"/>
      <c r="E802" s="15"/>
      <c r="F802" s="14"/>
      <c r="G802" s="14"/>
      <c r="H802" s="14"/>
      <c r="I802" s="15"/>
      <c r="J802" s="14"/>
      <c r="K802" s="14"/>
      <c r="L802" s="14"/>
    </row>
    <row r="803" spans="1:12" ht="15" customHeight="1" x14ac:dyDescent="0.3">
      <c r="A803" s="16"/>
      <c r="B803" s="17"/>
      <c r="C803" s="17"/>
      <c r="D803" s="17"/>
      <c r="E803" s="18"/>
      <c r="F803" s="17"/>
      <c r="G803" s="17"/>
      <c r="H803" s="17"/>
      <c r="I803" s="18"/>
      <c r="J803" s="17"/>
      <c r="K803" s="17"/>
      <c r="L803" s="17"/>
    </row>
    <row r="804" spans="1:12" ht="15" customHeight="1" x14ac:dyDescent="0.3">
      <c r="A804" s="13"/>
      <c r="B804" s="14"/>
      <c r="C804" s="14"/>
      <c r="D804" s="14"/>
      <c r="E804" s="15"/>
      <c r="F804" s="14"/>
      <c r="G804" s="14"/>
      <c r="H804" s="14"/>
      <c r="I804" s="15"/>
      <c r="J804" s="14"/>
      <c r="K804" s="14"/>
      <c r="L804" s="14"/>
    </row>
    <row r="805" spans="1:12" ht="15" customHeight="1" x14ac:dyDescent="0.3">
      <c r="A805" s="16"/>
      <c r="B805" s="17"/>
      <c r="C805" s="17"/>
      <c r="D805" s="17"/>
      <c r="E805" s="18"/>
      <c r="F805" s="17"/>
      <c r="G805" s="17"/>
      <c r="H805" s="17"/>
      <c r="I805" s="18"/>
      <c r="J805" s="17"/>
      <c r="K805" s="17"/>
      <c r="L805" s="17"/>
    </row>
    <row r="806" spans="1:12" ht="15" customHeight="1" x14ac:dyDescent="0.3">
      <c r="A806" s="13"/>
      <c r="B806" s="14"/>
      <c r="C806" s="14"/>
      <c r="D806" s="14"/>
      <c r="E806" s="15"/>
      <c r="F806" s="14"/>
      <c r="G806" s="14"/>
      <c r="H806" s="14"/>
      <c r="I806" s="15"/>
      <c r="J806" s="14"/>
      <c r="K806" s="14"/>
      <c r="L806" s="14"/>
    </row>
    <row r="807" spans="1:12" ht="15" customHeight="1" x14ac:dyDescent="0.3">
      <c r="A807" s="16"/>
      <c r="B807" s="17"/>
      <c r="C807" s="17"/>
      <c r="D807" s="17"/>
      <c r="E807" s="18"/>
      <c r="F807" s="17"/>
      <c r="G807" s="17"/>
      <c r="H807" s="17"/>
      <c r="I807" s="18"/>
      <c r="J807" s="17"/>
      <c r="K807" s="17"/>
      <c r="L807" s="17"/>
    </row>
    <row r="808" spans="1:12" ht="15" customHeight="1" x14ac:dyDescent="0.3">
      <c r="A808" s="13"/>
      <c r="B808" s="14"/>
      <c r="C808" s="14"/>
      <c r="D808" s="14"/>
      <c r="E808" s="15"/>
      <c r="F808" s="14"/>
      <c r="G808" s="14"/>
      <c r="H808" s="14"/>
      <c r="I808" s="15"/>
      <c r="J808" s="14"/>
      <c r="K808" s="14"/>
      <c r="L808" s="14"/>
    </row>
    <row r="809" spans="1:12" ht="15" customHeight="1" x14ac:dyDescent="0.3">
      <c r="A809" s="16"/>
      <c r="B809" s="17"/>
      <c r="C809" s="17"/>
      <c r="D809" s="17"/>
      <c r="E809" s="18"/>
      <c r="F809" s="17"/>
      <c r="G809" s="17"/>
      <c r="H809" s="17"/>
      <c r="I809" s="18"/>
      <c r="J809" s="17"/>
      <c r="K809" s="17"/>
      <c r="L809" s="17"/>
    </row>
    <row r="810" spans="1:12" ht="15" customHeight="1" x14ac:dyDescent="0.3">
      <c r="A810" s="13"/>
      <c r="B810" s="14"/>
      <c r="C810" s="14"/>
      <c r="D810" s="14"/>
      <c r="E810" s="15"/>
      <c r="F810" s="14"/>
      <c r="G810" s="14"/>
      <c r="H810" s="14"/>
      <c r="I810" s="15"/>
      <c r="J810" s="14"/>
      <c r="K810" s="14"/>
      <c r="L810" s="14"/>
    </row>
    <row r="811" spans="1:12" ht="15" customHeight="1" x14ac:dyDescent="0.3">
      <c r="A811" s="16"/>
      <c r="B811" s="17"/>
      <c r="C811" s="17"/>
      <c r="D811" s="17"/>
      <c r="E811" s="18"/>
      <c r="F811" s="17"/>
      <c r="G811" s="17"/>
      <c r="H811" s="17"/>
      <c r="I811" s="18"/>
      <c r="J811" s="17"/>
      <c r="K811" s="17"/>
      <c r="L811" s="17"/>
    </row>
    <row r="812" spans="1:12" ht="15" customHeight="1" x14ac:dyDescent="0.3">
      <c r="A812" s="13"/>
      <c r="B812" s="14"/>
      <c r="C812" s="14"/>
      <c r="D812" s="14"/>
      <c r="E812" s="15"/>
      <c r="F812" s="14"/>
      <c r="G812" s="14"/>
      <c r="H812" s="14"/>
      <c r="I812" s="15"/>
      <c r="J812" s="14"/>
      <c r="K812" s="14"/>
      <c r="L812" s="14"/>
    </row>
    <row r="813" spans="1:12" ht="15" customHeight="1" x14ac:dyDescent="0.3">
      <c r="A813" s="16"/>
      <c r="B813" s="17"/>
      <c r="C813" s="17"/>
      <c r="D813" s="17"/>
      <c r="E813" s="18"/>
      <c r="F813" s="17"/>
      <c r="G813" s="17"/>
      <c r="H813" s="17"/>
      <c r="I813" s="18"/>
      <c r="J813" s="17"/>
      <c r="K813" s="17"/>
      <c r="L813" s="17"/>
    </row>
    <row r="814" spans="1:12" ht="15" customHeight="1" x14ac:dyDescent="0.3">
      <c r="A814" s="13"/>
      <c r="B814" s="14"/>
      <c r="C814" s="14"/>
      <c r="D814" s="14"/>
      <c r="E814" s="15"/>
      <c r="F814" s="14"/>
      <c r="G814" s="14"/>
      <c r="H814" s="14"/>
      <c r="I814" s="15"/>
      <c r="J814" s="14"/>
      <c r="K814" s="14"/>
      <c r="L814" s="14"/>
    </row>
    <row r="815" spans="1:12" ht="15" customHeight="1" x14ac:dyDescent="0.3">
      <c r="A815" s="16"/>
      <c r="B815" s="17"/>
      <c r="C815" s="17"/>
      <c r="D815" s="17"/>
      <c r="E815" s="18"/>
      <c r="F815" s="17"/>
      <c r="G815" s="17"/>
      <c r="H815" s="17"/>
      <c r="I815" s="18"/>
      <c r="J815" s="17"/>
      <c r="K815" s="17"/>
      <c r="L815" s="17"/>
    </row>
    <row r="816" spans="1:12" ht="15" customHeight="1" x14ac:dyDescent="0.3">
      <c r="A816" s="13"/>
      <c r="B816" s="14"/>
      <c r="C816" s="14"/>
      <c r="D816" s="14"/>
      <c r="E816" s="15"/>
      <c r="F816" s="14"/>
      <c r="G816" s="14"/>
      <c r="H816" s="14"/>
      <c r="I816" s="15"/>
      <c r="J816" s="14"/>
      <c r="K816" s="14"/>
      <c r="L816" s="14"/>
    </row>
    <row r="817" spans="1:12" ht="15" customHeight="1" x14ac:dyDescent="0.3">
      <c r="A817" s="16"/>
      <c r="B817" s="17"/>
      <c r="C817" s="17"/>
      <c r="D817" s="17"/>
      <c r="E817" s="18"/>
      <c r="F817" s="17"/>
      <c r="G817" s="17"/>
      <c r="H817" s="17"/>
      <c r="I817" s="18"/>
      <c r="J817" s="17"/>
      <c r="K817" s="17"/>
      <c r="L817" s="17"/>
    </row>
    <row r="818" spans="1:12" ht="15" customHeight="1" x14ac:dyDescent="0.3">
      <c r="A818" s="13"/>
      <c r="B818" s="14"/>
      <c r="C818" s="14"/>
      <c r="D818" s="14"/>
      <c r="E818" s="15"/>
      <c r="F818" s="14"/>
      <c r="G818" s="14"/>
      <c r="H818" s="14"/>
      <c r="I818" s="15"/>
      <c r="J818" s="14"/>
      <c r="K818" s="14"/>
      <c r="L818" s="14"/>
    </row>
    <row r="819" spans="1:12" ht="15" customHeight="1" x14ac:dyDescent="0.3">
      <c r="A819" s="16"/>
      <c r="B819" s="17"/>
      <c r="C819" s="17"/>
      <c r="D819" s="17"/>
      <c r="E819" s="18"/>
      <c r="F819" s="17"/>
      <c r="G819" s="17"/>
      <c r="H819" s="17"/>
      <c r="I819" s="18"/>
      <c r="J819" s="17"/>
      <c r="K819" s="17"/>
      <c r="L819" s="17"/>
    </row>
    <row r="820" spans="1:12" ht="15" customHeight="1" x14ac:dyDescent="0.3">
      <c r="A820" s="13"/>
      <c r="B820" s="14"/>
      <c r="C820" s="14"/>
      <c r="D820" s="14"/>
      <c r="E820" s="15"/>
      <c r="F820" s="14"/>
      <c r="G820" s="14"/>
      <c r="H820" s="14"/>
      <c r="I820" s="15"/>
      <c r="J820" s="14"/>
      <c r="K820" s="14"/>
      <c r="L820" s="14"/>
    </row>
    <row r="821" spans="1:12" ht="15" customHeight="1" x14ac:dyDescent="0.3">
      <c r="A821" s="16"/>
      <c r="B821" s="17"/>
      <c r="C821" s="17"/>
      <c r="D821" s="17"/>
      <c r="E821" s="18"/>
      <c r="F821" s="17"/>
      <c r="G821" s="17"/>
      <c r="H821" s="17"/>
      <c r="I821" s="18"/>
      <c r="J821" s="17"/>
      <c r="K821" s="17"/>
      <c r="L821" s="17"/>
    </row>
    <row r="822" spans="1:12" ht="15" customHeight="1" x14ac:dyDescent="0.3">
      <c r="A822" s="13"/>
      <c r="B822" s="14"/>
      <c r="C822" s="14"/>
      <c r="D822" s="14"/>
      <c r="E822" s="15"/>
      <c r="F822" s="14"/>
      <c r="G822" s="14"/>
      <c r="H822" s="14"/>
      <c r="I822" s="15"/>
      <c r="J822" s="14"/>
      <c r="K822" s="14"/>
      <c r="L822" s="14"/>
    </row>
    <row r="823" spans="1:12" ht="15" customHeight="1" x14ac:dyDescent="0.3">
      <c r="A823" s="16"/>
      <c r="B823" s="17"/>
      <c r="C823" s="17"/>
      <c r="D823" s="17"/>
      <c r="E823" s="18"/>
      <c r="F823" s="17"/>
      <c r="G823" s="17"/>
      <c r="H823" s="17"/>
      <c r="I823" s="18"/>
      <c r="J823" s="17"/>
      <c r="K823" s="17"/>
      <c r="L823" s="17"/>
    </row>
    <row r="824" spans="1:12" ht="15" customHeight="1" x14ac:dyDescent="0.3">
      <c r="A824" s="13"/>
      <c r="B824" s="14"/>
      <c r="C824" s="14"/>
      <c r="D824" s="14"/>
      <c r="E824" s="15"/>
      <c r="F824" s="14"/>
      <c r="G824" s="14"/>
      <c r="H824" s="14"/>
      <c r="I824" s="15"/>
      <c r="J824" s="14"/>
      <c r="K824" s="14"/>
      <c r="L824" s="14"/>
    </row>
    <row r="825" spans="1:12" ht="15" customHeight="1" x14ac:dyDescent="0.3">
      <c r="A825" s="16"/>
      <c r="B825" s="17"/>
      <c r="C825" s="17"/>
      <c r="D825" s="17"/>
      <c r="E825" s="18"/>
      <c r="F825" s="17"/>
      <c r="G825" s="17"/>
      <c r="H825" s="17"/>
      <c r="I825" s="18"/>
      <c r="J825" s="17"/>
      <c r="K825" s="17"/>
      <c r="L825" s="17"/>
    </row>
    <row r="826" spans="1:12" ht="15" customHeight="1" x14ac:dyDescent="0.3">
      <c r="A826" s="13"/>
      <c r="B826" s="14"/>
      <c r="C826" s="14"/>
      <c r="D826" s="14"/>
      <c r="E826" s="15"/>
      <c r="F826" s="14"/>
      <c r="G826" s="14"/>
      <c r="H826" s="14"/>
      <c r="I826" s="15"/>
      <c r="J826" s="14"/>
      <c r="K826" s="14"/>
      <c r="L826" s="14"/>
    </row>
    <row r="827" spans="1:12" ht="15" customHeight="1" x14ac:dyDescent="0.3">
      <c r="A827" s="16"/>
      <c r="B827" s="17"/>
      <c r="C827" s="17"/>
      <c r="D827" s="17"/>
      <c r="E827" s="18"/>
      <c r="F827" s="17"/>
      <c r="G827" s="17"/>
      <c r="H827" s="17"/>
      <c r="I827" s="18"/>
      <c r="J827" s="17"/>
      <c r="K827" s="17"/>
      <c r="L827" s="17"/>
    </row>
    <row r="828" spans="1:12" ht="15" customHeight="1" x14ac:dyDescent="0.3">
      <c r="A828" s="13"/>
      <c r="B828" s="14"/>
      <c r="C828" s="14"/>
      <c r="D828" s="14"/>
      <c r="E828" s="15"/>
      <c r="F828" s="14"/>
      <c r="G828" s="14"/>
      <c r="H828" s="14"/>
      <c r="I828" s="15"/>
      <c r="J828" s="14"/>
      <c r="K828" s="14"/>
      <c r="L828" s="14"/>
    </row>
    <row r="829" spans="1:12" ht="15" customHeight="1" x14ac:dyDescent="0.3">
      <c r="A829" s="16"/>
      <c r="B829" s="17"/>
      <c r="C829" s="17"/>
      <c r="D829" s="17"/>
      <c r="E829" s="18"/>
      <c r="F829" s="17"/>
      <c r="G829" s="17"/>
      <c r="H829" s="17"/>
      <c r="I829" s="18"/>
      <c r="J829" s="17"/>
      <c r="K829" s="17"/>
      <c r="L829" s="17"/>
    </row>
    <row r="830" spans="1:12" ht="15" customHeight="1" x14ac:dyDescent="0.3">
      <c r="A830" s="13"/>
      <c r="B830" s="14"/>
      <c r="C830" s="14"/>
      <c r="D830" s="14"/>
      <c r="E830" s="15"/>
      <c r="F830" s="14"/>
      <c r="G830" s="14"/>
      <c r="H830" s="14"/>
      <c r="I830" s="15"/>
      <c r="J830" s="14"/>
      <c r="K830" s="14"/>
      <c r="L830" s="14"/>
    </row>
    <row r="831" spans="1:12" ht="15" customHeight="1" x14ac:dyDescent="0.3">
      <c r="A831" s="16"/>
      <c r="B831" s="17"/>
      <c r="C831" s="17"/>
      <c r="D831" s="17"/>
      <c r="E831" s="18"/>
      <c r="F831" s="17"/>
      <c r="G831" s="17"/>
      <c r="H831" s="17"/>
      <c r="I831" s="18"/>
      <c r="J831" s="17"/>
      <c r="K831" s="17"/>
      <c r="L831" s="17"/>
    </row>
    <row r="832" spans="1:12" ht="15" customHeight="1" x14ac:dyDescent="0.3">
      <c r="A832" s="13"/>
      <c r="B832" s="14"/>
      <c r="C832" s="14"/>
      <c r="D832" s="14"/>
      <c r="E832" s="15"/>
      <c r="F832" s="14"/>
      <c r="G832" s="14"/>
      <c r="H832" s="14"/>
      <c r="I832" s="15"/>
      <c r="J832" s="14"/>
      <c r="K832" s="14"/>
      <c r="L832" s="14"/>
    </row>
    <row r="833" spans="1:12" ht="15" customHeight="1" x14ac:dyDescent="0.3">
      <c r="A833" s="16"/>
      <c r="B833" s="17"/>
      <c r="C833" s="17"/>
      <c r="D833" s="17"/>
      <c r="E833" s="18"/>
      <c r="F833" s="17"/>
      <c r="G833" s="17"/>
      <c r="H833" s="17"/>
      <c r="I833" s="18"/>
      <c r="J833" s="17"/>
      <c r="K833" s="17"/>
      <c r="L833" s="17"/>
    </row>
    <row r="834" spans="1:12" ht="15" customHeight="1" x14ac:dyDescent="0.3">
      <c r="A834" s="13"/>
      <c r="B834" s="14"/>
      <c r="C834" s="14"/>
      <c r="D834" s="14"/>
      <c r="E834" s="15"/>
      <c r="F834" s="14"/>
      <c r="G834" s="14"/>
      <c r="H834" s="14"/>
      <c r="I834" s="15"/>
      <c r="J834" s="14"/>
      <c r="K834" s="14"/>
      <c r="L834" s="14"/>
    </row>
    <row r="835" spans="1:12" ht="15" customHeight="1" x14ac:dyDescent="0.3">
      <c r="A835" s="16"/>
      <c r="B835" s="17"/>
      <c r="C835" s="17"/>
      <c r="D835" s="17"/>
      <c r="E835" s="18"/>
      <c r="F835" s="17"/>
      <c r="G835" s="17"/>
      <c r="H835" s="17"/>
      <c r="I835" s="18"/>
      <c r="J835" s="17"/>
      <c r="K835" s="17"/>
      <c r="L835" s="17"/>
    </row>
    <row r="836" spans="1:12" ht="15" customHeight="1" x14ac:dyDescent="0.3">
      <c r="A836" s="13"/>
      <c r="B836" s="14"/>
      <c r="C836" s="14"/>
      <c r="D836" s="14"/>
      <c r="E836" s="15"/>
      <c r="F836" s="14"/>
      <c r="G836" s="14"/>
      <c r="H836" s="14"/>
      <c r="I836" s="15"/>
      <c r="J836" s="14"/>
      <c r="K836" s="14"/>
      <c r="L836" s="14"/>
    </row>
    <row r="837" spans="1:12" ht="15" customHeight="1" x14ac:dyDescent="0.3">
      <c r="A837" s="16"/>
      <c r="B837" s="17"/>
      <c r="C837" s="17"/>
      <c r="D837" s="17"/>
      <c r="E837" s="18"/>
      <c r="F837" s="17"/>
      <c r="G837" s="17"/>
      <c r="H837" s="17"/>
      <c r="I837" s="18"/>
      <c r="J837" s="17"/>
      <c r="K837" s="17"/>
      <c r="L837" s="17"/>
    </row>
    <row r="838" spans="1:12" ht="15" customHeight="1" x14ac:dyDescent="0.3">
      <c r="A838" s="13"/>
      <c r="B838" s="14"/>
      <c r="C838" s="14"/>
      <c r="D838" s="14"/>
      <c r="E838" s="15"/>
      <c r="F838" s="14"/>
      <c r="G838" s="14"/>
      <c r="H838" s="14"/>
      <c r="I838" s="15"/>
      <c r="J838" s="14"/>
      <c r="K838" s="14"/>
      <c r="L838" s="14"/>
    </row>
    <row r="839" spans="1:12" ht="15" customHeight="1" x14ac:dyDescent="0.3">
      <c r="A839" s="16"/>
      <c r="B839" s="17"/>
      <c r="C839" s="17"/>
      <c r="D839" s="17"/>
      <c r="E839" s="18"/>
      <c r="F839" s="17"/>
      <c r="G839" s="17"/>
      <c r="H839" s="17"/>
      <c r="I839" s="18"/>
      <c r="J839" s="17"/>
      <c r="K839" s="17"/>
      <c r="L839" s="17"/>
    </row>
    <row r="840" spans="1:12" ht="15" customHeight="1" x14ac:dyDescent="0.3">
      <c r="A840" s="13"/>
      <c r="B840" s="14"/>
      <c r="C840" s="14"/>
      <c r="D840" s="14"/>
      <c r="E840" s="15"/>
      <c r="F840" s="14"/>
      <c r="G840" s="14"/>
      <c r="H840" s="14"/>
      <c r="I840" s="15"/>
      <c r="J840" s="14"/>
      <c r="K840" s="14"/>
      <c r="L840" s="14"/>
    </row>
    <row r="841" spans="1:12" ht="15" customHeight="1" x14ac:dyDescent="0.3">
      <c r="A841" s="16"/>
      <c r="B841" s="17"/>
      <c r="C841" s="17"/>
      <c r="D841" s="17"/>
      <c r="E841" s="18"/>
      <c r="F841" s="17"/>
      <c r="G841" s="17"/>
      <c r="H841" s="17"/>
      <c r="I841" s="18"/>
      <c r="J841" s="17"/>
      <c r="K841" s="17"/>
      <c r="L841" s="17"/>
    </row>
    <row r="842" spans="1:12" ht="15" customHeight="1" x14ac:dyDescent="0.3">
      <c r="A842" s="13"/>
      <c r="B842" s="14"/>
      <c r="C842" s="14"/>
      <c r="D842" s="14"/>
      <c r="E842" s="15"/>
      <c r="F842" s="14"/>
      <c r="G842" s="14"/>
      <c r="H842" s="14"/>
      <c r="I842" s="15"/>
      <c r="J842" s="14"/>
      <c r="K842" s="14"/>
      <c r="L842" s="14"/>
    </row>
    <row r="843" spans="1:12" ht="15" customHeight="1" x14ac:dyDescent="0.3">
      <c r="A843" s="16"/>
      <c r="B843" s="17"/>
      <c r="C843" s="17"/>
      <c r="D843" s="17"/>
      <c r="E843" s="18"/>
      <c r="F843" s="17"/>
      <c r="G843" s="17"/>
      <c r="H843" s="17"/>
      <c r="I843" s="18"/>
      <c r="J843" s="17"/>
      <c r="K843" s="17"/>
      <c r="L843" s="17"/>
    </row>
    <row r="844" spans="1:12" ht="15" customHeight="1" x14ac:dyDescent="0.3">
      <c r="A844" s="13"/>
      <c r="B844" s="14"/>
      <c r="C844" s="14"/>
      <c r="D844" s="14"/>
      <c r="E844" s="15"/>
      <c r="F844" s="14"/>
      <c r="G844" s="14"/>
      <c r="H844" s="14"/>
      <c r="I844" s="15"/>
      <c r="J844" s="14"/>
      <c r="K844" s="14"/>
      <c r="L844" s="14"/>
    </row>
    <row r="845" spans="1:12" ht="15" customHeight="1" x14ac:dyDescent="0.3">
      <c r="A845" s="16"/>
      <c r="B845" s="17"/>
      <c r="C845" s="17"/>
      <c r="D845" s="17"/>
      <c r="E845" s="18"/>
      <c r="F845" s="17"/>
      <c r="G845" s="17"/>
      <c r="H845" s="17"/>
      <c r="I845" s="18"/>
      <c r="J845" s="17"/>
      <c r="K845" s="17"/>
      <c r="L845" s="17"/>
    </row>
    <row r="846" spans="1:12" ht="15" customHeight="1" x14ac:dyDescent="0.3">
      <c r="A846" s="13"/>
      <c r="B846" s="14"/>
      <c r="C846" s="14"/>
      <c r="D846" s="14"/>
      <c r="E846" s="15"/>
      <c r="F846" s="14"/>
      <c r="G846" s="14"/>
      <c r="H846" s="14"/>
      <c r="I846" s="15"/>
      <c r="J846" s="14"/>
      <c r="K846" s="14"/>
      <c r="L846" s="14"/>
    </row>
    <row r="847" spans="1:12" ht="15" customHeight="1" x14ac:dyDescent="0.3">
      <c r="A847" s="16"/>
      <c r="B847" s="17"/>
      <c r="C847" s="17"/>
      <c r="D847" s="17"/>
      <c r="E847" s="18"/>
      <c r="F847" s="17"/>
      <c r="G847" s="17"/>
      <c r="H847" s="17"/>
      <c r="I847" s="18"/>
      <c r="J847" s="17"/>
      <c r="K847" s="17"/>
      <c r="L847" s="17"/>
    </row>
    <row r="848" spans="1:12" ht="15" customHeight="1" x14ac:dyDescent="0.3">
      <c r="A848" s="13"/>
      <c r="B848" s="14"/>
      <c r="C848" s="14"/>
      <c r="D848" s="14"/>
      <c r="E848" s="15"/>
      <c r="F848" s="14"/>
      <c r="G848" s="14"/>
      <c r="H848" s="14"/>
      <c r="I848" s="15"/>
      <c r="J848" s="14"/>
      <c r="K848" s="14"/>
      <c r="L848" s="14"/>
    </row>
    <row r="849" spans="1:12" ht="15" customHeight="1" x14ac:dyDescent="0.3">
      <c r="A849" s="16"/>
      <c r="B849" s="17"/>
      <c r="C849" s="17"/>
      <c r="D849" s="17"/>
      <c r="E849" s="18"/>
      <c r="F849" s="17"/>
      <c r="G849" s="17"/>
      <c r="H849" s="17"/>
      <c r="I849" s="18"/>
      <c r="J849" s="17"/>
      <c r="K849" s="17"/>
      <c r="L849" s="17"/>
    </row>
    <row r="850" spans="1:12" ht="15" customHeight="1" x14ac:dyDescent="0.3">
      <c r="A850" s="13"/>
      <c r="B850" s="14"/>
      <c r="C850" s="14"/>
      <c r="D850" s="14"/>
      <c r="E850" s="15"/>
      <c r="F850" s="14"/>
      <c r="G850" s="14"/>
      <c r="H850" s="14"/>
      <c r="I850" s="15"/>
      <c r="J850" s="14"/>
      <c r="K850" s="14"/>
      <c r="L850" s="14"/>
    </row>
    <row r="851" spans="1:12" ht="15" customHeight="1" x14ac:dyDescent="0.3">
      <c r="A851" s="16"/>
      <c r="B851" s="17"/>
      <c r="C851" s="17"/>
      <c r="D851" s="17"/>
      <c r="E851" s="18"/>
      <c r="F851" s="17"/>
      <c r="G851" s="17"/>
      <c r="H851" s="17"/>
      <c r="I851" s="18"/>
      <c r="J851" s="17"/>
      <c r="K851" s="17"/>
      <c r="L851" s="17"/>
    </row>
    <row r="852" spans="1:12" ht="15" customHeight="1" x14ac:dyDescent="0.3">
      <c r="A852" s="13"/>
      <c r="B852" s="14"/>
      <c r="C852" s="14"/>
      <c r="D852" s="14"/>
      <c r="E852" s="15"/>
      <c r="F852" s="14"/>
      <c r="G852" s="14"/>
      <c r="H852" s="14"/>
      <c r="I852" s="15"/>
      <c r="J852" s="14"/>
      <c r="K852" s="14"/>
      <c r="L852" s="14"/>
    </row>
    <row r="853" spans="1:12" ht="15" customHeight="1" x14ac:dyDescent="0.3">
      <c r="A853" s="16"/>
      <c r="B853" s="17"/>
      <c r="C853" s="17"/>
      <c r="D853" s="17"/>
      <c r="E853" s="18"/>
      <c r="F853" s="17"/>
      <c r="G853" s="17"/>
      <c r="H853" s="17"/>
      <c r="I853" s="18"/>
      <c r="J853" s="17"/>
      <c r="K853" s="17"/>
      <c r="L853" s="17"/>
    </row>
    <row r="854" spans="1:12" ht="15" customHeight="1" x14ac:dyDescent="0.3">
      <c r="A854" s="13"/>
      <c r="B854" s="14"/>
      <c r="C854" s="14"/>
      <c r="D854" s="14"/>
      <c r="E854" s="15"/>
      <c r="F854" s="14"/>
      <c r="G854" s="14"/>
      <c r="H854" s="14"/>
      <c r="I854" s="15"/>
      <c r="J854" s="14"/>
      <c r="K854" s="14"/>
      <c r="L854" s="14"/>
    </row>
    <row r="855" spans="1:12" ht="15" customHeight="1" x14ac:dyDescent="0.3">
      <c r="A855" s="16"/>
      <c r="B855" s="17"/>
      <c r="C855" s="17"/>
      <c r="D855" s="17"/>
      <c r="E855" s="18"/>
      <c r="F855" s="17"/>
      <c r="G855" s="17"/>
      <c r="H855" s="17"/>
      <c r="I855" s="18"/>
      <c r="J855" s="17"/>
      <c r="K855" s="17"/>
      <c r="L855" s="17"/>
    </row>
    <row r="856" spans="1:12" ht="15" customHeight="1" x14ac:dyDescent="0.3">
      <c r="A856" s="13"/>
      <c r="B856" s="14"/>
      <c r="C856" s="14"/>
      <c r="D856" s="14"/>
      <c r="E856" s="15"/>
      <c r="F856" s="14"/>
      <c r="G856" s="14"/>
      <c r="H856" s="14"/>
      <c r="I856" s="15"/>
      <c r="J856" s="14"/>
      <c r="K856" s="14"/>
      <c r="L856" s="14"/>
    </row>
    <row r="857" spans="1:12" ht="15" customHeight="1" x14ac:dyDescent="0.3">
      <c r="A857" s="16"/>
      <c r="B857" s="17"/>
      <c r="C857" s="17"/>
      <c r="D857" s="17"/>
      <c r="E857" s="18"/>
      <c r="F857" s="17"/>
      <c r="G857" s="17"/>
      <c r="H857" s="17"/>
      <c r="I857" s="18"/>
      <c r="J857" s="17"/>
      <c r="K857" s="17"/>
      <c r="L857" s="17"/>
    </row>
    <row r="858" spans="1:12" ht="15" customHeight="1" x14ac:dyDescent="0.3">
      <c r="A858" s="13"/>
      <c r="B858" s="14"/>
      <c r="C858" s="14"/>
      <c r="D858" s="14"/>
      <c r="E858" s="15"/>
      <c r="F858" s="14"/>
      <c r="G858" s="14"/>
      <c r="H858" s="14"/>
      <c r="I858" s="15"/>
      <c r="J858" s="14"/>
      <c r="K858" s="14"/>
      <c r="L858" s="14"/>
    </row>
    <row r="859" spans="1:12" ht="15" customHeight="1" x14ac:dyDescent="0.3">
      <c r="A859" s="16"/>
      <c r="B859" s="17"/>
      <c r="C859" s="17"/>
      <c r="D859" s="17"/>
      <c r="E859" s="18"/>
      <c r="F859" s="17"/>
      <c r="G859" s="17"/>
      <c r="H859" s="17"/>
      <c r="I859" s="18"/>
      <c r="J859" s="17"/>
      <c r="K859" s="17"/>
      <c r="L859" s="17"/>
    </row>
    <row r="860" spans="1:12" ht="15" customHeight="1" x14ac:dyDescent="0.3">
      <c r="A860" s="13"/>
      <c r="B860" s="14"/>
      <c r="C860" s="14"/>
      <c r="D860" s="14"/>
      <c r="E860" s="15"/>
      <c r="F860" s="14"/>
      <c r="G860" s="14"/>
      <c r="H860" s="14"/>
      <c r="I860" s="15"/>
      <c r="J860" s="14"/>
      <c r="K860" s="14"/>
      <c r="L860" s="14"/>
    </row>
    <row r="861" spans="1:12" ht="15" customHeight="1" x14ac:dyDescent="0.3">
      <c r="A861" s="16"/>
      <c r="B861" s="17"/>
      <c r="C861" s="17"/>
      <c r="D861" s="17"/>
      <c r="E861" s="18"/>
      <c r="F861" s="17"/>
      <c r="G861" s="17"/>
      <c r="H861" s="17"/>
      <c r="I861" s="18"/>
      <c r="J861" s="17"/>
      <c r="K861" s="17"/>
      <c r="L861" s="17"/>
    </row>
    <row r="862" spans="1:12" ht="15" customHeight="1" x14ac:dyDescent="0.3">
      <c r="A862" s="13"/>
      <c r="B862" s="14"/>
      <c r="C862" s="14"/>
      <c r="D862" s="14"/>
      <c r="E862" s="15"/>
      <c r="F862" s="14"/>
      <c r="G862" s="14"/>
      <c r="H862" s="14"/>
      <c r="I862" s="15"/>
      <c r="J862" s="14"/>
      <c r="K862" s="14"/>
      <c r="L862" s="14"/>
    </row>
    <row r="863" spans="1:12" ht="15" customHeight="1" x14ac:dyDescent="0.3">
      <c r="A863" s="16"/>
      <c r="B863" s="17"/>
      <c r="C863" s="17"/>
      <c r="D863" s="17"/>
      <c r="E863" s="18"/>
      <c r="F863" s="17"/>
      <c r="G863" s="17"/>
      <c r="H863" s="17"/>
      <c r="I863" s="18"/>
      <c r="J863" s="17"/>
      <c r="K863" s="17"/>
      <c r="L863" s="17"/>
    </row>
    <row r="864" spans="1:12" ht="15" customHeight="1" x14ac:dyDescent="0.3">
      <c r="A864" s="13"/>
      <c r="B864" s="14"/>
      <c r="C864" s="14"/>
      <c r="D864" s="14"/>
      <c r="E864" s="15"/>
      <c r="F864" s="14"/>
      <c r="G864" s="14"/>
      <c r="H864" s="14"/>
      <c r="I864" s="15"/>
      <c r="J864" s="14"/>
      <c r="K864" s="14"/>
      <c r="L864" s="14"/>
    </row>
    <row r="865" spans="1:12" ht="15" customHeight="1" x14ac:dyDescent="0.3">
      <c r="A865" s="16"/>
      <c r="B865" s="17"/>
      <c r="C865" s="17"/>
      <c r="D865" s="17"/>
      <c r="E865" s="18"/>
      <c r="F865" s="17"/>
      <c r="G865" s="17"/>
      <c r="H865" s="17"/>
      <c r="I865" s="18"/>
      <c r="J865" s="17"/>
      <c r="K865" s="17"/>
      <c r="L865" s="17"/>
    </row>
    <row r="866" spans="1:12" ht="15" customHeight="1" x14ac:dyDescent="0.3">
      <c r="A866" s="13"/>
      <c r="B866" s="14"/>
      <c r="C866" s="14"/>
      <c r="D866" s="14"/>
      <c r="E866" s="15"/>
      <c r="F866" s="14"/>
      <c r="G866" s="14"/>
      <c r="H866" s="14"/>
      <c r="I866" s="15"/>
      <c r="J866" s="14"/>
      <c r="K866" s="14"/>
      <c r="L866" s="14"/>
    </row>
    <row r="867" spans="1:12" ht="15" customHeight="1" x14ac:dyDescent="0.3">
      <c r="A867" s="16"/>
      <c r="B867" s="17"/>
      <c r="C867" s="17"/>
      <c r="D867" s="17"/>
      <c r="E867" s="18"/>
      <c r="F867" s="17"/>
      <c r="G867" s="17"/>
      <c r="H867" s="17"/>
      <c r="I867" s="18"/>
      <c r="J867" s="17"/>
      <c r="K867" s="17"/>
      <c r="L867" s="17"/>
    </row>
    <row r="868" spans="1:12" ht="15" customHeight="1" x14ac:dyDescent="0.3">
      <c r="A868" s="13"/>
      <c r="B868" s="14"/>
      <c r="C868" s="14"/>
      <c r="D868" s="14"/>
      <c r="E868" s="15"/>
      <c r="F868" s="14"/>
      <c r="G868" s="14"/>
      <c r="H868" s="14"/>
      <c r="I868" s="15"/>
      <c r="J868" s="14"/>
      <c r="K868" s="14"/>
      <c r="L868" s="14"/>
    </row>
    <row r="869" spans="1:12" ht="15" customHeight="1" x14ac:dyDescent="0.3">
      <c r="A869" s="16"/>
      <c r="B869" s="17"/>
      <c r="C869" s="17"/>
      <c r="D869" s="17"/>
      <c r="E869" s="18"/>
      <c r="F869" s="17"/>
      <c r="G869" s="17"/>
      <c r="H869" s="17"/>
      <c r="I869" s="18"/>
      <c r="J869" s="17"/>
      <c r="K869" s="17"/>
      <c r="L869" s="17"/>
    </row>
    <row r="870" spans="1:12" ht="15" customHeight="1" x14ac:dyDescent="0.3">
      <c r="A870" s="13"/>
      <c r="B870" s="14"/>
      <c r="C870" s="14"/>
      <c r="D870" s="14"/>
      <c r="E870" s="15"/>
      <c r="F870" s="14"/>
      <c r="G870" s="14"/>
      <c r="H870" s="14"/>
      <c r="I870" s="15"/>
      <c r="J870" s="14"/>
      <c r="K870" s="14"/>
      <c r="L870" s="14"/>
    </row>
    <row r="871" spans="1:12" ht="15" customHeight="1" x14ac:dyDescent="0.3">
      <c r="A871" s="16"/>
      <c r="B871" s="17"/>
      <c r="C871" s="17"/>
      <c r="D871" s="17"/>
      <c r="E871" s="18"/>
      <c r="F871" s="17"/>
      <c r="G871" s="17"/>
      <c r="H871" s="17"/>
      <c r="I871" s="18"/>
      <c r="J871" s="17"/>
      <c r="K871" s="17"/>
      <c r="L871" s="17"/>
    </row>
    <row r="872" spans="1:12" ht="15" customHeight="1" x14ac:dyDescent="0.3">
      <c r="A872" s="13"/>
      <c r="B872" s="14"/>
      <c r="C872" s="14"/>
      <c r="D872" s="14"/>
      <c r="E872" s="15"/>
      <c r="F872" s="14"/>
      <c r="G872" s="14"/>
      <c r="H872" s="14"/>
      <c r="I872" s="15"/>
      <c r="J872" s="14"/>
      <c r="K872" s="14"/>
      <c r="L872" s="14"/>
    </row>
    <row r="873" spans="1:12" ht="15" customHeight="1" x14ac:dyDescent="0.3">
      <c r="A873" s="16"/>
      <c r="B873" s="17"/>
      <c r="C873" s="17"/>
      <c r="D873" s="17"/>
      <c r="E873" s="18"/>
      <c r="F873" s="17"/>
      <c r="G873" s="17"/>
      <c r="H873" s="17"/>
      <c r="I873" s="18"/>
      <c r="J873" s="17"/>
      <c r="K873" s="17"/>
      <c r="L873" s="17"/>
    </row>
    <row r="874" spans="1:12" ht="15" customHeight="1" x14ac:dyDescent="0.3">
      <c r="A874" s="13"/>
      <c r="B874" s="14"/>
      <c r="C874" s="14"/>
      <c r="D874" s="14"/>
      <c r="E874" s="15"/>
      <c r="F874" s="14"/>
      <c r="G874" s="14"/>
      <c r="H874" s="14"/>
      <c r="I874" s="15"/>
      <c r="J874" s="14"/>
      <c r="K874" s="14"/>
      <c r="L874" s="14"/>
    </row>
    <row r="875" spans="1:12" ht="15" customHeight="1" x14ac:dyDescent="0.3">
      <c r="A875" s="16"/>
      <c r="B875" s="17"/>
      <c r="C875" s="17"/>
      <c r="D875" s="17"/>
      <c r="E875" s="18"/>
      <c r="F875" s="17"/>
      <c r="G875" s="17"/>
      <c r="H875" s="17"/>
      <c r="I875" s="18"/>
      <c r="J875" s="17"/>
      <c r="K875" s="17"/>
      <c r="L875" s="17"/>
    </row>
    <row r="876" spans="1:12" ht="15" customHeight="1" x14ac:dyDescent="0.3">
      <c r="A876" s="13"/>
      <c r="B876" s="14"/>
      <c r="C876" s="14"/>
      <c r="D876" s="14"/>
      <c r="E876" s="15"/>
      <c r="F876" s="14"/>
      <c r="G876" s="14"/>
      <c r="H876" s="14"/>
      <c r="I876" s="15"/>
      <c r="J876" s="14"/>
      <c r="K876" s="14"/>
      <c r="L876" s="14"/>
    </row>
    <row r="877" spans="1:12" ht="15" customHeight="1" x14ac:dyDescent="0.3">
      <c r="A877" s="16"/>
      <c r="B877" s="17"/>
      <c r="C877" s="17"/>
      <c r="D877" s="17"/>
      <c r="E877" s="18"/>
      <c r="F877" s="17"/>
      <c r="G877" s="17"/>
      <c r="H877" s="17"/>
      <c r="I877" s="18"/>
      <c r="J877" s="17"/>
      <c r="K877" s="17"/>
      <c r="L877" s="17"/>
    </row>
    <row r="878" spans="1:12" ht="15" customHeight="1" x14ac:dyDescent="0.3">
      <c r="A878" s="13"/>
      <c r="B878" s="14"/>
      <c r="C878" s="14"/>
      <c r="D878" s="14"/>
      <c r="E878" s="15"/>
      <c r="F878" s="14"/>
      <c r="G878" s="14"/>
      <c r="H878" s="14"/>
      <c r="I878" s="15"/>
      <c r="J878" s="14"/>
      <c r="K878" s="14"/>
      <c r="L878" s="14"/>
    </row>
    <row r="879" spans="1:12" ht="15" customHeight="1" x14ac:dyDescent="0.3">
      <c r="A879" s="16"/>
      <c r="B879" s="17"/>
      <c r="C879" s="17"/>
      <c r="D879" s="17"/>
      <c r="E879" s="18"/>
      <c r="F879" s="17"/>
      <c r="G879" s="17"/>
      <c r="H879" s="17"/>
      <c r="I879" s="18"/>
      <c r="J879" s="17"/>
      <c r="K879" s="17"/>
      <c r="L879" s="17"/>
    </row>
    <row r="880" spans="1:12" ht="15" customHeight="1" x14ac:dyDescent="0.3">
      <c r="A880" s="13"/>
      <c r="B880" s="14"/>
      <c r="C880" s="14"/>
      <c r="D880" s="14"/>
      <c r="E880" s="15"/>
      <c r="F880" s="14"/>
      <c r="G880" s="14"/>
      <c r="H880" s="14"/>
      <c r="I880" s="15"/>
      <c r="J880" s="14"/>
      <c r="K880" s="14"/>
      <c r="L880" s="14"/>
    </row>
    <row r="881" spans="1:12" ht="15" customHeight="1" x14ac:dyDescent="0.3">
      <c r="A881" s="16"/>
      <c r="B881" s="17"/>
      <c r="C881" s="17"/>
      <c r="D881" s="17"/>
      <c r="E881" s="18"/>
      <c r="F881" s="17"/>
      <c r="G881" s="17"/>
      <c r="H881" s="17"/>
      <c r="I881" s="18"/>
      <c r="J881" s="17"/>
      <c r="K881" s="17"/>
      <c r="L881" s="17"/>
    </row>
    <row r="882" spans="1:12" ht="15" customHeight="1" x14ac:dyDescent="0.3">
      <c r="A882" s="13"/>
      <c r="B882" s="14"/>
      <c r="C882" s="14"/>
      <c r="D882" s="14"/>
      <c r="E882" s="15"/>
      <c r="F882" s="14"/>
      <c r="G882" s="14"/>
      <c r="H882" s="14"/>
      <c r="I882" s="15"/>
      <c r="J882" s="14"/>
      <c r="K882" s="14"/>
      <c r="L882" s="14"/>
    </row>
    <row r="883" spans="1:12" ht="15" customHeight="1" x14ac:dyDescent="0.3">
      <c r="A883" s="16"/>
      <c r="B883" s="17"/>
      <c r="C883" s="17"/>
      <c r="D883" s="17"/>
      <c r="E883" s="18"/>
      <c r="F883" s="17"/>
      <c r="G883" s="17"/>
      <c r="H883" s="17"/>
      <c r="I883" s="18"/>
      <c r="J883" s="17"/>
      <c r="K883" s="17"/>
      <c r="L883" s="17"/>
    </row>
    <row r="884" spans="1:12" ht="15" customHeight="1" x14ac:dyDescent="0.3">
      <c r="A884" s="13"/>
      <c r="B884" s="14"/>
      <c r="C884" s="14"/>
      <c r="D884" s="14"/>
      <c r="E884" s="15"/>
      <c r="F884" s="14"/>
      <c r="G884" s="14"/>
      <c r="H884" s="14"/>
      <c r="I884" s="15"/>
      <c r="J884" s="14"/>
      <c r="K884" s="14"/>
      <c r="L884" s="14"/>
    </row>
    <row r="885" spans="1:12" ht="15" customHeight="1" x14ac:dyDescent="0.3">
      <c r="A885" s="16"/>
      <c r="B885" s="17"/>
      <c r="C885" s="17"/>
      <c r="D885" s="17"/>
      <c r="E885" s="18"/>
      <c r="F885" s="17"/>
      <c r="G885" s="17"/>
      <c r="H885" s="17"/>
      <c r="I885" s="18"/>
      <c r="J885" s="17"/>
      <c r="K885" s="17"/>
      <c r="L885" s="17"/>
    </row>
    <row r="886" spans="1:12" ht="15" customHeight="1" x14ac:dyDescent="0.3">
      <c r="A886" s="13"/>
      <c r="B886" s="14"/>
      <c r="C886" s="14"/>
      <c r="D886" s="14"/>
      <c r="E886" s="15"/>
      <c r="F886" s="14"/>
      <c r="G886" s="14"/>
      <c r="H886" s="14"/>
      <c r="I886" s="15"/>
      <c r="J886" s="14"/>
      <c r="K886" s="14"/>
      <c r="L886" s="14"/>
    </row>
    <row r="887" spans="1:12" ht="15" customHeight="1" x14ac:dyDescent="0.3">
      <c r="A887" s="16"/>
      <c r="B887" s="17"/>
      <c r="C887" s="17"/>
      <c r="D887" s="17"/>
      <c r="E887" s="18"/>
      <c r="F887" s="17"/>
      <c r="G887" s="17"/>
      <c r="H887" s="17"/>
      <c r="I887" s="18"/>
      <c r="J887" s="17"/>
      <c r="K887" s="17"/>
      <c r="L887" s="17"/>
    </row>
    <row r="888" spans="1:12" ht="15" customHeight="1" x14ac:dyDescent="0.3">
      <c r="A888" s="13"/>
      <c r="B888" s="14"/>
      <c r="C888" s="14"/>
      <c r="D888" s="14"/>
      <c r="E888" s="15"/>
      <c r="F888" s="14"/>
      <c r="G888" s="14"/>
      <c r="H888" s="14"/>
      <c r="I888" s="15"/>
      <c r="J888" s="14"/>
      <c r="K888" s="14"/>
      <c r="L888" s="14"/>
    </row>
    <row r="889" spans="1:12" ht="15" customHeight="1" x14ac:dyDescent="0.3">
      <c r="A889" s="16"/>
      <c r="B889" s="17"/>
      <c r="C889" s="17"/>
      <c r="D889" s="17"/>
      <c r="E889" s="18"/>
      <c r="F889" s="17"/>
      <c r="G889" s="17"/>
      <c r="H889" s="17"/>
      <c r="I889" s="18"/>
      <c r="J889" s="17"/>
      <c r="K889" s="17"/>
      <c r="L889" s="17"/>
    </row>
    <row r="890" spans="1:12" ht="15" customHeight="1" x14ac:dyDescent="0.3">
      <c r="A890" s="13"/>
      <c r="B890" s="14"/>
      <c r="C890" s="14"/>
      <c r="D890" s="14"/>
      <c r="E890" s="15"/>
      <c r="F890" s="14"/>
      <c r="G890" s="14"/>
      <c r="H890" s="14"/>
      <c r="I890" s="15"/>
      <c r="J890" s="14"/>
      <c r="K890" s="14"/>
      <c r="L890" s="14"/>
    </row>
    <row r="891" spans="1:12" ht="15" customHeight="1" x14ac:dyDescent="0.3">
      <c r="A891" s="16"/>
      <c r="B891" s="17"/>
      <c r="C891" s="17"/>
      <c r="D891" s="17"/>
      <c r="E891" s="18"/>
      <c r="F891" s="17"/>
      <c r="G891" s="17"/>
      <c r="H891" s="17"/>
      <c r="I891" s="18"/>
      <c r="J891" s="17"/>
      <c r="K891" s="17"/>
      <c r="L891" s="17"/>
    </row>
    <row r="892" spans="1:12" ht="15" customHeight="1" x14ac:dyDescent="0.3">
      <c r="A892" s="13"/>
      <c r="B892" s="14"/>
      <c r="C892" s="14"/>
      <c r="D892" s="14"/>
      <c r="E892" s="15"/>
      <c r="F892" s="14"/>
      <c r="G892" s="14"/>
      <c r="H892" s="14"/>
      <c r="I892" s="15"/>
      <c r="J892" s="14"/>
      <c r="K892" s="14"/>
      <c r="L892" s="14"/>
    </row>
    <row r="893" spans="1:12" ht="15" customHeight="1" x14ac:dyDescent="0.3">
      <c r="A893" s="16"/>
      <c r="B893" s="17"/>
      <c r="C893" s="17"/>
      <c r="D893" s="17"/>
      <c r="E893" s="18"/>
      <c r="F893" s="17"/>
      <c r="G893" s="17"/>
      <c r="H893" s="17"/>
      <c r="I893" s="18"/>
      <c r="J893" s="17"/>
      <c r="K893" s="17"/>
      <c r="L893" s="17"/>
    </row>
    <row r="894" spans="1:12" ht="15" customHeight="1" x14ac:dyDescent="0.3">
      <c r="A894" s="13"/>
      <c r="B894" s="14"/>
      <c r="C894" s="14"/>
      <c r="D894" s="14"/>
      <c r="E894" s="15"/>
      <c r="F894" s="14"/>
      <c r="G894" s="14"/>
      <c r="H894" s="14"/>
      <c r="I894" s="15"/>
      <c r="J894" s="14"/>
      <c r="K894" s="14"/>
      <c r="L894" s="14"/>
    </row>
    <row r="895" spans="1:12" ht="15" customHeight="1" x14ac:dyDescent="0.3">
      <c r="A895" s="16"/>
      <c r="B895" s="17"/>
      <c r="C895" s="17"/>
      <c r="D895" s="17"/>
      <c r="E895" s="18"/>
      <c r="F895" s="17"/>
      <c r="G895" s="17"/>
      <c r="H895" s="17"/>
      <c r="I895" s="18"/>
      <c r="J895" s="17"/>
      <c r="K895" s="17"/>
      <c r="L895" s="17"/>
    </row>
    <row r="896" spans="1:12" ht="15" customHeight="1" x14ac:dyDescent="0.3">
      <c r="A896" s="13"/>
      <c r="B896" s="14"/>
      <c r="C896" s="14"/>
      <c r="D896" s="14"/>
      <c r="E896" s="15"/>
      <c r="F896" s="14"/>
      <c r="G896" s="14"/>
      <c r="H896" s="14"/>
      <c r="I896" s="15"/>
      <c r="J896" s="14"/>
      <c r="K896" s="14"/>
      <c r="L896" s="14"/>
    </row>
    <row r="897" spans="1:12" ht="15" customHeight="1" x14ac:dyDescent="0.3">
      <c r="A897" s="16"/>
      <c r="B897" s="17"/>
      <c r="C897" s="17"/>
      <c r="D897" s="17"/>
      <c r="E897" s="18"/>
      <c r="F897" s="17"/>
      <c r="G897" s="17"/>
      <c r="H897" s="17"/>
      <c r="I897" s="18"/>
      <c r="J897" s="17"/>
      <c r="K897" s="17"/>
      <c r="L897" s="17"/>
    </row>
    <row r="898" spans="1:12" ht="15" customHeight="1" x14ac:dyDescent="0.3">
      <c r="A898" s="13"/>
      <c r="B898" s="14"/>
      <c r="C898" s="14"/>
      <c r="D898" s="14"/>
      <c r="E898" s="15"/>
      <c r="F898" s="14"/>
      <c r="G898" s="14"/>
      <c r="H898" s="14"/>
      <c r="I898" s="15"/>
      <c r="J898" s="14"/>
      <c r="K898" s="14"/>
      <c r="L898" s="14"/>
    </row>
    <row r="899" spans="1:12" ht="15" customHeight="1" x14ac:dyDescent="0.3">
      <c r="A899" s="16"/>
      <c r="B899" s="17"/>
      <c r="C899" s="17"/>
      <c r="D899" s="17"/>
      <c r="E899" s="18"/>
      <c r="F899" s="17"/>
      <c r="G899" s="17"/>
      <c r="H899" s="17"/>
      <c r="I899" s="18"/>
      <c r="J899" s="17"/>
      <c r="K899" s="17"/>
      <c r="L899" s="17"/>
    </row>
    <row r="900" spans="1:12" ht="15" customHeight="1" x14ac:dyDescent="0.3">
      <c r="A900" s="13"/>
      <c r="B900" s="14"/>
      <c r="C900" s="14"/>
      <c r="D900" s="14"/>
      <c r="E900" s="15"/>
      <c r="F900" s="14"/>
      <c r="G900" s="14"/>
      <c r="H900" s="14"/>
      <c r="I900" s="15"/>
      <c r="J900" s="14"/>
      <c r="K900" s="14"/>
      <c r="L900" s="14"/>
    </row>
    <row r="901" spans="1:12" ht="15" customHeight="1" x14ac:dyDescent="0.3">
      <c r="A901" s="16"/>
      <c r="B901" s="17"/>
      <c r="C901" s="17"/>
      <c r="D901" s="17"/>
      <c r="E901" s="18"/>
      <c r="F901" s="17"/>
      <c r="G901" s="17"/>
      <c r="H901" s="17"/>
      <c r="I901" s="18"/>
      <c r="J901" s="17"/>
      <c r="K901" s="17"/>
      <c r="L901" s="17"/>
    </row>
    <row r="902" spans="1:12" ht="15" customHeight="1" x14ac:dyDescent="0.3">
      <c r="A902" s="13"/>
      <c r="B902" s="14"/>
      <c r="C902" s="14"/>
      <c r="D902" s="14"/>
      <c r="E902" s="15"/>
      <c r="F902" s="14"/>
      <c r="G902" s="14"/>
      <c r="H902" s="14"/>
      <c r="I902" s="15"/>
      <c r="J902" s="14"/>
      <c r="K902" s="14"/>
      <c r="L902" s="14"/>
    </row>
    <row r="903" spans="1:12" ht="15" customHeight="1" x14ac:dyDescent="0.3">
      <c r="A903" s="16"/>
      <c r="B903" s="17"/>
      <c r="C903" s="17"/>
      <c r="D903" s="17"/>
      <c r="E903" s="18"/>
      <c r="F903" s="17"/>
      <c r="G903" s="17"/>
      <c r="H903" s="17"/>
      <c r="I903" s="18"/>
      <c r="J903" s="17"/>
      <c r="K903" s="17"/>
      <c r="L903" s="17"/>
    </row>
    <row r="904" spans="1:12" ht="15" customHeight="1" x14ac:dyDescent="0.3">
      <c r="A904" s="13"/>
      <c r="B904" s="14"/>
      <c r="C904" s="14"/>
      <c r="D904" s="14"/>
      <c r="E904" s="15"/>
      <c r="F904" s="14"/>
      <c r="G904" s="14"/>
      <c r="H904" s="14"/>
      <c r="I904" s="15"/>
      <c r="J904" s="14"/>
      <c r="K904" s="14"/>
      <c r="L904" s="14"/>
    </row>
    <row r="905" spans="1:12" ht="15" customHeight="1" x14ac:dyDescent="0.3">
      <c r="A905" s="16"/>
      <c r="B905" s="17"/>
      <c r="C905" s="17"/>
      <c r="D905" s="17"/>
      <c r="E905" s="18"/>
      <c r="F905" s="17"/>
      <c r="G905" s="17"/>
      <c r="H905" s="17"/>
      <c r="I905" s="18"/>
      <c r="J905" s="17"/>
      <c r="K905" s="17"/>
      <c r="L905" s="17"/>
    </row>
    <row r="906" spans="1:12" ht="15" customHeight="1" x14ac:dyDescent="0.3">
      <c r="A906" s="13"/>
      <c r="B906" s="14"/>
      <c r="C906" s="14"/>
      <c r="D906" s="14"/>
      <c r="E906" s="15"/>
      <c r="F906" s="14"/>
      <c r="G906" s="14"/>
      <c r="H906" s="14"/>
      <c r="I906" s="15"/>
      <c r="J906" s="14"/>
      <c r="K906" s="14"/>
      <c r="L906" s="14"/>
    </row>
    <row r="907" spans="1:12" ht="15" customHeight="1" x14ac:dyDescent="0.3">
      <c r="A907" s="16"/>
      <c r="B907" s="17"/>
      <c r="C907" s="17"/>
      <c r="D907" s="17"/>
      <c r="E907" s="18"/>
      <c r="F907" s="17"/>
      <c r="G907" s="17"/>
      <c r="H907" s="17"/>
      <c r="I907" s="18"/>
      <c r="J907" s="17"/>
      <c r="K907" s="17"/>
      <c r="L907" s="17"/>
    </row>
    <row r="908" spans="1:12" ht="15" customHeight="1" x14ac:dyDescent="0.3">
      <c r="A908" s="13"/>
      <c r="B908" s="14"/>
      <c r="C908" s="14"/>
      <c r="D908" s="14"/>
      <c r="E908" s="15"/>
      <c r="F908" s="14"/>
      <c r="G908" s="14"/>
      <c r="H908" s="14"/>
      <c r="I908" s="15"/>
      <c r="J908" s="14"/>
      <c r="K908" s="14"/>
      <c r="L908" s="14"/>
    </row>
    <row r="909" spans="1:12" ht="15" customHeight="1" x14ac:dyDescent="0.3">
      <c r="A909" s="16"/>
      <c r="B909" s="17"/>
      <c r="C909" s="17"/>
      <c r="D909" s="17"/>
      <c r="E909" s="18"/>
      <c r="F909" s="17"/>
      <c r="G909" s="17"/>
      <c r="H909" s="17"/>
      <c r="I909" s="18"/>
      <c r="J909" s="17"/>
      <c r="K909" s="17"/>
      <c r="L909" s="17"/>
    </row>
    <row r="910" spans="1:12" ht="15" customHeight="1" x14ac:dyDescent="0.3">
      <c r="A910" s="13"/>
      <c r="B910" s="14"/>
      <c r="C910" s="14"/>
      <c r="D910" s="14"/>
      <c r="E910" s="15"/>
      <c r="F910" s="14"/>
      <c r="G910" s="14"/>
      <c r="H910" s="14"/>
      <c r="I910" s="15"/>
      <c r="J910" s="14"/>
      <c r="K910" s="14"/>
      <c r="L910" s="14"/>
    </row>
    <row r="911" spans="1:12" ht="15" customHeight="1" x14ac:dyDescent="0.3">
      <c r="A911" s="16"/>
      <c r="B911" s="17"/>
      <c r="C911" s="17"/>
      <c r="D911" s="17"/>
      <c r="E911" s="18"/>
      <c r="F911" s="17"/>
      <c r="G911" s="17"/>
      <c r="H911" s="17"/>
      <c r="I911" s="18"/>
      <c r="J911" s="17"/>
      <c r="K911" s="17"/>
      <c r="L911" s="17"/>
    </row>
    <row r="912" spans="1:12" ht="15" customHeight="1" x14ac:dyDescent="0.3">
      <c r="A912" s="13"/>
      <c r="B912" s="14"/>
      <c r="C912" s="14"/>
      <c r="D912" s="14"/>
      <c r="E912" s="15"/>
      <c r="F912" s="14"/>
      <c r="G912" s="14"/>
      <c r="H912" s="14"/>
      <c r="I912" s="15"/>
      <c r="J912" s="14"/>
      <c r="K912" s="14"/>
      <c r="L912" s="14"/>
    </row>
    <row r="913" spans="1:12" ht="15" customHeight="1" x14ac:dyDescent="0.3">
      <c r="A913" s="16"/>
      <c r="B913" s="17"/>
      <c r="C913" s="17"/>
      <c r="D913" s="17"/>
      <c r="E913" s="18"/>
      <c r="F913" s="17"/>
      <c r="G913" s="17"/>
      <c r="H913" s="17"/>
      <c r="I913" s="18"/>
      <c r="J913" s="17"/>
      <c r="K913" s="17"/>
      <c r="L913" s="17"/>
    </row>
    <row r="914" spans="1:12" ht="15" customHeight="1" x14ac:dyDescent="0.3">
      <c r="A914" s="13"/>
      <c r="B914" s="14"/>
      <c r="C914" s="14"/>
      <c r="D914" s="14"/>
      <c r="E914" s="15"/>
      <c r="F914" s="14"/>
      <c r="G914" s="14"/>
      <c r="H914" s="14"/>
      <c r="I914" s="15"/>
      <c r="J914" s="14"/>
      <c r="K914" s="14"/>
      <c r="L914" s="14"/>
    </row>
    <row r="915" spans="1:12" ht="15" customHeight="1" x14ac:dyDescent="0.3">
      <c r="A915" s="16"/>
      <c r="B915" s="17"/>
      <c r="C915" s="17"/>
      <c r="D915" s="17"/>
      <c r="E915" s="18"/>
      <c r="F915" s="17"/>
      <c r="G915" s="17"/>
      <c r="H915" s="17"/>
      <c r="I915" s="18"/>
      <c r="J915" s="17"/>
      <c r="K915" s="17"/>
      <c r="L915" s="17"/>
    </row>
    <row r="916" spans="1:12" ht="15" customHeight="1" x14ac:dyDescent="0.3">
      <c r="A916" s="13"/>
      <c r="B916" s="14"/>
      <c r="C916" s="14"/>
      <c r="D916" s="14"/>
      <c r="E916" s="15"/>
      <c r="F916" s="14"/>
      <c r="G916" s="14"/>
      <c r="H916" s="14"/>
      <c r="I916" s="15"/>
      <c r="J916" s="14"/>
      <c r="K916" s="14"/>
      <c r="L916" s="14"/>
    </row>
    <row r="917" spans="1:12" ht="15" customHeight="1" x14ac:dyDescent="0.3">
      <c r="A917" s="16"/>
      <c r="B917" s="17"/>
      <c r="C917" s="17"/>
      <c r="D917" s="17"/>
      <c r="E917" s="18"/>
      <c r="F917" s="17"/>
      <c r="G917" s="17"/>
      <c r="H917" s="17"/>
      <c r="I917" s="18"/>
      <c r="J917" s="17"/>
      <c r="K917" s="17"/>
      <c r="L917" s="17"/>
    </row>
    <row r="918" spans="1:12" ht="15" customHeight="1" x14ac:dyDescent="0.3">
      <c r="A918" s="13"/>
      <c r="B918" s="14"/>
      <c r="C918" s="14"/>
      <c r="D918" s="14"/>
      <c r="E918" s="15"/>
      <c r="F918" s="14"/>
      <c r="G918" s="14"/>
      <c r="H918" s="14"/>
      <c r="I918" s="15"/>
      <c r="J918" s="14"/>
      <c r="K918" s="14"/>
      <c r="L918" s="14"/>
    </row>
    <row r="919" spans="1:12" ht="15" customHeight="1" x14ac:dyDescent="0.3">
      <c r="A919" s="16"/>
      <c r="B919" s="17"/>
      <c r="C919" s="17"/>
      <c r="D919" s="17"/>
      <c r="E919" s="18"/>
      <c r="F919" s="17"/>
      <c r="G919" s="17"/>
      <c r="H919" s="17"/>
      <c r="I919" s="18"/>
      <c r="J919" s="17"/>
      <c r="K919" s="17"/>
      <c r="L919" s="17"/>
    </row>
    <row r="920" spans="1:12" ht="15" customHeight="1" x14ac:dyDescent="0.3">
      <c r="A920" s="13"/>
      <c r="B920" s="14"/>
      <c r="C920" s="14"/>
      <c r="D920" s="14"/>
      <c r="E920" s="15"/>
      <c r="F920" s="14"/>
      <c r="G920" s="14"/>
      <c r="H920" s="14"/>
      <c r="I920" s="15"/>
      <c r="J920" s="14"/>
      <c r="K920" s="14"/>
      <c r="L920" s="14"/>
    </row>
    <row r="921" spans="1:12" ht="15" customHeight="1" x14ac:dyDescent="0.3">
      <c r="A921" s="16"/>
      <c r="B921" s="17"/>
      <c r="C921" s="17"/>
      <c r="D921" s="17"/>
      <c r="E921" s="18"/>
      <c r="F921" s="17"/>
      <c r="G921" s="17"/>
      <c r="H921" s="17"/>
      <c r="I921" s="18"/>
      <c r="J921" s="17"/>
      <c r="K921" s="17"/>
      <c r="L921" s="17"/>
    </row>
    <row r="922" spans="1:12" ht="15" customHeight="1" x14ac:dyDescent="0.3">
      <c r="A922" s="13"/>
      <c r="B922" s="14"/>
      <c r="C922" s="14"/>
      <c r="D922" s="14"/>
      <c r="E922" s="15"/>
      <c r="F922" s="14"/>
      <c r="G922" s="14"/>
      <c r="H922" s="14"/>
      <c r="I922" s="15"/>
      <c r="J922" s="14"/>
      <c r="K922" s="14"/>
      <c r="L922" s="14"/>
    </row>
    <row r="923" spans="1:12" ht="15" customHeight="1" x14ac:dyDescent="0.3">
      <c r="A923" s="16"/>
      <c r="B923" s="17"/>
      <c r="C923" s="17"/>
      <c r="D923" s="17"/>
      <c r="E923" s="18"/>
      <c r="F923" s="17"/>
      <c r="G923" s="17"/>
      <c r="H923" s="17"/>
      <c r="I923" s="18"/>
      <c r="J923" s="17"/>
      <c r="K923" s="17"/>
      <c r="L923" s="17"/>
    </row>
    <row r="924" spans="1:12" ht="15" customHeight="1" x14ac:dyDescent="0.3">
      <c r="A924" s="13"/>
      <c r="B924" s="14"/>
      <c r="C924" s="14"/>
      <c r="D924" s="14"/>
      <c r="E924" s="15"/>
      <c r="F924" s="14"/>
      <c r="G924" s="14"/>
      <c r="H924" s="14"/>
      <c r="I924" s="15"/>
      <c r="J924" s="14"/>
      <c r="K924" s="14"/>
      <c r="L924" s="14"/>
    </row>
    <row r="925" spans="1:12" ht="15" customHeight="1" x14ac:dyDescent="0.3">
      <c r="A925" s="16"/>
      <c r="B925" s="17"/>
      <c r="C925" s="17"/>
      <c r="D925" s="17"/>
      <c r="E925" s="18"/>
      <c r="F925" s="17"/>
      <c r="G925" s="17"/>
      <c r="H925" s="17"/>
      <c r="I925" s="18"/>
      <c r="J925" s="17"/>
      <c r="K925" s="17"/>
      <c r="L925" s="17"/>
    </row>
    <row r="926" spans="1:12" ht="15" customHeight="1" x14ac:dyDescent="0.3">
      <c r="A926" s="13"/>
      <c r="B926" s="14"/>
      <c r="C926" s="14"/>
      <c r="D926" s="14"/>
      <c r="E926" s="15"/>
      <c r="F926" s="14"/>
      <c r="G926" s="14"/>
      <c r="H926" s="14"/>
      <c r="I926" s="15"/>
      <c r="J926" s="14"/>
      <c r="K926" s="14"/>
      <c r="L926" s="14"/>
    </row>
    <row r="927" spans="1:12" ht="15" customHeight="1" x14ac:dyDescent="0.3">
      <c r="A927" s="16"/>
      <c r="B927" s="17"/>
      <c r="C927" s="17"/>
      <c r="D927" s="17"/>
      <c r="E927" s="18"/>
      <c r="F927" s="17"/>
      <c r="G927" s="17"/>
      <c r="H927" s="17"/>
      <c r="I927" s="18"/>
      <c r="J927" s="17"/>
      <c r="K927" s="17"/>
      <c r="L927" s="17"/>
    </row>
    <row r="928" spans="1:12" ht="15" customHeight="1" x14ac:dyDescent="0.3">
      <c r="A928" s="13"/>
      <c r="B928" s="14"/>
      <c r="C928" s="14"/>
      <c r="D928" s="14"/>
      <c r="E928" s="15"/>
      <c r="F928" s="14"/>
      <c r="G928" s="14"/>
      <c r="H928" s="14"/>
      <c r="I928" s="15"/>
      <c r="J928" s="14"/>
      <c r="K928" s="14"/>
      <c r="L928" s="14"/>
    </row>
    <row r="929" spans="1:12" ht="15" customHeight="1" x14ac:dyDescent="0.3">
      <c r="A929" s="16"/>
      <c r="B929" s="17"/>
      <c r="C929" s="17"/>
      <c r="D929" s="17"/>
      <c r="E929" s="18"/>
      <c r="F929" s="17"/>
      <c r="G929" s="17"/>
      <c r="H929" s="17"/>
      <c r="I929" s="18"/>
      <c r="J929" s="17"/>
      <c r="K929" s="17"/>
      <c r="L929" s="17"/>
    </row>
    <row r="930" spans="1:12" ht="15" customHeight="1" x14ac:dyDescent="0.3">
      <c r="A930" s="13"/>
      <c r="B930" s="14"/>
      <c r="C930" s="14"/>
      <c r="D930" s="14"/>
      <c r="E930" s="15"/>
      <c r="F930" s="14"/>
      <c r="G930" s="14"/>
      <c r="H930" s="14"/>
      <c r="I930" s="15"/>
      <c r="J930" s="14"/>
      <c r="K930" s="14"/>
      <c r="L930" s="14"/>
    </row>
    <row r="931" spans="1:12" ht="15" customHeight="1" x14ac:dyDescent="0.3">
      <c r="A931" s="16"/>
      <c r="B931" s="17"/>
      <c r="C931" s="17"/>
      <c r="D931" s="17"/>
      <c r="E931" s="18"/>
      <c r="F931" s="17"/>
      <c r="G931" s="17"/>
      <c r="H931" s="17"/>
      <c r="I931" s="18"/>
      <c r="J931" s="17"/>
      <c r="K931" s="17"/>
      <c r="L931" s="17"/>
    </row>
    <row r="932" spans="1:12" ht="15" customHeight="1" x14ac:dyDescent="0.3">
      <c r="A932" s="13"/>
      <c r="B932" s="14"/>
      <c r="C932" s="14"/>
      <c r="D932" s="14"/>
      <c r="E932" s="15"/>
      <c r="F932" s="14"/>
      <c r="G932" s="14"/>
      <c r="H932" s="14"/>
      <c r="I932" s="15"/>
      <c r="J932" s="14"/>
      <c r="K932" s="14"/>
      <c r="L932" s="14"/>
    </row>
    <row r="933" spans="1:12" ht="15" customHeight="1" x14ac:dyDescent="0.3">
      <c r="A933" s="16"/>
      <c r="B933" s="17"/>
      <c r="C933" s="17"/>
      <c r="D933" s="17"/>
      <c r="E933" s="18"/>
      <c r="F933" s="17"/>
      <c r="G933" s="17"/>
      <c r="H933" s="17"/>
      <c r="I933" s="18"/>
      <c r="J933" s="17"/>
      <c r="K933" s="17"/>
      <c r="L933" s="17"/>
    </row>
    <row r="934" spans="1:12" ht="15" customHeight="1" x14ac:dyDescent="0.3">
      <c r="A934" s="13"/>
      <c r="B934" s="14"/>
      <c r="C934" s="14"/>
      <c r="D934" s="14"/>
      <c r="E934" s="15"/>
      <c r="F934" s="14"/>
      <c r="G934" s="14"/>
      <c r="H934" s="14"/>
      <c r="I934" s="15"/>
      <c r="J934" s="14"/>
      <c r="K934" s="14"/>
      <c r="L934" s="14"/>
    </row>
    <row r="935" spans="1:12" ht="15" customHeight="1" x14ac:dyDescent="0.3">
      <c r="A935" s="16"/>
      <c r="B935" s="17"/>
      <c r="C935" s="17"/>
      <c r="D935" s="17"/>
      <c r="E935" s="18"/>
      <c r="F935" s="17"/>
      <c r="G935" s="17"/>
      <c r="H935" s="17"/>
      <c r="I935" s="18"/>
      <c r="J935" s="17"/>
      <c r="K935" s="17"/>
      <c r="L935" s="17"/>
    </row>
    <row r="936" spans="1:12" ht="15" customHeight="1" x14ac:dyDescent="0.3">
      <c r="A936" s="13"/>
      <c r="B936" s="14"/>
      <c r="C936" s="14"/>
      <c r="D936" s="14"/>
      <c r="E936" s="15"/>
      <c r="F936" s="14"/>
      <c r="G936" s="14"/>
      <c r="H936" s="14"/>
      <c r="I936" s="15"/>
      <c r="J936" s="14"/>
      <c r="K936" s="14"/>
      <c r="L936" s="14"/>
    </row>
    <row r="937" spans="1:12" ht="15" customHeight="1" x14ac:dyDescent="0.3">
      <c r="A937" s="16"/>
      <c r="B937" s="17"/>
      <c r="C937" s="17"/>
      <c r="D937" s="17"/>
      <c r="E937" s="18"/>
      <c r="F937" s="17"/>
      <c r="G937" s="17"/>
      <c r="H937" s="17"/>
      <c r="I937" s="18"/>
      <c r="J937" s="17"/>
      <c r="K937" s="17"/>
      <c r="L937" s="17"/>
    </row>
    <row r="938" spans="1:12" ht="15" customHeight="1" x14ac:dyDescent="0.3">
      <c r="A938" s="13"/>
      <c r="B938" s="14"/>
      <c r="C938" s="14"/>
      <c r="D938" s="14"/>
      <c r="E938" s="15"/>
      <c r="F938" s="14"/>
      <c r="G938" s="14"/>
      <c r="H938" s="14"/>
      <c r="I938" s="15"/>
      <c r="J938" s="14"/>
      <c r="K938" s="14"/>
      <c r="L938" s="14"/>
    </row>
    <row r="939" spans="1:12" ht="15" customHeight="1" x14ac:dyDescent="0.3">
      <c r="A939" s="16"/>
      <c r="B939" s="17"/>
      <c r="C939" s="17"/>
      <c r="D939" s="17"/>
      <c r="E939" s="18"/>
      <c r="F939" s="17"/>
      <c r="G939" s="17"/>
      <c r="H939" s="17"/>
      <c r="I939" s="18"/>
      <c r="J939" s="17"/>
      <c r="K939" s="17"/>
      <c r="L939" s="17"/>
    </row>
    <row r="940" spans="1:12" ht="15" customHeight="1" x14ac:dyDescent="0.3">
      <c r="A940" s="13"/>
      <c r="B940" s="14"/>
      <c r="C940" s="14"/>
      <c r="D940" s="14"/>
      <c r="E940" s="15"/>
      <c r="F940" s="14"/>
      <c r="G940" s="14"/>
      <c r="H940" s="14"/>
      <c r="I940" s="15"/>
      <c r="J940" s="14"/>
      <c r="K940" s="14"/>
      <c r="L940" s="14"/>
    </row>
    <row r="941" spans="1:12" ht="15" customHeight="1" x14ac:dyDescent="0.3">
      <c r="A941" s="16"/>
      <c r="B941" s="17"/>
      <c r="C941" s="17"/>
      <c r="D941" s="17"/>
      <c r="E941" s="18"/>
      <c r="F941" s="17"/>
      <c r="G941" s="17"/>
      <c r="H941" s="17"/>
      <c r="I941" s="18"/>
      <c r="J941" s="17"/>
      <c r="K941" s="17"/>
      <c r="L941" s="17"/>
    </row>
    <row r="942" spans="1:12" ht="15" customHeight="1" x14ac:dyDescent="0.3">
      <c r="A942" s="13"/>
      <c r="B942" s="14"/>
      <c r="C942" s="14"/>
      <c r="D942" s="14"/>
      <c r="E942" s="15"/>
      <c r="F942" s="14"/>
      <c r="G942" s="14"/>
      <c r="H942" s="14"/>
      <c r="I942" s="15"/>
      <c r="J942" s="14"/>
      <c r="K942" s="14"/>
      <c r="L942" s="14"/>
    </row>
    <row r="943" spans="1:12" ht="15" customHeight="1" x14ac:dyDescent="0.3">
      <c r="A943" s="16"/>
      <c r="B943" s="17"/>
      <c r="C943" s="17"/>
      <c r="D943" s="17"/>
      <c r="E943" s="18"/>
      <c r="F943" s="17"/>
      <c r="G943" s="17"/>
      <c r="H943" s="17"/>
      <c r="I943" s="18"/>
      <c r="J943" s="17"/>
      <c r="K943" s="17"/>
      <c r="L943" s="17"/>
    </row>
    <row r="944" spans="1:12" ht="15" customHeight="1" x14ac:dyDescent="0.3">
      <c r="A944" s="13"/>
      <c r="B944" s="14"/>
      <c r="C944" s="14"/>
      <c r="D944" s="14"/>
      <c r="E944" s="15"/>
      <c r="F944" s="14"/>
      <c r="G944" s="14"/>
      <c r="H944" s="14"/>
      <c r="I944" s="15"/>
      <c r="J944" s="14"/>
      <c r="K944" s="14"/>
      <c r="L944" s="14"/>
    </row>
    <row r="945" spans="1:12" ht="15" customHeight="1" x14ac:dyDescent="0.3">
      <c r="A945" s="16"/>
      <c r="B945" s="17"/>
      <c r="C945" s="17"/>
      <c r="D945" s="17"/>
      <c r="E945" s="18"/>
      <c r="F945" s="17"/>
      <c r="G945" s="17"/>
      <c r="H945" s="17"/>
      <c r="I945" s="18"/>
      <c r="J945" s="17"/>
      <c r="K945" s="17"/>
      <c r="L945" s="17"/>
    </row>
    <row r="946" spans="1:12" ht="15" customHeight="1" x14ac:dyDescent="0.3">
      <c r="A946" s="13"/>
      <c r="B946" s="14"/>
      <c r="C946" s="14"/>
      <c r="D946" s="14"/>
      <c r="E946" s="15"/>
      <c r="F946" s="14"/>
      <c r="G946" s="14"/>
      <c r="H946" s="14"/>
      <c r="I946" s="15"/>
      <c r="J946" s="14"/>
      <c r="K946" s="14"/>
      <c r="L946" s="14"/>
    </row>
    <row r="947" spans="1:12" ht="15" customHeight="1" x14ac:dyDescent="0.3">
      <c r="A947" s="16"/>
      <c r="B947" s="17"/>
      <c r="C947" s="17"/>
      <c r="D947" s="17"/>
      <c r="E947" s="18"/>
      <c r="F947" s="17"/>
      <c r="G947" s="17"/>
      <c r="H947" s="17"/>
      <c r="I947" s="18"/>
      <c r="J947" s="17"/>
      <c r="K947" s="17"/>
      <c r="L947" s="17"/>
    </row>
    <row r="948" spans="1:12" ht="15" customHeight="1" x14ac:dyDescent="0.3">
      <c r="A948" s="13"/>
      <c r="B948" s="14"/>
      <c r="C948" s="14"/>
      <c r="D948" s="14"/>
      <c r="E948" s="15"/>
      <c r="F948" s="14"/>
      <c r="G948" s="14"/>
      <c r="H948" s="14"/>
      <c r="I948" s="15"/>
      <c r="J948" s="14"/>
      <c r="K948" s="14"/>
      <c r="L948" s="14"/>
    </row>
    <row r="949" spans="1:12" ht="15" customHeight="1" x14ac:dyDescent="0.3">
      <c r="A949" s="16"/>
      <c r="B949" s="17"/>
      <c r="C949" s="17"/>
      <c r="D949" s="17"/>
      <c r="E949" s="18"/>
      <c r="F949" s="17"/>
      <c r="G949" s="17"/>
      <c r="H949" s="17"/>
      <c r="I949" s="18"/>
      <c r="J949" s="17"/>
      <c r="K949" s="17"/>
      <c r="L949" s="17"/>
    </row>
    <row r="950" spans="1:12" ht="15" customHeight="1" x14ac:dyDescent="0.3">
      <c r="A950" s="13"/>
      <c r="B950" s="14"/>
      <c r="C950" s="14"/>
      <c r="D950" s="14"/>
      <c r="E950" s="15"/>
      <c r="F950" s="14"/>
      <c r="G950" s="14"/>
      <c r="H950" s="14"/>
      <c r="I950" s="15"/>
      <c r="J950" s="14"/>
      <c r="K950" s="14"/>
      <c r="L950" s="14"/>
    </row>
    <row r="951" spans="1:12" ht="15" customHeight="1" x14ac:dyDescent="0.3">
      <c r="A951" s="16"/>
      <c r="B951" s="17"/>
      <c r="C951" s="17"/>
      <c r="D951" s="17"/>
      <c r="E951" s="18"/>
      <c r="F951" s="17"/>
      <c r="G951" s="17"/>
      <c r="H951" s="17"/>
      <c r="I951" s="18"/>
      <c r="J951" s="17"/>
      <c r="K951" s="17"/>
      <c r="L951" s="17"/>
    </row>
    <row r="952" spans="1:12" ht="15" customHeight="1" x14ac:dyDescent="0.3">
      <c r="A952" s="13"/>
      <c r="B952" s="14"/>
      <c r="C952" s="14"/>
      <c r="D952" s="14"/>
      <c r="E952" s="15"/>
      <c r="F952" s="14"/>
      <c r="G952" s="14"/>
      <c r="H952" s="14"/>
      <c r="I952" s="15"/>
      <c r="J952" s="14"/>
      <c r="K952" s="14"/>
      <c r="L952" s="14"/>
    </row>
    <row r="953" spans="1:12" ht="15" customHeight="1" x14ac:dyDescent="0.3">
      <c r="A953" s="16"/>
      <c r="B953" s="17"/>
      <c r="C953" s="17"/>
      <c r="D953" s="17"/>
      <c r="E953" s="18"/>
      <c r="F953" s="17"/>
      <c r="G953" s="17"/>
      <c r="H953" s="17"/>
      <c r="I953" s="18"/>
      <c r="J953" s="17"/>
      <c r="K953" s="17"/>
      <c r="L953" s="17"/>
    </row>
    <row r="954" spans="1:12" ht="15" customHeight="1" x14ac:dyDescent="0.3">
      <c r="A954" s="13"/>
      <c r="B954" s="14"/>
      <c r="C954" s="14"/>
      <c r="D954" s="14"/>
      <c r="E954" s="15"/>
      <c r="F954" s="14"/>
      <c r="G954" s="14"/>
      <c r="H954" s="14"/>
      <c r="I954" s="15"/>
      <c r="J954" s="14"/>
      <c r="K954" s="14"/>
      <c r="L954" s="14"/>
    </row>
    <row r="955" spans="1:12" ht="15" customHeight="1" x14ac:dyDescent="0.3">
      <c r="A955" s="16"/>
      <c r="B955" s="17"/>
      <c r="C955" s="17"/>
      <c r="D955" s="17"/>
      <c r="E955" s="18"/>
      <c r="F955" s="17"/>
      <c r="G955" s="17"/>
      <c r="H955" s="17"/>
      <c r="I955" s="18"/>
      <c r="J955" s="17"/>
      <c r="K955" s="17"/>
      <c r="L955" s="17"/>
    </row>
    <row r="956" spans="1:12" ht="15" customHeight="1" x14ac:dyDescent="0.3">
      <c r="A956" s="13"/>
      <c r="B956" s="14"/>
      <c r="C956" s="14"/>
      <c r="D956" s="14"/>
      <c r="E956" s="15"/>
      <c r="F956" s="14"/>
      <c r="G956" s="14"/>
      <c r="H956" s="14"/>
      <c r="I956" s="15"/>
      <c r="J956" s="14"/>
      <c r="K956" s="14"/>
      <c r="L956" s="14"/>
    </row>
    <row r="957" spans="1:12" ht="15" customHeight="1" x14ac:dyDescent="0.3">
      <c r="A957" s="16"/>
      <c r="B957" s="17"/>
      <c r="C957" s="17"/>
      <c r="D957" s="17"/>
      <c r="E957" s="18"/>
      <c r="F957" s="17"/>
      <c r="G957" s="17"/>
      <c r="H957" s="17"/>
      <c r="I957" s="18"/>
      <c r="J957" s="17"/>
      <c r="K957" s="17"/>
      <c r="L957" s="17"/>
    </row>
    <row r="958" spans="1:12" ht="15" customHeight="1" x14ac:dyDescent="0.3">
      <c r="A958" s="13"/>
      <c r="B958" s="14"/>
      <c r="C958" s="14"/>
      <c r="D958" s="14"/>
      <c r="E958" s="15"/>
      <c r="F958" s="14"/>
      <c r="G958" s="14"/>
      <c r="H958" s="14"/>
      <c r="I958" s="15"/>
      <c r="J958" s="14"/>
      <c r="K958" s="14"/>
      <c r="L958" s="14"/>
    </row>
    <row r="959" spans="1:12" ht="15" customHeight="1" x14ac:dyDescent="0.3">
      <c r="A959" s="16"/>
      <c r="B959" s="17"/>
      <c r="C959" s="17"/>
      <c r="D959" s="17"/>
      <c r="E959" s="18"/>
      <c r="F959" s="17"/>
      <c r="G959" s="17"/>
      <c r="H959" s="17"/>
      <c r="I959" s="18"/>
      <c r="J959" s="17"/>
      <c r="K959" s="17"/>
      <c r="L959" s="17"/>
    </row>
    <row r="960" spans="1:12" ht="15" customHeight="1" x14ac:dyDescent="0.3">
      <c r="A960" s="13"/>
      <c r="B960" s="14"/>
      <c r="C960" s="14"/>
      <c r="D960" s="14"/>
      <c r="E960" s="15"/>
      <c r="F960" s="14"/>
      <c r="G960" s="14"/>
      <c r="H960" s="14"/>
      <c r="I960" s="15"/>
      <c r="J960" s="14"/>
      <c r="K960" s="14"/>
      <c r="L960" s="14"/>
    </row>
    <row r="961" spans="1:12" ht="15" customHeight="1" x14ac:dyDescent="0.3">
      <c r="A961" s="16"/>
      <c r="B961" s="17"/>
      <c r="C961" s="17"/>
      <c r="D961" s="17"/>
      <c r="E961" s="18"/>
      <c r="F961" s="17"/>
      <c r="G961" s="17"/>
      <c r="H961" s="17"/>
      <c r="I961" s="18"/>
      <c r="J961" s="17"/>
      <c r="K961" s="17"/>
      <c r="L961" s="17"/>
    </row>
    <row r="962" spans="1:12" ht="15" customHeight="1" x14ac:dyDescent="0.3">
      <c r="A962" s="13"/>
      <c r="B962" s="14"/>
      <c r="C962" s="14"/>
      <c r="D962" s="14"/>
      <c r="E962" s="15"/>
      <c r="F962" s="14"/>
      <c r="G962" s="14"/>
      <c r="H962" s="14"/>
      <c r="I962" s="15"/>
      <c r="J962" s="14"/>
      <c r="K962" s="14"/>
      <c r="L962" s="14"/>
    </row>
    <row r="963" spans="1:12" ht="15" customHeight="1" x14ac:dyDescent="0.3">
      <c r="A963" s="16"/>
      <c r="B963" s="17"/>
      <c r="C963" s="17"/>
      <c r="D963" s="17"/>
      <c r="E963" s="18"/>
      <c r="F963" s="17"/>
      <c r="G963" s="17"/>
      <c r="H963" s="17"/>
      <c r="I963" s="18"/>
      <c r="J963" s="17"/>
      <c r="K963" s="17"/>
      <c r="L963" s="17"/>
    </row>
    <row r="964" spans="1:12" ht="15" customHeight="1" x14ac:dyDescent="0.3">
      <c r="A964" s="13"/>
      <c r="B964" s="14"/>
      <c r="C964" s="14"/>
      <c r="D964" s="14"/>
      <c r="E964" s="15"/>
      <c r="F964" s="14"/>
      <c r="G964" s="14"/>
      <c r="H964" s="14"/>
      <c r="I964" s="15"/>
      <c r="J964" s="14"/>
      <c r="K964" s="14"/>
      <c r="L964" s="14"/>
    </row>
    <row r="965" spans="1:12" ht="15" customHeight="1" x14ac:dyDescent="0.3">
      <c r="A965" s="16"/>
      <c r="B965" s="17"/>
      <c r="C965" s="17"/>
      <c r="D965" s="17"/>
      <c r="E965" s="18"/>
      <c r="F965" s="17"/>
      <c r="G965" s="17"/>
      <c r="H965" s="17"/>
      <c r="I965" s="18"/>
      <c r="J965" s="17"/>
      <c r="K965" s="17"/>
      <c r="L965" s="17"/>
    </row>
    <row r="966" spans="1:12" ht="15" customHeight="1" x14ac:dyDescent="0.3">
      <c r="A966" s="13"/>
      <c r="B966" s="14"/>
      <c r="C966" s="14"/>
      <c r="D966" s="14"/>
      <c r="E966" s="15"/>
      <c r="F966" s="14"/>
      <c r="G966" s="14"/>
      <c r="H966" s="14"/>
      <c r="I966" s="15"/>
      <c r="J966" s="14"/>
      <c r="K966" s="14"/>
      <c r="L966" s="14"/>
    </row>
    <row r="967" spans="1:12" ht="15" customHeight="1" x14ac:dyDescent="0.3">
      <c r="A967" s="16"/>
      <c r="B967" s="17"/>
      <c r="C967" s="17"/>
      <c r="D967" s="17"/>
      <c r="E967" s="18"/>
      <c r="F967" s="17"/>
      <c r="G967" s="17"/>
      <c r="H967" s="17"/>
      <c r="I967" s="18"/>
      <c r="J967" s="17"/>
      <c r="K967" s="17"/>
      <c r="L967" s="17"/>
    </row>
    <row r="968" spans="1:12" ht="15" customHeight="1" x14ac:dyDescent="0.3">
      <c r="A968" s="13"/>
      <c r="B968" s="14"/>
      <c r="C968" s="14"/>
      <c r="D968" s="14"/>
      <c r="E968" s="15"/>
      <c r="F968" s="14"/>
      <c r="G968" s="14"/>
      <c r="H968" s="14"/>
      <c r="I968" s="15"/>
      <c r="J968" s="14"/>
      <c r="K968" s="14"/>
      <c r="L968" s="14"/>
    </row>
    <row r="969" spans="1:12" ht="15" customHeight="1" x14ac:dyDescent="0.3">
      <c r="A969" s="16"/>
      <c r="B969" s="17"/>
      <c r="C969" s="17"/>
      <c r="D969" s="17"/>
      <c r="E969" s="18"/>
      <c r="F969" s="17"/>
      <c r="G969" s="17"/>
      <c r="H969" s="17"/>
      <c r="I969" s="18"/>
      <c r="J969" s="17"/>
      <c r="K969" s="17"/>
      <c r="L969" s="17"/>
    </row>
    <row r="970" spans="1:12" ht="15" customHeight="1" x14ac:dyDescent="0.3">
      <c r="A970" s="13"/>
      <c r="B970" s="14"/>
      <c r="C970" s="14"/>
      <c r="D970" s="14"/>
      <c r="E970" s="15"/>
      <c r="F970" s="14"/>
      <c r="G970" s="14"/>
      <c r="H970" s="14"/>
      <c r="I970" s="15"/>
      <c r="J970" s="14"/>
      <c r="K970" s="14"/>
      <c r="L970" s="14"/>
    </row>
    <row r="971" spans="1:12" ht="15" customHeight="1" x14ac:dyDescent="0.3">
      <c r="A971" s="16"/>
      <c r="B971" s="17"/>
      <c r="C971" s="17"/>
      <c r="D971" s="17"/>
      <c r="E971" s="18"/>
      <c r="F971" s="17"/>
      <c r="G971" s="17"/>
      <c r="H971" s="17"/>
      <c r="I971" s="18"/>
      <c r="J971" s="17"/>
      <c r="K971" s="17"/>
      <c r="L971" s="17"/>
    </row>
    <row r="972" spans="1:12" ht="15" customHeight="1" x14ac:dyDescent="0.3">
      <c r="A972" s="13"/>
      <c r="B972" s="14"/>
      <c r="C972" s="14"/>
      <c r="D972" s="14"/>
      <c r="E972" s="15"/>
      <c r="F972" s="14"/>
      <c r="G972" s="14"/>
      <c r="H972" s="14"/>
      <c r="I972" s="15"/>
      <c r="J972" s="14"/>
      <c r="K972" s="14"/>
      <c r="L972" s="14"/>
    </row>
    <row r="973" spans="1:12" ht="15" customHeight="1" x14ac:dyDescent="0.3">
      <c r="A973" s="16"/>
      <c r="B973" s="17"/>
      <c r="C973" s="17"/>
      <c r="D973" s="17"/>
      <c r="E973" s="18"/>
      <c r="F973" s="17"/>
      <c r="G973" s="17"/>
      <c r="H973" s="17"/>
      <c r="I973" s="18"/>
      <c r="J973" s="17"/>
      <c r="K973" s="17"/>
      <c r="L973" s="17"/>
    </row>
    <row r="974" spans="1:12" ht="15" customHeight="1" x14ac:dyDescent="0.3">
      <c r="A974" s="13"/>
      <c r="B974" s="14"/>
      <c r="C974" s="14"/>
      <c r="D974" s="14"/>
      <c r="E974" s="15"/>
      <c r="F974" s="14"/>
      <c r="G974" s="14"/>
      <c r="H974" s="14"/>
      <c r="I974" s="15"/>
      <c r="J974" s="14"/>
      <c r="K974" s="14"/>
      <c r="L974" s="14"/>
    </row>
    <row r="975" spans="1:12" ht="15" customHeight="1" x14ac:dyDescent="0.3">
      <c r="A975" s="16"/>
      <c r="B975" s="17"/>
      <c r="C975" s="17"/>
      <c r="D975" s="17"/>
      <c r="E975" s="18"/>
      <c r="F975" s="17"/>
      <c r="G975" s="17"/>
      <c r="H975" s="17"/>
      <c r="I975" s="18"/>
      <c r="J975" s="17"/>
      <c r="K975" s="17"/>
      <c r="L975" s="17"/>
    </row>
    <row r="976" spans="1:12" ht="15" customHeight="1" x14ac:dyDescent="0.3">
      <c r="A976" s="13"/>
      <c r="B976" s="14"/>
      <c r="C976" s="14"/>
      <c r="D976" s="14"/>
      <c r="E976" s="15"/>
      <c r="F976" s="14"/>
      <c r="G976" s="14"/>
      <c r="H976" s="14"/>
      <c r="I976" s="15"/>
      <c r="J976" s="14"/>
      <c r="K976" s="14"/>
      <c r="L976" s="14"/>
    </row>
    <row r="977" spans="1:12" ht="15" customHeight="1" x14ac:dyDescent="0.3">
      <c r="A977" s="16"/>
      <c r="B977" s="17"/>
      <c r="C977" s="17"/>
      <c r="D977" s="17"/>
      <c r="E977" s="18"/>
      <c r="F977" s="17"/>
      <c r="G977" s="17"/>
      <c r="H977" s="17"/>
      <c r="I977" s="18"/>
      <c r="J977" s="17"/>
      <c r="K977" s="17"/>
      <c r="L977" s="17"/>
    </row>
    <row r="978" spans="1:12" ht="15" customHeight="1" x14ac:dyDescent="0.3">
      <c r="A978" s="13"/>
      <c r="B978" s="14"/>
      <c r="C978" s="14"/>
      <c r="D978" s="14"/>
      <c r="E978" s="15"/>
      <c r="F978" s="14"/>
      <c r="G978" s="14"/>
      <c r="H978" s="14"/>
      <c r="I978" s="15"/>
      <c r="J978" s="14"/>
      <c r="K978" s="14"/>
      <c r="L978" s="14"/>
    </row>
    <row r="979" spans="1:12" ht="15" customHeight="1" x14ac:dyDescent="0.3">
      <c r="A979" s="16"/>
      <c r="B979" s="17"/>
      <c r="C979" s="17"/>
      <c r="D979" s="17"/>
      <c r="E979" s="18"/>
      <c r="F979" s="17"/>
      <c r="G979" s="17"/>
      <c r="H979" s="17"/>
      <c r="I979" s="18"/>
      <c r="J979" s="17"/>
      <c r="K979" s="17"/>
      <c r="L979" s="17"/>
    </row>
    <row r="980" spans="1:12" ht="15" customHeight="1" x14ac:dyDescent="0.3">
      <c r="A980" s="13"/>
      <c r="B980" s="14"/>
      <c r="C980" s="14"/>
      <c r="D980" s="14"/>
      <c r="E980" s="15"/>
      <c r="F980" s="14"/>
      <c r="G980" s="14"/>
      <c r="H980" s="14"/>
      <c r="I980" s="15"/>
      <c r="J980" s="14"/>
      <c r="K980" s="14"/>
      <c r="L980" s="14"/>
    </row>
    <row r="981" spans="1:12" ht="15" customHeight="1" x14ac:dyDescent="0.3">
      <c r="A981" s="16"/>
      <c r="B981" s="17"/>
      <c r="C981" s="17"/>
      <c r="D981" s="17"/>
      <c r="E981" s="18"/>
      <c r="F981" s="17"/>
      <c r="G981" s="17"/>
      <c r="H981" s="17"/>
      <c r="I981" s="18"/>
      <c r="J981" s="17"/>
      <c r="K981" s="17"/>
      <c r="L981" s="17"/>
    </row>
    <row r="982" spans="1:12" ht="15" customHeight="1" x14ac:dyDescent="0.3">
      <c r="A982" s="13"/>
      <c r="B982" s="14"/>
      <c r="C982" s="14"/>
      <c r="D982" s="14"/>
      <c r="E982" s="15"/>
      <c r="F982" s="14"/>
      <c r="G982" s="14"/>
      <c r="H982" s="14"/>
      <c r="I982" s="15"/>
      <c r="J982" s="14"/>
      <c r="K982" s="14"/>
      <c r="L982" s="14"/>
    </row>
    <row r="983" spans="1:12" ht="15" customHeight="1" x14ac:dyDescent="0.3">
      <c r="A983" s="16"/>
      <c r="B983" s="17"/>
      <c r="C983" s="17"/>
      <c r="D983" s="17"/>
      <c r="E983" s="18"/>
      <c r="F983" s="17"/>
      <c r="G983" s="17"/>
      <c r="H983" s="17"/>
      <c r="I983" s="18"/>
      <c r="J983" s="17"/>
      <c r="K983" s="17"/>
      <c r="L983" s="17"/>
    </row>
    <row r="984" spans="1:12" ht="15" customHeight="1" x14ac:dyDescent="0.3">
      <c r="A984" s="13"/>
      <c r="B984" s="14"/>
      <c r="C984" s="14"/>
      <c r="D984" s="14"/>
      <c r="E984" s="15"/>
      <c r="F984" s="14"/>
      <c r="G984" s="14"/>
      <c r="H984" s="14"/>
      <c r="I984" s="15"/>
      <c r="J984" s="14"/>
      <c r="K984" s="14"/>
      <c r="L984" s="14"/>
    </row>
    <row r="985" spans="1:12" ht="15" customHeight="1" x14ac:dyDescent="0.3">
      <c r="A985" s="16"/>
      <c r="B985" s="17"/>
      <c r="C985" s="17"/>
      <c r="D985" s="17"/>
      <c r="E985" s="18"/>
      <c r="F985" s="17"/>
      <c r="G985" s="17"/>
      <c r="H985" s="17"/>
      <c r="I985" s="18"/>
      <c r="J985" s="17"/>
      <c r="K985" s="17"/>
      <c r="L985" s="17"/>
    </row>
    <row r="986" spans="1:12" ht="15" customHeight="1" x14ac:dyDescent="0.3">
      <c r="A986" s="13"/>
      <c r="B986" s="14"/>
      <c r="C986" s="14"/>
      <c r="D986" s="14"/>
      <c r="E986" s="15"/>
      <c r="F986" s="14"/>
      <c r="G986" s="14"/>
      <c r="H986" s="14"/>
      <c r="I986" s="15"/>
      <c r="J986" s="14"/>
      <c r="K986" s="14"/>
      <c r="L986" s="14"/>
    </row>
    <row r="987" spans="1:12" ht="15" customHeight="1" x14ac:dyDescent="0.3">
      <c r="A987" s="16"/>
      <c r="B987" s="17"/>
      <c r="C987" s="17"/>
      <c r="D987" s="17"/>
      <c r="E987" s="18"/>
      <c r="F987" s="17"/>
      <c r="G987" s="17"/>
      <c r="H987" s="17"/>
      <c r="I987" s="18"/>
      <c r="J987" s="17"/>
      <c r="K987" s="17"/>
      <c r="L987" s="17"/>
    </row>
    <row r="988" spans="1:12" ht="15" customHeight="1" x14ac:dyDescent="0.3">
      <c r="A988" s="13"/>
      <c r="B988" s="14"/>
      <c r="C988" s="14"/>
      <c r="D988" s="14"/>
      <c r="E988" s="15"/>
      <c r="F988" s="14"/>
      <c r="G988" s="14"/>
      <c r="H988" s="14"/>
      <c r="I988" s="15"/>
      <c r="J988" s="14"/>
      <c r="K988" s="14"/>
      <c r="L988" s="14"/>
    </row>
    <row r="989" spans="1:12" ht="15" customHeight="1" x14ac:dyDescent="0.3">
      <c r="A989" s="16"/>
      <c r="B989" s="17"/>
      <c r="C989" s="17"/>
      <c r="D989" s="17"/>
      <c r="E989" s="18"/>
      <c r="F989" s="17"/>
      <c r="G989" s="17"/>
      <c r="H989" s="17"/>
      <c r="I989" s="18"/>
      <c r="J989" s="17"/>
      <c r="K989" s="17"/>
      <c r="L989" s="17"/>
    </row>
    <row r="990" spans="1:12" ht="15" customHeight="1" x14ac:dyDescent="0.3">
      <c r="A990" s="13"/>
      <c r="B990" s="14"/>
      <c r="C990" s="14"/>
      <c r="D990" s="14"/>
      <c r="E990" s="15"/>
      <c r="F990" s="14"/>
      <c r="G990" s="14"/>
      <c r="H990" s="14"/>
      <c r="I990" s="15"/>
      <c r="J990" s="14"/>
      <c r="K990" s="14"/>
      <c r="L990" s="14"/>
    </row>
    <row r="991" spans="1:12" ht="15" customHeight="1" x14ac:dyDescent="0.3">
      <c r="A991" s="16"/>
      <c r="B991" s="17"/>
      <c r="C991" s="17"/>
      <c r="D991" s="17"/>
      <c r="E991" s="18"/>
      <c r="F991" s="17"/>
      <c r="G991" s="17"/>
      <c r="H991" s="17"/>
      <c r="I991" s="18"/>
      <c r="J991" s="17"/>
      <c r="K991" s="17"/>
      <c r="L991" s="17"/>
    </row>
    <row r="992" spans="1:12" ht="15" customHeight="1" x14ac:dyDescent="0.3">
      <c r="A992" s="13"/>
      <c r="B992" s="14"/>
      <c r="C992" s="14"/>
      <c r="D992" s="14"/>
      <c r="E992" s="15"/>
      <c r="F992" s="14"/>
      <c r="G992" s="14"/>
      <c r="H992" s="14"/>
      <c r="I992" s="15"/>
      <c r="J992" s="14"/>
      <c r="K992" s="14"/>
      <c r="L992" s="14"/>
    </row>
    <row r="993" spans="1:12" ht="15" customHeight="1" x14ac:dyDescent="0.3">
      <c r="A993" s="16"/>
      <c r="B993" s="17"/>
      <c r="C993" s="17"/>
      <c r="D993" s="17"/>
      <c r="E993" s="18"/>
      <c r="F993" s="17"/>
      <c r="G993" s="17"/>
      <c r="H993" s="17"/>
      <c r="I993" s="18"/>
      <c r="J993" s="17"/>
      <c r="K993" s="17"/>
      <c r="L993" s="17"/>
    </row>
    <row r="994" spans="1:12" ht="15" customHeight="1" x14ac:dyDescent="0.3">
      <c r="A994" s="13"/>
      <c r="B994" s="14"/>
      <c r="C994" s="14"/>
      <c r="D994" s="14"/>
      <c r="E994" s="15"/>
      <c r="F994" s="14"/>
      <c r="G994" s="14"/>
      <c r="H994" s="14"/>
      <c r="I994" s="15"/>
      <c r="J994" s="14"/>
      <c r="K994" s="14"/>
      <c r="L994" s="14"/>
    </row>
    <row r="995" spans="1:12" ht="15" customHeight="1" x14ac:dyDescent="0.3">
      <c r="A995" s="16"/>
      <c r="B995" s="17"/>
      <c r="C995" s="17"/>
      <c r="D995" s="17"/>
      <c r="E995" s="18"/>
      <c r="F995" s="17"/>
      <c r="G995" s="17"/>
      <c r="H995" s="17"/>
      <c r="I995" s="18"/>
      <c r="J995" s="17"/>
      <c r="K995" s="17"/>
      <c r="L995" s="17"/>
    </row>
    <row r="996" spans="1:12" ht="15" customHeight="1" x14ac:dyDescent="0.3">
      <c r="A996" s="13"/>
      <c r="B996" s="14"/>
      <c r="C996" s="14"/>
      <c r="D996" s="14"/>
      <c r="E996" s="15"/>
      <c r="F996" s="14"/>
      <c r="G996" s="14"/>
      <c r="H996" s="14"/>
      <c r="I996" s="15"/>
      <c r="J996" s="14"/>
      <c r="K996" s="14"/>
      <c r="L996" s="14"/>
    </row>
    <row r="997" spans="1:12" ht="15" customHeight="1" x14ac:dyDescent="0.3">
      <c r="A997" s="16"/>
      <c r="B997" s="17"/>
      <c r="C997" s="17"/>
      <c r="D997" s="17"/>
      <c r="E997" s="18"/>
      <c r="F997" s="17"/>
      <c r="G997" s="17"/>
      <c r="H997" s="17"/>
      <c r="I997" s="18"/>
      <c r="J997" s="17"/>
      <c r="K997" s="17"/>
      <c r="L997" s="17"/>
    </row>
    <row r="998" spans="1:12" ht="15" customHeight="1" x14ac:dyDescent="0.3">
      <c r="A998" s="13"/>
      <c r="B998" s="14"/>
      <c r="C998" s="14"/>
      <c r="D998" s="14"/>
      <c r="E998" s="15"/>
      <c r="F998" s="14"/>
      <c r="G998" s="14"/>
      <c r="H998" s="14"/>
      <c r="I998" s="15"/>
      <c r="J998" s="14"/>
      <c r="K998" s="14"/>
      <c r="L998" s="14"/>
    </row>
    <row r="999" spans="1:12" ht="15" customHeight="1" x14ac:dyDescent="0.3">
      <c r="A999" s="16"/>
      <c r="B999" s="17"/>
      <c r="C999" s="17"/>
      <c r="D999" s="17"/>
      <c r="E999" s="18"/>
      <c r="F999" s="17"/>
      <c r="G999" s="17"/>
      <c r="H999" s="17"/>
      <c r="I999" s="18"/>
      <c r="J999" s="17"/>
      <c r="K999" s="17"/>
      <c r="L999" s="17"/>
    </row>
    <row r="1000" spans="1:12" ht="15" customHeight="1" x14ac:dyDescent="0.3">
      <c r="A1000" s="13"/>
      <c r="B1000" s="14"/>
      <c r="C1000" s="14"/>
      <c r="D1000" s="14"/>
      <c r="E1000" s="15"/>
      <c r="F1000" s="14"/>
      <c r="G1000" s="14"/>
      <c r="H1000" s="14"/>
      <c r="I1000" s="15"/>
      <c r="J1000" s="14"/>
      <c r="K1000" s="14"/>
      <c r="L1000" s="14"/>
    </row>
    <row r="1001" spans="1:12" ht="15" customHeight="1" x14ac:dyDescent="0.3">
      <c r="A1001" s="16"/>
      <c r="B1001" s="17"/>
      <c r="C1001" s="17"/>
      <c r="D1001" s="17"/>
      <c r="E1001" s="18"/>
      <c r="F1001" s="17"/>
      <c r="G1001" s="17"/>
      <c r="H1001" s="17"/>
      <c r="I1001" s="18"/>
      <c r="J1001" s="17"/>
      <c r="K1001" s="17"/>
      <c r="L1001" s="17"/>
    </row>
    <row r="1002" spans="1:12" ht="15" customHeight="1" x14ac:dyDescent="0.3">
      <c r="A1002" s="13"/>
      <c r="B1002" s="14"/>
      <c r="C1002" s="14"/>
      <c r="D1002" s="14"/>
      <c r="E1002" s="15"/>
      <c r="F1002" s="14"/>
      <c r="G1002" s="14"/>
      <c r="H1002" s="14"/>
      <c r="I1002" s="15"/>
      <c r="J1002" s="14"/>
      <c r="K1002" s="14"/>
      <c r="L1002" s="14"/>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002"/>
  <sheetViews>
    <sheetView zoomScaleNormal="100" workbookViewId="0">
      <pane ySplit="2" topLeftCell="A3" activePane="bottomLeft" state="frozen"/>
      <selection pane="bottomLeft" activeCell="F8" sqref="F8"/>
    </sheetView>
  </sheetViews>
  <sheetFormatPr defaultColWidth="8.6640625" defaultRowHeight="14.4" x14ac:dyDescent="0.3"/>
  <cols>
    <col min="1" max="1" width="18" customWidth="1"/>
    <col min="2" max="2" width="22" customWidth="1"/>
    <col min="3" max="3" width="15" customWidth="1"/>
    <col min="4" max="4" width="25.33203125" customWidth="1"/>
    <col min="5" max="5" width="24" customWidth="1"/>
    <col min="6" max="6" width="16.44140625" customWidth="1"/>
    <col min="7" max="7" width="22.109375" customWidth="1"/>
    <col min="8" max="8" width="17.109375" customWidth="1"/>
    <col min="9" max="9" width="19.77734375" customWidth="1"/>
    <col min="10" max="10" width="20.5546875" customWidth="1"/>
    <col min="11" max="12" width="32" customWidth="1"/>
    <col min="13" max="13" width="19.109375" customWidth="1"/>
    <col min="14" max="14" width="32" customWidth="1"/>
  </cols>
  <sheetData>
    <row r="1" spans="1:14" ht="19.5" customHeight="1" x14ac:dyDescent="0.3">
      <c r="A1" s="59" t="s">
        <v>6472</v>
      </c>
      <c r="B1" s="60">
        <f>COUNTA(A3:A4997)</f>
        <v>1</v>
      </c>
      <c r="D1" s="59" t="s">
        <v>6473</v>
      </c>
      <c r="E1" s="61" t="str">
        <f>IFERROR(AVERAGE(F2:F4997),"–")</f>
        <v>–</v>
      </c>
      <c r="G1" s="59" t="s">
        <v>6474</v>
      </c>
      <c r="H1" s="61" t="str">
        <f>IFERROR(AVERAGE(G2:G4997),"–")</f>
        <v>–</v>
      </c>
      <c r="J1" s="59" t="s">
        <v>6475</v>
      </c>
      <c r="K1" s="61" t="str">
        <f>IFERROR(AVERAGE(H2:H4997),"–")</f>
        <v>–</v>
      </c>
      <c r="M1" s="59" t="s">
        <v>6476</v>
      </c>
      <c r="N1" s="60">
        <f>COUNTIF(M2:M4997,"Yes")</f>
        <v>0</v>
      </c>
    </row>
    <row r="2" spans="1:14" ht="51.75" customHeight="1" x14ac:dyDescent="0.3">
      <c r="A2" s="58" t="s">
        <v>6460</v>
      </c>
      <c r="B2" s="58" t="s">
        <v>6477</v>
      </c>
      <c r="C2" s="58" t="s">
        <v>6478</v>
      </c>
      <c r="D2" s="58" t="s">
        <v>3</v>
      </c>
      <c r="E2" s="58" t="s">
        <v>6479</v>
      </c>
      <c r="F2" s="58" t="s">
        <v>6480</v>
      </c>
      <c r="G2" s="58" t="s">
        <v>6481</v>
      </c>
      <c r="H2" s="58" t="s">
        <v>6482</v>
      </c>
      <c r="I2" s="58" t="s">
        <v>6483</v>
      </c>
      <c r="J2" s="58" t="s">
        <v>6484</v>
      </c>
      <c r="K2" s="58" t="s">
        <v>6485</v>
      </c>
      <c r="L2" s="58" t="s">
        <v>6486</v>
      </c>
      <c r="M2" s="58" t="s">
        <v>6469</v>
      </c>
      <c r="N2" s="58" t="s">
        <v>6487</v>
      </c>
    </row>
    <row r="3" spans="1:14" ht="31.2" customHeight="1" x14ac:dyDescent="0.3">
      <c r="A3" s="19" t="s">
        <v>6471</v>
      </c>
      <c r="B3" s="20"/>
      <c r="C3" s="20"/>
      <c r="D3" s="20"/>
      <c r="E3" s="20"/>
      <c r="F3" s="21"/>
      <c r="G3" s="21"/>
      <c r="H3" s="21"/>
      <c r="I3" s="21"/>
      <c r="J3" s="20"/>
      <c r="K3" s="17"/>
      <c r="L3" s="17"/>
      <c r="M3" s="20"/>
      <c r="N3" s="17"/>
    </row>
    <row r="4" spans="1:14" ht="15" customHeight="1" x14ac:dyDescent="0.3">
      <c r="A4" s="22"/>
      <c r="B4" s="23"/>
      <c r="C4" s="23"/>
      <c r="D4" s="23"/>
      <c r="E4" s="23"/>
      <c r="F4" s="24"/>
      <c r="G4" s="24"/>
      <c r="H4" s="24"/>
      <c r="I4" s="24"/>
      <c r="J4" s="23"/>
      <c r="K4" s="14"/>
      <c r="L4" s="14"/>
      <c r="M4" s="23"/>
      <c r="N4" s="14"/>
    </row>
    <row r="5" spans="1:14" ht="15" customHeight="1" x14ac:dyDescent="0.3">
      <c r="A5" s="25"/>
      <c r="B5" s="20"/>
      <c r="C5" s="20"/>
      <c r="D5" s="20"/>
      <c r="E5" s="20"/>
      <c r="F5" s="21"/>
      <c r="G5" s="21"/>
      <c r="H5" s="21"/>
      <c r="I5" s="21"/>
      <c r="J5" s="20"/>
      <c r="K5" s="17"/>
      <c r="L5" s="17"/>
      <c r="M5" s="20"/>
      <c r="N5" s="17"/>
    </row>
    <row r="6" spans="1:14" ht="15" customHeight="1" x14ac:dyDescent="0.3">
      <c r="A6" s="22"/>
      <c r="B6" s="23"/>
      <c r="C6" s="23"/>
      <c r="D6" s="23"/>
      <c r="E6" s="23"/>
      <c r="F6" s="24"/>
      <c r="G6" s="24"/>
      <c r="H6" s="24"/>
      <c r="I6" s="24"/>
      <c r="J6" s="23"/>
      <c r="K6" s="14"/>
      <c r="L6" s="14"/>
      <c r="M6" s="23"/>
      <c r="N6" s="14"/>
    </row>
    <row r="7" spans="1:14" ht="15" customHeight="1" x14ac:dyDescent="0.3">
      <c r="A7" s="25"/>
      <c r="B7" s="20"/>
      <c r="C7" s="20"/>
      <c r="D7" s="20"/>
      <c r="E7" s="20"/>
      <c r="F7" s="21"/>
      <c r="G7" s="21"/>
      <c r="H7" s="21"/>
      <c r="I7" s="21"/>
      <c r="J7" s="20"/>
      <c r="K7" s="17"/>
      <c r="L7" s="17"/>
      <c r="M7" s="20"/>
      <c r="N7" s="17"/>
    </row>
    <row r="8" spans="1:14" ht="15" customHeight="1" x14ac:dyDescent="0.3">
      <c r="A8" s="22"/>
      <c r="B8" s="23"/>
      <c r="C8" s="23"/>
      <c r="D8" s="23"/>
      <c r="E8" s="23"/>
      <c r="F8" s="24"/>
      <c r="G8" s="24"/>
      <c r="H8" s="24"/>
      <c r="I8" s="24"/>
      <c r="J8" s="23"/>
      <c r="K8" s="14"/>
      <c r="L8" s="14"/>
      <c r="M8" s="23"/>
      <c r="N8" s="14"/>
    </row>
    <row r="9" spans="1:14" ht="15" customHeight="1" x14ac:dyDescent="0.3">
      <c r="A9" s="25"/>
      <c r="B9" s="20"/>
      <c r="C9" s="20"/>
      <c r="D9" s="20"/>
      <c r="E9" s="20"/>
      <c r="F9" s="21"/>
      <c r="G9" s="21"/>
      <c r="H9" s="21"/>
      <c r="I9" s="21"/>
      <c r="J9" s="20"/>
      <c r="K9" s="17"/>
      <c r="L9" s="17"/>
      <c r="M9" s="20"/>
      <c r="N9" s="17"/>
    </row>
    <row r="10" spans="1:14" ht="15" customHeight="1" x14ac:dyDescent="0.3">
      <c r="A10" s="22"/>
      <c r="B10" s="23"/>
      <c r="C10" s="23"/>
      <c r="D10" s="23"/>
      <c r="E10" s="23"/>
      <c r="F10" s="24"/>
      <c r="G10" s="24"/>
      <c r="H10" s="24"/>
      <c r="I10" s="24"/>
      <c r="J10" s="23"/>
      <c r="K10" s="14"/>
      <c r="L10" s="14"/>
      <c r="M10" s="23"/>
      <c r="N10" s="14"/>
    </row>
    <row r="11" spans="1:14" ht="15" customHeight="1" x14ac:dyDescent="0.3">
      <c r="A11" s="25"/>
      <c r="B11" s="20"/>
      <c r="C11" s="20"/>
      <c r="D11" s="20"/>
      <c r="E11" s="20"/>
      <c r="F11" s="21"/>
      <c r="G11" s="21"/>
      <c r="H11" s="21"/>
      <c r="I11" s="21"/>
      <c r="J11" s="20"/>
      <c r="K11" s="17"/>
      <c r="L11" s="17"/>
      <c r="M11" s="20"/>
      <c r="N11" s="17"/>
    </row>
    <row r="12" spans="1:14" ht="15" customHeight="1" x14ac:dyDescent="0.3">
      <c r="A12" s="22"/>
      <c r="B12" s="23"/>
      <c r="C12" s="23"/>
      <c r="D12" s="23"/>
      <c r="E12" s="23"/>
      <c r="F12" s="24"/>
      <c r="G12" s="24"/>
      <c r="H12" s="24"/>
      <c r="I12" s="24"/>
      <c r="J12" s="23"/>
      <c r="K12" s="14"/>
      <c r="L12" s="14"/>
      <c r="M12" s="23"/>
      <c r="N12" s="14"/>
    </row>
    <row r="13" spans="1:14" ht="15" customHeight="1" x14ac:dyDescent="0.3">
      <c r="A13" s="25"/>
      <c r="B13" s="20"/>
      <c r="C13" s="20"/>
      <c r="D13" s="20"/>
      <c r="E13" s="20"/>
      <c r="F13" s="21"/>
      <c r="G13" s="21"/>
      <c r="H13" s="21"/>
      <c r="I13" s="21"/>
      <c r="J13" s="20"/>
      <c r="K13" s="17"/>
      <c r="L13" s="17"/>
      <c r="M13" s="20"/>
      <c r="N13" s="17"/>
    </row>
    <row r="14" spans="1:14" ht="15" customHeight="1" x14ac:dyDescent="0.3">
      <c r="A14" s="22"/>
      <c r="B14" s="23"/>
      <c r="C14" s="23"/>
      <c r="D14" s="23"/>
      <c r="E14" s="23"/>
      <c r="F14" s="24"/>
      <c r="G14" s="24"/>
      <c r="H14" s="24"/>
      <c r="I14" s="24"/>
      <c r="J14" s="23"/>
      <c r="K14" s="14"/>
      <c r="L14" s="14"/>
      <c r="M14" s="23"/>
      <c r="N14" s="14"/>
    </row>
    <row r="15" spans="1:14" ht="15" customHeight="1" x14ac:dyDescent="0.3">
      <c r="A15" s="25"/>
      <c r="B15" s="20"/>
      <c r="C15" s="20"/>
      <c r="D15" s="20"/>
      <c r="E15" s="20"/>
      <c r="F15" s="21"/>
      <c r="G15" s="21"/>
      <c r="H15" s="21"/>
      <c r="I15" s="21"/>
      <c r="J15" s="20"/>
      <c r="K15" s="17"/>
      <c r="L15" s="17"/>
      <c r="M15" s="20"/>
      <c r="N15" s="17"/>
    </row>
    <row r="16" spans="1:14" ht="15" customHeight="1" x14ac:dyDescent="0.3">
      <c r="A16" s="22"/>
      <c r="B16" s="23"/>
      <c r="C16" s="23"/>
      <c r="D16" s="23"/>
      <c r="E16" s="23"/>
      <c r="F16" s="24"/>
      <c r="G16" s="24"/>
      <c r="H16" s="24"/>
      <c r="I16" s="24"/>
      <c r="J16" s="23"/>
      <c r="K16" s="14"/>
      <c r="L16" s="14"/>
      <c r="M16" s="23"/>
      <c r="N16" s="14"/>
    </row>
    <row r="17" spans="1:14" ht="15" customHeight="1" x14ac:dyDescent="0.3">
      <c r="A17" s="25"/>
      <c r="B17" s="20"/>
      <c r="C17" s="20"/>
      <c r="D17" s="20"/>
      <c r="E17" s="20"/>
      <c r="F17" s="21"/>
      <c r="G17" s="21"/>
      <c r="H17" s="21"/>
      <c r="I17" s="21"/>
      <c r="J17" s="20"/>
      <c r="K17" s="17"/>
      <c r="L17" s="17"/>
      <c r="M17" s="20"/>
      <c r="N17" s="17"/>
    </row>
    <row r="18" spans="1:14" ht="15" customHeight="1" x14ac:dyDescent="0.3">
      <c r="A18" s="22"/>
      <c r="B18" s="23"/>
      <c r="C18" s="23"/>
      <c r="D18" s="23"/>
      <c r="E18" s="23"/>
      <c r="F18" s="24"/>
      <c r="G18" s="24"/>
      <c r="H18" s="24"/>
      <c r="I18" s="24"/>
      <c r="J18" s="23"/>
      <c r="K18" s="14"/>
      <c r="L18" s="14"/>
      <c r="M18" s="23"/>
      <c r="N18" s="14"/>
    </row>
    <row r="19" spans="1:14" ht="15" customHeight="1" x14ac:dyDescent="0.3">
      <c r="A19" s="25"/>
      <c r="B19" s="20"/>
      <c r="C19" s="20"/>
      <c r="D19" s="20"/>
      <c r="E19" s="20"/>
      <c r="F19" s="21"/>
      <c r="G19" s="21"/>
      <c r="H19" s="21"/>
      <c r="I19" s="21"/>
      <c r="J19" s="20"/>
      <c r="K19" s="17"/>
      <c r="L19" s="17"/>
      <c r="M19" s="20"/>
      <c r="N19" s="17"/>
    </row>
    <row r="20" spans="1:14" ht="15" customHeight="1" x14ac:dyDescent="0.3">
      <c r="A20" s="22"/>
      <c r="B20" s="23"/>
      <c r="C20" s="23"/>
      <c r="D20" s="23"/>
      <c r="E20" s="23"/>
      <c r="F20" s="24"/>
      <c r="G20" s="24"/>
      <c r="H20" s="24"/>
      <c r="I20" s="24"/>
      <c r="J20" s="23"/>
      <c r="K20" s="14"/>
      <c r="L20" s="14"/>
      <c r="M20" s="23"/>
      <c r="N20" s="14"/>
    </row>
    <row r="21" spans="1:14" ht="15" customHeight="1" x14ac:dyDescent="0.3">
      <c r="A21" s="25"/>
      <c r="B21" s="20"/>
      <c r="C21" s="20"/>
      <c r="D21" s="20"/>
      <c r="E21" s="20"/>
      <c r="F21" s="21"/>
      <c r="G21" s="21"/>
      <c r="H21" s="21"/>
      <c r="I21" s="21"/>
      <c r="J21" s="20"/>
      <c r="K21" s="17"/>
      <c r="L21" s="17"/>
      <c r="M21" s="20"/>
      <c r="N21" s="17"/>
    </row>
    <row r="22" spans="1:14" ht="15" customHeight="1" x14ac:dyDescent="0.3">
      <c r="A22" s="22"/>
      <c r="B22" s="23"/>
      <c r="C22" s="23"/>
      <c r="D22" s="23"/>
      <c r="E22" s="23"/>
      <c r="F22" s="24"/>
      <c r="G22" s="24"/>
      <c r="H22" s="24"/>
      <c r="I22" s="24"/>
      <c r="J22" s="23"/>
      <c r="K22" s="14"/>
      <c r="L22" s="14"/>
      <c r="M22" s="23"/>
      <c r="N22" s="14"/>
    </row>
    <row r="23" spans="1:14" ht="15" customHeight="1" x14ac:dyDescent="0.3">
      <c r="A23" s="25"/>
      <c r="B23" s="20"/>
      <c r="C23" s="20"/>
      <c r="D23" s="20"/>
      <c r="E23" s="20"/>
      <c r="F23" s="21"/>
      <c r="G23" s="21"/>
      <c r="H23" s="21"/>
      <c r="I23" s="21"/>
      <c r="J23" s="20"/>
      <c r="K23" s="17"/>
      <c r="L23" s="17"/>
      <c r="M23" s="20"/>
      <c r="N23" s="17"/>
    </row>
    <row r="24" spans="1:14" ht="15" customHeight="1" x14ac:dyDescent="0.3">
      <c r="A24" s="22"/>
      <c r="B24" s="23"/>
      <c r="C24" s="23"/>
      <c r="D24" s="23"/>
      <c r="E24" s="23"/>
      <c r="F24" s="24"/>
      <c r="G24" s="24"/>
      <c r="H24" s="24"/>
      <c r="I24" s="24"/>
      <c r="J24" s="23"/>
      <c r="K24" s="14"/>
      <c r="L24" s="14"/>
      <c r="M24" s="23"/>
      <c r="N24" s="14"/>
    </row>
    <row r="25" spans="1:14" ht="15" customHeight="1" x14ac:dyDescent="0.3">
      <c r="A25" s="25"/>
      <c r="B25" s="20"/>
      <c r="C25" s="20"/>
      <c r="D25" s="20"/>
      <c r="E25" s="20"/>
      <c r="F25" s="21"/>
      <c r="G25" s="21"/>
      <c r="H25" s="21"/>
      <c r="I25" s="21"/>
      <c r="J25" s="20"/>
      <c r="K25" s="17"/>
      <c r="L25" s="17"/>
      <c r="M25" s="20"/>
      <c r="N25" s="17"/>
    </row>
    <row r="26" spans="1:14" ht="15" customHeight="1" x14ac:dyDescent="0.3">
      <c r="A26" s="22"/>
      <c r="B26" s="23"/>
      <c r="C26" s="23"/>
      <c r="D26" s="23"/>
      <c r="E26" s="23"/>
      <c r="F26" s="24"/>
      <c r="G26" s="24"/>
      <c r="H26" s="24"/>
      <c r="I26" s="24"/>
      <c r="J26" s="23"/>
      <c r="K26" s="14"/>
      <c r="L26" s="14"/>
      <c r="M26" s="23"/>
      <c r="N26" s="14"/>
    </row>
    <row r="27" spans="1:14" ht="15" customHeight="1" x14ac:dyDescent="0.3">
      <c r="A27" s="25"/>
      <c r="B27" s="20"/>
      <c r="C27" s="20"/>
      <c r="D27" s="20"/>
      <c r="E27" s="20"/>
      <c r="F27" s="21"/>
      <c r="G27" s="21"/>
      <c r="H27" s="21"/>
      <c r="I27" s="21"/>
      <c r="J27" s="20"/>
      <c r="K27" s="17"/>
      <c r="L27" s="17"/>
      <c r="M27" s="20"/>
      <c r="N27" s="17"/>
    </row>
    <row r="28" spans="1:14" ht="15" customHeight="1" x14ac:dyDescent="0.3">
      <c r="A28" s="22"/>
      <c r="B28" s="23"/>
      <c r="C28" s="23"/>
      <c r="D28" s="23"/>
      <c r="E28" s="23"/>
      <c r="F28" s="24"/>
      <c r="G28" s="24"/>
      <c r="H28" s="24"/>
      <c r="I28" s="24"/>
      <c r="J28" s="23"/>
      <c r="K28" s="14"/>
      <c r="L28" s="14"/>
      <c r="M28" s="23"/>
      <c r="N28" s="14"/>
    </row>
    <row r="29" spans="1:14" ht="15" customHeight="1" x14ac:dyDescent="0.3">
      <c r="A29" s="25"/>
      <c r="B29" s="20"/>
      <c r="C29" s="20"/>
      <c r="D29" s="20"/>
      <c r="E29" s="20"/>
      <c r="F29" s="21"/>
      <c r="G29" s="21"/>
      <c r="H29" s="21"/>
      <c r="I29" s="21"/>
      <c r="J29" s="20"/>
      <c r="K29" s="17"/>
      <c r="L29" s="17"/>
      <c r="M29" s="20"/>
      <c r="N29" s="17"/>
    </row>
    <row r="30" spans="1:14" ht="15" customHeight="1" x14ac:dyDescent="0.3">
      <c r="A30" s="22"/>
      <c r="B30" s="23"/>
      <c r="C30" s="23"/>
      <c r="D30" s="23"/>
      <c r="E30" s="23"/>
      <c r="F30" s="24"/>
      <c r="G30" s="24"/>
      <c r="H30" s="24"/>
      <c r="I30" s="24"/>
      <c r="J30" s="23"/>
      <c r="K30" s="14"/>
      <c r="L30" s="14"/>
      <c r="M30" s="23"/>
      <c r="N30" s="14"/>
    </row>
    <row r="31" spans="1:14" ht="15" customHeight="1" x14ac:dyDescent="0.3">
      <c r="A31" s="25"/>
      <c r="B31" s="20"/>
      <c r="C31" s="20"/>
      <c r="D31" s="20"/>
      <c r="E31" s="20"/>
      <c r="F31" s="21"/>
      <c r="G31" s="21"/>
      <c r="H31" s="21"/>
      <c r="I31" s="21"/>
      <c r="J31" s="20"/>
      <c r="K31" s="17"/>
      <c r="L31" s="17"/>
      <c r="M31" s="20"/>
      <c r="N31" s="17"/>
    </row>
    <row r="32" spans="1:14" ht="15" customHeight="1" x14ac:dyDescent="0.3">
      <c r="A32" s="22"/>
      <c r="B32" s="23"/>
      <c r="C32" s="23"/>
      <c r="D32" s="23"/>
      <c r="E32" s="23"/>
      <c r="F32" s="24"/>
      <c r="G32" s="24"/>
      <c r="H32" s="24"/>
      <c r="I32" s="24"/>
      <c r="J32" s="23"/>
      <c r="K32" s="14"/>
      <c r="L32" s="14"/>
      <c r="M32" s="23"/>
      <c r="N32" s="14"/>
    </row>
    <row r="33" spans="1:14" ht="15" customHeight="1" x14ac:dyDescent="0.3">
      <c r="A33" s="25"/>
      <c r="B33" s="20"/>
      <c r="C33" s="20"/>
      <c r="D33" s="20"/>
      <c r="E33" s="20"/>
      <c r="F33" s="21"/>
      <c r="G33" s="21"/>
      <c r="H33" s="21"/>
      <c r="I33" s="21"/>
      <c r="J33" s="20"/>
      <c r="K33" s="17"/>
      <c r="L33" s="17"/>
      <c r="M33" s="20"/>
      <c r="N33" s="17"/>
    </row>
    <row r="34" spans="1:14" ht="15" customHeight="1" x14ac:dyDescent="0.3">
      <c r="A34" s="22"/>
      <c r="B34" s="23"/>
      <c r="C34" s="23"/>
      <c r="D34" s="23"/>
      <c r="E34" s="23"/>
      <c r="F34" s="24"/>
      <c r="G34" s="24"/>
      <c r="H34" s="24"/>
      <c r="I34" s="24"/>
      <c r="J34" s="23"/>
      <c r="K34" s="14"/>
      <c r="L34" s="14"/>
      <c r="M34" s="23"/>
      <c r="N34" s="14"/>
    </row>
    <row r="35" spans="1:14" ht="15" customHeight="1" x14ac:dyDescent="0.3">
      <c r="A35" s="25"/>
      <c r="B35" s="20"/>
      <c r="C35" s="20"/>
      <c r="D35" s="20"/>
      <c r="E35" s="20"/>
      <c r="F35" s="21"/>
      <c r="G35" s="21"/>
      <c r="H35" s="21"/>
      <c r="I35" s="21"/>
      <c r="J35" s="20"/>
      <c r="K35" s="17"/>
      <c r="L35" s="17"/>
      <c r="M35" s="20"/>
      <c r="N35" s="17"/>
    </row>
    <row r="36" spans="1:14" ht="15" customHeight="1" x14ac:dyDescent="0.3">
      <c r="A36" s="22"/>
      <c r="B36" s="23"/>
      <c r="C36" s="23"/>
      <c r="D36" s="23"/>
      <c r="E36" s="23"/>
      <c r="F36" s="24"/>
      <c r="G36" s="24"/>
      <c r="H36" s="24"/>
      <c r="I36" s="24"/>
      <c r="J36" s="23"/>
      <c r="K36" s="14"/>
      <c r="L36" s="14"/>
      <c r="M36" s="23"/>
      <c r="N36" s="14"/>
    </row>
    <row r="37" spans="1:14" ht="15" customHeight="1" x14ac:dyDescent="0.3">
      <c r="A37" s="25"/>
      <c r="B37" s="20"/>
      <c r="C37" s="20"/>
      <c r="D37" s="20"/>
      <c r="E37" s="20"/>
      <c r="F37" s="21"/>
      <c r="G37" s="21"/>
      <c r="H37" s="21"/>
      <c r="I37" s="21"/>
      <c r="J37" s="20"/>
      <c r="K37" s="17"/>
      <c r="L37" s="17"/>
      <c r="M37" s="20"/>
      <c r="N37" s="17"/>
    </row>
    <row r="38" spans="1:14" ht="15" customHeight="1" x14ac:dyDescent="0.3">
      <c r="A38" s="22"/>
      <c r="B38" s="23"/>
      <c r="C38" s="23"/>
      <c r="D38" s="23"/>
      <c r="E38" s="23"/>
      <c r="F38" s="24"/>
      <c r="G38" s="24"/>
      <c r="H38" s="24"/>
      <c r="I38" s="24"/>
      <c r="J38" s="23"/>
      <c r="K38" s="14"/>
      <c r="L38" s="14"/>
      <c r="M38" s="23"/>
      <c r="N38" s="14"/>
    </row>
    <row r="39" spans="1:14" ht="15" customHeight="1" x14ac:dyDescent="0.3">
      <c r="A39" s="25"/>
      <c r="B39" s="20"/>
      <c r="C39" s="20"/>
      <c r="D39" s="20"/>
      <c r="E39" s="20"/>
      <c r="F39" s="21"/>
      <c r="G39" s="21"/>
      <c r="H39" s="21"/>
      <c r="I39" s="21"/>
      <c r="J39" s="20"/>
      <c r="K39" s="17"/>
      <c r="L39" s="17"/>
      <c r="M39" s="20"/>
      <c r="N39" s="17"/>
    </row>
    <row r="40" spans="1:14" ht="15" customHeight="1" x14ac:dyDescent="0.3">
      <c r="A40" s="22"/>
      <c r="B40" s="23"/>
      <c r="C40" s="23"/>
      <c r="D40" s="23"/>
      <c r="E40" s="23"/>
      <c r="F40" s="24"/>
      <c r="G40" s="24"/>
      <c r="H40" s="24"/>
      <c r="I40" s="24"/>
      <c r="J40" s="23"/>
      <c r="K40" s="14"/>
      <c r="L40" s="14"/>
      <c r="M40" s="23"/>
      <c r="N40" s="14"/>
    </row>
    <row r="41" spans="1:14" ht="15" customHeight="1" x14ac:dyDescent="0.3">
      <c r="A41" s="25"/>
      <c r="B41" s="20"/>
      <c r="C41" s="20"/>
      <c r="D41" s="20"/>
      <c r="E41" s="20"/>
      <c r="F41" s="21"/>
      <c r="G41" s="21"/>
      <c r="H41" s="21"/>
      <c r="I41" s="21"/>
      <c r="J41" s="20"/>
      <c r="K41" s="17"/>
      <c r="L41" s="17"/>
      <c r="M41" s="20"/>
      <c r="N41" s="17"/>
    </row>
    <row r="42" spans="1:14" ht="15" customHeight="1" x14ac:dyDescent="0.3">
      <c r="A42" s="22"/>
      <c r="B42" s="23"/>
      <c r="C42" s="23"/>
      <c r="D42" s="23"/>
      <c r="E42" s="23"/>
      <c r="F42" s="24"/>
      <c r="G42" s="24"/>
      <c r="H42" s="24"/>
      <c r="I42" s="24"/>
      <c r="J42" s="23"/>
      <c r="K42" s="14"/>
      <c r="L42" s="14"/>
      <c r="M42" s="23"/>
      <c r="N42" s="14"/>
    </row>
    <row r="43" spans="1:14" ht="15" customHeight="1" x14ac:dyDescent="0.3">
      <c r="A43" s="25"/>
      <c r="B43" s="20"/>
      <c r="C43" s="20"/>
      <c r="D43" s="20"/>
      <c r="E43" s="20"/>
      <c r="F43" s="21"/>
      <c r="G43" s="21"/>
      <c r="H43" s="21"/>
      <c r="I43" s="21"/>
      <c r="J43" s="20"/>
      <c r="K43" s="17"/>
      <c r="L43" s="17"/>
      <c r="M43" s="20"/>
      <c r="N43" s="17"/>
    </row>
    <row r="44" spans="1:14" ht="15" customHeight="1" x14ac:dyDescent="0.3">
      <c r="A44" s="22"/>
      <c r="B44" s="23"/>
      <c r="C44" s="23"/>
      <c r="D44" s="23"/>
      <c r="E44" s="23"/>
      <c r="F44" s="24"/>
      <c r="G44" s="24"/>
      <c r="H44" s="24"/>
      <c r="I44" s="24"/>
      <c r="J44" s="23"/>
      <c r="K44" s="14"/>
      <c r="L44" s="14"/>
      <c r="M44" s="23"/>
      <c r="N44" s="14"/>
    </row>
    <row r="45" spans="1:14" ht="15" customHeight="1" x14ac:dyDescent="0.3">
      <c r="A45" s="25"/>
      <c r="B45" s="20"/>
      <c r="C45" s="20"/>
      <c r="D45" s="20"/>
      <c r="E45" s="20"/>
      <c r="F45" s="21"/>
      <c r="G45" s="21"/>
      <c r="H45" s="21"/>
      <c r="I45" s="21"/>
      <c r="J45" s="20"/>
      <c r="K45" s="17"/>
      <c r="L45" s="17"/>
      <c r="M45" s="20"/>
      <c r="N45" s="17"/>
    </row>
    <row r="46" spans="1:14" ht="15" customHeight="1" x14ac:dyDescent="0.3">
      <c r="A46" s="22"/>
      <c r="B46" s="23"/>
      <c r="C46" s="23"/>
      <c r="D46" s="23"/>
      <c r="E46" s="23"/>
      <c r="F46" s="24"/>
      <c r="G46" s="24"/>
      <c r="H46" s="24"/>
      <c r="I46" s="24"/>
      <c r="J46" s="23"/>
      <c r="K46" s="14"/>
      <c r="L46" s="14"/>
      <c r="M46" s="23"/>
      <c r="N46" s="14"/>
    </row>
    <row r="47" spans="1:14" ht="15" customHeight="1" x14ac:dyDescent="0.3">
      <c r="A47" s="25"/>
      <c r="B47" s="20"/>
      <c r="C47" s="20"/>
      <c r="D47" s="20"/>
      <c r="E47" s="20"/>
      <c r="F47" s="21"/>
      <c r="G47" s="21"/>
      <c r="H47" s="21"/>
      <c r="I47" s="21"/>
      <c r="J47" s="20"/>
      <c r="K47" s="17"/>
      <c r="L47" s="17"/>
      <c r="M47" s="20"/>
      <c r="N47" s="17"/>
    </row>
    <row r="48" spans="1:14" ht="15" customHeight="1" x14ac:dyDescent="0.3">
      <c r="A48" s="22"/>
      <c r="B48" s="23"/>
      <c r="C48" s="23"/>
      <c r="D48" s="23"/>
      <c r="E48" s="23"/>
      <c r="F48" s="24"/>
      <c r="G48" s="24"/>
      <c r="H48" s="24"/>
      <c r="I48" s="24"/>
      <c r="J48" s="23"/>
      <c r="K48" s="14"/>
      <c r="L48" s="14"/>
      <c r="M48" s="23"/>
      <c r="N48" s="14"/>
    </row>
    <row r="49" spans="1:14" ht="15" customHeight="1" x14ac:dyDescent="0.3">
      <c r="A49" s="25"/>
      <c r="B49" s="20"/>
      <c r="C49" s="20"/>
      <c r="D49" s="20"/>
      <c r="E49" s="20"/>
      <c r="F49" s="21"/>
      <c r="G49" s="21"/>
      <c r="H49" s="21"/>
      <c r="I49" s="21"/>
      <c r="J49" s="20"/>
      <c r="K49" s="17"/>
      <c r="L49" s="17"/>
      <c r="M49" s="20"/>
      <c r="N49" s="17"/>
    </row>
    <row r="50" spans="1:14" ht="15" customHeight="1" x14ac:dyDescent="0.3">
      <c r="A50" s="22"/>
      <c r="B50" s="23"/>
      <c r="C50" s="23"/>
      <c r="D50" s="23"/>
      <c r="E50" s="23"/>
      <c r="F50" s="24"/>
      <c r="G50" s="24"/>
      <c r="H50" s="24"/>
      <c r="I50" s="24"/>
      <c r="J50" s="23"/>
      <c r="K50" s="14"/>
      <c r="L50" s="14"/>
      <c r="M50" s="23"/>
      <c r="N50" s="14"/>
    </row>
    <row r="51" spans="1:14" ht="15" customHeight="1" x14ac:dyDescent="0.3">
      <c r="A51" s="25"/>
      <c r="B51" s="20"/>
      <c r="C51" s="20"/>
      <c r="D51" s="20"/>
      <c r="E51" s="20"/>
      <c r="F51" s="21"/>
      <c r="G51" s="21"/>
      <c r="H51" s="21"/>
      <c r="I51" s="21"/>
      <c r="J51" s="20"/>
      <c r="K51" s="17"/>
      <c r="L51" s="17"/>
      <c r="M51" s="20"/>
      <c r="N51" s="17"/>
    </row>
    <row r="52" spans="1:14" ht="15" customHeight="1" x14ac:dyDescent="0.3">
      <c r="A52" s="22"/>
      <c r="B52" s="23"/>
      <c r="C52" s="23"/>
      <c r="D52" s="23"/>
      <c r="E52" s="23"/>
      <c r="F52" s="24"/>
      <c r="G52" s="24"/>
      <c r="H52" s="24"/>
      <c r="I52" s="24"/>
      <c r="J52" s="23"/>
      <c r="K52" s="14"/>
      <c r="L52" s="14"/>
      <c r="M52" s="23"/>
      <c r="N52" s="14"/>
    </row>
    <row r="53" spans="1:14" ht="15" customHeight="1" x14ac:dyDescent="0.3">
      <c r="A53" s="25"/>
      <c r="B53" s="20"/>
      <c r="C53" s="20"/>
      <c r="D53" s="20"/>
      <c r="E53" s="20"/>
      <c r="F53" s="21"/>
      <c r="G53" s="21"/>
      <c r="H53" s="21"/>
      <c r="I53" s="21"/>
      <c r="J53" s="20"/>
      <c r="K53" s="17"/>
      <c r="L53" s="17"/>
      <c r="M53" s="20"/>
      <c r="N53" s="17"/>
    </row>
    <row r="54" spans="1:14" ht="15" customHeight="1" x14ac:dyDescent="0.3">
      <c r="A54" s="22"/>
      <c r="B54" s="23"/>
      <c r="C54" s="23"/>
      <c r="D54" s="23"/>
      <c r="E54" s="23"/>
      <c r="F54" s="24"/>
      <c r="G54" s="24"/>
      <c r="H54" s="24"/>
      <c r="I54" s="24"/>
      <c r="J54" s="23"/>
      <c r="K54" s="14"/>
      <c r="L54" s="14"/>
      <c r="M54" s="23"/>
      <c r="N54" s="14"/>
    </row>
    <row r="55" spans="1:14" ht="15" customHeight="1" x14ac:dyDescent="0.3">
      <c r="A55" s="25"/>
      <c r="B55" s="20"/>
      <c r="C55" s="20"/>
      <c r="D55" s="20"/>
      <c r="E55" s="20"/>
      <c r="F55" s="21"/>
      <c r="G55" s="21"/>
      <c r="H55" s="21"/>
      <c r="I55" s="21"/>
      <c r="J55" s="20"/>
      <c r="K55" s="17"/>
      <c r="L55" s="17"/>
      <c r="M55" s="20"/>
      <c r="N55" s="17"/>
    </row>
    <row r="56" spans="1:14" ht="15" customHeight="1" x14ac:dyDescent="0.3">
      <c r="A56" s="22"/>
      <c r="B56" s="23"/>
      <c r="C56" s="23"/>
      <c r="D56" s="23"/>
      <c r="E56" s="23"/>
      <c r="F56" s="24"/>
      <c r="G56" s="24"/>
      <c r="H56" s="24"/>
      <c r="I56" s="24"/>
      <c r="J56" s="23"/>
      <c r="K56" s="14"/>
      <c r="L56" s="14"/>
      <c r="M56" s="23"/>
      <c r="N56" s="14"/>
    </row>
    <row r="57" spans="1:14" ht="15" customHeight="1" x14ac:dyDescent="0.3">
      <c r="A57" s="25"/>
      <c r="B57" s="20"/>
      <c r="C57" s="20"/>
      <c r="D57" s="20"/>
      <c r="E57" s="20"/>
      <c r="F57" s="21"/>
      <c r="G57" s="21"/>
      <c r="H57" s="21"/>
      <c r="I57" s="21"/>
      <c r="J57" s="20"/>
      <c r="K57" s="17"/>
      <c r="L57" s="17"/>
      <c r="M57" s="20"/>
      <c r="N57" s="17"/>
    </row>
    <row r="58" spans="1:14" ht="15" customHeight="1" x14ac:dyDescent="0.3">
      <c r="A58" s="22"/>
      <c r="B58" s="23"/>
      <c r="C58" s="23"/>
      <c r="D58" s="23"/>
      <c r="E58" s="23"/>
      <c r="F58" s="24"/>
      <c r="G58" s="24"/>
      <c r="H58" s="24"/>
      <c r="I58" s="24"/>
      <c r="J58" s="23"/>
      <c r="K58" s="14"/>
      <c r="L58" s="14"/>
      <c r="M58" s="23"/>
      <c r="N58" s="14"/>
    </row>
    <row r="59" spans="1:14" ht="15" customHeight="1" x14ac:dyDescent="0.3">
      <c r="A59" s="25"/>
      <c r="B59" s="20"/>
      <c r="C59" s="20"/>
      <c r="D59" s="20"/>
      <c r="E59" s="20"/>
      <c r="F59" s="21"/>
      <c r="G59" s="21"/>
      <c r="H59" s="21"/>
      <c r="I59" s="21"/>
      <c r="J59" s="20"/>
      <c r="K59" s="17"/>
      <c r="L59" s="17"/>
      <c r="M59" s="20"/>
      <c r="N59" s="17"/>
    </row>
    <row r="60" spans="1:14" ht="15" customHeight="1" x14ac:dyDescent="0.3">
      <c r="A60" s="22"/>
      <c r="B60" s="23"/>
      <c r="C60" s="23"/>
      <c r="D60" s="23"/>
      <c r="E60" s="23"/>
      <c r="F60" s="24"/>
      <c r="G60" s="24"/>
      <c r="H60" s="24"/>
      <c r="I60" s="24"/>
      <c r="J60" s="23"/>
      <c r="K60" s="14"/>
      <c r="L60" s="14"/>
      <c r="M60" s="23"/>
      <c r="N60" s="14"/>
    </row>
    <row r="61" spans="1:14" ht="15" customHeight="1" x14ac:dyDescent="0.3">
      <c r="A61" s="25"/>
      <c r="B61" s="20"/>
      <c r="C61" s="20"/>
      <c r="D61" s="20"/>
      <c r="E61" s="20"/>
      <c r="F61" s="21"/>
      <c r="G61" s="21"/>
      <c r="H61" s="21"/>
      <c r="I61" s="21"/>
      <c r="J61" s="20"/>
      <c r="K61" s="17"/>
      <c r="L61" s="17"/>
      <c r="M61" s="20"/>
      <c r="N61" s="17"/>
    </row>
    <row r="62" spans="1:14" ht="15" customHeight="1" x14ac:dyDescent="0.3">
      <c r="A62" s="22"/>
      <c r="B62" s="23"/>
      <c r="C62" s="23"/>
      <c r="D62" s="23"/>
      <c r="E62" s="23"/>
      <c r="F62" s="24"/>
      <c r="G62" s="24"/>
      <c r="H62" s="24"/>
      <c r="I62" s="24"/>
      <c r="J62" s="23"/>
      <c r="K62" s="14"/>
      <c r="L62" s="14"/>
      <c r="M62" s="23"/>
      <c r="N62" s="14"/>
    </row>
    <row r="63" spans="1:14" ht="15" customHeight="1" x14ac:dyDescent="0.3">
      <c r="A63" s="25"/>
      <c r="B63" s="20"/>
      <c r="C63" s="20"/>
      <c r="D63" s="20"/>
      <c r="E63" s="20"/>
      <c r="F63" s="21"/>
      <c r="G63" s="21"/>
      <c r="H63" s="21"/>
      <c r="I63" s="21"/>
      <c r="J63" s="20"/>
      <c r="K63" s="17"/>
      <c r="L63" s="17"/>
      <c r="M63" s="20"/>
      <c r="N63" s="17"/>
    </row>
    <row r="64" spans="1:14" ht="15" customHeight="1" x14ac:dyDescent="0.3">
      <c r="A64" s="22"/>
      <c r="B64" s="23"/>
      <c r="C64" s="23"/>
      <c r="D64" s="23"/>
      <c r="E64" s="23"/>
      <c r="F64" s="24"/>
      <c r="G64" s="24"/>
      <c r="H64" s="24"/>
      <c r="I64" s="24"/>
      <c r="J64" s="23"/>
      <c r="K64" s="14"/>
      <c r="L64" s="14"/>
      <c r="M64" s="23"/>
      <c r="N64" s="14"/>
    </row>
    <row r="65" spans="1:14" ht="15" customHeight="1" x14ac:dyDescent="0.3">
      <c r="A65" s="25"/>
      <c r="B65" s="20"/>
      <c r="C65" s="20"/>
      <c r="D65" s="20"/>
      <c r="E65" s="20"/>
      <c r="F65" s="21"/>
      <c r="G65" s="21"/>
      <c r="H65" s="21"/>
      <c r="I65" s="21"/>
      <c r="J65" s="20"/>
      <c r="K65" s="17"/>
      <c r="L65" s="17"/>
      <c r="M65" s="20"/>
      <c r="N65" s="17"/>
    </row>
    <row r="66" spans="1:14" ht="15" customHeight="1" x14ac:dyDescent="0.3">
      <c r="A66" s="22"/>
      <c r="B66" s="23"/>
      <c r="C66" s="23"/>
      <c r="D66" s="23"/>
      <c r="E66" s="23"/>
      <c r="F66" s="24"/>
      <c r="G66" s="24"/>
      <c r="H66" s="24"/>
      <c r="I66" s="24"/>
      <c r="J66" s="23"/>
      <c r="K66" s="14"/>
      <c r="L66" s="14"/>
      <c r="M66" s="23"/>
      <c r="N66" s="14"/>
    </row>
    <row r="67" spans="1:14" ht="15" customHeight="1" x14ac:dyDescent="0.3">
      <c r="A67" s="25"/>
      <c r="B67" s="20"/>
      <c r="C67" s="20"/>
      <c r="D67" s="20"/>
      <c r="E67" s="20"/>
      <c r="F67" s="21"/>
      <c r="G67" s="21"/>
      <c r="H67" s="21"/>
      <c r="I67" s="21"/>
      <c r="J67" s="20"/>
      <c r="K67" s="17"/>
      <c r="L67" s="17"/>
      <c r="M67" s="20"/>
      <c r="N67" s="17"/>
    </row>
    <row r="68" spans="1:14" ht="15" customHeight="1" x14ac:dyDescent="0.3">
      <c r="A68" s="22"/>
      <c r="B68" s="23"/>
      <c r="C68" s="23"/>
      <c r="D68" s="23"/>
      <c r="E68" s="23"/>
      <c r="F68" s="24"/>
      <c r="G68" s="24"/>
      <c r="H68" s="24"/>
      <c r="I68" s="24"/>
      <c r="J68" s="23"/>
      <c r="K68" s="14"/>
      <c r="L68" s="14"/>
      <c r="M68" s="23"/>
      <c r="N68" s="14"/>
    </row>
    <row r="69" spans="1:14" ht="15" customHeight="1" x14ac:dyDescent="0.3">
      <c r="A69" s="25"/>
      <c r="B69" s="20"/>
      <c r="C69" s="20"/>
      <c r="D69" s="20"/>
      <c r="E69" s="20"/>
      <c r="F69" s="21"/>
      <c r="G69" s="21"/>
      <c r="H69" s="21"/>
      <c r="I69" s="21"/>
      <c r="J69" s="20"/>
      <c r="K69" s="17"/>
      <c r="L69" s="17"/>
      <c r="M69" s="20"/>
      <c r="N69" s="17"/>
    </row>
    <row r="70" spans="1:14" ht="15" customHeight="1" x14ac:dyDescent="0.3">
      <c r="A70" s="22"/>
      <c r="B70" s="23"/>
      <c r="C70" s="23"/>
      <c r="D70" s="23"/>
      <c r="E70" s="23"/>
      <c r="F70" s="24"/>
      <c r="G70" s="24"/>
      <c r="H70" s="24"/>
      <c r="I70" s="24"/>
      <c r="J70" s="23"/>
      <c r="K70" s="14"/>
      <c r="L70" s="14"/>
      <c r="M70" s="23"/>
      <c r="N70" s="14"/>
    </row>
    <row r="71" spans="1:14" ht="15" customHeight="1" x14ac:dyDescent="0.3">
      <c r="A71" s="25"/>
      <c r="B71" s="20"/>
      <c r="C71" s="20"/>
      <c r="D71" s="20"/>
      <c r="E71" s="20"/>
      <c r="F71" s="21"/>
      <c r="G71" s="21"/>
      <c r="H71" s="21"/>
      <c r="I71" s="21"/>
      <c r="J71" s="20"/>
      <c r="K71" s="17"/>
      <c r="L71" s="17"/>
      <c r="M71" s="20"/>
      <c r="N71" s="17"/>
    </row>
    <row r="72" spans="1:14" ht="15" customHeight="1" x14ac:dyDescent="0.3">
      <c r="A72" s="22"/>
      <c r="B72" s="23"/>
      <c r="C72" s="23"/>
      <c r="D72" s="23"/>
      <c r="E72" s="23"/>
      <c r="F72" s="24"/>
      <c r="G72" s="24"/>
      <c r="H72" s="24"/>
      <c r="I72" s="24"/>
      <c r="J72" s="23"/>
      <c r="K72" s="14"/>
      <c r="L72" s="14"/>
      <c r="M72" s="23"/>
      <c r="N72" s="14"/>
    </row>
    <row r="73" spans="1:14" ht="15" customHeight="1" x14ac:dyDescent="0.3">
      <c r="A73" s="25"/>
      <c r="B73" s="20"/>
      <c r="C73" s="20"/>
      <c r="D73" s="20"/>
      <c r="E73" s="20"/>
      <c r="F73" s="21"/>
      <c r="G73" s="21"/>
      <c r="H73" s="21"/>
      <c r="I73" s="21"/>
      <c r="J73" s="20"/>
      <c r="K73" s="17"/>
      <c r="L73" s="17"/>
      <c r="M73" s="20"/>
      <c r="N73" s="17"/>
    </row>
    <row r="74" spans="1:14" ht="15" customHeight="1" x14ac:dyDescent="0.3">
      <c r="A74" s="22"/>
      <c r="B74" s="23"/>
      <c r="C74" s="23"/>
      <c r="D74" s="23"/>
      <c r="E74" s="23"/>
      <c r="F74" s="24"/>
      <c r="G74" s="24"/>
      <c r="H74" s="24"/>
      <c r="I74" s="24"/>
      <c r="J74" s="23"/>
      <c r="K74" s="14"/>
      <c r="L74" s="14"/>
      <c r="M74" s="23"/>
      <c r="N74" s="14"/>
    </row>
    <row r="75" spans="1:14" ht="15" customHeight="1" x14ac:dyDescent="0.3">
      <c r="A75" s="25"/>
      <c r="B75" s="20"/>
      <c r="C75" s="20"/>
      <c r="D75" s="20"/>
      <c r="E75" s="20"/>
      <c r="F75" s="21"/>
      <c r="G75" s="21"/>
      <c r="H75" s="21"/>
      <c r="I75" s="21"/>
      <c r="J75" s="20"/>
      <c r="K75" s="17"/>
      <c r="L75" s="17"/>
      <c r="M75" s="20"/>
      <c r="N75" s="17"/>
    </row>
    <row r="76" spans="1:14" ht="15" customHeight="1" x14ac:dyDescent="0.3">
      <c r="A76" s="22"/>
      <c r="B76" s="23"/>
      <c r="C76" s="23"/>
      <c r="D76" s="23"/>
      <c r="E76" s="23"/>
      <c r="F76" s="24"/>
      <c r="G76" s="24"/>
      <c r="H76" s="24"/>
      <c r="I76" s="24"/>
      <c r="J76" s="23"/>
      <c r="K76" s="14"/>
      <c r="L76" s="14"/>
      <c r="M76" s="23"/>
      <c r="N76" s="14"/>
    </row>
    <row r="77" spans="1:14" ht="15" customHeight="1" x14ac:dyDescent="0.3">
      <c r="A77" s="25"/>
      <c r="B77" s="20"/>
      <c r="C77" s="20"/>
      <c r="D77" s="20"/>
      <c r="E77" s="20"/>
      <c r="F77" s="21"/>
      <c r="G77" s="21"/>
      <c r="H77" s="21"/>
      <c r="I77" s="21"/>
      <c r="J77" s="20"/>
      <c r="K77" s="17"/>
      <c r="L77" s="17"/>
      <c r="M77" s="20"/>
      <c r="N77" s="17"/>
    </row>
    <row r="78" spans="1:14" ht="15" customHeight="1" x14ac:dyDescent="0.3">
      <c r="A78" s="22"/>
      <c r="B78" s="23"/>
      <c r="C78" s="23"/>
      <c r="D78" s="23"/>
      <c r="E78" s="23"/>
      <c r="F78" s="24"/>
      <c r="G78" s="24"/>
      <c r="H78" s="24"/>
      <c r="I78" s="24"/>
      <c r="J78" s="23"/>
      <c r="K78" s="14"/>
      <c r="L78" s="14"/>
      <c r="M78" s="23"/>
      <c r="N78" s="14"/>
    </row>
    <row r="79" spans="1:14" ht="15" customHeight="1" x14ac:dyDescent="0.3">
      <c r="A79" s="25"/>
      <c r="B79" s="20"/>
      <c r="C79" s="20"/>
      <c r="D79" s="20"/>
      <c r="E79" s="20"/>
      <c r="F79" s="21"/>
      <c r="G79" s="21"/>
      <c r="H79" s="21"/>
      <c r="I79" s="21"/>
      <c r="J79" s="20"/>
      <c r="K79" s="17"/>
      <c r="L79" s="17"/>
      <c r="M79" s="20"/>
      <c r="N79" s="17"/>
    </row>
    <row r="80" spans="1:14" ht="15" customHeight="1" x14ac:dyDescent="0.3">
      <c r="A80" s="22"/>
      <c r="B80" s="23"/>
      <c r="C80" s="23"/>
      <c r="D80" s="23"/>
      <c r="E80" s="23"/>
      <c r="F80" s="24"/>
      <c r="G80" s="24"/>
      <c r="H80" s="24"/>
      <c r="I80" s="24"/>
      <c r="J80" s="23"/>
      <c r="K80" s="14"/>
      <c r="L80" s="14"/>
      <c r="M80" s="23"/>
      <c r="N80" s="14"/>
    </row>
    <row r="81" spans="1:14" ht="15" customHeight="1" x14ac:dyDescent="0.3">
      <c r="A81" s="25"/>
      <c r="B81" s="20"/>
      <c r="C81" s="20"/>
      <c r="D81" s="20"/>
      <c r="E81" s="20"/>
      <c r="F81" s="21"/>
      <c r="G81" s="21"/>
      <c r="H81" s="21"/>
      <c r="I81" s="21"/>
      <c r="J81" s="20"/>
      <c r="K81" s="17"/>
      <c r="L81" s="17"/>
      <c r="M81" s="20"/>
      <c r="N81" s="17"/>
    </row>
    <row r="82" spans="1:14" ht="15" customHeight="1" x14ac:dyDescent="0.3">
      <c r="A82" s="22"/>
      <c r="B82" s="23"/>
      <c r="C82" s="23"/>
      <c r="D82" s="23"/>
      <c r="E82" s="23"/>
      <c r="F82" s="24"/>
      <c r="G82" s="24"/>
      <c r="H82" s="24"/>
      <c r="I82" s="24"/>
      <c r="J82" s="23"/>
      <c r="K82" s="14"/>
      <c r="L82" s="14"/>
      <c r="M82" s="23"/>
      <c r="N82" s="14"/>
    </row>
    <row r="83" spans="1:14" ht="15" customHeight="1" x14ac:dyDescent="0.3">
      <c r="A83" s="25"/>
      <c r="B83" s="20"/>
      <c r="C83" s="20"/>
      <c r="D83" s="20"/>
      <c r="E83" s="20"/>
      <c r="F83" s="21"/>
      <c r="G83" s="21"/>
      <c r="H83" s="21"/>
      <c r="I83" s="21"/>
      <c r="J83" s="20"/>
      <c r="K83" s="17"/>
      <c r="L83" s="17"/>
      <c r="M83" s="20"/>
      <c r="N83" s="17"/>
    </row>
    <row r="84" spans="1:14" ht="15" customHeight="1" x14ac:dyDescent="0.3">
      <c r="A84" s="22"/>
      <c r="B84" s="23"/>
      <c r="C84" s="23"/>
      <c r="D84" s="23"/>
      <c r="E84" s="23"/>
      <c r="F84" s="24"/>
      <c r="G84" s="24"/>
      <c r="H84" s="24"/>
      <c r="I84" s="24"/>
      <c r="J84" s="23"/>
      <c r="K84" s="14"/>
      <c r="L84" s="14"/>
      <c r="M84" s="23"/>
      <c r="N84" s="14"/>
    </row>
    <row r="85" spans="1:14" ht="15" customHeight="1" x14ac:dyDescent="0.3">
      <c r="A85" s="25"/>
      <c r="B85" s="20"/>
      <c r="C85" s="20"/>
      <c r="D85" s="20"/>
      <c r="E85" s="20"/>
      <c r="F85" s="21"/>
      <c r="G85" s="21"/>
      <c r="H85" s="21"/>
      <c r="I85" s="21"/>
      <c r="J85" s="20"/>
      <c r="K85" s="17"/>
      <c r="L85" s="17"/>
      <c r="M85" s="20"/>
      <c r="N85" s="17"/>
    </row>
    <row r="86" spans="1:14" ht="15" customHeight="1" x14ac:dyDescent="0.3">
      <c r="A86" s="22"/>
      <c r="B86" s="23"/>
      <c r="C86" s="23"/>
      <c r="D86" s="23"/>
      <c r="E86" s="23"/>
      <c r="F86" s="24"/>
      <c r="G86" s="24"/>
      <c r="H86" s="24"/>
      <c r="I86" s="24"/>
      <c r="J86" s="23"/>
      <c r="K86" s="14"/>
      <c r="L86" s="14"/>
      <c r="M86" s="23"/>
      <c r="N86" s="14"/>
    </row>
    <row r="87" spans="1:14" ht="15" customHeight="1" x14ac:dyDescent="0.3">
      <c r="A87" s="25"/>
      <c r="B87" s="20"/>
      <c r="C87" s="20"/>
      <c r="D87" s="20"/>
      <c r="E87" s="20"/>
      <c r="F87" s="21"/>
      <c r="G87" s="21"/>
      <c r="H87" s="21"/>
      <c r="I87" s="21"/>
      <c r="J87" s="20"/>
      <c r="K87" s="17"/>
      <c r="L87" s="17"/>
      <c r="M87" s="20"/>
      <c r="N87" s="17"/>
    </row>
    <row r="88" spans="1:14" ht="15" customHeight="1" x14ac:dyDescent="0.3">
      <c r="A88" s="22"/>
      <c r="B88" s="23"/>
      <c r="C88" s="23"/>
      <c r="D88" s="23"/>
      <c r="E88" s="23"/>
      <c r="F88" s="24"/>
      <c r="G88" s="24"/>
      <c r="H88" s="24"/>
      <c r="I88" s="24"/>
      <c r="J88" s="23"/>
      <c r="K88" s="14"/>
      <c r="L88" s="14"/>
      <c r="M88" s="23"/>
      <c r="N88" s="14"/>
    </row>
    <row r="89" spans="1:14" ht="15" customHeight="1" x14ac:dyDescent="0.3">
      <c r="A89" s="25"/>
      <c r="B89" s="20"/>
      <c r="C89" s="20"/>
      <c r="D89" s="20"/>
      <c r="E89" s="20"/>
      <c r="F89" s="21"/>
      <c r="G89" s="21"/>
      <c r="H89" s="21"/>
      <c r="I89" s="21"/>
      <c r="J89" s="20"/>
      <c r="K89" s="17"/>
      <c r="L89" s="17"/>
      <c r="M89" s="20"/>
      <c r="N89" s="17"/>
    </row>
    <row r="90" spans="1:14" ht="15" customHeight="1" x14ac:dyDescent="0.3">
      <c r="A90" s="22"/>
      <c r="B90" s="23"/>
      <c r="C90" s="23"/>
      <c r="D90" s="23"/>
      <c r="E90" s="23"/>
      <c r="F90" s="24"/>
      <c r="G90" s="24"/>
      <c r="H90" s="24"/>
      <c r="I90" s="24"/>
      <c r="J90" s="23"/>
      <c r="K90" s="14"/>
      <c r="L90" s="14"/>
      <c r="M90" s="23"/>
      <c r="N90" s="14"/>
    </row>
    <row r="91" spans="1:14" ht="15" customHeight="1" x14ac:dyDescent="0.3">
      <c r="A91" s="25"/>
      <c r="B91" s="20"/>
      <c r="C91" s="20"/>
      <c r="D91" s="20"/>
      <c r="E91" s="20"/>
      <c r="F91" s="21"/>
      <c r="G91" s="21"/>
      <c r="H91" s="21"/>
      <c r="I91" s="21"/>
      <c r="J91" s="20"/>
      <c r="K91" s="17"/>
      <c r="L91" s="17"/>
      <c r="M91" s="20"/>
      <c r="N91" s="17"/>
    </row>
    <row r="92" spans="1:14" ht="15" customHeight="1" x14ac:dyDescent="0.3">
      <c r="A92" s="22"/>
      <c r="B92" s="23"/>
      <c r="C92" s="23"/>
      <c r="D92" s="23"/>
      <c r="E92" s="23"/>
      <c r="F92" s="24"/>
      <c r="G92" s="24"/>
      <c r="H92" s="24"/>
      <c r="I92" s="24"/>
      <c r="J92" s="23"/>
      <c r="K92" s="14"/>
      <c r="L92" s="14"/>
      <c r="M92" s="23"/>
      <c r="N92" s="14"/>
    </row>
    <row r="93" spans="1:14" ht="15" customHeight="1" x14ac:dyDescent="0.3">
      <c r="A93" s="25"/>
      <c r="B93" s="20"/>
      <c r="C93" s="20"/>
      <c r="D93" s="20"/>
      <c r="E93" s="20"/>
      <c r="F93" s="21"/>
      <c r="G93" s="21"/>
      <c r="H93" s="21"/>
      <c r="I93" s="21"/>
      <c r="J93" s="20"/>
      <c r="K93" s="17"/>
      <c r="L93" s="17"/>
      <c r="M93" s="20"/>
      <c r="N93" s="17"/>
    </row>
    <row r="94" spans="1:14" ht="15" customHeight="1" x14ac:dyDescent="0.3">
      <c r="A94" s="22"/>
      <c r="B94" s="23"/>
      <c r="C94" s="23"/>
      <c r="D94" s="23"/>
      <c r="E94" s="23"/>
      <c r="F94" s="24"/>
      <c r="G94" s="24"/>
      <c r="H94" s="24"/>
      <c r="I94" s="24"/>
      <c r="J94" s="23"/>
      <c r="K94" s="14"/>
      <c r="L94" s="14"/>
      <c r="M94" s="23"/>
      <c r="N94" s="14"/>
    </row>
    <row r="95" spans="1:14" ht="15" customHeight="1" x14ac:dyDescent="0.3">
      <c r="A95" s="25"/>
      <c r="B95" s="20"/>
      <c r="C95" s="20"/>
      <c r="D95" s="20"/>
      <c r="E95" s="20"/>
      <c r="F95" s="21"/>
      <c r="G95" s="21"/>
      <c r="H95" s="21"/>
      <c r="I95" s="21"/>
      <c r="J95" s="20"/>
      <c r="K95" s="17"/>
      <c r="L95" s="17"/>
      <c r="M95" s="20"/>
      <c r="N95" s="17"/>
    </row>
    <row r="96" spans="1:14" ht="15" customHeight="1" x14ac:dyDescent="0.3">
      <c r="A96" s="22"/>
      <c r="B96" s="23"/>
      <c r="C96" s="23"/>
      <c r="D96" s="23"/>
      <c r="E96" s="23"/>
      <c r="F96" s="24"/>
      <c r="G96" s="24"/>
      <c r="H96" s="24"/>
      <c r="I96" s="24"/>
      <c r="J96" s="23"/>
      <c r="K96" s="14"/>
      <c r="L96" s="14"/>
      <c r="M96" s="23"/>
      <c r="N96" s="14"/>
    </row>
    <row r="97" spans="1:14" ht="15" customHeight="1" x14ac:dyDescent="0.3">
      <c r="A97" s="25"/>
      <c r="B97" s="20"/>
      <c r="C97" s="20"/>
      <c r="D97" s="20"/>
      <c r="E97" s="20"/>
      <c r="F97" s="21"/>
      <c r="G97" s="21"/>
      <c r="H97" s="21"/>
      <c r="I97" s="21"/>
      <c r="J97" s="20"/>
      <c r="K97" s="17"/>
      <c r="L97" s="17"/>
      <c r="M97" s="20"/>
      <c r="N97" s="17"/>
    </row>
    <row r="98" spans="1:14" ht="15" customHeight="1" x14ac:dyDescent="0.3">
      <c r="A98" s="22"/>
      <c r="B98" s="23"/>
      <c r="C98" s="23"/>
      <c r="D98" s="23"/>
      <c r="E98" s="23"/>
      <c r="F98" s="24"/>
      <c r="G98" s="24"/>
      <c r="H98" s="24"/>
      <c r="I98" s="24"/>
      <c r="J98" s="23"/>
      <c r="K98" s="14"/>
      <c r="L98" s="14"/>
      <c r="M98" s="23"/>
      <c r="N98" s="14"/>
    </row>
    <row r="99" spans="1:14" ht="15" customHeight="1" x14ac:dyDescent="0.3">
      <c r="A99" s="25"/>
      <c r="B99" s="20"/>
      <c r="C99" s="20"/>
      <c r="D99" s="20"/>
      <c r="E99" s="20"/>
      <c r="F99" s="21"/>
      <c r="G99" s="21"/>
      <c r="H99" s="21"/>
      <c r="I99" s="21"/>
      <c r="J99" s="20"/>
      <c r="K99" s="17"/>
      <c r="L99" s="17"/>
      <c r="M99" s="20"/>
      <c r="N99" s="17"/>
    </row>
    <row r="100" spans="1:14" ht="15" customHeight="1" x14ac:dyDescent="0.3">
      <c r="A100" s="22"/>
      <c r="B100" s="23"/>
      <c r="C100" s="23"/>
      <c r="D100" s="23"/>
      <c r="E100" s="23"/>
      <c r="F100" s="24"/>
      <c r="G100" s="24"/>
      <c r="H100" s="24"/>
      <c r="I100" s="24"/>
      <c r="J100" s="23"/>
      <c r="K100" s="14"/>
      <c r="L100" s="14"/>
      <c r="M100" s="23"/>
      <c r="N100" s="14"/>
    </row>
    <row r="101" spans="1:14" ht="15" customHeight="1" x14ac:dyDescent="0.3">
      <c r="A101" s="25"/>
      <c r="B101" s="20"/>
      <c r="C101" s="20"/>
      <c r="D101" s="20"/>
      <c r="E101" s="20"/>
      <c r="F101" s="21"/>
      <c r="G101" s="21"/>
      <c r="H101" s="21"/>
      <c r="I101" s="21"/>
      <c r="J101" s="20"/>
      <c r="K101" s="17"/>
      <c r="L101" s="17"/>
      <c r="M101" s="20"/>
      <c r="N101" s="17"/>
    </row>
    <row r="102" spans="1:14" ht="15" customHeight="1" x14ac:dyDescent="0.3">
      <c r="A102" s="22"/>
      <c r="B102" s="23"/>
      <c r="C102" s="23"/>
      <c r="D102" s="23"/>
      <c r="E102" s="23"/>
      <c r="F102" s="24"/>
      <c r="G102" s="24"/>
      <c r="H102" s="24"/>
      <c r="I102" s="24"/>
      <c r="J102" s="23"/>
      <c r="K102" s="14"/>
      <c r="L102" s="14"/>
      <c r="M102" s="23"/>
      <c r="N102" s="14"/>
    </row>
    <row r="103" spans="1:14" ht="15" customHeight="1" x14ac:dyDescent="0.3">
      <c r="A103" s="25"/>
      <c r="B103" s="20"/>
      <c r="C103" s="20"/>
      <c r="D103" s="20"/>
      <c r="E103" s="20"/>
      <c r="F103" s="21"/>
      <c r="G103" s="21"/>
      <c r="H103" s="21"/>
      <c r="I103" s="21"/>
      <c r="J103" s="20"/>
      <c r="K103" s="17"/>
      <c r="L103" s="17"/>
      <c r="M103" s="20"/>
      <c r="N103" s="17"/>
    </row>
    <row r="104" spans="1:14" ht="15" customHeight="1" x14ac:dyDescent="0.3">
      <c r="A104" s="22"/>
      <c r="B104" s="23"/>
      <c r="C104" s="23"/>
      <c r="D104" s="23"/>
      <c r="E104" s="23"/>
      <c r="F104" s="24"/>
      <c r="G104" s="24"/>
      <c r="H104" s="24"/>
      <c r="I104" s="24"/>
      <c r="J104" s="23"/>
      <c r="K104" s="14"/>
      <c r="L104" s="14"/>
      <c r="M104" s="23"/>
      <c r="N104" s="14"/>
    </row>
    <row r="105" spans="1:14" ht="15" customHeight="1" x14ac:dyDescent="0.3">
      <c r="A105" s="25"/>
      <c r="B105" s="20"/>
      <c r="C105" s="20"/>
      <c r="D105" s="20"/>
      <c r="E105" s="20"/>
      <c r="F105" s="21"/>
      <c r="G105" s="21"/>
      <c r="H105" s="21"/>
      <c r="I105" s="21"/>
      <c r="J105" s="20"/>
      <c r="K105" s="17"/>
      <c r="L105" s="17"/>
      <c r="M105" s="20"/>
      <c r="N105" s="17"/>
    </row>
    <row r="106" spans="1:14" ht="15" customHeight="1" x14ac:dyDescent="0.3">
      <c r="A106" s="22"/>
      <c r="B106" s="23"/>
      <c r="C106" s="23"/>
      <c r="D106" s="23"/>
      <c r="E106" s="23"/>
      <c r="F106" s="24"/>
      <c r="G106" s="24"/>
      <c r="H106" s="24"/>
      <c r="I106" s="24"/>
      <c r="J106" s="23"/>
      <c r="K106" s="14"/>
      <c r="L106" s="14"/>
      <c r="M106" s="23"/>
      <c r="N106" s="14"/>
    </row>
    <row r="107" spans="1:14" ht="15" customHeight="1" x14ac:dyDescent="0.3">
      <c r="A107" s="25"/>
      <c r="B107" s="20"/>
      <c r="C107" s="20"/>
      <c r="D107" s="20"/>
      <c r="E107" s="20"/>
      <c r="F107" s="21"/>
      <c r="G107" s="21"/>
      <c r="H107" s="21"/>
      <c r="I107" s="21"/>
      <c r="J107" s="20"/>
      <c r="K107" s="17"/>
      <c r="L107" s="17"/>
      <c r="M107" s="20"/>
      <c r="N107" s="17"/>
    </row>
    <row r="108" spans="1:14" ht="15" customHeight="1" x14ac:dyDescent="0.3">
      <c r="A108" s="22"/>
      <c r="B108" s="23"/>
      <c r="C108" s="23"/>
      <c r="D108" s="23"/>
      <c r="E108" s="23"/>
      <c r="F108" s="24"/>
      <c r="G108" s="24"/>
      <c r="H108" s="24"/>
      <c r="I108" s="24"/>
      <c r="J108" s="23"/>
      <c r="K108" s="14"/>
      <c r="L108" s="14"/>
      <c r="M108" s="23"/>
      <c r="N108" s="14"/>
    </row>
    <row r="109" spans="1:14" ht="15" customHeight="1" x14ac:dyDescent="0.3">
      <c r="A109" s="25"/>
      <c r="B109" s="20"/>
      <c r="C109" s="20"/>
      <c r="D109" s="20"/>
      <c r="E109" s="20"/>
      <c r="F109" s="21"/>
      <c r="G109" s="21"/>
      <c r="H109" s="21"/>
      <c r="I109" s="21"/>
      <c r="J109" s="20"/>
      <c r="K109" s="17"/>
      <c r="L109" s="17"/>
      <c r="M109" s="20"/>
      <c r="N109" s="17"/>
    </row>
    <row r="110" spans="1:14" ht="15" customHeight="1" x14ac:dyDescent="0.3">
      <c r="A110" s="22"/>
      <c r="B110" s="23"/>
      <c r="C110" s="23"/>
      <c r="D110" s="23"/>
      <c r="E110" s="23"/>
      <c r="F110" s="24"/>
      <c r="G110" s="24"/>
      <c r="H110" s="24"/>
      <c r="I110" s="24"/>
      <c r="J110" s="23"/>
      <c r="K110" s="14"/>
      <c r="L110" s="14"/>
      <c r="M110" s="23"/>
      <c r="N110" s="14"/>
    </row>
    <row r="111" spans="1:14" ht="15" customHeight="1" x14ac:dyDescent="0.3">
      <c r="A111" s="25"/>
      <c r="B111" s="20"/>
      <c r="C111" s="20"/>
      <c r="D111" s="20"/>
      <c r="E111" s="20"/>
      <c r="F111" s="21"/>
      <c r="G111" s="21"/>
      <c r="H111" s="21"/>
      <c r="I111" s="21"/>
      <c r="J111" s="20"/>
      <c r="K111" s="17"/>
      <c r="L111" s="17"/>
      <c r="M111" s="20"/>
      <c r="N111" s="17"/>
    </row>
    <row r="112" spans="1:14" ht="15" customHeight="1" x14ac:dyDescent="0.3">
      <c r="A112" s="22"/>
      <c r="B112" s="23"/>
      <c r="C112" s="23"/>
      <c r="D112" s="23"/>
      <c r="E112" s="23"/>
      <c r="F112" s="24"/>
      <c r="G112" s="24"/>
      <c r="H112" s="24"/>
      <c r="I112" s="24"/>
      <c r="J112" s="23"/>
      <c r="K112" s="14"/>
      <c r="L112" s="14"/>
      <c r="M112" s="23"/>
      <c r="N112" s="14"/>
    </row>
    <row r="113" spans="1:14" ht="15" customHeight="1" x14ac:dyDescent="0.3">
      <c r="A113" s="25"/>
      <c r="B113" s="20"/>
      <c r="C113" s="20"/>
      <c r="D113" s="20"/>
      <c r="E113" s="20"/>
      <c r="F113" s="21"/>
      <c r="G113" s="21"/>
      <c r="H113" s="21"/>
      <c r="I113" s="21"/>
      <c r="J113" s="20"/>
      <c r="K113" s="17"/>
      <c r="L113" s="17"/>
      <c r="M113" s="20"/>
      <c r="N113" s="17"/>
    </row>
    <row r="114" spans="1:14" ht="15" customHeight="1" x14ac:dyDescent="0.3">
      <c r="A114" s="22"/>
      <c r="B114" s="23"/>
      <c r="C114" s="23"/>
      <c r="D114" s="23"/>
      <c r="E114" s="23"/>
      <c r="F114" s="24"/>
      <c r="G114" s="24"/>
      <c r="H114" s="24"/>
      <c r="I114" s="24"/>
      <c r="J114" s="23"/>
      <c r="K114" s="14"/>
      <c r="L114" s="14"/>
      <c r="M114" s="23"/>
      <c r="N114" s="14"/>
    </row>
    <row r="115" spans="1:14" ht="15" customHeight="1" x14ac:dyDescent="0.3">
      <c r="A115" s="25"/>
      <c r="B115" s="20"/>
      <c r="C115" s="20"/>
      <c r="D115" s="20"/>
      <c r="E115" s="20"/>
      <c r="F115" s="21"/>
      <c r="G115" s="21"/>
      <c r="H115" s="21"/>
      <c r="I115" s="21"/>
      <c r="J115" s="20"/>
      <c r="K115" s="17"/>
      <c r="L115" s="17"/>
      <c r="M115" s="20"/>
      <c r="N115" s="17"/>
    </row>
    <row r="116" spans="1:14" ht="15" customHeight="1" x14ac:dyDescent="0.3">
      <c r="A116" s="22"/>
      <c r="B116" s="23"/>
      <c r="C116" s="23"/>
      <c r="D116" s="23"/>
      <c r="E116" s="23"/>
      <c r="F116" s="24"/>
      <c r="G116" s="24"/>
      <c r="H116" s="24"/>
      <c r="I116" s="24"/>
      <c r="J116" s="23"/>
      <c r="K116" s="14"/>
      <c r="L116" s="14"/>
      <c r="M116" s="23"/>
      <c r="N116" s="14"/>
    </row>
    <row r="117" spans="1:14" ht="15" customHeight="1" x14ac:dyDescent="0.3">
      <c r="A117" s="25"/>
      <c r="B117" s="20"/>
      <c r="C117" s="20"/>
      <c r="D117" s="20"/>
      <c r="E117" s="20"/>
      <c r="F117" s="21"/>
      <c r="G117" s="21"/>
      <c r="H117" s="21"/>
      <c r="I117" s="21"/>
      <c r="J117" s="20"/>
      <c r="K117" s="17"/>
      <c r="L117" s="17"/>
      <c r="M117" s="20"/>
      <c r="N117" s="17"/>
    </row>
    <row r="118" spans="1:14" ht="15" customHeight="1" x14ac:dyDescent="0.3">
      <c r="A118" s="22"/>
      <c r="B118" s="23"/>
      <c r="C118" s="23"/>
      <c r="D118" s="23"/>
      <c r="E118" s="23"/>
      <c r="F118" s="24"/>
      <c r="G118" s="24"/>
      <c r="H118" s="24"/>
      <c r="I118" s="24"/>
      <c r="J118" s="23"/>
      <c r="K118" s="14"/>
      <c r="L118" s="14"/>
      <c r="M118" s="23"/>
      <c r="N118" s="14"/>
    </row>
    <row r="119" spans="1:14" ht="15" customHeight="1" x14ac:dyDescent="0.3">
      <c r="A119" s="25"/>
      <c r="B119" s="20"/>
      <c r="C119" s="20"/>
      <c r="D119" s="20"/>
      <c r="E119" s="20"/>
      <c r="F119" s="21"/>
      <c r="G119" s="21"/>
      <c r="H119" s="21"/>
      <c r="I119" s="21"/>
      <c r="J119" s="20"/>
      <c r="K119" s="17"/>
      <c r="L119" s="17"/>
      <c r="M119" s="20"/>
      <c r="N119" s="17"/>
    </row>
    <row r="120" spans="1:14" ht="15" customHeight="1" x14ac:dyDescent="0.3">
      <c r="A120" s="22"/>
      <c r="B120" s="23"/>
      <c r="C120" s="23"/>
      <c r="D120" s="23"/>
      <c r="E120" s="23"/>
      <c r="F120" s="24"/>
      <c r="G120" s="24"/>
      <c r="H120" s="24"/>
      <c r="I120" s="24"/>
      <c r="J120" s="23"/>
      <c r="K120" s="14"/>
      <c r="L120" s="14"/>
      <c r="M120" s="23"/>
      <c r="N120" s="14"/>
    </row>
    <row r="121" spans="1:14" ht="15" customHeight="1" x14ac:dyDescent="0.3">
      <c r="A121" s="25"/>
      <c r="B121" s="20"/>
      <c r="C121" s="20"/>
      <c r="D121" s="20"/>
      <c r="E121" s="20"/>
      <c r="F121" s="21"/>
      <c r="G121" s="21"/>
      <c r="H121" s="21"/>
      <c r="I121" s="21"/>
      <c r="J121" s="20"/>
      <c r="K121" s="17"/>
      <c r="L121" s="17"/>
      <c r="M121" s="20"/>
      <c r="N121" s="17"/>
    </row>
    <row r="122" spans="1:14" ht="15" customHeight="1" x14ac:dyDescent="0.3">
      <c r="A122" s="22"/>
      <c r="B122" s="23"/>
      <c r="C122" s="23"/>
      <c r="D122" s="23"/>
      <c r="E122" s="23"/>
      <c r="F122" s="24"/>
      <c r="G122" s="24"/>
      <c r="H122" s="24"/>
      <c r="I122" s="24"/>
      <c r="J122" s="23"/>
      <c r="K122" s="14"/>
      <c r="L122" s="14"/>
      <c r="M122" s="23"/>
      <c r="N122" s="14"/>
    </row>
    <row r="123" spans="1:14" ht="15" customHeight="1" x14ac:dyDescent="0.3">
      <c r="A123" s="25"/>
      <c r="B123" s="20"/>
      <c r="C123" s="20"/>
      <c r="D123" s="20"/>
      <c r="E123" s="20"/>
      <c r="F123" s="21"/>
      <c r="G123" s="21"/>
      <c r="H123" s="21"/>
      <c r="I123" s="21"/>
      <c r="J123" s="20"/>
      <c r="K123" s="17"/>
      <c r="L123" s="17"/>
      <c r="M123" s="20"/>
      <c r="N123" s="17"/>
    </row>
    <row r="124" spans="1:14" ht="15" customHeight="1" x14ac:dyDescent="0.3">
      <c r="A124" s="22"/>
      <c r="B124" s="23"/>
      <c r="C124" s="23"/>
      <c r="D124" s="23"/>
      <c r="E124" s="23"/>
      <c r="F124" s="24"/>
      <c r="G124" s="24"/>
      <c r="H124" s="24"/>
      <c r="I124" s="24"/>
      <c r="J124" s="23"/>
      <c r="K124" s="14"/>
      <c r="L124" s="14"/>
      <c r="M124" s="23"/>
      <c r="N124" s="14"/>
    </row>
    <row r="125" spans="1:14" ht="15" customHeight="1" x14ac:dyDescent="0.3">
      <c r="A125" s="25"/>
      <c r="B125" s="20"/>
      <c r="C125" s="20"/>
      <c r="D125" s="20"/>
      <c r="E125" s="20"/>
      <c r="F125" s="21"/>
      <c r="G125" s="21"/>
      <c r="H125" s="21"/>
      <c r="I125" s="21"/>
      <c r="J125" s="20"/>
      <c r="K125" s="17"/>
      <c r="L125" s="17"/>
      <c r="M125" s="20"/>
      <c r="N125" s="17"/>
    </row>
    <row r="126" spans="1:14" ht="15" customHeight="1" x14ac:dyDescent="0.3">
      <c r="A126" s="22"/>
      <c r="B126" s="23"/>
      <c r="C126" s="23"/>
      <c r="D126" s="23"/>
      <c r="E126" s="23"/>
      <c r="F126" s="24"/>
      <c r="G126" s="24"/>
      <c r="H126" s="24"/>
      <c r="I126" s="24"/>
      <c r="J126" s="23"/>
      <c r="K126" s="14"/>
      <c r="L126" s="14"/>
      <c r="M126" s="23"/>
      <c r="N126" s="14"/>
    </row>
    <row r="127" spans="1:14" ht="15" customHeight="1" x14ac:dyDescent="0.3">
      <c r="A127" s="25"/>
      <c r="B127" s="20"/>
      <c r="C127" s="20"/>
      <c r="D127" s="20"/>
      <c r="E127" s="20"/>
      <c r="F127" s="21"/>
      <c r="G127" s="21"/>
      <c r="H127" s="21"/>
      <c r="I127" s="21"/>
      <c r="J127" s="20"/>
      <c r="K127" s="17"/>
      <c r="L127" s="17"/>
      <c r="M127" s="20"/>
      <c r="N127" s="17"/>
    </row>
    <row r="128" spans="1:14" ht="15" customHeight="1" x14ac:dyDescent="0.3">
      <c r="A128" s="22"/>
      <c r="B128" s="23"/>
      <c r="C128" s="23"/>
      <c r="D128" s="23"/>
      <c r="E128" s="23"/>
      <c r="F128" s="24"/>
      <c r="G128" s="24"/>
      <c r="H128" s="24"/>
      <c r="I128" s="24"/>
      <c r="J128" s="23"/>
      <c r="K128" s="14"/>
      <c r="L128" s="14"/>
      <c r="M128" s="23"/>
      <c r="N128" s="14"/>
    </row>
    <row r="129" spans="1:14" ht="15" customHeight="1" x14ac:dyDescent="0.3">
      <c r="A129" s="25"/>
      <c r="B129" s="20"/>
      <c r="C129" s="20"/>
      <c r="D129" s="20"/>
      <c r="E129" s="20"/>
      <c r="F129" s="21"/>
      <c r="G129" s="21"/>
      <c r="H129" s="21"/>
      <c r="I129" s="21"/>
      <c r="J129" s="20"/>
      <c r="K129" s="17"/>
      <c r="L129" s="17"/>
      <c r="M129" s="20"/>
      <c r="N129" s="17"/>
    </row>
    <row r="130" spans="1:14" ht="15" customHeight="1" x14ac:dyDescent="0.3">
      <c r="A130" s="22"/>
      <c r="B130" s="23"/>
      <c r="C130" s="23"/>
      <c r="D130" s="23"/>
      <c r="E130" s="23"/>
      <c r="F130" s="24"/>
      <c r="G130" s="24"/>
      <c r="H130" s="24"/>
      <c r="I130" s="24"/>
      <c r="J130" s="23"/>
      <c r="K130" s="14"/>
      <c r="L130" s="14"/>
      <c r="M130" s="23"/>
      <c r="N130" s="14"/>
    </row>
    <row r="131" spans="1:14" ht="15" customHeight="1" x14ac:dyDescent="0.3">
      <c r="A131" s="25"/>
      <c r="B131" s="20"/>
      <c r="C131" s="20"/>
      <c r="D131" s="20"/>
      <c r="E131" s="20"/>
      <c r="F131" s="21"/>
      <c r="G131" s="21"/>
      <c r="H131" s="21"/>
      <c r="I131" s="21"/>
      <c r="J131" s="20"/>
      <c r="K131" s="17"/>
      <c r="L131" s="17"/>
      <c r="M131" s="20"/>
      <c r="N131" s="17"/>
    </row>
    <row r="132" spans="1:14" ht="15" customHeight="1" x14ac:dyDescent="0.3">
      <c r="A132" s="22"/>
      <c r="B132" s="23"/>
      <c r="C132" s="23"/>
      <c r="D132" s="23"/>
      <c r="E132" s="23"/>
      <c r="F132" s="24"/>
      <c r="G132" s="24"/>
      <c r="H132" s="24"/>
      <c r="I132" s="24"/>
      <c r="J132" s="23"/>
      <c r="K132" s="14"/>
      <c r="L132" s="14"/>
      <c r="M132" s="23"/>
      <c r="N132" s="14"/>
    </row>
    <row r="133" spans="1:14" ht="15" customHeight="1" x14ac:dyDescent="0.3">
      <c r="A133" s="25"/>
      <c r="B133" s="20"/>
      <c r="C133" s="20"/>
      <c r="D133" s="20"/>
      <c r="E133" s="20"/>
      <c r="F133" s="21"/>
      <c r="G133" s="21"/>
      <c r="H133" s="21"/>
      <c r="I133" s="21"/>
      <c r="J133" s="20"/>
      <c r="K133" s="17"/>
      <c r="L133" s="17"/>
      <c r="M133" s="20"/>
      <c r="N133" s="17"/>
    </row>
    <row r="134" spans="1:14" ht="15" customHeight="1" x14ac:dyDescent="0.3">
      <c r="A134" s="22"/>
      <c r="B134" s="23"/>
      <c r="C134" s="23"/>
      <c r="D134" s="23"/>
      <c r="E134" s="23"/>
      <c r="F134" s="24"/>
      <c r="G134" s="24"/>
      <c r="H134" s="24"/>
      <c r="I134" s="24"/>
      <c r="J134" s="23"/>
      <c r="K134" s="14"/>
      <c r="L134" s="14"/>
      <c r="M134" s="23"/>
      <c r="N134" s="14"/>
    </row>
    <row r="135" spans="1:14" ht="15" customHeight="1" x14ac:dyDescent="0.3">
      <c r="A135" s="25"/>
      <c r="B135" s="20"/>
      <c r="C135" s="20"/>
      <c r="D135" s="20"/>
      <c r="E135" s="20"/>
      <c r="F135" s="21"/>
      <c r="G135" s="21"/>
      <c r="H135" s="21"/>
      <c r="I135" s="21"/>
      <c r="J135" s="20"/>
      <c r="K135" s="17"/>
      <c r="L135" s="17"/>
      <c r="M135" s="20"/>
      <c r="N135" s="17"/>
    </row>
    <row r="136" spans="1:14" ht="15" customHeight="1" x14ac:dyDescent="0.3">
      <c r="A136" s="22"/>
      <c r="B136" s="23"/>
      <c r="C136" s="23"/>
      <c r="D136" s="23"/>
      <c r="E136" s="23"/>
      <c r="F136" s="24"/>
      <c r="G136" s="24"/>
      <c r="H136" s="24"/>
      <c r="I136" s="24"/>
      <c r="J136" s="23"/>
      <c r="K136" s="14"/>
      <c r="L136" s="14"/>
      <c r="M136" s="23"/>
      <c r="N136" s="14"/>
    </row>
    <row r="137" spans="1:14" ht="15" customHeight="1" x14ac:dyDescent="0.3">
      <c r="A137" s="25"/>
      <c r="B137" s="20"/>
      <c r="C137" s="20"/>
      <c r="D137" s="20"/>
      <c r="E137" s="20"/>
      <c r="F137" s="21"/>
      <c r="G137" s="21"/>
      <c r="H137" s="21"/>
      <c r="I137" s="21"/>
      <c r="J137" s="20"/>
      <c r="K137" s="17"/>
      <c r="L137" s="17"/>
      <c r="M137" s="20"/>
      <c r="N137" s="17"/>
    </row>
    <row r="138" spans="1:14" ht="15" customHeight="1" x14ac:dyDescent="0.3">
      <c r="A138" s="22"/>
      <c r="B138" s="23"/>
      <c r="C138" s="23"/>
      <c r="D138" s="23"/>
      <c r="E138" s="23"/>
      <c r="F138" s="24"/>
      <c r="G138" s="24"/>
      <c r="H138" s="24"/>
      <c r="I138" s="24"/>
      <c r="J138" s="23"/>
      <c r="K138" s="14"/>
      <c r="L138" s="14"/>
      <c r="M138" s="23"/>
      <c r="N138" s="14"/>
    </row>
    <row r="139" spans="1:14" ht="15" customHeight="1" x14ac:dyDescent="0.3">
      <c r="A139" s="25"/>
      <c r="B139" s="20"/>
      <c r="C139" s="20"/>
      <c r="D139" s="20"/>
      <c r="E139" s="20"/>
      <c r="F139" s="21"/>
      <c r="G139" s="21"/>
      <c r="H139" s="21"/>
      <c r="I139" s="21"/>
      <c r="J139" s="20"/>
      <c r="K139" s="17"/>
      <c r="L139" s="17"/>
      <c r="M139" s="20"/>
      <c r="N139" s="17"/>
    </row>
    <row r="140" spans="1:14" ht="15" customHeight="1" x14ac:dyDescent="0.3">
      <c r="A140" s="22"/>
      <c r="B140" s="23"/>
      <c r="C140" s="23"/>
      <c r="D140" s="23"/>
      <c r="E140" s="23"/>
      <c r="F140" s="24"/>
      <c r="G140" s="24"/>
      <c r="H140" s="24"/>
      <c r="I140" s="24"/>
      <c r="J140" s="23"/>
      <c r="K140" s="14"/>
      <c r="L140" s="14"/>
      <c r="M140" s="23"/>
      <c r="N140" s="14"/>
    </row>
    <row r="141" spans="1:14" ht="15" customHeight="1" x14ac:dyDescent="0.3">
      <c r="A141" s="25"/>
      <c r="B141" s="20"/>
      <c r="C141" s="20"/>
      <c r="D141" s="20"/>
      <c r="E141" s="20"/>
      <c r="F141" s="21"/>
      <c r="G141" s="21"/>
      <c r="H141" s="21"/>
      <c r="I141" s="21"/>
      <c r="J141" s="20"/>
      <c r="K141" s="17"/>
      <c r="L141" s="17"/>
      <c r="M141" s="20"/>
      <c r="N141" s="17"/>
    </row>
    <row r="142" spans="1:14" ht="15" customHeight="1" x14ac:dyDescent="0.3">
      <c r="A142" s="22"/>
      <c r="B142" s="23"/>
      <c r="C142" s="23"/>
      <c r="D142" s="23"/>
      <c r="E142" s="23"/>
      <c r="F142" s="24"/>
      <c r="G142" s="24"/>
      <c r="H142" s="24"/>
      <c r="I142" s="24"/>
      <c r="J142" s="23"/>
      <c r="K142" s="14"/>
      <c r="L142" s="14"/>
      <c r="M142" s="23"/>
      <c r="N142" s="14"/>
    </row>
    <row r="143" spans="1:14" ht="15" customHeight="1" x14ac:dyDescent="0.3">
      <c r="A143" s="25"/>
      <c r="B143" s="20"/>
      <c r="C143" s="20"/>
      <c r="D143" s="20"/>
      <c r="E143" s="20"/>
      <c r="F143" s="21"/>
      <c r="G143" s="21"/>
      <c r="H143" s="21"/>
      <c r="I143" s="21"/>
      <c r="J143" s="20"/>
      <c r="K143" s="17"/>
      <c r="L143" s="17"/>
      <c r="M143" s="20"/>
      <c r="N143" s="17"/>
    </row>
    <row r="144" spans="1:14" ht="15" customHeight="1" x14ac:dyDescent="0.3">
      <c r="A144" s="22"/>
      <c r="B144" s="23"/>
      <c r="C144" s="23"/>
      <c r="D144" s="23"/>
      <c r="E144" s="23"/>
      <c r="F144" s="24"/>
      <c r="G144" s="24"/>
      <c r="H144" s="24"/>
      <c r="I144" s="24"/>
      <c r="J144" s="23"/>
      <c r="K144" s="14"/>
      <c r="L144" s="14"/>
      <c r="M144" s="23"/>
      <c r="N144" s="14"/>
    </row>
    <row r="145" spans="1:14" ht="15" customHeight="1" x14ac:dyDescent="0.3">
      <c r="A145" s="25"/>
      <c r="B145" s="20"/>
      <c r="C145" s="20"/>
      <c r="D145" s="20"/>
      <c r="E145" s="20"/>
      <c r="F145" s="21"/>
      <c r="G145" s="21"/>
      <c r="H145" s="21"/>
      <c r="I145" s="21"/>
      <c r="J145" s="20"/>
      <c r="K145" s="17"/>
      <c r="L145" s="17"/>
      <c r="M145" s="20"/>
      <c r="N145" s="17"/>
    </row>
    <row r="146" spans="1:14" ht="15" customHeight="1" x14ac:dyDescent="0.3">
      <c r="A146" s="22"/>
      <c r="B146" s="23"/>
      <c r="C146" s="23"/>
      <c r="D146" s="23"/>
      <c r="E146" s="23"/>
      <c r="F146" s="24"/>
      <c r="G146" s="24"/>
      <c r="H146" s="24"/>
      <c r="I146" s="24"/>
      <c r="J146" s="23"/>
      <c r="K146" s="14"/>
      <c r="L146" s="14"/>
      <c r="M146" s="23"/>
      <c r="N146" s="14"/>
    </row>
    <row r="147" spans="1:14" ht="15" customHeight="1" x14ac:dyDescent="0.3">
      <c r="A147" s="25"/>
      <c r="B147" s="20"/>
      <c r="C147" s="20"/>
      <c r="D147" s="20"/>
      <c r="E147" s="20"/>
      <c r="F147" s="21"/>
      <c r="G147" s="21"/>
      <c r="H147" s="21"/>
      <c r="I147" s="21"/>
      <c r="J147" s="20"/>
      <c r="K147" s="17"/>
      <c r="L147" s="17"/>
      <c r="M147" s="20"/>
      <c r="N147" s="17"/>
    </row>
    <row r="148" spans="1:14" ht="15" customHeight="1" x14ac:dyDescent="0.3">
      <c r="A148" s="22"/>
      <c r="B148" s="23"/>
      <c r="C148" s="23"/>
      <c r="D148" s="23"/>
      <c r="E148" s="23"/>
      <c r="F148" s="24"/>
      <c r="G148" s="24"/>
      <c r="H148" s="24"/>
      <c r="I148" s="24"/>
      <c r="J148" s="23"/>
      <c r="K148" s="14"/>
      <c r="L148" s="14"/>
      <c r="M148" s="23"/>
      <c r="N148" s="14"/>
    </row>
    <row r="149" spans="1:14" ht="15" customHeight="1" x14ac:dyDescent="0.3">
      <c r="A149" s="25"/>
      <c r="B149" s="20"/>
      <c r="C149" s="20"/>
      <c r="D149" s="20"/>
      <c r="E149" s="20"/>
      <c r="F149" s="21"/>
      <c r="G149" s="21"/>
      <c r="H149" s="21"/>
      <c r="I149" s="21"/>
      <c r="J149" s="20"/>
      <c r="K149" s="17"/>
      <c r="L149" s="17"/>
      <c r="M149" s="20"/>
      <c r="N149" s="17"/>
    </row>
    <row r="150" spans="1:14" ht="15" customHeight="1" x14ac:dyDescent="0.3">
      <c r="A150" s="22"/>
      <c r="B150" s="23"/>
      <c r="C150" s="23"/>
      <c r="D150" s="23"/>
      <c r="E150" s="23"/>
      <c r="F150" s="24"/>
      <c r="G150" s="24"/>
      <c r="H150" s="24"/>
      <c r="I150" s="24"/>
      <c r="J150" s="23"/>
      <c r="K150" s="14"/>
      <c r="L150" s="14"/>
      <c r="M150" s="23"/>
      <c r="N150" s="14"/>
    </row>
    <row r="151" spans="1:14" ht="15" customHeight="1" x14ac:dyDescent="0.3">
      <c r="A151" s="25"/>
      <c r="B151" s="20"/>
      <c r="C151" s="20"/>
      <c r="D151" s="20"/>
      <c r="E151" s="20"/>
      <c r="F151" s="21"/>
      <c r="G151" s="21"/>
      <c r="H151" s="21"/>
      <c r="I151" s="21"/>
      <c r="J151" s="20"/>
      <c r="K151" s="17"/>
      <c r="L151" s="17"/>
      <c r="M151" s="20"/>
      <c r="N151" s="17"/>
    </row>
    <row r="152" spans="1:14" ht="15" customHeight="1" x14ac:dyDescent="0.3">
      <c r="A152" s="22"/>
      <c r="B152" s="23"/>
      <c r="C152" s="23"/>
      <c r="D152" s="23"/>
      <c r="E152" s="23"/>
      <c r="F152" s="24"/>
      <c r="G152" s="24"/>
      <c r="H152" s="24"/>
      <c r="I152" s="24"/>
      <c r="J152" s="23"/>
      <c r="K152" s="14"/>
      <c r="L152" s="14"/>
      <c r="M152" s="23"/>
      <c r="N152" s="14"/>
    </row>
    <row r="153" spans="1:14" ht="15" customHeight="1" x14ac:dyDescent="0.3">
      <c r="A153" s="25"/>
      <c r="B153" s="20"/>
      <c r="C153" s="20"/>
      <c r="D153" s="20"/>
      <c r="E153" s="20"/>
      <c r="F153" s="21"/>
      <c r="G153" s="21"/>
      <c r="H153" s="21"/>
      <c r="I153" s="21"/>
      <c r="J153" s="20"/>
      <c r="K153" s="17"/>
      <c r="L153" s="17"/>
      <c r="M153" s="20"/>
      <c r="N153" s="17"/>
    </row>
    <row r="154" spans="1:14" ht="15" customHeight="1" x14ac:dyDescent="0.3">
      <c r="A154" s="22"/>
      <c r="B154" s="23"/>
      <c r="C154" s="23"/>
      <c r="D154" s="23"/>
      <c r="E154" s="23"/>
      <c r="F154" s="24"/>
      <c r="G154" s="24"/>
      <c r="H154" s="24"/>
      <c r="I154" s="24"/>
      <c r="J154" s="23"/>
      <c r="K154" s="14"/>
      <c r="L154" s="14"/>
      <c r="M154" s="23"/>
      <c r="N154" s="14"/>
    </row>
    <row r="155" spans="1:14" ht="15" customHeight="1" x14ac:dyDescent="0.3">
      <c r="A155" s="25"/>
      <c r="B155" s="20"/>
      <c r="C155" s="20"/>
      <c r="D155" s="20"/>
      <c r="E155" s="20"/>
      <c r="F155" s="21"/>
      <c r="G155" s="21"/>
      <c r="H155" s="21"/>
      <c r="I155" s="21"/>
      <c r="J155" s="20"/>
      <c r="K155" s="17"/>
      <c r="L155" s="17"/>
      <c r="M155" s="20"/>
      <c r="N155" s="17"/>
    </row>
    <row r="156" spans="1:14" ht="15" customHeight="1" x14ac:dyDescent="0.3">
      <c r="A156" s="22"/>
      <c r="B156" s="23"/>
      <c r="C156" s="23"/>
      <c r="D156" s="23"/>
      <c r="E156" s="23"/>
      <c r="F156" s="24"/>
      <c r="G156" s="24"/>
      <c r="H156" s="24"/>
      <c r="I156" s="24"/>
      <c r="J156" s="23"/>
      <c r="K156" s="14"/>
      <c r="L156" s="14"/>
      <c r="M156" s="23"/>
      <c r="N156" s="14"/>
    </row>
    <row r="157" spans="1:14" ht="15" customHeight="1" x14ac:dyDescent="0.3">
      <c r="A157" s="25"/>
      <c r="B157" s="20"/>
      <c r="C157" s="20"/>
      <c r="D157" s="20"/>
      <c r="E157" s="20"/>
      <c r="F157" s="21"/>
      <c r="G157" s="21"/>
      <c r="H157" s="21"/>
      <c r="I157" s="21"/>
      <c r="J157" s="20"/>
      <c r="K157" s="17"/>
      <c r="L157" s="17"/>
      <c r="M157" s="20"/>
      <c r="N157" s="17"/>
    </row>
    <row r="158" spans="1:14" ht="15" customHeight="1" x14ac:dyDescent="0.3">
      <c r="A158" s="22"/>
      <c r="B158" s="23"/>
      <c r="C158" s="23"/>
      <c r="D158" s="23"/>
      <c r="E158" s="23"/>
      <c r="F158" s="24"/>
      <c r="G158" s="24"/>
      <c r="H158" s="24"/>
      <c r="I158" s="24"/>
      <c r="J158" s="23"/>
      <c r="K158" s="14"/>
      <c r="L158" s="14"/>
      <c r="M158" s="23"/>
      <c r="N158" s="14"/>
    </row>
    <row r="159" spans="1:14" ht="15" customHeight="1" x14ac:dyDescent="0.3">
      <c r="A159" s="25"/>
      <c r="B159" s="20"/>
      <c r="C159" s="20"/>
      <c r="D159" s="20"/>
      <c r="E159" s="20"/>
      <c r="F159" s="21"/>
      <c r="G159" s="21"/>
      <c r="H159" s="21"/>
      <c r="I159" s="21"/>
      <c r="J159" s="20"/>
      <c r="K159" s="17"/>
      <c r="L159" s="17"/>
      <c r="M159" s="20"/>
      <c r="N159" s="17"/>
    </row>
    <row r="160" spans="1:14" ht="15" customHeight="1" x14ac:dyDescent="0.3">
      <c r="A160" s="22"/>
      <c r="B160" s="23"/>
      <c r="C160" s="23"/>
      <c r="D160" s="23"/>
      <c r="E160" s="23"/>
      <c r="F160" s="24"/>
      <c r="G160" s="24"/>
      <c r="H160" s="24"/>
      <c r="I160" s="24"/>
      <c r="J160" s="23"/>
      <c r="K160" s="14"/>
      <c r="L160" s="14"/>
      <c r="M160" s="23"/>
      <c r="N160" s="14"/>
    </row>
    <row r="161" spans="1:14" ht="15" customHeight="1" x14ac:dyDescent="0.3">
      <c r="A161" s="25"/>
      <c r="B161" s="20"/>
      <c r="C161" s="20"/>
      <c r="D161" s="20"/>
      <c r="E161" s="20"/>
      <c r="F161" s="21"/>
      <c r="G161" s="21"/>
      <c r="H161" s="21"/>
      <c r="I161" s="21"/>
      <c r="J161" s="20"/>
      <c r="K161" s="17"/>
      <c r="L161" s="17"/>
      <c r="M161" s="20"/>
      <c r="N161" s="17"/>
    </row>
    <row r="162" spans="1:14" ht="15" customHeight="1" x14ac:dyDescent="0.3">
      <c r="A162" s="22"/>
      <c r="B162" s="23"/>
      <c r="C162" s="23"/>
      <c r="D162" s="23"/>
      <c r="E162" s="23"/>
      <c r="F162" s="24"/>
      <c r="G162" s="24"/>
      <c r="H162" s="24"/>
      <c r="I162" s="24"/>
      <c r="J162" s="23"/>
      <c r="K162" s="14"/>
      <c r="L162" s="14"/>
      <c r="M162" s="23"/>
      <c r="N162" s="14"/>
    </row>
    <row r="163" spans="1:14" ht="15" customHeight="1" x14ac:dyDescent="0.3">
      <c r="A163" s="25"/>
      <c r="B163" s="20"/>
      <c r="C163" s="20"/>
      <c r="D163" s="20"/>
      <c r="E163" s="20"/>
      <c r="F163" s="21"/>
      <c r="G163" s="21"/>
      <c r="H163" s="21"/>
      <c r="I163" s="21"/>
      <c r="J163" s="20"/>
      <c r="K163" s="17"/>
      <c r="L163" s="17"/>
      <c r="M163" s="20"/>
      <c r="N163" s="17"/>
    </row>
    <row r="164" spans="1:14" ht="15" customHeight="1" x14ac:dyDescent="0.3">
      <c r="A164" s="22"/>
      <c r="B164" s="23"/>
      <c r="C164" s="23"/>
      <c r="D164" s="23"/>
      <c r="E164" s="23"/>
      <c r="F164" s="24"/>
      <c r="G164" s="24"/>
      <c r="H164" s="24"/>
      <c r="I164" s="24"/>
      <c r="J164" s="23"/>
      <c r="K164" s="14"/>
      <c r="L164" s="14"/>
      <c r="M164" s="23"/>
      <c r="N164" s="14"/>
    </row>
    <row r="165" spans="1:14" ht="15" customHeight="1" x14ac:dyDescent="0.3">
      <c r="A165" s="25"/>
      <c r="B165" s="20"/>
      <c r="C165" s="20"/>
      <c r="D165" s="20"/>
      <c r="E165" s="20"/>
      <c r="F165" s="21"/>
      <c r="G165" s="21"/>
      <c r="H165" s="21"/>
      <c r="I165" s="21"/>
      <c r="J165" s="20"/>
      <c r="K165" s="17"/>
      <c r="L165" s="17"/>
      <c r="M165" s="20"/>
      <c r="N165" s="17"/>
    </row>
    <row r="166" spans="1:14" ht="15" customHeight="1" x14ac:dyDescent="0.3">
      <c r="A166" s="22"/>
      <c r="B166" s="23"/>
      <c r="C166" s="23"/>
      <c r="D166" s="23"/>
      <c r="E166" s="23"/>
      <c r="F166" s="24"/>
      <c r="G166" s="24"/>
      <c r="H166" s="24"/>
      <c r="I166" s="24"/>
      <c r="J166" s="23"/>
      <c r="K166" s="14"/>
      <c r="L166" s="14"/>
      <c r="M166" s="23"/>
      <c r="N166" s="14"/>
    </row>
    <row r="167" spans="1:14" ht="15" customHeight="1" x14ac:dyDescent="0.3">
      <c r="A167" s="25"/>
      <c r="B167" s="20"/>
      <c r="C167" s="20"/>
      <c r="D167" s="20"/>
      <c r="E167" s="20"/>
      <c r="F167" s="21"/>
      <c r="G167" s="21"/>
      <c r="H167" s="21"/>
      <c r="I167" s="21"/>
      <c r="J167" s="20"/>
      <c r="K167" s="17"/>
      <c r="L167" s="17"/>
      <c r="M167" s="20"/>
      <c r="N167" s="17"/>
    </row>
    <row r="168" spans="1:14" ht="15" customHeight="1" x14ac:dyDescent="0.3">
      <c r="A168" s="22"/>
      <c r="B168" s="23"/>
      <c r="C168" s="23"/>
      <c r="D168" s="23"/>
      <c r="E168" s="23"/>
      <c r="F168" s="24"/>
      <c r="G168" s="24"/>
      <c r="H168" s="24"/>
      <c r="I168" s="24"/>
      <c r="J168" s="23"/>
      <c r="K168" s="14"/>
      <c r="L168" s="14"/>
      <c r="M168" s="23"/>
      <c r="N168" s="14"/>
    </row>
    <row r="169" spans="1:14" ht="15" customHeight="1" x14ac:dyDescent="0.3">
      <c r="A169" s="25"/>
      <c r="B169" s="20"/>
      <c r="C169" s="20"/>
      <c r="D169" s="20"/>
      <c r="E169" s="20"/>
      <c r="F169" s="21"/>
      <c r="G169" s="21"/>
      <c r="H169" s="21"/>
      <c r="I169" s="21"/>
      <c r="J169" s="20"/>
      <c r="K169" s="17"/>
      <c r="L169" s="17"/>
      <c r="M169" s="20"/>
      <c r="N169" s="17"/>
    </row>
    <row r="170" spans="1:14" ht="15" customHeight="1" x14ac:dyDescent="0.3">
      <c r="A170" s="22"/>
      <c r="B170" s="23"/>
      <c r="C170" s="23"/>
      <c r="D170" s="23"/>
      <c r="E170" s="23"/>
      <c r="F170" s="24"/>
      <c r="G170" s="24"/>
      <c r="H170" s="24"/>
      <c r="I170" s="24"/>
      <c r="J170" s="23"/>
      <c r="K170" s="14"/>
      <c r="L170" s="14"/>
      <c r="M170" s="23"/>
      <c r="N170" s="14"/>
    </row>
    <row r="171" spans="1:14" ht="15" customHeight="1" x14ac:dyDescent="0.3">
      <c r="A171" s="25"/>
      <c r="B171" s="20"/>
      <c r="C171" s="20"/>
      <c r="D171" s="20"/>
      <c r="E171" s="20"/>
      <c r="F171" s="21"/>
      <c r="G171" s="21"/>
      <c r="H171" s="21"/>
      <c r="I171" s="21"/>
      <c r="J171" s="20"/>
      <c r="K171" s="17"/>
      <c r="L171" s="17"/>
      <c r="M171" s="20"/>
      <c r="N171" s="17"/>
    </row>
    <row r="172" spans="1:14" ht="15" customHeight="1" x14ac:dyDescent="0.3">
      <c r="A172" s="22"/>
      <c r="B172" s="23"/>
      <c r="C172" s="23"/>
      <c r="D172" s="23"/>
      <c r="E172" s="23"/>
      <c r="F172" s="24"/>
      <c r="G172" s="24"/>
      <c r="H172" s="24"/>
      <c r="I172" s="24"/>
      <c r="J172" s="23"/>
      <c r="K172" s="14"/>
      <c r="L172" s="14"/>
      <c r="M172" s="23"/>
      <c r="N172" s="14"/>
    </row>
    <row r="173" spans="1:14" ht="15" customHeight="1" x14ac:dyDescent="0.3">
      <c r="A173" s="25"/>
      <c r="B173" s="20"/>
      <c r="C173" s="20"/>
      <c r="D173" s="20"/>
      <c r="E173" s="20"/>
      <c r="F173" s="21"/>
      <c r="G173" s="21"/>
      <c r="H173" s="21"/>
      <c r="I173" s="21"/>
      <c r="J173" s="20"/>
      <c r="K173" s="17"/>
      <c r="L173" s="17"/>
      <c r="M173" s="20"/>
      <c r="N173" s="17"/>
    </row>
    <row r="174" spans="1:14" ht="15" customHeight="1" x14ac:dyDescent="0.3">
      <c r="A174" s="22"/>
      <c r="B174" s="23"/>
      <c r="C174" s="23"/>
      <c r="D174" s="23"/>
      <c r="E174" s="23"/>
      <c r="F174" s="24"/>
      <c r="G174" s="24"/>
      <c r="H174" s="24"/>
      <c r="I174" s="24"/>
      <c r="J174" s="23"/>
      <c r="K174" s="14"/>
      <c r="L174" s="14"/>
      <c r="M174" s="23"/>
      <c r="N174" s="14"/>
    </row>
    <row r="175" spans="1:14" ht="15" customHeight="1" x14ac:dyDescent="0.3">
      <c r="A175" s="25"/>
      <c r="B175" s="20"/>
      <c r="C175" s="20"/>
      <c r="D175" s="20"/>
      <c r="E175" s="20"/>
      <c r="F175" s="21"/>
      <c r="G175" s="21"/>
      <c r="H175" s="21"/>
      <c r="I175" s="21"/>
      <c r="J175" s="20"/>
      <c r="K175" s="17"/>
      <c r="L175" s="17"/>
      <c r="M175" s="20"/>
      <c r="N175" s="17"/>
    </row>
    <row r="176" spans="1:14" ht="15" customHeight="1" x14ac:dyDescent="0.3">
      <c r="A176" s="22"/>
      <c r="B176" s="23"/>
      <c r="C176" s="23"/>
      <c r="D176" s="23"/>
      <c r="E176" s="23"/>
      <c r="F176" s="24"/>
      <c r="G176" s="24"/>
      <c r="H176" s="24"/>
      <c r="I176" s="24"/>
      <c r="J176" s="23"/>
      <c r="K176" s="14"/>
      <c r="L176" s="14"/>
      <c r="M176" s="23"/>
      <c r="N176" s="14"/>
    </row>
    <row r="177" spans="1:14" ht="15" customHeight="1" x14ac:dyDescent="0.3">
      <c r="A177" s="25"/>
      <c r="B177" s="20"/>
      <c r="C177" s="20"/>
      <c r="D177" s="20"/>
      <c r="E177" s="20"/>
      <c r="F177" s="21"/>
      <c r="G177" s="21"/>
      <c r="H177" s="21"/>
      <c r="I177" s="21"/>
      <c r="J177" s="20"/>
      <c r="K177" s="17"/>
      <c r="L177" s="17"/>
      <c r="M177" s="20"/>
      <c r="N177" s="17"/>
    </row>
    <row r="178" spans="1:14" ht="15" customHeight="1" x14ac:dyDescent="0.3">
      <c r="A178" s="22"/>
      <c r="B178" s="23"/>
      <c r="C178" s="23"/>
      <c r="D178" s="23"/>
      <c r="E178" s="23"/>
      <c r="F178" s="24"/>
      <c r="G178" s="24"/>
      <c r="H178" s="24"/>
      <c r="I178" s="24"/>
      <c r="J178" s="23"/>
      <c r="K178" s="14"/>
      <c r="L178" s="14"/>
      <c r="M178" s="23"/>
      <c r="N178" s="14"/>
    </row>
    <row r="179" spans="1:14" ht="15" customHeight="1" x14ac:dyDescent="0.3">
      <c r="A179" s="25"/>
      <c r="B179" s="20"/>
      <c r="C179" s="20"/>
      <c r="D179" s="20"/>
      <c r="E179" s="20"/>
      <c r="F179" s="21"/>
      <c r="G179" s="21"/>
      <c r="H179" s="21"/>
      <c r="I179" s="21"/>
      <c r="J179" s="20"/>
      <c r="K179" s="17"/>
      <c r="L179" s="17"/>
      <c r="M179" s="20"/>
      <c r="N179" s="17"/>
    </row>
    <row r="180" spans="1:14" ht="15" customHeight="1" x14ac:dyDescent="0.3">
      <c r="A180" s="22"/>
      <c r="B180" s="23"/>
      <c r="C180" s="23"/>
      <c r="D180" s="23"/>
      <c r="E180" s="23"/>
      <c r="F180" s="24"/>
      <c r="G180" s="24"/>
      <c r="H180" s="24"/>
      <c r="I180" s="24"/>
      <c r="J180" s="23"/>
      <c r="K180" s="14"/>
      <c r="L180" s="14"/>
      <c r="M180" s="23"/>
      <c r="N180" s="14"/>
    </row>
    <row r="181" spans="1:14" ht="15" customHeight="1" x14ac:dyDescent="0.3">
      <c r="A181" s="25"/>
      <c r="B181" s="20"/>
      <c r="C181" s="20"/>
      <c r="D181" s="20"/>
      <c r="E181" s="20"/>
      <c r="F181" s="21"/>
      <c r="G181" s="21"/>
      <c r="H181" s="21"/>
      <c r="I181" s="21"/>
      <c r="J181" s="20"/>
      <c r="K181" s="17"/>
      <c r="L181" s="17"/>
      <c r="M181" s="20"/>
      <c r="N181" s="17"/>
    </row>
    <row r="182" spans="1:14" ht="15" customHeight="1" x14ac:dyDescent="0.3">
      <c r="A182" s="22"/>
      <c r="B182" s="23"/>
      <c r="C182" s="23"/>
      <c r="D182" s="23"/>
      <c r="E182" s="23"/>
      <c r="F182" s="24"/>
      <c r="G182" s="24"/>
      <c r="H182" s="24"/>
      <c r="I182" s="24"/>
      <c r="J182" s="23"/>
      <c r="K182" s="14"/>
      <c r="L182" s="14"/>
      <c r="M182" s="23"/>
      <c r="N182" s="14"/>
    </row>
    <row r="183" spans="1:14" ht="15" customHeight="1" x14ac:dyDescent="0.3">
      <c r="A183" s="25"/>
      <c r="B183" s="20"/>
      <c r="C183" s="20"/>
      <c r="D183" s="20"/>
      <c r="E183" s="20"/>
      <c r="F183" s="21"/>
      <c r="G183" s="21"/>
      <c r="H183" s="21"/>
      <c r="I183" s="21"/>
      <c r="J183" s="20"/>
      <c r="K183" s="17"/>
      <c r="L183" s="17"/>
      <c r="M183" s="20"/>
      <c r="N183" s="17"/>
    </row>
    <row r="184" spans="1:14" ht="15" customHeight="1" x14ac:dyDescent="0.3">
      <c r="A184" s="22"/>
      <c r="B184" s="23"/>
      <c r="C184" s="23"/>
      <c r="D184" s="23"/>
      <c r="E184" s="23"/>
      <c r="F184" s="24"/>
      <c r="G184" s="24"/>
      <c r="H184" s="24"/>
      <c r="I184" s="24"/>
      <c r="J184" s="23"/>
      <c r="K184" s="14"/>
      <c r="L184" s="14"/>
      <c r="M184" s="23"/>
      <c r="N184" s="14"/>
    </row>
    <row r="185" spans="1:14" ht="15" customHeight="1" x14ac:dyDescent="0.3">
      <c r="A185" s="25"/>
      <c r="B185" s="20"/>
      <c r="C185" s="20"/>
      <c r="D185" s="20"/>
      <c r="E185" s="20"/>
      <c r="F185" s="21"/>
      <c r="G185" s="21"/>
      <c r="H185" s="21"/>
      <c r="I185" s="21"/>
      <c r="J185" s="20"/>
      <c r="K185" s="17"/>
      <c r="L185" s="17"/>
      <c r="M185" s="20"/>
      <c r="N185" s="17"/>
    </row>
    <row r="186" spans="1:14" ht="15" customHeight="1" x14ac:dyDescent="0.3">
      <c r="A186" s="22"/>
      <c r="B186" s="23"/>
      <c r="C186" s="23"/>
      <c r="D186" s="23"/>
      <c r="E186" s="23"/>
      <c r="F186" s="24"/>
      <c r="G186" s="24"/>
      <c r="H186" s="24"/>
      <c r="I186" s="24"/>
      <c r="J186" s="23"/>
      <c r="K186" s="14"/>
      <c r="L186" s="14"/>
      <c r="M186" s="23"/>
      <c r="N186" s="14"/>
    </row>
    <row r="187" spans="1:14" ht="15" customHeight="1" x14ac:dyDescent="0.3">
      <c r="A187" s="25"/>
      <c r="B187" s="20"/>
      <c r="C187" s="20"/>
      <c r="D187" s="20"/>
      <c r="E187" s="20"/>
      <c r="F187" s="21"/>
      <c r="G187" s="21"/>
      <c r="H187" s="21"/>
      <c r="I187" s="21"/>
      <c r="J187" s="20"/>
      <c r="K187" s="17"/>
      <c r="L187" s="17"/>
      <c r="M187" s="20"/>
      <c r="N187" s="17"/>
    </row>
    <row r="188" spans="1:14" ht="15" customHeight="1" x14ac:dyDescent="0.3">
      <c r="A188" s="22"/>
      <c r="B188" s="23"/>
      <c r="C188" s="23"/>
      <c r="D188" s="23"/>
      <c r="E188" s="23"/>
      <c r="F188" s="24"/>
      <c r="G188" s="24"/>
      <c r="H188" s="24"/>
      <c r="I188" s="24"/>
      <c r="J188" s="23"/>
      <c r="K188" s="14"/>
      <c r="L188" s="14"/>
      <c r="M188" s="23"/>
      <c r="N188" s="14"/>
    </row>
    <row r="189" spans="1:14" ht="15" customHeight="1" x14ac:dyDescent="0.3">
      <c r="A189" s="25"/>
      <c r="B189" s="20"/>
      <c r="C189" s="20"/>
      <c r="D189" s="20"/>
      <c r="E189" s="20"/>
      <c r="F189" s="21"/>
      <c r="G189" s="21"/>
      <c r="H189" s="21"/>
      <c r="I189" s="21"/>
      <c r="J189" s="20"/>
      <c r="K189" s="17"/>
      <c r="L189" s="17"/>
      <c r="M189" s="20"/>
      <c r="N189" s="17"/>
    </row>
    <row r="190" spans="1:14" ht="15" customHeight="1" x14ac:dyDescent="0.3">
      <c r="A190" s="22"/>
      <c r="B190" s="23"/>
      <c r="C190" s="23"/>
      <c r="D190" s="23"/>
      <c r="E190" s="23"/>
      <c r="F190" s="24"/>
      <c r="G190" s="24"/>
      <c r="H190" s="24"/>
      <c r="I190" s="24"/>
      <c r="J190" s="23"/>
      <c r="K190" s="14"/>
      <c r="L190" s="14"/>
      <c r="M190" s="23"/>
      <c r="N190" s="14"/>
    </row>
    <row r="191" spans="1:14" ht="15" customHeight="1" x14ac:dyDescent="0.3">
      <c r="A191" s="25"/>
      <c r="B191" s="20"/>
      <c r="C191" s="20"/>
      <c r="D191" s="20"/>
      <c r="E191" s="20"/>
      <c r="F191" s="21"/>
      <c r="G191" s="21"/>
      <c r="H191" s="21"/>
      <c r="I191" s="21"/>
      <c r="J191" s="20"/>
      <c r="K191" s="17"/>
      <c r="L191" s="17"/>
      <c r="M191" s="20"/>
      <c r="N191" s="17"/>
    </row>
    <row r="192" spans="1:14" ht="15" customHeight="1" x14ac:dyDescent="0.3">
      <c r="A192" s="22"/>
      <c r="B192" s="23"/>
      <c r="C192" s="23"/>
      <c r="D192" s="23"/>
      <c r="E192" s="23"/>
      <c r="F192" s="24"/>
      <c r="G192" s="24"/>
      <c r="H192" s="24"/>
      <c r="I192" s="24"/>
      <c r="J192" s="23"/>
      <c r="K192" s="14"/>
      <c r="L192" s="14"/>
      <c r="M192" s="23"/>
      <c r="N192" s="14"/>
    </row>
    <row r="193" spans="1:14" ht="15" customHeight="1" x14ac:dyDescent="0.3">
      <c r="A193" s="25"/>
      <c r="B193" s="20"/>
      <c r="C193" s="20"/>
      <c r="D193" s="20"/>
      <c r="E193" s="20"/>
      <c r="F193" s="21"/>
      <c r="G193" s="21"/>
      <c r="H193" s="21"/>
      <c r="I193" s="21"/>
      <c r="J193" s="20"/>
      <c r="K193" s="17"/>
      <c r="L193" s="17"/>
      <c r="M193" s="20"/>
      <c r="N193" s="17"/>
    </row>
    <row r="194" spans="1:14" ht="15" customHeight="1" x14ac:dyDescent="0.3">
      <c r="A194" s="22"/>
      <c r="B194" s="23"/>
      <c r="C194" s="23"/>
      <c r="D194" s="23"/>
      <c r="E194" s="23"/>
      <c r="F194" s="24"/>
      <c r="G194" s="24"/>
      <c r="H194" s="24"/>
      <c r="I194" s="24"/>
      <c r="J194" s="23"/>
      <c r="K194" s="14"/>
      <c r="L194" s="14"/>
      <c r="M194" s="23"/>
      <c r="N194" s="14"/>
    </row>
    <row r="195" spans="1:14" ht="15" customHeight="1" x14ac:dyDescent="0.3">
      <c r="A195" s="25"/>
      <c r="B195" s="20"/>
      <c r="C195" s="20"/>
      <c r="D195" s="20"/>
      <c r="E195" s="20"/>
      <c r="F195" s="21"/>
      <c r="G195" s="21"/>
      <c r="H195" s="21"/>
      <c r="I195" s="21"/>
      <c r="J195" s="20"/>
      <c r="K195" s="17"/>
      <c r="L195" s="17"/>
      <c r="M195" s="20"/>
      <c r="N195" s="17"/>
    </row>
    <row r="196" spans="1:14" ht="15" customHeight="1" x14ac:dyDescent="0.3">
      <c r="A196" s="22"/>
      <c r="B196" s="23"/>
      <c r="C196" s="23"/>
      <c r="D196" s="23"/>
      <c r="E196" s="23"/>
      <c r="F196" s="24"/>
      <c r="G196" s="24"/>
      <c r="H196" s="24"/>
      <c r="I196" s="24"/>
      <c r="J196" s="23"/>
      <c r="K196" s="14"/>
      <c r="L196" s="14"/>
      <c r="M196" s="23"/>
      <c r="N196" s="14"/>
    </row>
    <row r="197" spans="1:14" ht="15" customHeight="1" x14ac:dyDescent="0.3">
      <c r="A197" s="25"/>
      <c r="B197" s="20"/>
      <c r="C197" s="20"/>
      <c r="D197" s="20"/>
      <c r="E197" s="20"/>
      <c r="F197" s="21"/>
      <c r="G197" s="21"/>
      <c r="H197" s="21"/>
      <c r="I197" s="21"/>
      <c r="J197" s="20"/>
      <c r="K197" s="17"/>
      <c r="L197" s="17"/>
      <c r="M197" s="20"/>
      <c r="N197" s="17"/>
    </row>
    <row r="198" spans="1:14" ht="15" customHeight="1" x14ac:dyDescent="0.3">
      <c r="A198" s="22"/>
      <c r="B198" s="23"/>
      <c r="C198" s="23"/>
      <c r="D198" s="23"/>
      <c r="E198" s="23"/>
      <c r="F198" s="24"/>
      <c r="G198" s="24"/>
      <c r="H198" s="24"/>
      <c r="I198" s="24"/>
      <c r="J198" s="23"/>
      <c r="K198" s="14"/>
      <c r="L198" s="14"/>
      <c r="M198" s="23"/>
      <c r="N198" s="14"/>
    </row>
    <row r="199" spans="1:14" ht="15" customHeight="1" x14ac:dyDescent="0.3">
      <c r="A199" s="25"/>
      <c r="B199" s="20"/>
      <c r="C199" s="20"/>
      <c r="D199" s="20"/>
      <c r="E199" s="20"/>
      <c r="F199" s="21"/>
      <c r="G199" s="21"/>
      <c r="H199" s="21"/>
      <c r="I199" s="21"/>
      <c r="J199" s="20"/>
      <c r="K199" s="17"/>
      <c r="L199" s="17"/>
      <c r="M199" s="20"/>
      <c r="N199" s="17"/>
    </row>
    <row r="200" spans="1:14" ht="15" customHeight="1" x14ac:dyDescent="0.3">
      <c r="A200" s="22"/>
      <c r="B200" s="23"/>
      <c r="C200" s="23"/>
      <c r="D200" s="23"/>
      <c r="E200" s="23"/>
      <c r="F200" s="24"/>
      <c r="G200" s="24"/>
      <c r="H200" s="24"/>
      <c r="I200" s="24"/>
      <c r="J200" s="23"/>
      <c r="K200" s="14"/>
      <c r="L200" s="14"/>
      <c r="M200" s="23"/>
      <c r="N200" s="14"/>
    </row>
    <row r="201" spans="1:14" ht="15" customHeight="1" x14ac:dyDescent="0.3">
      <c r="A201" s="25"/>
      <c r="B201" s="20"/>
      <c r="C201" s="20"/>
      <c r="D201" s="20"/>
      <c r="E201" s="20"/>
      <c r="F201" s="21"/>
      <c r="G201" s="21"/>
      <c r="H201" s="21"/>
      <c r="I201" s="21"/>
      <c r="J201" s="20"/>
      <c r="K201" s="17"/>
      <c r="L201" s="17"/>
      <c r="M201" s="20"/>
      <c r="N201" s="17"/>
    </row>
    <row r="202" spans="1:14" ht="15" customHeight="1" x14ac:dyDescent="0.3">
      <c r="A202" s="22"/>
      <c r="B202" s="23"/>
      <c r="C202" s="23"/>
      <c r="D202" s="23"/>
      <c r="E202" s="23"/>
      <c r="F202" s="24"/>
      <c r="G202" s="24"/>
      <c r="H202" s="24"/>
      <c r="I202" s="24"/>
      <c r="J202" s="23"/>
      <c r="K202" s="14"/>
      <c r="L202" s="14"/>
      <c r="M202" s="23"/>
      <c r="N202" s="14"/>
    </row>
    <row r="203" spans="1:14" ht="15" customHeight="1" x14ac:dyDescent="0.3">
      <c r="A203" s="25"/>
      <c r="B203" s="20"/>
      <c r="C203" s="20"/>
      <c r="D203" s="20"/>
      <c r="E203" s="20"/>
      <c r="F203" s="21"/>
      <c r="G203" s="21"/>
      <c r="H203" s="21"/>
      <c r="I203" s="21"/>
      <c r="J203" s="20"/>
      <c r="K203" s="17"/>
      <c r="L203" s="17"/>
      <c r="M203" s="20"/>
      <c r="N203" s="17"/>
    </row>
    <row r="204" spans="1:14" ht="15" customHeight="1" x14ac:dyDescent="0.3">
      <c r="A204" s="22"/>
      <c r="B204" s="23"/>
      <c r="C204" s="23"/>
      <c r="D204" s="23"/>
      <c r="E204" s="23"/>
      <c r="F204" s="24"/>
      <c r="G204" s="24"/>
      <c r="H204" s="24"/>
      <c r="I204" s="24"/>
      <c r="J204" s="23"/>
      <c r="K204" s="14"/>
      <c r="L204" s="14"/>
      <c r="M204" s="23"/>
      <c r="N204" s="14"/>
    </row>
    <row r="205" spans="1:14" ht="15" customHeight="1" x14ac:dyDescent="0.3">
      <c r="A205" s="25"/>
      <c r="B205" s="20"/>
      <c r="C205" s="20"/>
      <c r="D205" s="20"/>
      <c r="E205" s="20"/>
      <c r="F205" s="21"/>
      <c r="G205" s="21"/>
      <c r="H205" s="21"/>
      <c r="I205" s="21"/>
      <c r="J205" s="20"/>
      <c r="K205" s="17"/>
      <c r="L205" s="17"/>
      <c r="M205" s="20"/>
      <c r="N205" s="17"/>
    </row>
    <row r="206" spans="1:14" ht="15" customHeight="1" x14ac:dyDescent="0.3">
      <c r="A206" s="22"/>
      <c r="B206" s="23"/>
      <c r="C206" s="23"/>
      <c r="D206" s="23"/>
      <c r="E206" s="23"/>
      <c r="F206" s="24"/>
      <c r="G206" s="24"/>
      <c r="H206" s="24"/>
      <c r="I206" s="24"/>
      <c r="J206" s="23"/>
      <c r="K206" s="14"/>
      <c r="L206" s="14"/>
      <c r="M206" s="23"/>
      <c r="N206" s="14"/>
    </row>
    <row r="207" spans="1:14" ht="15" customHeight="1" x14ac:dyDescent="0.3">
      <c r="A207" s="25"/>
      <c r="B207" s="20"/>
      <c r="C207" s="20"/>
      <c r="D207" s="20"/>
      <c r="E207" s="20"/>
      <c r="F207" s="21"/>
      <c r="G207" s="21"/>
      <c r="H207" s="21"/>
      <c r="I207" s="21"/>
      <c r="J207" s="20"/>
      <c r="K207" s="17"/>
      <c r="L207" s="17"/>
      <c r="M207" s="20"/>
      <c r="N207" s="17"/>
    </row>
    <row r="208" spans="1:14" ht="15" customHeight="1" x14ac:dyDescent="0.3">
      <c r="A208" s="22"/>
      <c r="B208" s="23"/>
      <c r="C208" s="23"/>
      <c r="D208" s="23"/>
      <c r="E208" s="23"/>
      <c r="F208" s="24"/>
      <c r="G208" s="24"/>
      <c r="H208" s="24"/>
      <c r="I208" s="24"/>
      <c r="J208" s="23"/>
      <c r="K208" s="14"/>
      <c r="L208" s="14"/>
      <c r="M208" s="23"/>
      <c r="N208" s="14"/>
    </row>
    <row r="209" spans="1:14" ht="15" customHeight="1" x14ac:dyDescent="0.3">
      <c r="A209" s="25"/>
      <c r="B209" s="20"/>
      <c r="C209" s="20"/>
      <c r="D209" s="20"/>
      <c r="E209" s="20"/>
      <c r="F209" s="21"/>
      <c r="G209" s="21"/>
      <c r="H209" s="21"/>
      <c r="I209" s="21"/>
      <c r="J209" s="20"/>
      <c r="K209" s="17"/>
      <c r="L209" s="17"/>
      <c r="M209" s="20"/>
      <c r="N209" s="17"/>
    </row>
    <row r="210" spans="1:14" ht="15" customHeight="1" x14ac:dyDescent="0.3">
      <c r="A210" s="22"/>
      <c r="B210" s="23"/>
      <c r="C210" s="23"/>
      <c r="D210" s="23"/>
      <c r="E210" s="23"/>
      <c r="F210" s="24"/>
      <c r="G210" s="24"/>
      <c r="H210" s="24"/>
      <c r="I210" s="24"/>
      <c r="J210" s="23"/>
      <c r="K210" s="14"/>
      <c r="L210" s="14"/>
      <c r="M210" s="23"/>
      <c r="N210" s="14"/>
    </row>
    <row r="211" spans="1:14" ht="15" customHeight="1" x14ac:dyDescent="0.3">
      <c r="A211" s="25"/>
      <c r="B211" s="20"/>
      <c r="C211" s="20"/>
      <c r="D211" s="20"/>
      <c r="E211" s="20"/>
      <c r="F211" s="21"/>
      <c r="G211" s="21"/>
      <c r="H211" s="21"/>
      <c r="I211" s="21"/>
      <c r="J211" s="20"/>
      <c r="K211" s="17"/>
      <c r="L211" s="17"/>
      <c r="M211" s="20"/>
      <c r="N211" s="17"/>
    </row>
    <row r="212" spans="1:14" ht="15" customHeight="1" x14ac:dyDescent="0.3">
      <c r="A212" s="22"/>
      <c r="B212" s="23"/>
      <c r="C212" s="23"/>
      <c r="D212" s="23"/>
      <c r="E212" s="23"/>
      <c r="F212" s="24"/>
      <c r="G212" s="24"/>
      <c r="H212" s="24"/>
      <c r="I212" s="24"/>
      <c r="J212" s="23"/>
      <c r="K212" s="14"/>
      <c r="L212" s="14"/>
      <c r="M212" s="23"/>
      <c r="N212" s="14"/>
    </row>
    <row r="213" spans="1:14" ht="15" customHeight="1" x14ac:dyDescent="0.3">
      <c r="A213" s="25"/>
      <c r="B213" s="20"/>
      <c r="C213" s="20"/>
      <c r="D213" s="20"/>
      <c r="E213" s="20"/>
      <c r="F213" s="21"/>
      <c r="G213" s="21"/>
      <c r="H213" s="21"/>
      <c r="I213" s="21"/>
      <c r="J213" s="20"/>
      <c r="K213" s="17"/>
      <c r="L213" s="17"/>
      <c r="M213" s="20"/>
      <c r="N213" s="17"/>
    </row>
    <row r="214" spans="1:14" ht="15" customHeight="1" x14ac:dyDescent="0.3">
      <c r="A214" s="22"/>
      <c r="B214" s="23"/>
      <c r="C214" s="23"/>
      <c r="D214" s="23"/>
      <c r="E214" s="23"/>
      <c r="F214" s="24"/>
      <c r="G214" s="24"/>
      <c r="H214" s="24"/>
      <c r="I214" s="24"/>
      <c r="J214" s="23"/>
      <c r="K214" s="14"/>
      <c r="L214" s="14"/>
      <c r="M214" s="23"/>
      <c r="N214" s="14"/>
    </row>
    <row r="215" spans="1:14" ht="15" customHeight="1" x14ac:dyDescent="0.3">
      <c r="A215" s="25"/>
      <c r="B215" s="20"/>
      <c r="C215" s="20"/>
      <c r="D215" s="20"/>
      <c r="E215" s="20"/>
      <c r="F215" s="21"/>
      <c r="G215" s="21"/>
      <c r="H215" s="21"/>
      <c r="I215" s="21"/>
      <c r="J215" s="20"/>
      <c r="K215" s="17"/>
      <c r="L215" s="17"/>
      <c r="M215" s="20"/>
      <c r="N215" s="17"/>
    </row>
    <row r="216" spans="1:14" ht="15" customHeight="1" x14ac:dyDescent="0.3">
      <c r="A216" s="22"/>
      <c r="B216" s="23"/>
      <c r="C216" s="23"/>
      <c r="D216" s="23"/>
      <c r="E216" s="23"/>
      <c r="F216" s="24"/>
      <c r="G216" s="24"/>
      <c r="H216" s="24"/>
      <c r="I216" s="24"/>
      <c r="J216" s="23"/>
      <c r="K216" s="14"/>
      <c r="L216" s="14"/>
      <c r="M216" s="23"/>
      <c r="N216" s="14"/>
    </row>
    <row r="217" spans="1:14" ht="15" customHeight="1" x14ac:dyDescent="0.3">
      <c r="A217" s="25"/>
      <c r="B217" s="20"/>
      <c r="C217" s="20"/>
      <c r="D217" s="20"/>
      <c r="E217" s="20"/>
      <c r="F217" s="21"/>
      <c r="G217" s="21"/>
      <c r="H217" s="21"/>
      <c r="I217" s="21"/>
      <c r="J217" s="20"/>
      <c r="K217" s="17"/>
      <c r="L217" s="17"/>
      <c r="M217" s="20"/>
      <c r="N217" s="17"/>
    </row>
    <row r="218" spans="1:14" ht="15" customHeight="1" x14ac:dyDescent="0.3">
      <c r="A218" s="22"/>
      <c r="B218" s="23"/>
      <c r="C218" s="23"/>
      <c r="D218" s="23"/>
      <c r="E218" s="23"/>
      <c r="F218" s="24"/>
      <c r="G218" s="24"/>
      <c r="H218" s="24"/>
      <c r="I218" s="24"/>
      <c r="J218" s="23"/>
      <c r="K218" s="14"/>
      <c r="L218" s="14"/>
      <c r="M218" s="23"/>
      <c r="N218" s="14"/>
    </row>
    <row r="219" spans="1:14" ht="15" customHeight="1" x14ac:dyDescent="0.3">
      <c r="A219" s="25"/>
      <c r="B219" s="20"/>
      <c r="C219" s="20"/>
      <c r="D219" s="20"/>
      <c r="E219" s="20"/>
      <c r="F219" s="21"/>
      <c r="G219" s="21"/>
      <c r="H219" s="21"/>
      <c r="I219" s="21"/>
      <c r="J219" s="20"/>
      <c r="K219" s="17"/>
      <c r="L219" s="17"/>
      <c r="M219" s="20"/>
      <c r="N219" s="17"/>
    </row>
    <row r="220" spans="1:14" ht="15" customHeight="1" x14ac:dyDescent="0.3">
      <c r="A220" s="22"/>
      <c r="B220" s="23"/>
      <c r="C220" s="23"/>
      <c r="D220" s="23"/>
      <c r="E220" s="23"/>
      <c r="F220" s="24"/>
      <c r="G220" s="24"/>
      <c r="H220" s="24"/>
      <c r="I220" s="24"/>
      <c r="J220" s="23"/>
      <c r="K220" s="14"/>
      <c r="L220" s="14"/>
      <c r="M220" s="23"/>
      <c r="N220" s="14"/>
    </row>
    <row r="221" spans="1:14" ht="15" customHeight="1" x14ac:dyDescent="0.3">
      <c r="A221" s="25"/>
      <c r="B221" s="20"/>
      <c r="C221" s="20"/>
      <c r="D221" s="20"/>
      <c r="E221" s="20"/>
      <c r="F221" s="21"/>
      <c r="G221" s="21"/>
      <c r="H221" s="21"/>
      <c r="I221" s="21"/>
      <c r="J221" s="20"/>
      <c r="K221" s="17"/>
      <c r="L221" s="17"/>
      <c r="M221" s="20"/>
      <c r="N221" s="17"/>
    </row>
    <row r="222" spans="1:14" ht="15" customHeight="1" x14ac:dyDescent="0.3">
      <c r="A222" s="22"/>
      <c r="B222" s="23"/>
      <c r="C222" s="23"/>
      <c r="D222" s="23"/>
      <c r="E222" s="23"/>
      <c r="F222" s="24"/>
      <c r="G222" s="24"/>
      <c r="H222" s="24"/>
      <c r="I222" s="24"/>
      <c r="J222" s="23"/>
      <c r="K222" s="14"/>
      <c r="L222" s="14"/>
      <c r="M222" s="23"/>
      <c r="N222" s="14"/>
    </row>
    <row r="223" spans="1:14" ht="15" customHeight="1" x14ac:dyDescent="0.3">
      <c r="A223" s="25"/>
      <c r="B223" s="20"/>
      <c r="C223" s="20"/>
      <c r="D223" s="20"/>
      <c r="E223" s="20"/>
      <c r="F223" s="21"/>
      <c r="G223" s="21"/>
      <c r="H223" s="21"/>
      <c r="I223" s="21"/>
      <c r="J223" s="20"/>
      <c r="K223" s="17"/>
      <c r="L223" s="17"/>
      <c r="M223" s="20"/>
      <c r="N223" s="17"/>
    </row>
    <row r="224" spans="1:14" ht="15" customHeight="1" x14ac:dyDescent="0.3">
      <c r="A224" s="22"/>
      <c r="B224" s="23"/>
      <c r="C224" s="23"/>
      <c r="D224" s="23"/>
      <c r="E224" s="23"/>
      <c r="F224" s="24"/>
      <c r="G224" s="24"/>
      <c r="H224" s="24"/>
      <c r="I224" s="24"/>
      <c r="J224" s="23"/>
      <c r="K224" s="14"/>
      <c r="L224" s="14"/>
      <c r="M224" s="23"/>
      <c r="N224" s="14"/>
    </row>
    <row r="225" spans="1:14" ht="15" customHeight="1" x14ac:dyDescent="0.3">
      <c r="A225" s="25"/>
      <c r="B225" s="20"/>
      <c r="C225" s="20"/>
      <c r="D225" s="20"/>
      <c r="E225" s="20"/>
      <c r="F225" s="21"/>
      <c r="G225" s="21"/>
      <c r="H225" s="21"/>
      <c r="I225" s="21"/>
      <c r="J225" s="20"/>
      <c r="K225" s="17"/>
      <c r="L225" s="17"/>
      <c r="M225" s="20"/>
      <c r="N225" s="17"/>
    </row>
    <row r="226" spans="1:14" ht="15" customHeight="1" x14ac:dyDescent="0.3">
      <c r="A226" s="22"/>
      <c r="B226" s="23"/>
      <c r="C226" s="23"/>
      <c r="D226" s="23"/>
      <c r="E226" s="23"/>
      <c r="F226" s="24"/>
      <c r="G226" s="24"/>
      <c r="H226" s="24"/>
      <c r="I226" s="24"/>
      <c r="J226" s="23"/>
      <c r="K226" s="14"/>
      <c r="L226" s="14"/>
      <c r="M226" s="23"/>
      <c r="N226" s="14"/>
    </row>
    <row r="227" spans="1:14" ht="15" customHeight="1" x14ac:dyDescent="0.3">
      <c r="A227" s="25"/>
      <c r="B227" s="20"/>
      <c r="C227" s="20"/>
      <c r="D227" s="20"/>
      <c r="E227" s="20"/>
      <c r="F227" s="21"/>
      <c r="G227" s="21"/>
      <c r="H227" s="21"/>
      <c r="I227" s="21"/>
      <c r="J227" s="20"/>
      <c r="K227" s="17"/>
      <c r="L227" s="17"/>
      <c r="M227" s="20"/>
      <c r="N227" s="17"/>
    </row>
    <row r="228" spans="1:14" ht="15" customHeight="1" x14ac:dyDescent="0.3">
      <c r="A228" s="22"/>
      <c r="B228" s="23"/>
      <c r="C228" s="23"/>
      <c r="D228" s="23"/>
      <c r="E228" s="23"/>
      <c r="F228" s="24"/>
      <c r="G228" s="24"/>
      <c r="H228" s="24"/>
      <c r="I228" s="24"/>
      <c r="J228" s="23"/>
      <c r="K228" s="14"/>
      <c r="L228" s="14"/>
      <c r="M228" s="23"/>
      <c r="N228" s="14"/>
    </row>
    <row r="229" spans="1:14" ht="15" customHeight="1" x14ac:dyDescent="0.3">
      <c r="A229" s="25"/>
      <c r="B229" s="20"/>
      <c r="C229" s="20"/>
      <c r="D229" s="20"/>
      <c r="E229" s="20"/>
      <c r="F229" s="21"/>
      <c r="G229" s="21"/>
      <c r="H229" s="21"/>
      <c r="I229" s="21"/>
      <c r="J229" s="20"/>
      <c r="K229" s="17"/>
      <c r="L229" s="17"/>
      <c r="M229" s="20"/>
      <c r="N229" s="17"/>
    </row>
    <row r="230" spans="1:14" ht="15" customHeight="1" x14ac:dyDescent="0.3">
      <c r="A230" s="22"/>
      <c r="B230" s="23"/>
      <c r="C230" s="23"/>
      <c r="D230" s="23"/>
      <c r="E230" s="23"/>
      <c r="F230" s="24"/>
      <c r="G230" s="24"/>
      <c r="H230" s="24"/>
      <c r="I230" s="24"/>
      <c r="J230" s="23"/>
      <c r="K230" s="14"/>
      <c r="L230" s="14"/>
      <c r="M230" s="23"/>
      <c r="N230" s="14"/>
    </row>
    <row r="231" spans="1:14" ht="15" customHeight="1" x14ac:dyDescent="0.3">
      <c r="A231" s="25"/>
      <c r="B231" s="20"/>
      <c r="C231" s="20"/>
      <c r="D231" s="20"/>
      <c r="E231" s="20"/>
      <c r="F231" s="21"/>
      <c r="G231" s="21"/>
      <c r="H231" s="21"/>
      <c r="I231" s="21"/>
      <c r="J231" s="20"/>
      <c r="K231" s="17"/>
      <c r="L231" s="17"/>
      <c r="M231" s="20"/>
      <c r="N231" s="17"/>
    </row>
    <row r="232" spans="1:14" ht="15" customHeight="1" x14ac:dyDescent="0.3">
      <c r="A232" s="22"/>
      <c r="B232" s="23"/>
      <c r="C232" s="23"/>
      <c r="D232" s="23"/>
      <c r="E232" s="23"/>
      <c r="F232" s="24"/>
      <c r="G232" s="24"/>
      <c r="H232" s="24"/>
      <c r="I232" s="24"/>
      <c r="J232" s="23"/>
      <c r="K232" s="14"/>
      <c r="L232" s="14"/>
      <c r="M232" s="23"/>
      <c r="N232" s="14"/>
    </row>
    <row r="233" spans="1:14" ht="15" customHeight="1" x14ac:dyDescent="0.3">
      <c r="A233" s="25"/>
      <c r="B233" s="20"/>
      <c r="C233" s="20"/>
      <c r="D233" s="20"/>
      <c r="E233" s="20"/>
      <c r="F233" s="21"/>
      <c r="G233" s="21"/>
      <c r="H233" s="21"/>
      <c r="I233" s="21"/>
      <c r="J233" s="20"/>
      <c r="K233" s="17"/>
      <c r="L233" s="17"/>
      <c r="M233" s="20"/>
      <c r="N233" s="17"/>
    </row>
    <row r="234" spans="1:14" ht="15" customHeight="1" x14ac:dyDescent="0.3">
      <c r="A234" s="22"/>
      <c r="B234" s="23"/>
      <c r="C234" s="23"/>
      <c r="D234" s="23"/>
      <c r="E234" s="23"/>
      <c r="F234" s="24"/>
      <c r="G234" s="24"/>
      <c r="H234" s="24"/>
      <c r="I234" s="24"/>
      <c r="J234" s="23"/>
      <c r="K234" s="14"/>
      <c r="L234" s="14"/>
      <c r="M234" s="23"/>
      <c r="N234" s="14"/>
    </row>
    <row r="235" spans="1:14" ht="15" customHeight="1" x14ac:dyDescent="0.3">
      <c r="A235" s="25"/>
      <c r="B235" s="20"/>
      <c r="C235" s="20"/>
      <c r="D235" s="20"/>
      <c r="E235" s="20"/>
      <c r="F235" s="21"/>
      <c r="G235" s="21"/>
      <c r="H235" s="21"/>
      <c r="I235" s="21"/>
      <c r="J235" s="20"/>
      <c r="K235" s="17"/>
      <c r="L235" s="17"/>
      <c r="M235" s="20"/>
      <c r="N235" s="17"/>
    </row>
    <row r="236" spans="1:14" ht="15" customHeight="1" x14ac:dyDescent="0.3">
      <c r="A236" s="22"/>
      <c r="B236" s="23"/>
      <c r="C236" s="23"/>
      <c r="D236" s="23"/>
      <c r="E236" s="23"/>
      <c r="F236" s="24"/>
      <c r="G236" s="24"/>
      <c r="H236" s="24"/>
      <c r="I236" s="24"/>
      <c r="J236" s="23"/>
      <c r="K236" s="14"/>
      <c r="L236" s="14"/>
      <c r="M236" s="23"/>
      <c r="N236" s="14"/>
    </row>
    <row r="237" spans="1:14" ht="15" customHeight="1" x14ac:dyDescent="0.3">
      <c r="A237" s="25"/>
      <c r="B237" s="20"/>
      <c r="C237" s="20"/>
      <c r="D237" s="20"/>
      <c r="E237" s="20"/>
      <c r="F237" s="21"/>
      <c r="G237" s="21"/>
      <c r="H237" s="21"/>
      <c r="I237" s="21"/>
      <c r="J237" s="20"/>
      <c r="K237" s="17"/>
      <c r="L237" s="17"/>
      <c r="M237" s="20"/>
      <c r="N237" s="17"/>
    </row>
    <row r="238" spans="1:14" ht="15" customHeight="1" x14ac:dyDescent="0.3">
      <c r="A238" s="22"/>
      <c r="B238" s="23"/>
      <c r="C238" s="23"/>
      <c r="D238" s="23"/>
      <c r="E238" s="23"/>
      <c r="F238" s="24"/>
      <c r="G238" s="24"/>
      <c r="H238" s="24"/>
      <c r="I238" s="24"/>
      <c r="J238" s="23"/>
      <c r="K238" s="14"/>
      <c r="L238" s="14"/>
      <c r="M238" s="23"/>
      <c r="N238" s="14"/>
    </row>
    <row r="239" spans="1:14" ht="15" customHeight="1" x14ac:dyDescent="0.3">
      <c r="A239" s="25"/>
      <c r="B239" s="20"/>
      <c r="C239" s="20"/>
      <c r="D239" s="20"/>
      <c r="E239" s="20"/>
      <c r="F239" s="21"/>
      <c r="G239" s="21"/>
      <c r="H239" s="21"/>
      <c r="I239" s="21"/>
      <c r="J239" s="20"/>
      <c r="K239" s="17"/>
      <c r="L239" s="17"/>
      <c r="M239" s="20"/>
      <c r="N239" s="17"/>
    </row>
    <row r="240" spans="1:14" ht="15" customHeight="1" x14ac:dyDescent="0.3">
      <c r="A240" s="22"/>
      <c r="B240" s="23"/>
      <c r="C240" s="23"/>
      <c r="D240" s="23"/>
      <c r="E240" s="23"/>
      <c r="F240" s="24"/>
      <c r="G240" s="24"/>
      <c r="H240" s="24"/>
      <c r="I240" s="24"/>
      <c r="J240" s="23"/>
      <c r="K240" s="14"/>
      <c r="L240" s="14"/>
      <c r="M240" s="23"/>
      <c r="N240" s="14"/>
    </row>
    <row r="241" spans="1:14" ht="15" customHeight="1" x14ac:dyDescent="0.3">
      <c r="A241" s="25"/>
      <c r="B241" s="20"/>
      <c r="C241" s="20"/>
      <c r="D241" s="20"/>
      <c r="E241" s="20"/>
      <c r="F241" s="21"/>
      <c r="G241" s="21"/>
      <c r="H241" s="21"/>
      <c r="I241" s="21"/>
      <c r="J241" s="20"/>
      <c r="K241" s="17"/>
      <c r="L241" s="17"/>
      <c r="M241" s="20"/>
      <c r="N241" s="17"/>
    </row>
    <row r="242" spans="1:14" ht="15" customHeight="1" x14ac:dyDescent="0.3">
      <c r="A242" s="22"/>
      <c r="B242" s="23"/>
      <c r="C242" s="23"/>
      <c r="D242" s="23"/>
      <c r="E242" s="23"/>
      <c r="F242" s="24"/>
      <c r="G242" s="24"/>
      <c r="H242" s="24"/>
      <c r="I242" s="24"/>
      <c r="J242" s="23"/>
      <c r="K242" s="14"/>
      <c r="L242" s="14"/>
      <c r="M242" s="23"/>
      <c r="N242" s="14"/>
    </row>
    <row r="243" spans="1:14" ht="15" customHeight="1" x14ac:dyDescent="0.3">
      <c r="A243" s="25"/>
      <c r="B243" s="20"/>
      <c r="C243" s="20"/>
      <c r="D243" s="20"/>
      <c r="E243" s="20"/>
      <c r="F243" s="21"/>
      <c r="G243" s="21"/>
      <c r="H243" s="21"/>
      <c r="I243" s="21"/>
      <c r="J243" s="20"/>
      <c r="K243" s="17"/>
      <c r="L243" s="17"/>
      <c r="M243" s="20"/>
      <c r="N243" s="17"/>
    </row>
    <row r="244" spans="1:14" ht="15" customHeight="1" x14ac:dyDescent="0.3">
      <c r="A244" s="22"/>
      <c r="B244" s="23"/>
      <c r="C244" s="23"/>
      <c r="D244" s="23"/>
      <c r="E244" s="23"/>
      <c r="F244" s="24"/>
      <c r="G244" s="24"/>
      <c r="H244" s="24"/>
      <c r="I244" s="24"/>
      <c r="J244" s="23"/>
      <c r="K244" s="14"/>
      <c r="L244" s="14"/>
      <c r="M244" s="23"/>
      <c r="N244" s="14"/>
    </row>
    <row r="245" spans="1:14" ht="15" customHeight="1" x14ac:dyDescent="0.3">
      <c r="A245" s="25"/>
      <c r="B245" s="20"/>
      <c r="C245" s="20"/>
      <c r="D245" s="20"/>
      <c r="E245" s="20"/>
      <c r="F245" s="21"/>
      <c r="G245" s="21"/>
      <c r="H245" s="21"/>
      <c r="I245" s="21"/>
      <c r="J245" s="20"/>
      <c r="K245" s="17"/>
      <c r="L245" s="17"/>
      <c r="M245" s="20"/>
      <c r="N245" s="17"/>
    </row>
    <row r="246" spans="1:14" ht="15" customHeight="1" x14ac:dyDescent="0.3">
      <c r="A246" s="22"/>
      <c r="B246" s="23"/>
      <c r="C246" s="23"/>
      <c r="D246" s="23"/>
      <c r="E246" s="23"/>
      <c r="F246" s="24"/>
      <c r="G246" s="24"/>
      <c r="H246" s="24"/>
      <c r="I246" s="24"/>
      <c r="J246" s="23"/>
      <c r="K246" s="14"/>
      <c r="L246" s="14"/>
      <c r="M246" s="23"/>
      <c r="N246" s="14"/>
    </row>
    <row r="247" spans="1:14" ht="15" customHeight="1" x14ac:dyDescent="0.3">
      <c r="A247" s="25"/>
      <c r="B247" s="20"/>
      <c r="C247" s="20"/>
      <c r="D247" s="20"/>
      <c r="E247" s="20"/>
      <c r="F247" s="21"/>
      <c r="G247" s="21"/>
      <c r="H247" s="21"/>
      <c r="I247" s="21"/>
      <c r="J247" s="20"/>
      <c r="K247" s="17"/>
      <c r="L247" s="17"/>
      <c r="M247" s="20"/>
      <c r="N247" s="17"/>
    </row>
    <row r="248" spans="1:14" ht="15" customHeight="1" x14ac:dyDescent="0.3">
      <c r="A248" s="22"/>
      <c r="B248" s="23"/>
      <c r="C248" s="23"/>
      <c r="D248" s="23"/>
      <c r="E248" s="23"/>
      <c r="F248" s="24"/>
      <c r="G248" s="24"/>
      <c r="H248" s="24"/>
      <c r="I248" s="24"/>
      <c r="J248" s="23"/>
      <c r="K248" s="14"/>
      <c r="L248" s="14"/>
      <c r="M248" s="23"/>
      <c r="N248" s="14"/>
    </row>
    <row r="249" spans="1:14" ht="15" customHeight="1" x14ac:dyDescent="0.3">
      <c r="A249" s="25"/>
      <c r="B249" s="20"/>
      <c r="C249" s="20"/>
      <c r="D249" s="20"/>
      <c r="E249" s="20"/>
      <c r="F249" s="21"/>
      <c r="G249" s="21"/>
      <c r="H249" s="21"/>
      <c r="I249" s="21"/>
      <c r="J249" s="20"/>
      <c r="K249" s="17"/>
      <c r="L249" s="17"/>
      <c r="M249" s="20"/>
      <c r="N249" s="17"/>
    </row>
    <row r="250" spans="1:14" ht="15" customHeight="1" x14ac:dyDescent="0.3">
      <c r="A250" s="22"/>
      <c r="B250" s="23"/>
      <c r="C250" s="23"/>
      <c r="D250" s="23"/>
      <c r="E250" s="23"/>
      <c r="F250" s="24"/>
      <c r="G250" s="24"/>
      <c r="H250" s="24"/>
      <c r="I250" s="24"/>
      <c r="J250" s="23"/>
      <c r="K250" s="14"/>
      <c r="L250" s="14"/>
      <c r="M250" s="23"/>
      <c r="N250" s="14"/>
    </row>
    <row r="251" spans="1:14" ht="15" customHeight="1" x14ac:dyDescent="0.3">
      <c r="A251" s="25"/>
      <c r="B251" s="20"/>
      <c r="C251" s="20"/>
      <c r="D251" s="20"/>
      <c r="E251" s="20"/>
      <c r="F251" s="21"/>
      <c r="G251" s="21"/>
      <c r="H251" s="21"/>
      <c r="I251" s="21"/>
      <c r="J251" s="20"/>
      <c r="K251" s="17"/>
      <c r="L251" s="17"/>
      <c r="M251" s="20"/>
      <c r="N251" s="17"/>
    </row>
    <row r="252" spans="1:14" ht="15" customHeight="1" x14ac:dyDescent="0.3">
      <c r="A252" s="22"/>
      <c r="B252" s="23"/>
      <c r="C252" s="23"/>
      <c r="D252" s="23"/>
      <c r="E252" s="23"/>
      <c r="F252" s="24"/>
      <c r="G252" s="24"/>
      <c r="H252" s="24"/>
      <c r="I252" s="24"/>
      <c r="J252" s="23"/>
      <c r="K252" s="14"/>
      <c r="L252" s="14"/>
      <c r="M252" s="23"/>
      <c r="N252" s="14"/>
    </row>
    <row r="253" spans="1:14" ht="15" customHeight="1" x14ac:dyDescent="0.3">
      <c r="A253" s="25"/>
      <c r="B253" s="20"/>
      <c r="C253" s="20"/>
      <c r="D253" s="20"/>
      <c r="E253" s="20"/>
      <c r="F253" s="21"/>
      <c r="G253" s="21"/>
      <c r="H253" s="21"/>
      <c r="I253" s="21"/>
      <c r="J253" s="20"/>
      <c r="K253" s="17"/>
      <c r="L253" s="17"/>
      <c r="M253" s="20"/>
      <c r="N253" s="17"/>
    </row>
    <row r="254" spans="1:14" ht="15" customHeight="1" x14ac:dyDescent="0.3">
      <c r="A254" s="22"/>
      <c r="B254" s="23"/>
      <c r="C254" s="23"/>
      <c r="D254" s="23"/>
      <c r="E254" s="23"/>
      <c r="F254" s="24"/>
      <c r="G254" s="24"/>
      <c r="H254" s="24"/>
      <c r="I254" s="24"/>
      <c r="J254" s="23"/>
      <c r="K254" s="14"/>
      <c r="L254" s="14"/>
      <c r="M254" s="23"/>
      <c r="N254" s="14"/>
    </row>
    <row r="255" spans="1:14" ht="15" customHeight="1" x14ac:dyDescent="0.3">
      <c r="A255" s="25"/>
      <c r="B255" s="20"/>
      <c r="C255" s="20"/>
      <c r="D255" s="20"/>
      <c r="E255" s="20"/>
      <c r="F255" s="21"/>
      <c r="G255" s="21"/>
      <c r="H255" s="21"/>
      <c r="I255" s="21"/>
      <c r="J255" s="20"/>
      <c r="K255" s="17"/>
      <c r="L255" s="17"/>
      <c r="M255" s="20"/>
      <c r="N255" s="17"/>
    </row>
    <row r="256" spans="1:14" ht="15" customHeight="1" x14ac:dyDescent="0.3">
      <c r="A256" s="22"/>
      <c r="B256" s="23"/>
      <c r="C256" s="23"/>
      <c r="D256" s="23"/>
      <c r="E256" s="23"/>
      <c r="F256" s="24"/>
      <c r="G256" s="24"/>
      <c r="H256" s="24"/>
      <c r="I256" s="24"/>
      <c r="J256" s="23"/>
      <c r="K256" s="14"/>
      <c r="L256" s="14"/>
      <c r="M256" s="23"/>
      <c r="N256" s="14"/>
    </row>
    <row r="257" spans="1:14" ht="15" customHeight="1" x14ac:dyDescent="0.3">
      <c r="A257" s="25"/>
      <c r="B257" s="20"/>
      <c r="C257" s="20"/>
      <c r="D257" s="20"/>
      <c r="E257" s="20"/>
      <c r="F257" s="21"/>
      <c r="G257" s="21"/>
      <c r="H257" s="21"/>
      <c r="I257" s="21"/>
      <c r="J257" s="20"/>
      <c r="K257" s="17"/>
      <c r="L257" s="17"/>
      <c r="M257" s="20"/>
      <c r="N257" s="17"/>
    </row>
    <row r="258" spans="1:14" ht="15" customHeight="1" x14ac:dyDescent="0.3">
      <c r="A258" s="22"/>
      <c r="B258" s="23"/>
      <c r="C258" s="23"/>
      <c r="D258" s="23"/>
      <c r="E258" s="23"/>
      <c r="F258" s="24"/>
      <c r="G258" s="24"/>
      <c r="H258" s="24"/>
      <c r="I258" s="24"/>
      <c r="J258" s="23"/>
      <c r="K258" s="14"/>
      <c r="L258" s="14"/>
      <c r="M258" s="23"/>
      <c r="N258" s="14"/>
    </row>
    <row r="259" spans="1:14" ht="15" customHeight="1" x14ac:dyDescent="0.3">
      <c r="A259" s="25"/>
      <c r="B259" s="20"/>
      <c r="C259" s="20"/>
      <c r="D259" s="20"/>
      <c r="E259" s="20"/>
      <c r="F259" s="21"/>
      <c r="G259" s="21"/>
      <c r="H259" s="21"/>
      <c r="I259" s="21"/>
      <c r="J259" s="20"/>
      <c r="K259" s="17"/>
      <c r="L259" s="17"/>
      <c r="M259" s="20"/>
      <c r="N259" s="17"/>
    </row>
    <row r="260" spans="1:14" ht="15" customHeight="1" x14ac:dyDescent="0.3">
      <c r="A260" s="22"/>
      <c r="B260" s="23"/>
      <c r="C260" s="23"/>
      <c r="D260" s="23"/>
      <c r="E260" s="23"/>
      <c r="F260" s="24"/>
      <c r="G260" s="24"/>
      <c r="H260" s="24"/>
      <c r="I260" s="24"/>
      <c r="J260" s="23"/>
      <c r="K260" s="14"/>
      <c r="L260" s="14"/>
      <c r="M260" s="23"/>
      <c r="N260" s="14"/>
    </row>
    <row r="261" spans="1:14" ht="15" customHeight="1" x14ac:dyDescent="0.3">
      <c r="A261" s="25"/>
      <c r="B261" s="20"/>
      <c r="C261" s="20"/>
      <c r="D261" s="20"/>
      <c r="E261" s="20"/>
      <c r="F261" s="21"/>
      <c r="G261" s="21"/>
      <c r="H261" s="21"/>
      <c r="I261" s="21"/>
      <c r="J261" s="20"/>
      <c r="K261" s="17"/>
      <c r="L261" s="17"/>
      <c r="M261" s="20"/>
      <c r="N261" s="17"/>
    </row>
    <row r="262" spans="1:14" ht="15" customHeight="1" x14ac:dyDescent="0.3">
      <c r="A262" s="22"/>
      <c r="B262" s="23"/>
      <c r="C262" s="23"/>
      <c r="D262" s="23"/>
      <c r="E262" s="23"/>
      <c r="F262" s="24"/>
      <c r="G262" s="24"/>
      <c r="H262" s="24"/>
      <c r="I262" s="24"/>
      <c r="J262" s="23"/>
      <c r="K262" s="14"/>
      <c r="L262" s="14"/>
      <c r="M262" s="23"/>
      <c r="N262" s="14"/>
    </row>
    <row r="263" spans="1:14" ht="15" customHeight="1" x14ac:dyDescent="0.3">
      <c r="A263" s="25"/>
      <c r="B263" s="20"/>
      <c r="C263" s="20"/>
      <c r="D263" s="20"/>
      <c r="E263" s="20"/>
      <c r="F263" s="21"/>
      <c r="G263" s="21"/>
      <c r="H263" s="21"/>
      <c r="I263" s="21"/>
      <c r="J263" s="20"/>
      <c r="K263" s="17"/>
      <c r="L263" s="17"/>
      <c r="M263" s="20"/>
      <c r="N263" s="17"/>
    </row>
    <row r="264" spans="1:14" ht="15" customHeight="1" x14ac:dyDescent="0.3">
      <c r="A264" s="22"/>
      <c r="B264" s="23"/>
      <c r="C264" s="23"/>
      <c r="D264" s="23"/>
      <c r="E264" s="23"/>
      <c r="F264" s="24"/>
      <c r="G264" s="24"/>
      <c r="H264" s="24"/>
      <c r="I264" s="24"/>
      <c r="J264" s="23"/>
      <c r="K264" s="14"/>
      <c r="L264" s="14"/>
      <c r="M264" s="23"/>
      <c r="N264" s="14"/>
    </row>
    <row r="265" spans="1:14" ht="15" customHeight="1" x14ac:dyDescent="0.3">
      <c r="A265" s="25"/>
      <c r="B265" s="20"/>
      <c r="C265" s="20"/>
      <c r="D265" s="20"/>
      <c r="E265" s="20"/>
      <c r="F265" s="21"/>
      <c r="G265" s="21"/>
      <c r="H265" s="21"/>
      <c r="I265" s="21"/>
      <c r="J265" s="20"/>
      <c r="K265" s="17"/>
      <c r="L265" s="17"/>
      <c r="M265" s="20"/>
      <c r="N265" s="17"/>
    </row>
    <row r="266" spans="1:14" ht="15" customHeight="1" x14ac:dyDescent="0.3">
      <c r="A266" s="22"/>
      <c r="B266" s="23"/>
      <c r="C266" s="23"/>
      <c r="D266" s="23"/>
      <c r="E266" s="23"/>
      <c r="F266" s="24"/>
      <c r="G266" s="24"/>
      <c r="H266" s="24"/>
      <c r="I266" s="24"/>
      <c r="J266" s="23"/>
      <c r="K266" s="14"/>
      <c r="L266" s="14"/>
      <c r="M266" s="23"/>
      <c r="N266" s="14"/>
    </row>
    <row r="267" spans="1:14" ht="15" customHeight="1" x14ac:dyDescent="0.3">
      <c r="A267" s="25"/>
      <c r="B267" s="20"/>
      <c r="C267" s="20"/>
      <c r="D267" s="20"/>
      <c r="E267" s="20"/>
      <c r="F267" s="21"/>
      <c r="G267" s="21"/>
      <c r="H267" s="21"/>
      <c r="I267" s="21"/>
      <c r="J267" s="20"/>
      <c r="K267" s="17"/>
      <c r="L267" s="17"/>
      <c r="M267" s="20"/>
      <c r="N267" s="17"/>
    </row>
    <row r="268" spans="1:14" ht="15" customHeight="1" x14ac:dyDescent="0.3">
      <c r="A268" s="22"/>
      <c r="B268" s="23"/>
      <c r="C268" s="23"/>
      <c r="D268" s="23"/>
      <c r="E268" s="23"/>
      <c r="F268" s="24"/>
      <c r="G268" s="24"/>
      <c r="H268" s="24"/>
      <c r="I268" s="24"/>
      <c r="J268" s="23"/>
      <c r="K268" s="14"/>
      <c r="L268" s="14"/>
      <c r="M268" s="23"/>
      <c r="N268" s="14"/>
    </row>
    <row r="269" spans="1:14" ht="15" customHeight="1" x14ac:dyDescent="0.3">
      <c r="A269" s="25"/>
      <c r="B269" s="20"/>
      <c r="C269" s="20"/>
      <c r="D269" s="20"/>
      <c r="E269" s="20"/>
      <c r="F269" s="21"/>
      <c r="G269" s="21"/>
      <c r="H269" s="21"/>
      <c r="I269" s="21"/>
      <c r="J269" s="20"/>
      <c r="K269" s="17"/>
      <c r="L269" s="17"/>
      <c r="M269" s="20"/>
      <c r="N269" s="17"/>
    </row>
    <row r="270" spans="1:14" ht="15" customHeight="1" x14ac:dyDescent="0.3">
      <c r="A270" s="22"/>
      <c r="B270" s="23"/>
      <c r="C270" s="23"/>
      <c r="D270" s="23"/>
      <c r="E270" s="23"/>
      <c r="F270" s="24"/>
      <c r="G270" s="24"/>
      <c r="H270" s="24"/>
      <c r="I270" s="24"/>
      <c r="J270" s="23"/>
      <c r="K270" s="14"/>
      <c r="L270" s="14"/>
      <c r="M270" s="23"/>
      <c r="N270" s="14"/>
    </row>
    <row r="271" spans="1:14" ht="15" customHeight="1" x14ac:dyDescent="0.3">
      <c r="A271" s="25"/>
      <c r="B271" s="20"/>
      <c r="C271" s="20"/>
      <c r="D271" s="20"/>
      <c r="E271" s="20"/>
      <c r="F271" s="21"/>
      <c r="G271" s="21"/>
      <c r="H271" s="21"/>
      <c r="I271" s="21"/>
      <c r="J271" s="20"/>
      <c r="K271" s="17"/>
      <c r="L271" s="17"/>
      <c r="M271" s="20"/>
      <c r="N271" s="17"/>
    </row>
    <row r="272" spans="1:14" ht="15" customHeight="1" x14ac:dyDescent="0.3">
      <c r="A272" s="22"/>
      <c r="B272" s="23"/>
      <c r="C272" s="23"/>
      <c r="D272" s="23"/>
      <c r="E272" s="23"/>
      <c r="F272" s="24"/>
      <c r="G272" s="24"/>
      <c r="H272" s="24"/>
      <c r="I272" s="24"/>
      <c r="J272" s="23"/>
      <c r="K272" s="14"/>
      <c r="L272" s="14"/>
      <c r="M272" s="23"/>
      <c r="N272" s="14"/>
    </row>
    <row r="273" spans="1:14" ht="15" customHeight="1" x14ac:dyDescent="0.3">
      <c r="A273" s="25"/>
      <c r="B273" s="20"/>
      <c r="C273" s="20"/>
      <c r="D273" s="20"/>
      <c r="E273" s="20"/>
      <c r="F273" s="21"/>
      <c r="G273" s="21"/>
      <c r="H273" s="21"/>
      <c r="I273" s="21"/>
      <c r="J273" s="20"/>
      <c r="K273" s="17"/>
      <c r="L273" s="17"/>
      <c r="M273" s="20"/>
      <c r="N273" s="17"/>
    </row>
    <row r="274" spans="1:14" ht="15" customHeight="1" x14ac:dyDescent="0.3">
      <c r="A274" s="22"/>
      <c r="B274" s="23"/>
      <c r="C274" s="23"/>
      <c r="D274" s="23"/>
      <c r="E274" s="23"/>
      <c r="F274" s="24"/>
      <c r="G274" s="24"/>
      <c r="H274" s="24"/>
      <c r="I274" s="24"/>
      <c r="J274" s="23"/>
      <c r="K274" s="14"/>
      <c r="L274" s="14"/>
      <c r="M274" s="23"/>
      <c r="N274" s="14"/>
    </row>
    <row r="275" spans="1:14" ht="15" customHeight="1" x14ac:dyDescent="0.3">
      <c r="A275" s="25"/>
      <c r="B275" s="20"/>
      <c r="C275" s="20"/>
      <c r="D275" s="20"/>
      <c r="E275" s="20"/>
      <c r="F275" s="21"/>
      <c r="G275" s="21"/>
      <c r="H275" s="21"/>
      <c r="I275" s="21"/>
      <c r="J275" s="20"/>
      <c r="K275" s="17"/>
      <c r="L275" s="17"/>
      <c r="M275" s="20"/>
      <c r="N275" s="17"/>
    </row>
    <row r="276" spans="1:14" ht="15" customHeight="1" x14ac:dyDescent="0.3">
      <c r="A276" s="22"/>
      <c r="B276" s="23"/>
      <c r="C276" s="23"/>
      <c r="D276" s="23"/>
      <c r="E276" s="23"/>
      <c r="F276" s="24"/>
      <c r="G276" s="24"/>
      <c r="H276" s="24"/>
      <c r="I276" s="24"/>
      <c r="J276" s="23"/>
      <c r="K276" s="14"/>
      <c r="L276" s="14"/>
      <c r="M276" s="23"/>
      <c r="N276" s="14"/>
    </row>
    <row r="277" spans="1:14" ht="15" customHeight="1" x14ac:dyDescent="0.3">
      <c r="A277" s="25"/>
      <c r="B277" s="20"/>
      <c r="C277" s="20"/>
      <c r="D277" s="20"/>
      <c r="E277" s="20"/>
      <c r="F277" s="21"/>
      <c r="G277" s="21"/>
      <c r="H277" s="21"/>
      <c r="I277" s="21"/>
      <c r="J277" s="20"/>
      <c r="K277" s="17"/>
      <c r="L277" s="17"/>
      <c r="M277" s="20"/>
      <c r="N277" s="17"/>
    </row>
    <row r="278" spans="1:14" ht="15" customHeight="1" x14ac:dyDescent="0.3">
      <c r="A278" s="22"/>
      <c r="B278" s="23"/>
      <c r="C278" s="23"/>
      <c r="D278" s="23"/>
      <c r="E278" s="23"/>
      <c r="F278" s="24"/>
      <c r="G278" s="24"/>
      <c r="H278" s="24"/>
      <c r="I278" s="24"/>
      <c r="J278" s="23"/>
      <c r="K278" s="14"/>
      <c r="L278" s="14"/>
      <c r="M278" s="23"/>
      <c r="N278" s="14"/>
    </row>
    <row r="279" spans="1:14" ht="15" customHeight="1" x14ac:dyDescent="0.3">
      <c r="A279" s="25"/>
      <c r="B279" s="20"/>
      <c r="C279" s="20"/>
      <c r="D279" s="20"/>
      <c r="E279" s="20"/>
      <c r="F279" s="21"/>
      <c r="G279" s="21"/>
      <c r="H279" s="21"/>
      <c r="I279" s="21"/>
      <c r="J279" s="20"/>
      <c r="K279" s="17"/>
      <c r="L279" s="17"/>
      <c r="M279" s="20"/>
      <c r="N279" s="17"/>
    </row>
    <row r="280" spans="1:14" ht="15" customHeight="1" x14ac:dyDescent="0.3">
      <c r="A280" s="22"/>
      <c r="B280" s="23"/>
      <c r="C280" s="23"/>
      <c r="D280" s="23"/>
      <c r="E280" s="23"/>
      <c r="F280" s="24"/>
      <c r="G280" s="24"/>
      <c r="H280" s="24"/>
      <c r="I280" s="24"/>
      <c r="J280" s="23"/>
      <c r="K280" s="14"/>
      <c r="L280" s="14"/>
      <c r="M280" s="23"/>
      <c r="N280" s="14"/>
    </row>
    <row r="281" spans="1:14" ht="15" customHeight="1" x14ac:dyDescent="0.3">
      <c r="A281" s="25"/>
      <c r="B281" s="20"/>
      <c r="C281" s="20"/>
      <c r="D281" s="20"/>
      <c r="E281" s="20"/>
      <c r="F281" s="21"/>
      <c r="G281" s="21"/>
      <c r="H281" s="21"/>
      <c r="I281" s="21"/>
      <c r="J281" s="20"/>
      <c r="K281" s="17"/>
      <c r="L281" s="17"/>
      <c r="M281" s="20"/>
      <c r="N281" s="17"/>
    </row>
    <row r="282" spans="1:14" ht="15" customHeight="1" x14ac:dyDescent="0.3">
      <c r="A282" s="22"/>
      <c r="B282" s="23"/>
      <c r="C282" s="23"/>
      <c r="D282" s="23"/>
      <c r="E282" s="23"/>
      <c r="F282" s="24"/>
      <c r="G282" s="24"/>
      <c r="H282" s="24"/>
      <c r="I282" s="24"/>
      <c r="J282" s="23"/>
      <c r="K282" s="14"/>
      <c r="L282" s="14"/>
      <c r="M282" s="23"/>
      <c r="N282" s="14"/>
    </row>
    <row r="283" spans="1:14" ht="15" customHeight="1" x14ac:dyDescent="0.3">
      <c r="A283" s="25"/>
      <c r="B283" s="20"/>
      <c r="C283" s="20"/>
      <c r="D283" s="20"/>
      <c r="E283" s="20"/>
      <c r="F283" s="21"/>
      <c r="G283" s="21"/>
      <c r="H283" s="21"/>
      <c r="I283" s="21"/>
      <c r="J283" s="20"/>
      <c r="K283" s="17"/>
      <c r="L283" s="17"/>
      <c r="M283" s="20"/>
      <c r="N283" s="17"/>
    </row>
    <row r="284" spans="1:14" ht="15" customHeight="1" x14ac:dyDescent="0.3">
      <c r="A284" s="22"/>
      <c r="B284" s="23"/>
      <c r="C284" s="23"/>
      <c r="D284" s="23"/>
      <c r="E284" s="23"/>
      <c r="F284" s="24"/>
      <c r="G284" s="24"/>
      <c r="H284" s="24"/>
      <c r="I284" s="24"/>
      <c r="J284" s="23"/>
      <c r="K284" s="14"/>
      <c r="L284" s="14"/>
      <c r="M284" s="23"/>
      <c r="N284" s="14"/>
    </row>
    <row r="285" spans="1:14" ht="15" customHeight="1" x14ac:dyDescent="0.3">
      <c r="A285" s="25"/>
      <c r="B285" s="20"/>
      <c r="C285" s="20"/>
      <c r="D285" s="20"/>
      <c r="E285" s="20"/>
      <c r="F285" s="21"/>
      <c r="G285" s="21"/>
      <c r="H285" s="21"/>
      <c r="I285" s="21"/>
      <c r="J285" s="20"/>
      <c r="K285" s="17"/>
      <c r="L285" s="17"/>
      <c r="M285" s="20"/>
      <c r="N285" s="17"/>
    </row>
    <row r="286" spans="1:14" ht="15" customHeight="1" x14ac:dyDescent="0.3">
      <c r="A286" s="22"/>
      <c r="B286" s="23"/>
      <c r="C286" s="23"/>
      <c r="D286" s="23"/>
      <c r="E286" s="23"/>
      <c r="F286" s="24"/>
      <c r="G286" s="24"/>
      <c r="H286" s="24"/>
      <c r="I286" s="24"/>
      <c r="J286" s="23"/>
      <c r="K286" s="14"/>
      <c r="L286" s="14"/>
      <c r="M286" s="23"/>
      <c r="N286" s="14"/>
    </row>
    <row r="287" spans="1:14" ht="15" customHeight="1" x14ac:dyDescent="0.3">
      <c r="A287" s="25"/>
      <c r="B287" s="20"/>
      <c r="C287" s="20"/>
      <c r="D287" s="20"/>
      <c r="E287" s="20"/>
      <c r="F287" s="21"/>
      <c r="G287" s="21"/>
      <c r="H287" s="21"/>
      <c r="I287" s="21"/>
      <c r="J287" s="20"/>
      <c r="K287" s="17"/>
      <c r="L287" s="17"/>
      <c r="M287" s="20"/>
      <c r="N287" s="17"/>
    </row>
    <row r="288" spans="1:14" ht="15" customHeight="1" x14ac:dyDescent="0.3">
      <c r="A288" s="22"/>
      <c r="B288" s="23"/>
      <c r="C288" s="23"/>
      <c r="D288" s="23"/>
      <c r="E288" s="23"/>
      <c r="F288" s="24"/>
      <c r="G288" s="24"/>
      <c r="H288" s="24"/>
      <c r="I288" s="24"/>
      <c r="J288" s="23"/>
      <c r="K288" s="14"/>
      <c r="L288" s="14"/>
      <c r="M288" s="23"/>
      <c r="N288" s="14"/>
    </row>
    <row r="289" spans="1:14" ht="15" customHeight="1" x14ac:dyDescent="0.3">
      <c r="A289" s="25"/>
      <c r="B289" s="20"/>
      <c r="C289" s="20"/>
      <c r="D289" s="20"/>
      <c r="E289" s="20"/>
      <c r="F289" s="21"/>
      <c r="G289" s="21"/>
      <c r="H289" s="21"/>
      <c r="I289" s="21"/>
      <c r="J289" s="20"/>
      <c r="K289" s="17"/>
      <c r="L289" s="17"/>
      <c r="M289" s="20"/>
      <c r="N289" s="17"/>
    </row>
    <row r="290" spans="1:14" ht="15" customHeight="1" x14ac:dyDescent="0.3">
      <c r="A290" s="22"/>
      <c r="B290" s="23"/>
      <c r="C290" s="23"/>
      <c r="D290" s="23"/>
      <c r="E290" s="23"/>
      <c r="F290" s="24"/>
      <c r="G290" s="24"/>
      <c r="H290" s="24"/>
      <c r="I290" s="24"/>
      <c r="J290" s="23"/>
      <c r="K290" s="14"/>
      <c r="L290" s="14"/>
      <c r="M290" s="23"/>
      <c r="N290" s="14"/>
    </row>
    <row r="291" spans="1:14" ht="15" customHeight="1" x14ac:dyDescent="0.3">
      <c r="A291" s="25"/>
      <c r="B291" s="20"/>
      <c r="C291" s="20"/>
      <c r="D291" s="20"/>
      <c r="E291" s="20"/>
      <c r="F291" s="21"/>
      <c r="G291" s="21"/>
      <c r="H291" s="21"/>
      <c r="I291" s="21"/>
      <c r="J291" s="20"/>
      <c r="K291" s="17"/>
      <c r="L291" s="17"/>
      <c r="M291" s="20"/>
      <c r="N291" s="17"/>
    </row>
    <row r="292" spans="1:14" ht="15" customHeight="1" x14ac:dyDescent="0.3">
      <c r="A292" s="22"/>
      <c r="B292" s="23"/>
      <c r="C292" s="23"/>
      <c r="D292" s="23"/>
      <c r="E292" s="23"/>
      <c r="F292" s="24"/>
      <c r="G292" s="24"/>
      <c r="H292" s="24"/>
      <c r="I292" s="24"/>
      <c r="J292" s="23"/>
      <c r="K292" s="14"/>
      <c r="L292" s="14"/>
      <c r="M292" s="23"/>
      <c r="N292" s="14"/>
    </row>
    <row r="293" spans="1:14" ht="15" customHeight="1" x14ac:dyDescent="0.3">
      <c r="A293" s="25"/>
      <c r="B293" s="20"/>
      <c r="C293" s="20"/>
      <c r="D293" s="20"/>
      <c r="E293" s="20"/>
      <c r="F293" s="21"/>
      <c r="G293" s="21"/>
      <c r="H293" s="21"/>
      <c r="I293" s="21"/>
      <c r="J293" s="20"/>
      <c r="K293" s="17"/>
      <c r="L293" s="17"/>
      <c r="M293" s="20"/>
      <c r="N293" s="17"/>
    </row>
    <row r="294" spans="1:14" ht="15" customHeight="1" x14ac:dyDescent="0.3">
      <c r="A294" s="22"/>
      <c r="B294" s="23"/>
      <c r="C294" s="23"/>
      <c r="D294" s="23"/>
      <c r="E294" s="23"/>
      <c r="F294" s="24"/>
      <c r="G294" s="24"/>
      <c r="H294" s="24"/>
      <c r="I294" s="24"/>
      <c r="J294" s="23"/>
      <c r="K294" s="14"/>
      <c r="L294" s="14"/>
      <c r="M294" s="23"/>
      <c r="N294" s="14"/>
    </row>
    <row r="295" spans="1:14" ht="15" customHeight="1" x14ac:dyDescent="0.3">
      <c r="A295" s="25"/>
      <c r="B295" s="20"/>
      <c r="C295" s="20"/>
      <c r="D295" s="20"/>
      <c r="E295" s="20"/>
      <c r="F295" s="21"/>
      <c r="G295" s="21"/>
      <c r="H295" s="21"/>
      <c r="I295" s="21"/>
      <c r="J295" s="20"/>
      <c r="K295" s="17"/>
      <c r="L295" s="17"/>
      <c r="M295" s="20"/>
      <c r="N295" s="17"/>
    </row>
    <row r="296" spans="1:14" ht="15" customHeight="1" x14ac:dyDescent="0.3">
      <c r="A296" s="22"/>
      <c r="B296" s="23"/>
      <c r="C296" s="23"/>
      <c r="D296" s="23"/>
      <c r="E296" s="23"/>
      <c r="F296" s="24"/>
      <c r="G296" s="24"/>
      <c r="H296" s="24"/>
      <c r="I296" s="24"/>
      <c r="J296" s="23"/>
      <c r="K296" s="14"/>
      <c r="L296" s="14"/>
      <c r="M296" s="23"/>
      <c r="N296" s="14"/>
    </row>
    <row r="297" spans="1:14" ht="15" customHeight="1" x14ac:dyDescent="0.3">
      <c r="A297" s="25"/>
      <c r="B297" s="20"/>
      <c r="C297" s="20"/>
      <c r="D297" s="20"/>
      <c r="E297" s="20"/>
      <c r="F297" s="21"/>
      <c r="G297" s="21"/>
      <c r="H297" s="21"/>
      <c r="I297" s="21"/>
      <c r="J297" s="20"/>
      <c r="K297" s="17"/>
      <c r="L297" s="17"/>
      <c r="M297" s="20"/>
      <c r="N297" s="17"/>
    </row>
    <row r="298" spans="1:14" ht="15" customHeight="1" x14ac:dyDescent="0.3">
      <c r="A298" s="22"/>
      <c r="B298" s="23"/>
      <c r="C298" s="23"/>
      <c r="D298" s="23"/>
      <c r="E298" s="23"/>
      <c r="F298" s="24"/>
      <c r="G298" s="24"/>
      <c r="H298" s="24"/>
      <c r="I298" s="24"/>
      <c r="J298" s="23"/>
      <c r="K298" s="14"/>
      <c r="L298" s="14"/>
      <c r="M298" s="23"/>
      <c r="N298" s="14"/>
    </row>
    <row r="299" spans="1:14" ht="15" customHeight="1" x14ac:dyDescent="0.3">
      <c r="A299" s="25"/>
      <c r="B299" s="20"/>
      <c r="C299" s="20"/>
      <c r="D299" s="20"/>
      <c r="E299" s="20"/>
      <c r="F299" s="21"/>
      <c r="G299" s="21"/>
      <c r="H299" s="21"/>
      <c r="I299" s="21"/>
      <c r="J299" s="20"/>
      <c r="K299" s="17"/>
      <c r="L299" s="17"/>
      <c r="M299" s="20"/>
      <c r="N299" s="17"/>
    </row>
    <row r="300" spans="1:14" ht="15" customHeight="1" x14ac:dyDescent="0.3">
      <c r="A300" s="22"/>
      <c r="B300" s="23"/>
      <c r="C300" s="23"/>
      <c r="D300" s="23"/>
      <c r="E300" s="23"/>
      <c r="F300" s="24"/>
      <c r="G300" s="24"/>
      <c r="H300" s="24"/>
      <c r="I300" s="24"/>
      <c r="J300" s="23"/>
      <c r="K300" s="14"/>
      <c r="L300" s="14"/>
      <c r="M300" s="23"/>
      <c r="N300" s="14"/>
    </row>
    <row r="301" spans="1:14" ht="15" customHeight="1" x14ac:dyDescent="0.3">
      <c r="A301" s="25"/>
      <c r="B301" s="20"/>
      <c r="C301" s="20"/>
      <c r="D301" s="20"/>
      <c r="E301" s="20"/>
      <c r="F301" s="21"/>
      <c r="G301" s="21"/>
      <c r="H301" s="21"/>
      <c r="I301" s="21"/>
      <c r="J301" s="20"/>
      <c r="K301" s="17"/>
      <c r="L301" s="17"/>
      <c r="M301" s="20"/>
      <c r="N301" s="17"/>
    </row>
    <row r="302" spans="1:14" ht="15" customHeight="1" x14ac:dyDescent="0.3">
      <c r="A302" s="22"/>
      <c r="B302" s="23"/>
      <c r="C302" s="23"/>
      <c r="D302" s="23"/>
      <c r="E302" s="23"/>
      <c r="F302" s="24"/>
      <c r="G302" s="24"/>
      <c r="H302" s="24"/>
      <c r="I302" s="24"/>
      <c r="J302" s="23"/>
      <c r="K302" s="14"/>
      <c r="L302" s="14"/>
      <c r="M302" s="23"/>
      <c r="N302" s="14"/>
    </row>
    <row r="303" spans="1:14" ht="15" customHeight="1" x14ac:dyDescent="0.3">
      <c r="A303" s="25"/>
      <c r="B303" s="20"/>
      <c r="C303" s="20"/>
      <c r="D303" s="20"/>
      <c r="E303" s="20"/>
      <c r="F303" s="21"/>
      <c r="G303" s="21"/>
      <c r="H303" s="21"/>
      <c r="I303" s="21"/>
      <c r="J303" s="20"/>
      <c r="K303" s="17"/>
      <c r="L303" s="17"/>
      <c r="M303" s="20"/>
      <c r="N303" s="17"/>
    </row>
    <row r="304" spans="1:14" ht="15" customHeight="1" x14ac:dyDescent="0.3">
      <c r="A304" s="22"/>
      <c r="B304" s="23"/>
      <c r="C304" s="23"/>
      <c r="D304" s="23"/>
      <c r="E304" s="23"/>
      <c r="F304" s="24"/>
      <c r="G304" s="24"/>
      <c r="H304" s="24"/>
      <c r="I304" s="24"/>
      <c r="J304" s="23"/>
      <c r="K304" s="14"/>
      <c r="L304" s="14"/>
      <c r="M304" s="23"/>
      <c r="N304" s="14"/>
    </row>
    <row r="305" spans="1:14" ht="15" customHeight="1" x14ac:dyDescent="0.3">
      <c r="A305" s="25"/>
      <c r="B305" s="20"/>
      <c r="C305" s="20"/>
      <c r="D305" s="20"/>
      <c r="E305" s="20"/>
      <c r="F305" s="21"/>
      <c r="G305" s="21"/>
      <c r="H305" s="21"/>
      <c r="I305" s="21"/>
      <c r="J305" s="20"/>
      <c r="K305" s="17"/>
      <c r="L305" s="17"/>
      <c r="M305" s="20"/>
      <c r="N305" s="17"/>
    </row>
    <row r="306" spans="1:14" ht="15" customHeight="1" x14ac:dyDescent="0.3">
      <c r="A306" s="22"/>
      <c r="B306" s="23"/>
      <c r="C306" s="23"/>
      <c r="D306" s="23"/>
      <c r="E306" s="23"/>
      <c r="F306" s="24"/>
      <c r="G306" s="24"/>
      <c r="H306" s="24"/>
      <c r="I306" s="24"/>
      <c r="J306" s="23"/>
      <c r="K306" s="14"/>
      <c r="L306" s="14"/>
      <c r="M306" s="23"/>
      <c r="N306" s="14"/>
    </row>
    <row r="307" spans="1:14" ht="15" customHeight="1" x14ac:dyDescent="0.3">
      <c r="A307" s="25"/>
      <c r="B307" s="20"/>
      <c r="C307" s="20"/>
      <c r="D307" s="20"/>
      <c r="E307" s="20"/>
      <c r="F307" s="21"/>
      <c r="G307" s="21"/>
      <c r="H307" s="21"/>
      <c r="I307" s="21"/>
      <c r="J307" s="20"/>
      <c r="K307" s="17"/>
      <c r="L307" s="17"/>
      <c r="M307" s="20"/>
      <c r="N307" s="17"/>
    </row>
    <row r="308" spans="1:14" ht="15" customHeight="1" x14ac:dyDescent="0.3">
      <c r="A308" s="22"/>
      <c r="B308" s="23"/>
      <c r="C308" s="23"/>
      <c r="D308" s="23"/>
      <c r="E308" s="23"/>
      <c r="F308" s="24"/>
      <c r="G308" s="24"/>
      <c r="H308" s="24"/>
      <c r="I308" s="24"/>
      <c r="J308" s="23"/>
      <c r="K308" s="14"/>
      <c r="L308" s="14"/>
      <c r="M308" s="23"/>
      <c r="N308" s="14"/>
    </row>
    <row r="309" spans="1:14" ht="15" customHeight="1" x14ac:dyDescent="0.3">
      <c r="A309" s="25"/>
      <c r="B309" s="20"/>
      <c r="C309" s="20"/>
      <c r="D309" s="20"/>
      <c r="E309" s="20"/>
      <c r="F309" s="21"/>
      <c r="G309" s="21"/>
      <c r="H309" s="21"/>
      <c r="I309" s="21"/>
      <c r="J309" s="20"/>
      <c r="K309" s="17"/>
      <c r="L309" s="17"/>
      <c r="M309" s="20"/>
      <c r="N309" s="17"/>
    </row>
    <row r="310" spans="1:14" ht="15" customHeight="1" x14ac:dyDescent="0.3">
      <c r="A310" s="22"/>
      <c r="B310" s="23"/>
      <c r="C310" s="23"/>
      <c r="D310" s="23"/>
      <c r="E310" s="23"/>
      <c r="F310" s="24"/>
      <c r="G310" s="24"/>
      <c r="H310" s="24"/>
      <c r="I310" s="24"/>
      <c r="J310" s="23"/>
      <c r="K310" s="14"/>
      <c r="L310" s="14"/>
      <c r="M310" s="23"/>
      <c r="N310" s="14"/>
    </row>
    <row r="311" spans="1:14" ht="15" customHeight="1" x14ac:dyDescent="0.3">
      <c r="A311" s="25"/>
      <c r="B311" s="20"/>
      <c r="C311" s="20"/>
      <c r="D311" s="20"/>
      <c r="E311" s="20"/>
      <c r="F311" s="21"/>
      <c r="G311" s="21"/>
      <c r="H311" s="21"/>
      <c r="I311" s="21"/>
      <c r="J311" s="20"/>
      <c r="K311" s="17"/>
      <c r="L311" s="17"/>
      <c r="M311" s="20"/>
      <c r="N311" s="17"/>
    </row>
    <row r="312" spans="1:14" ht="15" customHeight="1" x14ac:dyDescent="0.3">
      <c r="A312" s="22"/>
      <c r="B312" s="23"/>
      <c r="C312" s="23"/>
      <c r="D312" s="23"/>
      <c r="E312" s="23"/>
      <c r="F312" s="24"/>
      <c r="G312" s="24"/>
      <c r="H312" s="24"/>
      <c r="I312" s="24"/>
      <c r="J312" s="23"/>
      <c r="K312" s="14"/>
      <c r="L312" s="14"/>
      <c r="M312" s="23"/>
      <c r="N312" s="14"/>
    </row>
    <row r="313" spans="1:14" ht="15" customHeight="1" x14ac:dyDescent="0.3">
      <c r="A313" s="25"/>
      <c r="B313" s="20"/>
      <c r="C313" s="20"/>
      <c r="D313" s="20"/>
      <c r="E313" s="20"/>
      <c r="F313" s="21"/>
      <c r="G313" s="21"/>
      <c r="H313" s="21"/>
      <c r="I313" s="21"/>
      <c r="J313" s="20"/>
      <c r="K313" s="17"/>
      <c r="L313" s="17"/>
      <c r="M313" s="20"/>
      <c r="N313" s="17"/>
    </row>
    <row r="314" spans="1:14" ht="15" customHeight="1" x14ac:dyDescent="0.3">
      <c r="A314" s="22"/>
      <c r="B314" s="23"/>
      <c r="C314" s="23"/>
      <c r="D314" s="23"/>
      <c r="E314" s="23"/>
      <c r="F314" s="24"/>
      <c r="G314" s="24"/>
      <c r="H314" s="24"/>
      <c r="I314" s="24"/>
      <c r="J314" s="23"/>
      <c r="K314" s="14"/>
      <c r="L314" s="14"/>
      <c r="M314" s="23"/>
      <c r="N314" s="14"/>
    </row>
    <row r="315" spans="1:14" ht="15" customHeight="1" x14ac:dyDescent="0.3">
      <c r="A315" s="25"/>
      <c r="B315" s="20"/>
      <c r="C315" s="20"/>
      <c r="D315" s="20"/>
      <c r="E315" s="20"/>
      <c r="F315" s="21"/>
      <c r="G315" s="21"/>
      <c r="H315" s="21"/>
      <c r="I315" s="21"/>
      <c r="J315" s="20"/>
      <c r="K315" s="17"/>
      <c r="L315" s="17"/>
      <c r="M315" s="20"/>
      <c r="N315" s="17"/>
    </row>
    <row r="316" spans="1:14" ht="15" customHeight="1" x14ac:dyDescent="0.3">
      <c r="A316" s="22"/>
      <c r="B316" s="23"/>
      <c r="C316" s="23"/>
      <c r="D316" s="23"/>
      <c r="E316" s="23"/>
      <c r="F316" s="24"/>
      <c r="G316" s="24"/>
      <c r="H316" s="24"/>
      <c r="I316" s="24"/>
      <c r="J316" s="23"/>
      <c r="K316" s="14"/>
      <c r="L316" s="14"/>
      <c r="M316" s="23"/>
      <c r="N316" s="14"/>
    </row>
    <row r="317" spans="1:14" ht="15" customHeight="1" x14ac:dyDescent="0.3">
      <c r="A317" s="25"/>
      <c r="B317" s="20"/>
      <c r="C317" s="20"/>
      <c r="D317" s="20"/>
      <c r="E317" s="20"/>
      <c r="F317" s="21"/>
      <c r="G317" s="21"/>
      <c r="H317" s="21"/>
      <c r="I317" s="21"/>
      <c r="J317" s="20"/>
      <c r="K317" s="17"/>
      <c r="L317" s="17"/>
      <c r="M317" s="20"/>
      <c r="N317" s="17"/>
    </row>
    <row r="318" spans="1:14" ht="15" customHeight="1" x14ac:dyDescent="0.3">
      <c r="A318" s="22"/>
      <c r="B318" s="23"/>
      <c r="C318" s="23"/>
      <c r="D318" s="23"/>
      <c r="E318" s="23"/>
      <c r="F318" s="24"/>
      <c r="G318" s="24"/>
      <c r="H318" s="24"/>
      <c r="I318" s="24"/>
      <c r="J318" s="23"/>
      <c r="K318" s="14"/>
      <c r="L318" s="14"/>
      <c r="M318" s="23"/>
      <c r="N318" s="14"/>
    </row>
    <row r="319" spans="1:14" ht="15" customHeight="1" x14ac:dyDescent="0.3">
      <c r="A319" s="25"/>
      <c r="B319" s="20"/>
      <c r="C319" s="20"/>
      <c r="D319" s="20"/>
      <c r="E319" s="20"/>
      <c r="F319" s="21"/>
      <c r="G319" s="21"/>
      <c r="H319" s="21"/>
      <c r="I319" s="21"/>
      <c r="J319" s="20"/>
      <c r="K319" s="17"/>
      <c r="L319" s="17"/>
      <c r="M319" s="20"/>
      <c r="N319" s="17"/>
    </row>
    <row r="320" spans="1:14" ht="15" customHeight="1" x14ac:dyDescent="0.3">
      <c r="A320" s="22"/>
      <c r="B320" s="23"/>
      <c r="C320" s="23"/>
      <c r="D320" s="23"/>
      <c r="E320" s="23"/>
      <c r="F320" s="24"/>
      <c r="G320" s="24"/>
      <c r="H320" s="24"/>
      <c r="I320" s="24"/>
      <c r="J320" s="23"/>
      <c r="K320" s="14"/>
      <c r="L320" s="14"/>
      <c r="M320" s="23"/>
      <c r="N320" s="14"/>
    </row>
    <row r="321" spans="1:14" ht="15" customHeight="1" x14ac:dyDescent="0.3">
      <c r="A321" s="25"/>
      <c r="B321" s="20"/>
      <c r="C321" s="20"/>
      <c r="D321" s="20"/>
      <c r="E321" s="20"/>
      <c r="F321" s="21"/>
      <c r="G321" s="21"/>
      <c r="H321" s="21"/>
      <c r="I321" s="21"/>
      <c r="J321" s="20"/>
      <c r="K321" s="17"/>
      <c r="L321" s="17"/>
      <c r="M321" s="20"/>
      <c r="N321" s="17"/>
    </row>
    <row r="322" spans="1:14" ht="15" customHeight="1" x14ac:dyDescent="0.3">
      <c r="A322" s="22"/>
      <c r="B322" s="23"/>
      <c r="C322" s="23"/>
      <c r="D322" s="23"/>
      <c r="E322" s="23"/>
      <c r="F322" s="24"/>
      <c r="G322" s="24"/>
      <c r="H322" s="24"/>
      <c r="I322" s="24"/>
      <c r="J322" s="23"/>
      <c r="K322" s="14"/>
      <c r="L322" s="14"/>
      <c r="M322" s="23"/>
      <c r="N322" s="14"/>
    </row>
    <row r="323" spans="1:14" ht="15" customHeight="1" x14ac:dyDescent="0.3">
      <c r="A323" s="25"/>
      <c r="B323" s="20"/>
      <c r="C323" s="20"/>
      <c r="D323" s="20"/>
      <c r="E323" s="20"/>
      <c r="F323" s="21"/>
      <c r="G323" s="21"/>
      <c r="H323" s="21"/>
      <c r="I323" s="21"/>
      <c r="J323" s="20"/>
      <c r="K323" s="17"/>
      <c r="L323" s="17"/>
      <c r="M323" s="20"/>
      <c r="N323" s="17"/>
    </row>
    <row r="324" spans="1:14" ht="15" customHeight="1" x14ac:dyDescent="0.3">
      <c r="A324" s="22"/>
      <c r="B324" s="23"/>
      <c r="C324" s="23"/>
      <c r="D324" s="23"/>
      <c r="E324" s="23"/>
      <c r="F324" s="24"/>
      <c r="G324" s="24"/>
      <c r="H324" s="24"/>
      <c r="I324" s="24"/>
      <c r="J324" s="23"/>
      <c r="K324" s="14"/>
      <c r="L324" s="14"/>
      <c r="M324" s="23"/>
      <c r="N324" s="14"/>
    </row>
    <row r="325" spans="1:14" ht="15" customHeight="1" x14ac:dyDescent="0.3">
      <c r="A325" s="25"/>
      <c r="B325" s="20"/>
      <c r="C325" s="20"/>
      <c r="D325" s="20"/>
      <c r="E325" s="20"/>
      <c r="F325" s="21"/>
      <c r="G325" s="21"/>
      <c r="H325" s="21"/>
      <c r="I325" s="21"/>
      <c r="J325" s="20"/>
      <c r="K325" s="17"/>
      <c r="L325" s="17"/>
      <c r="M325" s="20"/>
      <c r="N325" s="17"/>
    </row>
    <row r="326" spans="1:14" ht="15" customHeight="1" x14ac:dyDescent="0.3">
      <c r="A326" s="22"/>
      <c r="B326" s="23"/>
      <c r="C326" s="23"/>
      <c r="D326" s="23"/>
      <c r="E326" s="23"/>
      <c r="F326" s="24"/>
      <c r="G326" s="24"/>
      <c r="H326" s="24"/>
      <c r="I326" s="24"/>
      <c r="J326" s="23"/>
      <c r="K326" s="14"/>
      <c r="L326" s="14"/>
      <c r="M326" s="23"/>
      <c r="N326" s="14"/>
    </row>
    <row r="327" spans="1:14" ht="15" customHeight="1" x14ac:dyDescent="0.3">
      <c r="A327" s="25"/>
      <c r="B327" s="20"/>
      <c r="C327" s="20"/>
      <c r="D327" s="20"/>
      <c r="E327" s="20"/>
      <c r="F327" s="21"/>
      <c r="G327" s="21"/>
      <c r="H327" s="21"/>
      <c r="I327" s="21"/>
      <c r="J327" s="20"/>
      <c r="K327" s="17"/>
      <c r="L327" s="17"/>
      <c r="M327" s="20"/>
      <c r="N327" s="17"/>
    </row>
    <row r="328" spans="1:14" ht="15" customHeight="1" x14ac:dyDescent="0.3">
      <c r="A328" s="22"/>
      <c r="B328" s="23"/>
      <c r="C328" s="23"/>
      <c r="D328" s="23"/>
      <c r="E328" s="23"/>
      <c r="F328" s="24"/>
      <c r="G328" s="24"/>
      <c r="H328" s="24"/>
      <c r="I328" s="24"/>
      <c r="J328" s="23"/>
      <c r="K328" s="14"/>
      <c r="L328" s="14"/>
      <c r="M328" s="23"/>
      <c r="N328" s="14"/>
    </row>
    <row r="329" spans="1:14" ht="15" customHeight="1" x14ac:dyDescent="0.3">
      <c r="A329" s="25"/>
      <c r="B329" s="20"/>
      <c r="C329" s="20"/>
      <c r="D329" s="20"/>
      <c r="E329" s="20"/>
      <c r="F329" s="21"/>
      <c r="G329" s="21"/>
      <c r="H329" s="21"/>
      <c r="I329" s="21"/>
      <c r="J329" s="20"/>
      <c r="K329" s="17"/>
      <c r="L329" s="17"/>
      <c r="M329" s="20"/>
      <c r="N329" s="17"/>
    </row>
    <row r="330" spans="1:14" ht="15" customHeight="1" x14ac:dyDescent="0.3">
      <c r="A330" s="22"/>
      <c r="B330" s="23"/>
      <c r="C330" s="23"/>
      <c r="D330" s="23"/>
      <c r="E330" s="23"/>
      <c r="F330" s="24"/>
      <c r="G330" s="24"/>
      <c r="H330" s="24"/>
      <c r="I330" s="24"/>
      <c r="J330" s="23"/>
      <c r="K330" s="14"/>
      <c r="L330" s="14"/>
      <c r="M330" s="23"/>
      <c r="N330" s="14"/>
    </row>
    <row r="331" spans="1:14" ht="15" customHeight="1" x14ac:dyDescent="0.3">
      <c r="A331" s="25"/>
      <c r="B331" s="20"/>
      <c r="C331" s="20"/>
      <c r="D331" s="20"/>
      <c r="E331" s="20"/>
      <c r="F331" s="21"/>
      <c r="G331" s="21"/>
      <c r="H331" s="21"/>
      <c r="I331" s="21"/>
      <c r="J331" s="20"/>
      <c r="K331" s="17"/>
      <c r="L331" s="17"/>
      <c r="M331" s="20"/>
      <c r="N331" s="17"/>
    </row>
    <row r="332" spans="1:14" ht="15" customHeight="1" x14ac:dyDescent="0.3">
      <c r="A332" s="22"/>
      <c r="B332" s="23"/>
      <c r="C332" s="23"/>
      <c r="D332" s="23"/>
      <c r="E332" s="23"/>
      <c r="F332" s="24"/>
      <c r="G332" s="24"/>
      <c r="H332" s="24"/>
      <c r="I332" s="24"/>
      <c r="J332" s="23"/>
      <c r="K332" s="14"/>
      <c r="L332" s="14"/>
      <c r="M332" s="23"/>
      <c r="N332" s="14"/>
    </row>
    <row r="333" spans="1:14" ht="15" customHeight="1" x14ac:dyDescent="0.3">
      <c r="A333" s="25"/>
      <c r="B333" s="20"/>
      <c r="C333" s="20"/>
      <c r="D333" s="20"/>
      <c r="E333" s="20"/>
      <c r="F333" s="21"/>
      <c r="G333" s="21"/>
      <c r="H333" s="21"/>
      <c r="I333" s="21"/>
      <c r="J333" s="20"/>
      <c r="K333" s="17"/>
      <c r="L333" s="17"/>
      <c r="M333" s="20"/>
      <c r="N333" s="17"/>
    </row>
    <row r="334" spans="1:14" ht="15" customHeight="1" x14ac:dyDescent="0.3">
      <c r="A334" s="22"/>
      <c r="B334" s="23"/>
      <c r="C334" s="23"/>
      <c r="D334" s="23"/>
      <c r="E334" s="23"/>
      <c r="F334" s="24"/>
      <c r="G334" s="24"/>
      <c r="H334" s="24"/>
      <c r="I334" s="24"/>
      <c r="J334" s="23"/>
      <c r="K334" s="14"/>
      <c r="L334" s="14"/>
      <c r="M334" s="23"/>
      <c r="N334" s="14"/>
    </row>
    <row r="335" spans="1:14" ht="15" customHeight="1" x14ac:dyDescent="0.3">
      <c r="A335" s="25"/>
      <c r="B335" s="20"/>
      <c r="C335" s="20"/>
      <c r="D335" s="20"/>
      <c r="E335" s="20"/>
      <c r="F335" s="21"/>
      <c r="G335" s="21"/>
      <c r="H335" s="21"/>
      <c r="I335" s="21"/>
      <c r="J335" s="20"/>
      <c r="K335" s="17"/>
      <c r="L335" s="17"/>
      <c r="M335" s="20"/>
      <c r="N335" s="17"/>
    </row>
    <row r="336" spans="1:14" ht="15" customHeight="1" x14ac:dyDescent="0.3">
      <c r="A336" s="22"/>
      <c r="B336" s="23"/>
      <c r="C336" s="23"/>
      <c r="D336" s="23"/>
      <c r="E336" s="23"/>
      <c r="F336" s="24"/>
      <c r="G336" s="24"/>
      <c r="H336" s="24"/>
      <c r="I336" s="24"/>
      <c r="J336" s="23"/>
      <c r="K336" s="14"/>
      <c r="L336" s="14"/>
      <c r="M336" s="23"/>
      <c r="N336" s="14"/>
    </row>
    <row r="337" spans="1:14" ht="15" customHeight="1" x14ac:dyDescent="0.3">
      <c r="A337" s="25"/>
      <c r="B337" s="20"/>
      <c r="C337" s="20"/>
      <c r="D337" s="20"/>
      <c r="E337" s="20"/>
      <c r="F337" s="21"/>
      <c r="G337" s="21"/>
      <c r="H337" s="21"/>
      <c r="I337" s="21"/>
      <c r="J337" s="20"/>
      <c r="K337" s="17"/>
      <c r="L337" s="17"/>
      <c r="M337" s="20"/>
      <c r="N337" s="17"/>
    </row>
    <row r="338" spans="1:14" ht="15" customHeight="1" x14ac:dyDescent="0.3">
      <c r="A338" s="22"/>
      <c r="B338" s="23"/>
      <c r="C338" s="23"/>
      <c r="D338" s="23"/>
      <c r="E338" s="23"/>
      <c r="F338" s="24"/>
      <c r="G338" s="24"/>
      <c r="H338" s="24"/>
      <c r="I338" s="24"/>
      <c r="J338" s="23"/>
      <c r="K338" s="14"/>
      <c r="L338" s="14"/>
      <c r="M338" s="23"/>
      <c r="N338" s="14"/>
    </row>
    <row r="339" spans="1:14" ht="15" customHeight="1" x14ac:dyDescent="0.3">
      <c r="A339" s="25"/>
      <c r="B339" s="20"/>
      <c r="C339" s="20"/>
      <c r="D339" s="20"/>
      <c r="E339" s="20"/>
      <c r="F339" s="21"/>
      <c r="G339" s="21"/>
      <c r="H339" s="21"/>
      <c r="I339" s="21"/>
      <c r="J339" s="20"/>
      <c r="K339" s="17"/>
      <c r="L339" s="17"/>
      <c r="M339" s="20"/>
      <c r="N339" s="17"/>
    </row>
    <row r="340" spans="1:14" ht="15" customHeight="1" x14ac:dyDescent="0.3">
      <c r="A340" s="22"/>
      <c r="B340" s="23"/>
      <c r="C340" s="23"/>
      <c r="D340" s="23"/>
      <c r="E340" s="23"/>
      <c r="F340" s="24"/>
      <c r="G340" s="24"/>
      <c r="H340" s="24"/>
      <c r="I340" s="24"/>
      <c r="J340" s="23"/>
      <c r="K340" s="14"/>
      <c r="L340" s="14"/>
      <c r="M340" s="23"/>
      <c r="N340" s="14"/>
    </row>
    <row r="341" spans="1:14" ht="15" customHeight="1" x14ac:dyDescent="0.3">
      <c r="A341" s="25"/>
      <c r="B341" s="20"/>
      <c r="C341" s="20"/>
      <c r="D341" s="20"/>
      <c r="E341" s="20"/>
      <c r="F341" s="21"/>
      <c r="G341" s="21"/>
      <c r="H341" s="21"/>
      <c r="I341" s="21"/>
      <c r="J341" s="20"/>
      <c r="K341" s="17"/>
      <c r="L341" s="17"/>
      <c r="M341" s="20"/>
      <c r="N341" s="17"/>
    </row>
    <row r="342" spans="1:14" ht="15" customHeight="1" x14ac:dyDescent="0.3">
      <c r="A342" s="22"/>
      <c r="B342" s="23"/>
      <c r="C342" s="23"/>
      <c r="D342" s="23"/>
      <c r="E342" s="23"/>
      <c r="F342" s="24"/>
      <c r="G342" s="24"/>
      <c r="H342" s="24"/>
      <c r="I342" s="24"/>
      <c r="J342" s="23"/>
      <c r="K342" s="14"/>
      <c r="L342" s="14"/>
      <c r="M342" s="23"/>
      <c r="N342" s="14"/>
    </row>
    <row r="343" spans="1:14" ht="15" customHeight="1" x14ac:dyDescent="0.3">
      <c r="A343" s="25"/>
      <c r="B343" s="20"/>
      <c r="C343" s="20"/>
      <c r="D343" s="20"/>
      <c r="E343" s="20"/>
      <c r="F343" s="21"/>
      <c r="G343" s="21"/>
      <c r="H343" s="21"/>
      <c r="I343" s="21"/>
      <c r="J343" s="20"/>
      <c r="K343" s="17"/>
      <c r="L343" s="17"/>
      <c r="M343" s="20"/>
      <c r="N343" s="17"/>
    </row>
    <row r="344" spans="1:14" ht="15" customHeight="1" x14ac:dyDescent="0.3">
      <c r="A344" s="22"/>
      <c r="B344" s="23"/>
      <c r="C344" s="23"/>
      <c r="D344" s="23"/>
      <c r="E344" s="23"/>
      <c r="F344" s="24"/>
      <c r="G344" s="24"/>
      <c r="H344" s="24"/>
      <c r="I344" s="24"/>
      <c r="J344" s="23"/>
      <c r="K344" s="14"/>
      <c r="L344" s="14"/>
      <c r="M344" s="23"/>
      <c r="N344" s="14"/>
    </row>
    <row r="345" spans="1:14" ht="15" customHeight="1" x14ac:dyDescent="0.3">
      <c r="A345" s="25"/>
      <c r="B345" s="20"/>
      <c r="C345" s="20"/>
      <c r="D345" s="20"/>
      <c r="E345" s="20"/>
      <c r="F345" s="21"/>
      <c r="G345" s="21"/>
      <c r="H345" s="21"/>
      <c r="I345" s="21"/>
      <c r="J345" s="20"/>
      <c r="K345" s="17"/>
      <c r="L345" s="17"/>
      <c r="M345" s="20"/>
      <c r="N345" s="17"/>
    </row>
    <row r="346" spans="1:14" ht="15" customHeight="1" x14ac:dyDescent="0.3">
      <c r="A346" s="22"/>
      <c r="B346" s="23"/>
      <c r="C346" s="23"/>
      <c r="D346" s="23"/>
      <c r="E346" s="23"/>
      <c r="F346" s="24"/>
      <c r="G346" s="24"/>
      <c r="H346" s="24"/>
      <c r="I346" s="24"/>
      <c r="J346" s="23"/>
      <c r="K346" s="14"/>
      <c r="L346" s="14"/>
      <c r="M346" s="23"/>
      <c r="N346" s="14"/>
    </row>
    <row r="347" spans="1:14" ht="15" customHeight="1" x14ac:dyDescent="0.3">
      <c r="A347" s="25"/>
      <c r="B347" s="20"/>
      <c r="C347" s="20"/>
      <c r="D347" s="20"/>
      <c r="E347" s="20"/>
      <c r="F347" s="21"/>
      <c r="G347" s="21"/>
      <c r="H347" s="21"/>
      <c r="I347" s="21"/>
      <c r="J347" s="20"/>
      <c r="K347" s="17"/>
      <c r="L347" s="17"/>
      <c r="M347" s="20"/>
      <c r="N347" s="17"/>
    </row>
    <row r="348" spans="1:14" ht="15" customHeight="1" x14ac:dyDescent="0.3">
      <c r="A348" s="22"/>
      <c r="B348" s="23"/>
      <c r="C348" s="23"/>
      <c r="D348" s="23"/>
      <c r="E348" s="23"/>
      <c r="F348" s="24"/>
      <c r="G348" s="24"/>
      <c r="H348" s="24"/>
      <c r="I348" s="24"/>
      <c r="J348" s="23"/>
      <c r="K348" s="14"/>
      <c r="L348" s="14"/>
      <c r="M348" s="23"/>
      <c r="N348" s="14"/>
    </row>
    <row r="349" spans="1:14" ht="15" customHeight="1" x14ac:dyDescent="0.3">
      <c r="A349" s="25"/>
      <c r="B349" s="20"/>
      <c r="C349" s="20"/>
      <c r="D349" s="20"/>
      <c r="E349" s="20"/>
      <c r="F349" s="21"/>
      <c r="G349" s="21"/>
      <c r="H349" s="21"/>
      <c r="I349" s="21"/>
      <c r="J349" s="20"/>
      <c r="K349" s="17"/>
      <c r="L349" s="17"/>
      <c r="M349" s="20"/>
      <c r="N349" s="17"/>
    </row>
    <row r="350" spans="1:14" ht="15" customHeight="1" x14ac:dyDescent="0.3">
      <c r="A350" s="22"/>
      <c r="B350" s="23"/>
      <c r="C350" s="23"/>
      <c r="D350" s="23"/>
      <c r="E350" s="23"/>
      <c r="F350" s="24"/>
      <c r="G350" s="24"/>
      <c r="H350" s="24"/>
      <c r="I350" s="24"/>
      <c r="J350" s="23"/>
      <c r="K350" s="14"/>
      <c r="L350" s="14"/>
      <c r="M350" s="23"/>
      <c r="N350" s="14"/>
    </row>
    <row r="351" spans="1:14" ht="15" customHeight="1" x14ac:dyDescent="0.3">
      <c r="A351" s="25"/>
      <c r="B351" s="20"/>
      <c r="C351" s="20"/>
      <c r="D351" s="20"/>
      <c r="E351" s="20"/>
      <c r="F351" s="21"/>
      <c r="G351" s="21"/>
      <c r="H351" s="21"/>
      <c r="I351" s="21"/>
      <c r="J351" s="20"/>
      <c r="K351" s="17"/>
      <c r="L351" s="17"/>
      <c r="M351" s="20"/>
      <c r="N351" s="17"/>
    </row>
    <row r="352" spans="1:14" ht="15" customHeight="1" x14ac:dyDescent="0.3">
      <c r="A352" s="22"/>
      <c r="B352" s="23"/>
      <c r="C352" s="23"/>
      <c r="D352" s="23"/>
      <c r="E352" s="23"/>
      <c r="F352" s="24"/>
      <c r="G352" s="24"/>
      <c r="H352" s="24"/>
      <c r="I352" s="24"/>
      <c r="J352" s="23"/>
      <c r="K352" s="14"/>
      <c r="L352" s="14"/>
      <c r="M352" s="23"/>
      <c r="N352" s="14"/>
    </row>
    <row r="353" spans="1:14" ht="15" customHeight="1" x14ac:dyDescent="0.3">
      <c r="A353" s="25"/>
      <c r="B353" s="20"/>
      <c r="C353" s="20"/>
      <c r="D353" s="20"/>
      <c r="E353" s="20"/>
      <c r="F353" s="21"/>
      <c r="G353" s="21"/>
      <c r="H353" s="21"/>
      <c r="I353" s="21"/>
      <c r="J353" s="20"/>
      <c r="K353" s="17"/>
      <c r="L353" s="17"/>
      <c r="M353" s="20"/>
      <c r="N353" s="17"/>
    </row>
    <row r="354" spans="1:14" ht="15" customHeight="1" x14ac:dyDescent="0.3">
      <c r="A354" s="22"/>
      <c r="B354" s="23"/>
      <c r="C354" s="23"/>
      <c r="D354" s="23"/>
      <c r="E354" s="23"/>
      <c r="F354" s="24"/>
      <c r="G354" s="24"/>
      <c r="H354" s="24"/>
      <c r="I354" s="24"/>
      <c r="J354" s="23"/>
      <c r="K354" s="14"/>
      <c r="L354" s="14"/>
      <c r="M354" s="23"/>
      <c r="N354" s="14"/>
    </row>
    <row r="355" spans="1:14" ht="15" customHeight="1" x14ac:dyDescent="0.3">
      <c r="A355" s="25"/>
      <c r="B355" s="20"/>
      <c r="C355" s="20"/>
      <c r="D355" s="20"/>
      <c r="E355" s="20"/>
      <c r="F355" s="21"/>
      <c r="G355" s="21"/>
      <c r="H355" s="21"/>
      <c r="I355" s="21"/>
      <c r="J355" s="20"/>
      <c r="K355" s="17"/>
      <c r="L355" s="17"/>
      <c r="M355" s="20"/>
      <c r="N355" s="17"/>
    </row>
    <row r="356" spans="1:14" ht="15" customHeight="1" x14ac:dyDescent="0.3">
      <c r="A356" s="22"/>
      <c r="B356" s="23"/>
      <c r="C356" s="23"/>
      <c r="D356" s="23"/>
      <c r="E356" s="23"/>
      <c r="F356" s="24"/>
      <c r="G356" s="24"/>
      <c r="H356" s="24"/>
      <c r="I356" s="24"/>
      <c r="J356" s="23"/>
      <c r="K356" s="14"/>
      <c r="L356" s="14"/>
      <c r="M356" s="23"/>
      <c r="N356" s="14"/>
    </row>
    <row r="357" spans="1:14" ht="15" customHeight="1" x14ac:dyDescent="0.3">
      <c r="A357" s="25"/>
      <c r="B357" s="20"/>
      <c r="C357" s="20"/>
      <c r="D357" s="20"/>
      <c r="E357" s="20"/>
      <c r="F357" s="21"/>
      <c r="G357" s="21"/>
      <c r="H357" s="21"/>
      <c r="I357" s="21"/>
      <c r="J357" s="20"/>
      <c r="K357" s="17"/>
      <c r="L357" s="17"/>
      <c r="M357" s="20"/>
      <c r="N357" s="17"/>
    </row>
    <row r="358" spans="1:14" ht="15" customHeight="1" x14ac:dyDescent="0.3">
      <c r="A358" s="22"/>
      <c r="B358" s="23"/>
      <c r="C358" s="23"/>
      <c r="D358" s="23"/>
      <c r="E358" s="23"/>
      <c r="F358" s="24"/>
      <c r="G358" s="24"/>
      <c r="H358" s="24"/>
      <c r="I358" s="24"/>
      <c r="J358" s="23"/>
      <c r="K358" s="14"/>
      <c r="L358" s="14"/>
      <c r="M358" s="23"/>
      <c r="N358" s="14"/>
    </row>
    <row r="359" spans="1:14" ht="15" customHeight="1" x14ac:dyDescent="0.3">
      <c r="A359" s="25"/>
      <c r="B359" s="20"/>
      <c r="C359" s="20"/>
      <c r="D359" s="20"/>
      <c r="E359" s="20"/>
      <c r="F359" s="21"/>
      <c r="G359" s="21"/>
      <c r="H359" s="21"/>
      <c r="I359" s="21"/>
      <c r="J359" s="20"/>
      <c r="K359" s="17"/>
      <c r="L359" s="17"/>
      <c r="M359" s="20"/>
      <c r="N359" s="17"/>
    </row>
    <row r="360" spans="1:14" ht="15" customHeight="1" x14ac:dyDescent="0.3">
      <c r="A360" s="22"/>
      <c r="B360" s="23"/>
      <c r="C360" s="23"/>
      <c r="D360" s="23"/>
      <c r="E360" s="23"/>
      <c r="F360" s="24"/>
      <c r="G360" s="24"/>
      <c r="H360" s="24"/>
      <c r="I360" s="24"/>
      <c r="J360" s="23"/>
      <c r="K360" s="14"/>
      <c r="L360" s="14"/>
      <c r="M360" s="23"/>
      <c r="N360" s="14"/>
    </row>
    <row r="361" spans="1:14" ht="15" customHeight="1" x14ac:dyDescent="0.3">
      <c r="A361" s="25"/>
      <c r="B361" s="20"/>
      <c r="C361" s="20"/>
      <c r="D361" s="20"/>
      <c r="E361" s="20"/>
      <c r="F361" s="21"/>
      <c r="G361" s="21"/>
      <c r="H361" s="21"/>
      <c r="I361" s="21"/>
      <c r="J361" s="20"/>
      <c r="K361" s="17"/>
      <c r="L361" s="17"/>
      <c r="M361" s="20"/>
      <c r="N361" s="17"/>
    </row>
    <row r="362" spans="1:14" ht="15" customHeight="1" x14ac:dyDescent="0.3">
      <c r="A362" s="22"/>
      <c r="B362" s="23"/>
      <c r="C362" s="23"/>
      <c r="D362" s="23"/>
      <c r="E362" s="23"/>
      <c r="F362" s="24"/>
      <c r="G362" s="24"/>
      <c r="H362" s="24"/>
      <c r="I362" s="24"/>
      <c r="J362" s="23"/>
      <c r="K362" s="14"/>
      <c r="L362" s="14"/>
      <c r="M362" s="23"/>
      <c r="N362" s="14"/>
    </row>
    <row r="363" spans="1:14" ht="15" customHeight="1" x14ac:dyDescent="0.3">
      <c r="A363" s="25"/>
      <c r="B363" s="20"/>
      <c r="C363" s="20"/>
      <c r="D363" s="20"/>
      <c r="E363" s="20"/>
      <c r="F363" s="21"/>
      <c r="G363" s="21"/>
      <c r="H363" s="21"/>
      <c r="I363" s="21"/>
      <c r="J363" s="20"/>
      <c r="K363" s="17"/>
      <c r="L363" s="17"/>
      <c r="M363" s="20"/>
      <c r="N363" s="17"/>
    </row>
    <row r="364" spans="1:14" ht="15" customHeight="1" x14ac:dyDescent="0.3">
      <c r="A364" s="22"/>
      <c r="B364" s="23"/>
      <c r="C364" s="23"/>
      <c r="D364" s="23"/>
      <c r="E364" s="23"/>
      <c r="F364" s="24"/>
      <c r="G364" s="24"/>
      <c r="H364" s="24"/>
      <c r="I364" s="24"/>
      <c r="J364" s="23"/>
      <c r="K364" s="14"/>
      <c r="L364" s="14"/>
      <c r="M364" s="23"/>
      <c r="N364" s="14"/>
    </row>
    <row r="365" spans="1:14" ht="15" customHeight="1" x14ac:dyDescent="0.3">
      <c r="A365" s="25"/>
      <c r="B365" s="20"/>
      <c r="C365" s="20"/>
      <c r="D365" s="20"/>
      <c r="E365" s="20"/>
      <c r="F365" s="21"/>
      <c r="G365" s="21"/>
      <c r="H365" s="21"/>
      <c r="I365" s="21"/>
      <c r="J365" s="20"/>
      <c r="K365" s="17"/>
      <c r="L365" s="17"/>
      <c r="M365" s="20"/>
      <c r="N365" s="17"/>
    </row>
    <row r="366" spans="1:14" ht="15" customHeight="1" x14ac:dyDescent="0.3">
      <c r="A366" s="22"/>
      <c r="B366" s="23"/>
      <c r="C366" s="23"/>
      <c r="D366" s="23"/>
      <c r="E366" s="23"/>
      <c r="F366" s="24"/>
      <c r="G366" s="24"/>
      <c r="H366" s="24"/>
      <c r="I366" s="24"/>
      <c r="J366" s="23"/>
      <c r="K366" s="14"/>
      <c r="L366" s="14"/>
      <c r="M366" s="23"/>
      <c r="N366" s="14"/>
    </row>
    <row r="367" spans="1:14" ht="15" customHeight="1" x14ac:dyDescent="0.3">
      <c r="A367" s="25"/>
      <c r="B367" s="20"/>
      <c r="C367" s="20"/>
      <c r="D367" s="20"/>
      <c r="E367" s="20"/>
      <c r="F367" s="21"/>
      <c r="G367" s="21"/>
      <c r="H367" s="21"/>
      <c r="I367" s="21"/>
      <c r="J367" s="20"/>
      <c r="K367" s="17"/>
      <c r="L367" s="17"/>
      <c r="M367" s="20"/>
      <c r="N367" s="17"/>
    </row>
    <row r="368" spans="1:14" ht="15" customHeight="1" x14ac:dyDescent="0.3">
      <c r="A368" s="22"/>
      <c r="B368" s="23"/>
      <c r="C368" s="23"/>
      <c r="D368" s="23"/>
      <c r="E368" s="23"/>
      <c r="F368" s="24"/>
      <c r="G368" s="24"/>
      <c r="H368" s="24"/>
      <c r="I368" s="24"/>
      <c r="J368" s="23"/>
      <c r="K368" s="14"/>
      <c r="L368" s="14"/>
      <c r="M368" s="23"/>
      <c r="N368" s="14"/>
    </row>
    <row r="369" spans="1:14" ht="15" customHeight="1" x14ac:dyDescent="0.3">
      <c r="A369" s="25"/>
      <c r="B369" s="20"/>
      <c r="C369" s="20"/>
      <c r="D369" s="20"/>
      <c r="E369" s="20"/>
      <c r="F369" s="21"/>
      <c r="G369" s="21"/>
      <c r="H369" s="21"/>
      <c r="I369" s="21"/>
      <c r="J369" s="20"/>
      <c r="K369" s="17"/>
      <c r="L369" s="17"/>
      <c r="M369" s="20"/>
      <c r="N369" s="17"/>
    </row>
    <row r="370" spans="1:14" ht="15" customHeight="1" x14ac:dyDescent="0.3">
      <c r="A370" s="22"/>
      <c r="B370" s="23"/>
      <c r="C370" s="23"/>
      <c r="D370" s="23"/>
      <c r="E370" s="23"/>
      <c r="F370" s="24"/>
      <c r="G370" s="24"/>
      <c r="H370" s="24"/>
      <c r="I370" s="24"/>
      <c r="J370" s="23"/>
      <c r="K370" s="14"/>
      <c r="L370" s="14"/>
      <c r="M370" s="23"/>
      <c r="N370" s="14"/>
    </row>
    <row r="371" spans="1:14" ht="15" customHeight="1" x14ac:dyDescent="0.3">
      <c r="A371" s="25"/>
      <c r="B371" s="20"/>
      <c r="C371" s="20"/>
      <c r="D371" s="20"/>
      <c r="E371" s="20"/>
      <c r="F371" s="21"/>
      <c r="G371" s="21"/>
      <c r="H371" s="21"/>
      <c r="I371" s="21"/>
      <c r="J371" s="20"/>
      <c r="K371" s="17"/>
      <c r="L371" s="17"/>
      <c r="M371" s="20"/>
      <c r="N371" s="17"/>
    </row>
    <row r="372" spans="1:14" ht="15" customHeight="1" x14ac:dyDescent="0.3">
      <c r="A372" s="22"/>
      <c r="B372" s="23"/>
      <c r="C372" s="23"/>
      <c r="D372" s="23"/>
      <c r="E372" s="23"/>
      <c r="F372" s="24"/>
      <c r="G372" s="24"/>
      <c r="H372" s="24"/>
      <c r="I372" s="24"/>
      <c r="J372" s="23"/>
      <c r="K372" s="14"/>
      <c r="L372" s="14"/>
      <c r="M372" s="23"/>
      <c r="N372" s="14"/>
    </row>
    <row r="373" spans="1:14" ht="15" customHeight="1" x14ac:dyDescent="0.3">
      <c r="A373" s="25"/>
      <c r="B373" s="20"/>
      <c r="C373" s="20"/>
      <c r="D373" s="20"/>
      <c r="E373" s="20"/>
      <c r="F373" s="21"/>
      <c r="G373" s="21"/>
      <c r="H373" s="21"/>
      <c r="I373" s="21"/>
      <c r="J373" s="20"/>
      <c r="K373" s="17"/>
      <c r="L373" s="17"/>
      <c r="M373" s="20"/>
      <c r="N373" s="17"/>
    </row>
    <row r="374" spans="1:14" ht="15" customHeight="1" x14ac:dyDescent="0.3">
      <c r="A374" s="22"/>
      <c r="B374" s="23"/>
      <c r="C374" s="23"/>
      <c r="D374" s="23"/>
      <c r="E374" s="23"/>
      <c r="F374" s="24"/>
      <c r="G374" s="24"/>
      <c r="H374" s="24"/>
      <c r="I374" s="24"/>
      <c r="J374" s="23"/>
      <c r="K374" s="14"/>
      <c r="L374" s="14"/>
      <c r="M374" s="23"/>
      <c r="N374" s="14"/>
    </row>
    <row r="375" spans="1:14" ht="15" customHeight="1" x14ac:dyDescent="0.3">
      <c r="A375" s="25"/>
      <c r="B375" s="20"/>
      <c r="C375" s="20"/>
      <c r="D375" s="20"/>
      <c r="E375" s="20"/>
      <c r="F375" s="21"/>
      <c r="G375" s="21"/>
      <c r="H375" s="21"/>
      <c r="I375" s="21"/>
      <c r="J375" s="20"/>
      <c r="K375" s="17"/>
      <c r="L375" s="17"/>
      <c r="M375" s="20"/>
      <c r="N375" s="17"/>
    </row>
    <row r="376" spans="1:14" ht="15" customHeight="1" x14ac:dyDescent="0.3">
      <c r="A376" s="22"/>
      <c r="B376" s="23"/>
      <c r="C376" s="23"/>
      <c r="D376" s="23"/>
      <c r="E376" s="23"/>
      <c r="F376" s="24"/>
      <c r="G376" s="24"/>
      <c r="H376" s="24"/>
      <c r="I376" s="24"/>
      <c r="J376" s="23"/>
      <c r="K376" s="14"/>
      <c r="L376" s="14"/>
      <c r="M376" s="23"/>
      <c r="N376" s="14"/>
    </row>
    <row r="377" spans="1:14" ht="15" customHeight="1" x14ac:dyDescent="0.3">
      <c r="A377" s="25"/>
      <c r="B377" s="20"/>
      <c r="C377" s="20"/>
      <c r="D377" s="20"/>
      <c r="E377" s="20"/>
      <c r="F377" s="21"/>
      <c r="G377" s="21"/>
      <c r="H377" s="21"/>
      <c r="I377" s="21"/>
      <c r="J377" s="20"/>
      <c r="K377" s="17"/>
      <c r="L377" s="17"/>
      <c r="M377" s="20"/>
      <c r="N377" s="17"/>
    </row>
    <row r="378" spans="1:14" ht="15" customHeight="1" x14ac:dyDescent="0.3">
      <c r="A378" s="22"/>
      <c r="B378" s="23"/>
      <c r="C378" s="23"/>
      <c r="D378" s="23"/>
      <c r="E378" s="23"/>
      <c r="F378" s="24"/>
      <c r="G378" s="24"/>
      <c r="H378" s="24"/>
      <c r="I378" s="24"/>
      <c r="J378" s="23"/>
      <c r="K378" s="14"/>
      <c r="L378" s="14"/>
      <c r="M378" s="23"/>
      <c r="N378" s="14"/>
    </row>
    <row r="379" spans="1:14" ht="15" customHeight="1" x14ac:dyDescent="0.3">
      <c r="A379" s="25"/>
      <c r="B379" s="20"/>
      <c r="C379" s="20"/>
      <c r="D379" s="20"/>
      <c r="E379" s="20"/>
      <c r="F379" s="21"/>
      <c r="G379" s="21"/>
      <c r="H379" s="21"/>
      <c r="I379" s="21"/>
      <c r="J379" s="20"/>
      <c r="K379" s="17"/>
      <c r="L379" s="17"/>
      <c r="M379" s="20"/>
      <c r="N379" s="17"/>
    </row>
    <row r="380" spans="1:14" ht="15" customHeight="1" x14ac:dyDescent="0.3">
      <c r="A380" s="22"/>
      <c r="B380" s="23"/>
      <c r="C380" s="23"/>
      <c r="D380" s="23"/>
      <c r="E380" s="23"/>
      <c r="F380" s="24"/>
      <c r="G380" s="24"/>
      <c r="H380" s="24"/>
      <c r="I380" s="24"/>
      <c r="J380" s="23"/>
      <c r="K380" s="14"/>
      <c r="L380" s="14"/>
      <c r="M380" s="23"/>
      <c r="N380" s="14"/>
    </row>
    <row r="381" spans="1:14" ht="15" customHeight="1" x14ac:dyDescent="0.3">
      <c r="A381" s="25"/>
      <c r="B381" s="20"/>
      <c r="C381" s="20"/>
      <c r="D381" s="20"/>
      <c r="E381" s="20"/>
      <c r="F381" s="21"/>
      <c r="G381" s="21"/>
      <c r="H381" s="21"/>
      <c r="I381" s="21"/>
      <c r="J381" s="20"/>
      <c r="K381" s="17"/>
      <c r="L381" s="17"/>
      <c r="M381" s="20"/>
      <c r="N381" s="17"/>
    </row>
    <row r="382" spans="1:14" ht="15" customHeight="1" x14ac:dyDescent="0.3">
      <c r="A382" s="22"/>
      <c r="B382" s="23"/>
      <c r="C382" s="23"/>
      <c r="D382" s="23"/>
      <c r="E382" s="23"/>
      <c r="F382" s="24"/>
      <c r="G382" s="24"/>
      <c r="H382" s="24"/>
      <c r="I382" s="24"/>
      <c r="J382" s="23"/>
      <c r="K382" s="14"/>
      <c r="L382" s="14"/>
      <c r="M382" s="23"/>
      <c r="N382" s="14"/>
    </row>
    <row r="383" spans="1:14" ht="15" customHeight="1" x14ac:dyDescent="0.3">
      <c r="A383" s="25"/>
      <c r="B383" s="20"/>
      <c r="C383" s="20"/>
      <c r="D383" s="20"/>
      <c r="E383" s="20"/>
      <c r="F383" s="21"/>
      <c r="G383" s="21"/>
      <c r="H383" s="21"/>
      <c r="I383" s="21"/>
      <c r="J383" s="20"/>
      <c r="K383" s="17"/>
      <c r="L383" s="17"/>
      <c r="M383" s="20"/>
      <c r="N383" s="17"/>
    </row>
    <row r="384" spans="1:14" ht="15" customHeight="1" x14ac:dyDescent="0.3">
      <c r="A384" s="22"/>
      <c r="B384" s="23"/>
      <c r="C384" s="23"/>
      <c r="D384" s="23"/>
      <c r="E384" s="23"/>
      <c r="F384" s="24"/>
      <c r="G384" s="24"/>
      <c r="H384" s="24"/>
      <c r="I384" s="24"/>
      <c r="J384" s="23"/>
      <c r="K384" s="14"/>
      <c r="L384" s="14"/>
      <c r="M384" s="23"/>
      <c r="N384" s="14"/>
    </row>
    <row r="385" spans="1:14" ht="15" customHeight="1" x14ac:dyDescent="0.3">
      <c r="A385" s="25"/>
      <c r="B385" s="20"/>
      <c r="C385" s="20"/>
      <c r="D385" s="20"/>
      <c r="E385" s="20"/>
      <c r="F385" s="21"/>
      <c r="G385" s="21"/>
      <c r="H385" s="21"/>
      <c r="I385" s="21"/>
      <c r="J385" s="20"/>
      <c r="K385" s="17"/>
      <c r="L385" s="17"/>
      <c r="M385" s="20"/>
      <c r="N385" s="17"/>
    </row>
    <row r="386" spans="1:14" ht="15" customHeight="1" x14ac:dyDescent="0.3">
      <c r="A386" s="22"/>
      <c r="B386" s="23"/>
      <c r="C386" s="23"/>
      <c r="D386" s="23"/>
      <c r="E386" s="23"/>
      <c r="F386" s="24"/>
      <c r="G386" s="24"/>
      <c r="H386" s="24"/>
      <c r="I386" s="24"/>
      <c r="J386" s="23"/>
      <c r="K386" s="14"/>
      <c r="L386" s="14"/>
      <c r="M386" s="23"/>
      <c r="N386" s="14"/>
    </row>
    <row r="387" spans="1:14" ht="15" customHeight="1" x14ac:dyDescent="0.3">
      <c r="A387" s="25"/>
      <c r="B387" s="20"/>
      <c r="C387" s="20"/>
      <c r="D387" s="20"/>
      <c r="E387" s="20"/>
      <c r="F387" s="21"/>
      <c r="G387" s="21"/>
      <c r="H387" s="21"/>
      <c r="I387" s="21"/>
      <c r="J387" s="20"/>
      <c r="K387" s="17"/>
      <c r="L387" s="17"/>
      <c r="M387" s="20"/>
      <c r="N387" s="17"/>
    </row>
    <row r="388" spans="1:14" ht="15" customHeight="1" x14ac:dyDescent="0.3">
      <c r="A388" s="22"/>
      <c r="B388" s="23"/>
      <c r="C388" s="23"/>
      <c r="D388" s="23"/>
      <c r="E388" s="23"/>
      <c r="F388" s="24"/>
      <c r="G388" s="24"/>
      <c r="H388" s="24"/>
      <c r="I388" s="24"/>
      <c r="J388" s="23"/>
      <c r="K388" s="14"/>
      <c r="L388" s="14"/>
      <c r="M388" s="23"/>
      <c r="N388" s="14"/>
    </row>
    <row r="389" spans="1:14" ht="15" customHeight="1" x14ac:dyDescent="0.3">
      <c r="A389" s="25"/>
      <c r="B389" s="20"/>
      <c r="C389" s="20"/>
      <c r="D389" s="20"/>
      <c r="E389" s="20"/>
      <c r="F389" s="21"/>
      <c r="G389" s="21"/>
      <c r="H389" s="21"/>
      <c r="I389" s="21"/>
      <c r="J389" s="20"/>
      <c r="K389" s="17"/>
      <c r="L389" s="17"/>
      <c r="M389" s="20"/>
      <c r="N389" s="17"/>
    </row>
    <row r="390" spans="1:14" ht="15" customHeight="1" x14ac:dyDescent="0.3">
      <c r="A390" s="22"/>
      <c r="B390" s="23"/>
      <c r="C390" s="23"/>
      <c r="D390" s="23"/>
      <c r="E390" s="23"/>
      <c r="F390" s="24"/>
      <c r="G390" s="24"/>
      <c r="H390" s="24"/>
      <c r="I390" s="24"/>
      <c r="J390" s="23"/>
      <c r="K390" s="14"/>
      <c r="L390" s="14"/>
      <c r="M390" s="23"/>
      <c r="N390" s="14"/>
    </row>
    <row r="391" spans="1:14" ht="15" customHeight="1" x14ac:dyDescent="0.3">
      <c r="A391" s="25"/>
      <c r="B391" s="20"/>
      <c r="C391" s="20"/>
      <c r="D391" s="20"/>
      <c r="E391" s="20"/>
      <c r="F391" s="21"/>
      <c r="G391" s="21"/>
      <c r="H391" s="21"/>
      <c r="I391" s="21"/>
      <c r="J391" s="20"/>
      <c r="K391" s="17"/>
      <c r="L391" s="17"/>
      <c r="M391" s="20"/>
      <c r="N391" s="17"/>
    </row>
    <row r="392" spans="1:14" ht="15" customHeight="1" x14ac:dyDescent="0.3">
      <c r="A392" s="22"/>
      <c r="B392" s="23"/>
      <c r="C392" s="23"/>
      <c r="D392" s="23"/>
      <c r="E392" s="23"/>
      <c r="F392" s="24"/>
      <c r="G392" s="24"/>
      <c r="H392" s="24"/>
      <c r="I392" s="24"/>
      <c r="J392" s="23"/>
      <c r="K392" s="14"/>
      <c r="L392" s="14"/>
      <c r="M392" s="23"/>
      <c r="N392" s="14"/>
    </row>
    <row r="393" spans="1:14" ht="15" customHeight="1" x14ac:dyDescent="0.3">
      <c r="A393" s="25"/>
      <c r="B393" s="20"/>
      <c r="C393" s="20"/>
      <c r="D393" s="20"/>
      <c r="E393" s="20"/>
      <c r="F393" s="21"/>
      <c r="G393" s="21"/>
      <c r="H393" s="21"/>
      <c r="I393" s="21"/>
      <c r="J393" s="20"/>
      <c r="K393" s="17"/>
      <c r="L393" s="17"/>
      <c r="M393" s="20"/>
      <c r="N393" s="17"/>
    </row>
    <row r="394" spans="1:14" ht="15" customHeight="1" x14ac:dyDescent="0.3">
      <c r="A394" s="22"/>
      <c r="B394" s="23"/>
      <c r="C394" s="23"/>
      <c r="D394" s="23"/>
      <c r="E394" s="23"/>
      <c r="F394" s="24"/>
      <c r="G394" s="24"/>
      <c r="H394" s="24"/>
      <c r="I394" s="24"/>
      <c r="J394" s="23"/>
      <c r="K394" s="14"/>
      <c r="L394" s="14"/>
      <c r="M394" s="23"/>
      <c r="N394" s="14"/>
    </row>
    <row r="395" spans="1:14" ht="15" customHeight="1" x14ac:dyDescent="0.3">
      <c r="A395" s="25"/>
      <c r="B395" s="20"/>
      <c r="C395" s="20"/>
      <c r="D395" s="20"/>
      <c r="E395" s="20"/>
      <c r="F395" s="21"/>
      <c r="G395" s="21"/>
      <c r="H395" s="21"/>
      <c r="I395" s="21"/>
      <c r="J395" s="20"/>
      <c r="K395" s="17"/>
      <c r="L395" s="17"/>
      <c r="M395" s="20"/>
      <c r="N395" s="17"/>
    </row>
    <row r="396" spans="1:14" ht="15" customHeight="1" x14ac:dyDescent="0.3">
      <c r="A396" s="22"/>
      <c r="B396" s="23"/>
      <c r="C396" s="23"/>
      <c r="D396" s="23"/>
      <c r="E396" s="23"/>
      <c r="F396" s="24"/>
      <c r="G396" s="24"/>
      <c r="H396" s="24"/>
      <c r="I396" s="24"/>
      <c r="J396" s="23"/>
      <c r="K396" s="14"/>
      <c r="L396" s="14"/>
      <c r="M396" s="23"/>
      <c r="N396" s="14"/>
    </row>
    <row r="397" spans="1:14" ht="15" customHeight="1" x14ac:dyDescent="0.3">
      <c r="A397" s="25"/>
      <c r="B397" s="20"/>
      <c r="C397" s="20"/>
      <c r="D397" s="20"/>
      <c r="E397" s="20"/>
      <c r="F397" s="21"/>
      <c r="G397" s="21"/>
      <c r="H397" s="21"/>
      <c r="I397" s="21"/>
      <c r="J397" s="20"/>
      <c r="K397" s="17"/>
      <c r="L397" s="17"/>
      <c r="M397" s="20"/>
      <c r="N397" s="17"/>
    </row>
    <row r="398" spans="1:14" ht="15" customHeight="1" x14ac:dyDescent="0.3">
      <c r="A398" s="22"/>
      <c r="B398" s="23"/>
      <c r="C398" s="23"/>
      <c r="D398" s="23"/>
      <c r="E398" s="23"/>
      <c r="F398" s="24"/>
      <c r="G398" s="24"/>
      <c r="H398" s="24"/>
      <c r="I398" s="24"/>
      <c r="J398" s="23"/>
      <c r="K398" s="14"/>
      <c r="L398" s="14"/>
      <c r="M398" s="23"/>
      <c r="N398" s="14"/>
    </row>
    <row r="399" spans="1:14" ht="15" customHeight="1" x14ac:dyDescent="0.3">
      <c r="A399" s="25"/>
      <c r="B399" s="20"/>
      <c r="C399" s="20"/>
      <c r="D399" s="20"/>
      <c r="E399" s="20"/>
      <c r="F399" s="21"/>
      <c r="G399" s="21"/>
      <c r="H399" s="21"/>
      <c r="I399" s="21"/>
      <c r="J399" s="20"/>
      <c r="K399" s="17"/>
      <c r="L399" s="17"/>
      <c r="M399" s="20"/>
      <c r="N399" s="17"/>
    </row>
    <row r="400" spans="1:14" ht="15" customHeight="1" x14ac:dyDescent="0.3">
      <c r="A400" s="22"/>
      <c r="B400" s="23"/>
      <c r="C400" s="23"/>
      <c r="D400" s="23"/>
      <c r="E400" s="23"/>
      <c r="F400" s="24"/>
      <c r="G400" s="24"/>
      <c r="H400" s="24"/>
      <c r="I400" s="24"/>
      <c r="J400" s="23"/>
      <c r="K400" s="14"/>
      <c r="L400" s="14"/>
      <c r="M400" s="23"/>
      <c r="N400" s="14"/>
    </row>
    <row r="401" spans="1:14" ht="15" customHeight="1" x14ac:dyDescent="0.3">
      <c r="A401" s="25"/>
      <c r="B401" s="20"/>
      <c r="C401" s="20"/>
      <c r="D401" s="20"/>
      <c r="E401" s="20"/>
      <c r="F401" s="21"/>
      <c r="G401" s="21"/>
      <c r="H401" s="21"/>
      <c r="I401" s="21"/>
      <c r="J401" s="20"/>
      <c r="K401" s="17"/>
      <c r="L401" s="17"/>
      <c r="M401" s="20"/>
      <c r="N401" s="17"/>
    </row>
    <row r="402" spans="1:14" ht="15" customHeight="1" x14ac:dyDescent="0.3">
      <c r="A402" s="22"/>
      <c r="B402" s="23"/>
      <c r="C402" s="23"/>
      <c r="D402" s="23"/>
      <c r="E402" s="23"/>
      <c r="F402" s="24"/>
      <c r="G402" s="24"/>
      <c r="H402" s="24"/>
      <c r="I402" s="24"/>
      <c r="J402" s="23"/>
      <c r="K402" s="14"/>
      <c r="L402" s="14"/>
      <c r="M402" s="23"/>
      <c r="N402" s="14"/>
    </row>
    <row r="403" spans="1:14" ht="15" customHeight="1" x14ac:dyDescent="0.3">
      <c r="A403" s="25"/>
      <c r="B403" s="20"/>
      <c r="C403" s="20"/>
      <c r="D403" s="20"/>
      <c r="E403" s="20"/>
      <c r="F403" s="21"/>
      <c r="G403" s="21"/>
      <c r="H403" s="21"/>
      <c r="I403" s="21"/>
      <c r="J403" s="20"/>
      <c r="K403" s="17"/>
      <c r="L403" s="17"/>
      <c r="M403" s="20"/>
      <c r="N403" s="17"/>
    </row>
    <row r="404" spans="1:14" ht="15" customHeight="1" x14ac:dyDescent="0.3">
      <c r="A404" s="22"/>
      <c r="B404" s="23"/>
      <c r="C404" s="23"/>
      <c r="D404" s="23"/>
      <c r="E404" s="23"/>
      <c r="F404" s="24"/>
      <c r="G404" s="24"/>
      <c r="H404" s="24"/>
      <c r="I404" s="24"/>
      <c r="J404" s="23"/>
      <c r="K404" s="14"/>
      <c r="L404" s="14"/>
      <c r="M404" s="23"/>
      <c r="N404" s="14"/>
    </row>
    <row r="405" spans="1:14" ht="15" customHeight="1" x14ac:dyDescent="0.3">
      <c r="A405" s="25"/>
      <c r="B405" s="20"/>
      <c r="C405" s="20"/>
      <c r="D405" s="20"/>
      <c r="E405" s="20"/>
      <c r="F405" s="21"/>
      <c r="G405" s="21"/>
      <c r="H405" s="21"/>
      <c r="I405" s="21"/>
      <c r="J405" s="20"/>
      <c r="K405" s="17"/>
      <c r="L405" s="17"/>
      <c r="M405" s="20"/>
      <c r="N405" s="17"/>
    </row>
    <row r="406" spans="1:14" ht="15" customHeight="1" x14ac:dyDescent="0.3">
      <c r="A406" s="22"/>
      <c r="B406" s="23"/>
      <c r="C406" s="23"/>
      <c r="D406" s="23"/>
      <c r="E406" s="23"/>
      <c r="F406" s="24"/>
      <c r="G406" s="24"/>
      <c r="H406" s="24"/>
      <c r="I406" s="24"/>
      <c r="J406" s="23"/>
      <c r="K406" s="14"/>
      <c r="L406" s="14"/>
      <c r="M406" s="23"/>
      <c r="N406" s="14"/>
    </row>
    <row r="407" spans="1:14" ht="15" customHeight="1" x14ac:dyDescent="0.3">
      <c r="A407" s="25"/>
      <c r="B407" s="20"/>
      <c r="C407" s="20"/>
      <c r="D407" s="20"/>
      <c r="E407" s="20"/>
      <c r="F407" s="21"/>
      <c r="G407" s="21"/>
      <c r="H407" s="21"/>
      <c r="I407" s="21"/>
      <c r="J407" s="20"/>
      <c r="K407" s="17"/>
      <c r="L407" s="17"/>
      <c r="M407" s="20"/>
      <c r="N407" s="17"/>
    </row>
    <row r="408" spans="1:14" ht="15" customHeight="1" x14ac:dyDescent="0.3">
      <c r="A408" s="22"/>
      <c r="B408" s="23"/>
      <c r="C408" s="23"/>
      <c r="D408" s="23"/>
      <c r="E408" s="23"/>
      <c r="F408" s="24"/>
      <c r="G408" s="24"/>
      <c r="H408" s="24"/>
      <c r="I408" s="24"/>
      <c r="J408" s="23"/>
      <c r="K408" s="14"/>
      <c r="L408" s="14"/>
      <c r="M408" s="23"/>
      <c r="N408" s="14"/>
    </row>
    <row r="409" spans="1:14" ht="15" customHeight="1" x14ac:dyDescent="0.3">
      <c r="A409" s="25"/>
      <c r="B409" s="20"/>
      <c r="C409" s="20"/>
      <c r="D409" s="20"/>
      <c r="E409" s="20"/>
      <c r="F409" s="21"/>
      <c r="G409" s="21"/>
      <c r="H409" s="21"/>
      <c r="I409" s="21"/>
      <c r="J409" s="20"/>
      <c r="K409" s="17"/>
      <c r="L409" s="17"/>
      <c r="M409" s="20"/>
      <c r="N409" s="17"/>
    </row>
    <row r="410" spans="1:14" ht="15" customHeight="1" x14ac:dyDescent="0.3">
      <c r="A410" s="22"/>
      <c r="B410" s="23"/>
      <c r="C410" s="23"/>
      <c r="D410" s="23"/>
      <c r="E410" s="23"/>
      <c r="F410" s="24"/>
      <c r="G410" s="24"/>
      <c r="H410" s="24"/>
      <c r="I410" s="24"/>
      <c r="J410" s="23"/>
      <c r="K410" s="14"/>
      <c r="L410" s="14"/>
      <c r="M410" s="23"/>
      <c r="N410" s="14"/>
    </row>
    <row r="411" spans="1:14" ht="15" customHeight="1" x14ac:dyDescent="0.3">
      <c r="A411" s="25"/>
      <c r="B411" s="20"/>
      <c r="C411" s="20"/>
      <c r="D411" s="20"/>
      <c r="E411" s="20"/>
      <c r="F411" s="21"/>
      <c r="G411" s="21"/>
      <c r="H411" s="21"/>
      <c r="I411" s="21"/>
      <c r="J411" s="20"/>
      <c r="K411" s="17"/>
      <c r="L411" s="17"/>
      <c r="M411" s="20"/>
      <c r="N411" s="17"/>
    </row>
    <row r="412" spans="1:14" ht="15" customHeight="1" x14ac:dyDescent="0.3">
      <c r="A412" s="22"/>
      <c r="B412" s="23"/>
      <c r="C412" s="23"/>
      <c r="D412" s="23"/>
      <c r="E412" s="23"/>
      <c r="F412" s="24"/>
      <c r="G412" s="24"/>
      <c r="H412" s="24"/>
      <c r="I412" s="24"/>
      <c r="J412" s="23"/>
      <c r="K412" s="14"/>
      <c r="L412" s="14"/>
      <c r="M412" s="23"/>
      <c r="N412" s="14"/>
    </row>
    <row r="413" spans="1:14" ht="15" customHeight="1" x14ac:dyDescent="0.3">
      <c r="A413" s="25"/>
      <c r="B413" s="20"/>
      <c r="C413" s="20"/>
      <c r="D413" s="20"/>
      <c r="E413" s="20"/>
      <c r="F413" s="21"/>
      <c r="G413" s="21"/>
      <c r="H413" s="21"/>
      <c r="I413" s="21"/>
      <c r="J413" s="20"/>
      <c r="K413" s="17"/>
      <c r="L413" s="17"/>
      <c r="M413" s="20"/>
      <c r="N413" s="17"/>
    </row>
    <row r="414" spans="1:14" ht="15" customHeight="1" x14ac:dyDescent="0.3">
      <c r="A414" s="22"/>
      <c r="B414" s="23"/>
      <c r="C414" s="23"/>
      <c r="D414" s="23"/>
      <c r="E414" s="23"/>
      <c r="F414" s="24"/>
      <c r="G414" s="24"/>
      <c r="H414" s="24"/>
      <c r="I414" s="24"/>
      <c r="J414" s="23"/>
      <c r="K414" s="14"/>
      <c r="L414" s="14"/>
      <c r="M414" s="23"/>
      <c r="N414" s="14"/>
    </row>
    <row r="415" spans="1:14" ht="15" customHeight="1" x14ac:dyDescent="0.3">
      <c r="A415" s="25"/>
      <c r="B415" s="20"/>
      <c r="C415" s="20"/>
      <c r="D415" s="20"/>
      <c r="E415" s="20"/>
      <c r="F415" s="21"/>
      <c r="G415" s="21"/>
      <c r="H415" s="21"/>
      <c r="I415" s="21"/>
      <c r="J415" s="20"/>
      <c r="K415" s="17"/>
      <c r="L415" s="17"/>
      <c r="M415" s="20"/>
      <c r="N415" s="17"/>
    </row>
    <row r="416" spans="1:14" ht="15" customHeight="1" x14ac:dyDescent="0.3">
      <c r="A416" s="22"/>
      <c r="B416" s="23"/>
      <c r="C416" s="23"/>
      <c r="D416" s="23"/>
      <c r="E416" s="23"/>
      <c r="F416" s="24"/>
      <c r="G416" s="24"/>
      <c r="H416" s="24"/>
      <c r="I416" s="24"/>
      <c r="J416" s="23"/>
      <c r="K416" s="14"/>
      <c r="L416" s="14"/>
      <c r="M416" s="23"/>
      <c r="N416" s="14"/>
    </row>
    <row r="417" spans="1:14" ht="15" customHeight="1" x14ac:dyDescent="0.3">
      <c r="A417" s="25"/>
      <c r="B417" s="20"/>
      <c r="C417" s="20"/>
      <c r="D417" s="20"/>
      <c r="E417" s="20"/>
      <c r="F417" s="21"/>
      <c r="G417" s="21"/>
      <c r="H417" s="21"/>
      <c r="I417" s="21"/>
      <c r="J417" s="20"/>
      <c r="K417" s="17"/>
      <c r="L417" s="17"/>
      <c r="M417" s="20"/>
      <c r="N417" s="17"/>
    </row>
    <row r="418" spans="1:14" ht="15" customHeight="1" x14ac:dyDescent="0.3">
      <c r="A418" s="22"/>
      <c r="B418" s="23"/>
      <c r="C418" s="23"/>
      <c r="D418" s="23"/>
      <c r="E418" s="23"/>
      <c r="F418" s="24"/>
      <c r="G418" s="24"/>
      <c r="H418" s="24"/>
      <c r="I418" s="24"/>
      <c r="J418" s="23"/>
      <c r="K418" s="14"/>
      <c r="L418" s="14"/>
      <c r="M418" s="23"/>
      <c r="N418" s="14"/>
    </row>
    <row r="419" spans="1:14" ht="15" customHeight="1" x14ac:dyDescent="0.3">
      <c r="A419" s="25"/>
      <c r="B419" s="20"/>
      <c r="C419" s="20"/>
      <c r="D419" s="20"/>
      <c r="E419" s="20"/>
      <c r="F419" s="21"/>
      <c r="G419" s="21"/>
      <c r="H419" s="21"/>
      <c r="I419" s="21"/>
      <c r="J419" s="20"/>
      <c r="K419" s="17"/>
      <c r="L419" s="17"/>
      <c r="M419" s="20"/>
      <c r="N419" s="17"/>
    </row>
    <row r="420" spans="1:14" ht="15" customHeight="1" x14ac:dyDescent="0.3">
      <c r="A420" s="22"/>
      <c r="B420" s="23"/>
      <c r="C420" s="23"/>
      <c r="D420" s="23"/>
      <c r="E420" s="23"/>
      <c r="F420" s="24"/>
      <c r="G420" s="24"/>
      <c r="H420" s="24"/>
      <c r="I420" s="24"/>
      <c r="J420" s="23"/>
      <c r="K420" s="14"/>
      <c r="L420" s="14"/>
      <c r="M420" s="23"/>
      <c r="N420" s="14"/>
    </row>
    <row r="421" spans="1:14" ht="15" customHeight="1" x14ac:dyDescent="0.3">
      <c r="A421" s="25"/>
      <c r="B421" s="20"/>
      <c r="C421" s="20"/>
      <c r="D421" s="20"/>
      <c r="E421" s="20"/>
      <c r="F421" s="21"/>
      <c r="G421" s="21"/>
      <c r="H421" s="21"/>
      <c r="I421" s="21"/>
      <c r="J421" s="20"/>
      <c r="K421" s="17"/>
      <c r="L421" s="17"/>
      <c r="M421" s="20"/>
      <c r="N421" s="17"/>
    </row>
    <row r="422" spans="1:14" ht="15" customHeight="1" x14ac:dyDescent="0.3">
      <c r="A422" s="22"/>
      <c r="B422" s="23"/>
      <c r="C422" s="23"/>
      <c r="D422" s="23"/>
      <c r="E422" s="23"/>
      <c r="F422" s="24"/>
      <c r="G422" s="24"/>
      <c r="H422" s="24"/>
      <c r="I422" s="24"/>
      <c r="J422" s="23"/>
      <c r="K422" s="14"/>
      <c r="L422" s="14"/>
      <c r="M422" s="23"/>
      <c r="N422" s="14"/>
    </row>
    <row r="423" spans="1:14" ht="15" customHeight="1" x14ac:dyDescent="0.3">
      <c r="A423" s="25"/>
      <c r="B423" s="20"/>
      <c r="C423" s="20"/>
      <c r="D423" s="20"/>
      <c r="E423" s="20"/>
      <c r="F423" s="21"/>
      <c r="G423" s="21"/>
      <c r="H423" s="21"/>
      <c r="I423" s="21"/>
      <c r="J423" s="20"/>
      <c r="K423" s="17"/>
      <c r="L423" s="17"/>
      <c r="M423" s="20"/>
      <c r="N423" s="17"/>
    </row>
    <row r="424" spans="1:14" ht="15" customHeight="1" x14ac:dyDescent="0.3">
      <c r="A424" s="22"/>
      <c r="B424" s="23"/>
      <c r="C424" s="23"/>
      <c r="D424" s="23"/>
      <c r="E424" s="23"/>
      <c r="F424" s="24"/>
      <c r="G424" s="24"/>
      <c r="H424" s="24"/>
      <c r="I424" s="24"/>
      <c r="J424" s="23"/>
      <c r="K424" s="14"/>
      <c r="L424" s="14"/>
      <c r="M424" s="23"/>
      <c r="N424" s="14"/>
    </row>
    <row r="425" spans="1:14" ht="15" customHeight="1" x14ac:dyDescent="0.3">
      <c r="A425" s="25"/>
      <c r="B425" s="20"/>
      <c r="C425" s="20"/>
      <c r="D425" s="20"/>
      <c r="E425" s="20"/>
      <c r="F425" s="21"/>
      <c r="G425" s="21"/>
      <c r="H425" s="21"/>
      <c r="I425" s="21"/>
      <c r="J425" s="20"/>
      <c r="K425" s="17"/>
      <c r="L425" s="17"/>
      <c r="M425" s="20"/>
      <c r="N425" s="17"/>
    </row>
    <row r="426" spans="1:14" ht="15" customHeight="1" x14ac:dyDescent="0.3">
      <c r="A426" s="22"/>
      <c r="B426" s="23"/>
      <c r="C426" s="23"/>
      <c r="D426" s="23"/>
      <c r="E426" s="23"/>
      <c r="F426" s="24"/>
      <c r="G426" s="24"/>
      <c r="H426" s="24"/>
      <c r="I426" s="24"/>
      <c r="J426" s="23"/>
      <c r="K426" s="14"/>
      <c r="L426" s="14"/>
      <c r="M426" s="23"/>
      <c r="N426" s="14"/>
    </row>
    <row r="427" spans="1:14" ht="15" customHeight="1" x14ac:dyDescent="0.3">
      <c r="A427" s="25"/>
      <c r="B427" s="20"/>
      <c r="C427" s="20"/>
      <c r="D427" s="20"/>
      <c r="E427" s="20"/>
      <c r="F427" s="21"/>
      <c r="G427" s="21"/>
      <c r="H427" s="21"/>
      <c r="I427" s="21"/>
      <c r="J427" s="20"/>
      <c r="K427" s="17"/>
      <c r="L427" s="17"/>
      <c r="M427" s="20"/>
      <c r="N427" s="17"/>
    </row>
    <row r="428" spans="1:14" ht="15" customHeight="1" x14ac:dyDescent="0.3">
      <c r="A428" s="22"/>
      <c r="B428" s="23"/>
      <c r="C428" s="23"/>
      <c r="D428" s="23"/>
      <c r="E428" s="23"/>
      <c r="F428" s="24"/>
      <c r="G428" s="24"/>
      <c r="H428" s="24"/>
      <c r="I428" s="24"/>
      <c r="J428" s="23"/>
      <c r="K428" s="14"/>
      <c r="L428" s="14"/>
      <c r="M428" s="23"/>
      <c r="N428" s="14"/>
    </row>
    <row r="429" spans="1:14" ht="15" customHeight="1" x14ac:dyDescent="0.3">
      <c r="A429" s="25"/>
      <c r="B429" s="20"/>
      <c r="C429" s="20"/>
      <c r="D429" s="20"/>
      <c r="E429" s="20"/>
      <c r="F429" s="21"/>
      <c r="G429" s="21"/>
      <c r="H429" s="21"/>
      <c r="I429" s="21"/>
      <c r="J429" s="20"/>
      <c r="K429" s="17"/>
      <c r="L429" s="17"/>
      <c r="M429" s="20"/>
      <c r="N429" s="17"/>
    </row>
    <row r="430" spans="1:14" ht="15" customHeight="1" x14ac:dyDescent="0.3">
      <c r="A430" s="22"/>
      <c r="B430" s="23"/>
      <c r="C430" s="23"/>
      <c r="D430" s="23"/>
      <c r="E430" s="23"/>
      <c r="F430" s="24"/>
      <c r="G430" s="24"/>
      <c r="H430" s="24"/>
      <c r="I430" s="24"/>
      <c r="J430" s="23"/>
      <c r="K430" s="14"/>
      <c r="L430" s="14"/>
      <c r="M430" s="23"/>
      <c r="N430" s="14"/>
    </row>
    <row r="431" spans="1:14" ht="15" customHeight="1" x14ac:dyDescent="0.3">
      <c r="A431" s="25"/>
      <c r="B431" s="20"/>
      <c r="C431" s="20"/>
      <c r="D431" s="20"/>
      <c r="E431" s="20"/>
      <c r="F431" s="21"/>
      <c r="G431" s="21"/>
      <c r="H431" s="21"/>
      <c r="I431" s="21"/>
      <c r="J431" s="20"/>
      <c r="K431" s="17"/>
      <c r="L431" s="17"/>
      <c r="M431" s="20"/>
      <c r="N431" s="17"/>
    </row>
    <row r="432" spans="1:14" ht="15" customHeight="1" x14ac:dyDescent="0.3">
      <c r="A432" s="22"/>
      <c r="B432" s="23"/>
      <c r="C432" s="23"/>
      <c r="D432" s="23"/>
      <c r="E432" s="23"/>
      <c r="F432" s="24"/>
      <c r="G432" s="24"/>
      <c r="H432" s="24"/>
      <c r="I432" s="24"/>
      <c r="J432" s="23"/>
      <c r="K432" s="14"/>
      <c r="L432" s="14"/>
      <c r="M432" s="23"/>
      <c r="N432" s="14"/>
    </row>
    <row r="433" spans="1:14" ht="15" customHeight="1" x14ac:dyDescent="0.3">
      <c r="A433" s="25"/>
      <c r="B433" s="20"/>
      <c r="C433" s="20"/>
      <c r="D433" s="20"/>
      <c r="E433" s="20"/>
      <c r="F433" s="21"/>
      <c r="G433" s="21"/>
      <c r="H433" s="21"/>
      <c r="I433" s="21"/>
      <c r="J433" s="20"/>
      <c r="K433" s="17"/>
      <c r="L433" s="17"/>
      <c r="M433" s="20"/>
      <c r="N433" s="17"/>
    </row>
    <row r="434" spans="1:14" ht="15" customHeight="1" x14ac:dyDescent="0.3">
      <c r="A434" s="22"/>
      <c r="B434" s="23"/>
      <c r="C434" s="23"/>
      <c r="D434" s="23"/>
      <c r="E434" s="23"/>
      <c r="F434" s="24"/>
      <c r="G434" s="24"/>
      <c r="H434" s="24"/>
      <c r="I434" s="24"/>
      <c r="J434" s="23"/>
      <c r="K434" s="14"/>
      <c r="L434" s="14"/>
      <c r="M434" s="23"/>
      <c r="N434" s="14"/>
    </row>
    <row r="435" spans="1:14" ht="15" customHeight="1" x14ac:dyDescent="0.3">
      <c r="A435" s="25"/>
      <c r="B435" s="20"/>
      <c r="C435" s="20"/>
      <c r="D435" s="20"/>
      <c r="E435" s="20"/>
      <c r="F435" s="21"/>
      <c r="G435" s="21"/>
      <c r="H435" s="21"/>
      <c r="I435" s="21"/>
      <c r="J435" s="20"/>
      <c r="K435" s="17"/>
      <c r="L435" s="17"/>
      <c r="M435" s="20"/>
      <c r="N435" s="17"/>
    </row>
    <row r="436" spans="1:14" ht="15" customHeight="1" x14ac:dyDescent="0.3">
      <c r="A436" s="22"/>
      <c r="B436" s="23"/>
      <c r="C436" s="23"/>
      <c r="D436" s="23"/>
      <c r="E436" s="23"/>
      <c r="F436" s="24"/>
      <c r="G436" s="24"/>
      <c r="H436" s="24"/>
      <c r="I436" s="24"/>
      <c r="J436" s="23"/>
      <c r="K436" s="14"/>
      <c r="L436" s="14"/>
      <c r="M436" s="23"/>
      <c r="N436" s="14"/>
    </row>
    <row r="437" spans="1:14" ht="15" customHeight="1" x14ac:dyDescent="0.3">
      <c r="A437" s="25"/>
      <c r="B437" s="20"/>
      <c r="C437" s="20"/>
      <c r="D437" s="20"/>
      <c r="E437" s="20"/>
      <c r="F437" s="21"/>
      <c r="G437" s="21"/>
      <c r="H437" s="21"/>
      <c r="I437" s="21"/>
      <c r="J437" s="20"/>
      <c r="K437" s="17"/>
      <c r="L437" s="17"/>
      <c r="M437" s="20"/>
      <c r="N437" s="17"/>
    </row>
    <row r="438" spans="1:14" ht="15" customHeight="1" x14ac:dyDescent="0.3">
      <c r="A438" s="22"/>
      <c r="B438" s="23"/>
      <c r="C438" s="23"/>
      <c r="D438" s="23"/>
      <c r="E438" s="23"/>
      <c r="F438" s="24"/>
      <c r="G438" s="24"/>
      <c r="H438" s="24"/>
      <c r="I438" s="24"/>
      <c r="J438" s="23"/>
      <c r="K438" s="14"/>
      <c r="L438" s="14"/>
      <c r="M438" s="23"/>
      <c r="N438" s="14"/>
    </row>
    <row r="439" spans="1:14" ht="15" customHeight="1" x14ac:dyDescent="0.3">
      <c r="A439" s="25"/>
      <c r="B439" s="20"/>
      <c r="C439" s="20"/>
      <c r="D439" s="20"/>
      <c r="E439" s="20"/>
      <c r="F439" s="21"/>
      <c r="G439" s="21"/>
      <c r="H439" s="21"/>
      <c r="I439" s="21"/>
      <c r="J439" s="20"/>
      <c r="K439" s="17"/>
      <c r="L439" s="17"/>
      <c r="M439" s="20"/>
      <c r="N439" s="17"/>
    </row>
    <row r="440" spans="1:14" ht="15" customHeight="1" x14ac:dyDescent="0.3">
      <c r="A440" s="22"/>
      <c r="B440" s="23"/>
      <c r="C440" s="23"/>
      <c r="D440" s="23"/>
      <c r="E440" s="23"/>
      <c r="F440" s="24"/>
      <c r="G440" s="24"/>
      <c r="H440" s="24"/>
      <c r="I440" s="24"/>
      <c r="J440" s="23"/>
      <c r="K440" s="14"/>
      <c r="L440" s="14"/>
      <c r="M440" s="23"/>
      <c r="N440" s="14"/>
    </row>
    <row r="441" spans="1:14" ht="15" customHeight="1" x14ac:dyDescent="0.3">
      <c r="A441" s="25"/>
      <c r="B441" s="20"/>
      <c r="C441" s="20"/>
      <c r="D441" s="20"/>
      <c r="E441" s="20"/>
      <c r="F441" s="21"/>
      <c r="G441" s="21"/>
      <c r="H441" s="21"/>
      <c r="I441" s="21"/>
      <c r="J441" s="20"/>
      <c r="K441" s="17"/>
      <c r="L441" s="17"/>
      <c r="M441" s="20"/>
      <c r="N441" s="17"/>
    </row>
    <row r="442" spans="1:14" ht="15" customHeight="1" x14ac:dyDescent="0.3">
      <c r="A442" s="22"/>
      <c r="B442" s="23"/>
      <c r="C442" s="23"/>
      <c r="D442" s="23"/>
      <c r="E442" s="23"/>
      <c r="F442" s="24"/>
      <c r="G442" s="24"/>
      <c r="H442" s="24"/>
      <c r="I442" s="24"/>
      <c r="J442" s="23"/>
      <c r="K442" s="14"/>
      <c r="L442" s="14"/>
      <c r="M442" s="23"/>
      <c r="N442" s="14"/>
    </row>
    <row r="443" spans="1:14" ht="15" customHeight="1" x14ac:dyDescent="0.3">
      <c r="A443" s="25"/>
      <c r="B443" s="20"/>
      <c r="C443" s="20"/>
      <c r="D443" s="20"/>
      <c r="E443" s="20"/>
      <c r="F443" s="21"/>
      <c r="G443" s="21"/>
      <c r="H443" s="21"/>
      <c r="I443" s="21"/>
      <c r="J443" s="20"/>
      <c r="K443" s="17"/>
      <c r="L443" s="17"/>
      <c r="M443" s="20"/>
      <c r="N443" s="17"/>
    </row>
    <row r="444" spans="1:14" ht="15" customHeight="1" x14ac:dyDescent="0.3">
      <c r="A444" s="22"/>
      <c r="B444" s="23"/>
      <c r="C444" s="23"/>
      <c r="D444" s="23"/>
      <c r="E444" s="23"/>
      <c r="F444" s="24"/>
      <c r="G444" s="24"/>
      <c r="H444" s="24"/>
      <c r="I444" s="24"/>
      <c r="J444" s="23"/>
      <c r="K444" s="14"/>
      <c r="L444" s="14"/>
      <c r="M444" s="23"/>
      <c r="N444" s="14"/>
    </row>
    <row r="445" spans="1:14" ht="15" customHeight="1" x14ac:dyDescent="0.3">
      <c r="A445" s="25"/>
      <c r="B445" s="20"/>
      <c r="C445" s="20"/>
      <c r="D445" s="20"/>
      <c r="E445" s="20"/>
      <c r="F445" s="21"/>
      <c r="G445" s="21"/>
      <c r="H445" s="21"/>
      <c r="I445" s="21"/>
      <c r="J445" s="20"/>
      <c r="K445" s="17"/>
      <c r="L445" s="17"/>
      <c r="M445" s="20"/>
      <c r="N445" s="17"/>
    </row>
    <row r="446" spans="1:14" ht="15" customHeight="1" x14ac:dyDescent="0.3">
      <c r="A446" s="22"/>
      <c r="B446" s="23"/>
      <c r="C446" s="23"/>
      <c r="D446" s="23"/>
      <c r="E446" s="23"/>
      <c r="F446" s="24"/>
      <c r="G446" s="24"/>
      <c r="H446" s="24"/>
      <c r="I446" s="24"/>
      <c r="J446" s="23"/>
      <c r="K446" s="14"/>
      <c r="L446" s="14"/>
      <c r="M446" s="23"/>
      <c r="N446" s="14"/>
    </row>
    <row r="447" spans="1:14" ht="15" customHeight="1" x14ac:dyDescent="0.3">
      <c r="A447" s="25"/>
      <c r="B447" s="20"/>
      <c r="C447" s="20"/>
      <c r="D447" s="20"/>
      <c r="E447" s="20"/>
      <c r="F447" s="21"/>
      <c r="G447" s="21"/>
      <c r="H447" s="21"/>
      <c r="I447" s="21"/>
      <c r="J447" s="20"/>
      <c r="K447" s="17"/>
      <c r="L447" s="17"/>
      <c r="M447" s="20"/>
      <c r="N447" s="17"/>
    </row>
    <row r="448" spans="1:14" ht="15" customHeight="1" x14ac:dyDescent="0.3">
      <c r="A448" s="22"/>
      <c r="B448" s="23"/>
      <c r="C448" s="23"/>
      <c r="D448" s="23"/>
      <c r="E448" s="23"/>
      <c r="F448" s="24"/>
      <c r="G448" s="24"/>
      <c r="H448" s="24"/>
      <c r="I448" s="24"/>
      <c r="J448" s="23"/>
      <c r="K448" s="14"/>
      <c r="L448" s="14"/>
      <c r="M448" s="23"/>
      <c r="N448" s="14"/>
    </row>
    <row r="449" spans="1:14" ht="15" customHeight="1" x14ac:dyDescent="0.3">
      <c r="A449" s="25"/>
      <c r="B449" s="20"/>
      <c r="C449" s="20"/>
      <c r="D449" s="20"/>
      <c r="E449" s="20"/>
      <c r="F449" s="21"/>
      <c r="G449" s="21"/>
      <c r="H449" s="21"/>
      <c r="I449" s="21"/>
      <c r="J449" s="20"/>
      <c r="K449" s="17"/>
      <c r="L449" s="17"/>
      <c r="M449" s="20"/>
      <c r="N449" s="17"/>
    </row>
    <row r="450" spans="1:14" ht="15" customHeight="1" x14ac:dyDescent="0.3">
      <c r="A450" s="22"/>
      <c r="B450" s="23"/>
      <c r="C450" s="23"/>
      <c r="D450" s="23"/>
      <c r="E450" s="23"/>
      <c r="F450" s="24"/>
      <c r="G450" s="24"/>
      <c r="H450" s="24"/>
      <c r="I450" s="24"/>
      <c r="J450" s="23"/>
      <c r="K450" s="14"/>
      <c r="L450" s="14"/>
      <c r="M450" s="23"/>
      <c r="N450" s="14"/>
    </row>
    <row r="451" spans="1:14" ht="15" customHeight="1" x14ac:dyDescent="0.3">
      <c r="A451" s="25"/>
      <c r="B451" s="20"/>
      <c r="C451" s="20"/>
      <c r="D451" s="20"/>
      <c r="E451" s="20"/>
      <c r="F451" s="21"/>
      <c r="G451" s="21"/>
      <c r="H451" s="21"/>
      <c r="I451" s="21"/>
      <c r="J451" s="20"/>
      <c r="K451" s="17"/>
      <c r="L451" s="17"/>
      <c r="M451" s="20"/>
      <c r="N451" s="17"/>
    </row>
    <row r="452" spans="1:14" ht="15" customHeight="1" x14ac:dyDescent="0.3">
      <c r="A452" s="22"/>
      <c r="B452" s="23"/>
      <c r="C452" s="23"/>
      <c r="D452" s="23"/>
      <c r="E452" s="23"/>
      <c r="F452" s="24"/>
      <c r="G452" s="24"/>
      <c r="H452" s="24"/>
      <c r="I452" s="24"/>
      <c r="J452" s="23"/>
      <c r="K452" s="14"/>
      <c r="L452" s="14"/>
      <c r="M452" s="23"/>
      <c r="N452" s="14"/>
    </row>
    <row r="453" spans="1:14" ht="15" customHeight="1" x14ac:dyDescent="0.3">
      <c r="A453" s="25"/>
      <c r="B453" s="20"/>
      <c r="C453" s="20"/>
      <c r="D453" s="20"/>
      <c r="E453" s="20"/>
      <c r="F453" s="21"/>
      <c r="G453" s="21"/>
      <c r="H453" s="21"/>
      <c r="I453" s="21"/>
      <c r="J453" s="20"/>
      <c r="K453" s="17"/>
      <c r="L453" s="17"/>
      <c r="M453" s="20"/>
      <c r="N453" s="17"/>
    </row>
    <row r="454" spans="1:14" ht="15" customHeight="1" x14ac:dyDescent="0.3">
      <c r="A454" s="22"/>
      <c r="B454" s="23"/>
      <c r="C454" s="23"/>
      <c r="D454" s="23"/>
      <c r="E454" s="23"/>
      <c r="F454" s="24"/>
      <c r="G454" s="24"/>
      <c r="H454" s="24"/>
      <c r="I454" s="24"/>
      <c r="J454" s="23"/>
      <c r="K454" s="14"/>
      <c r="L454" s="14"/>
      <c r="M454" s="23"/>
      <c r="N454" s="14"/>
    </row>
    <row r="455" spans="1:14" ht="15" customHeight="1" x14ac:dyDescent="0.3">
      <c r="A455" s="25"/>
      <c r="B455" s="20"/>
      <c r="C455" s="20"/>
      <c r="D455" s="20"/>
      <c r="E455" s="20"/>
      <c r="F455" s="21"/>
      <c r="G455" s="21"/>
      <c r="H455" s="21"/>
      <c r="I455" s="21"/>
      <c r="J455" s="20"/>
      <c r="K455" s="17"/>
      <c r="L455" s="17"/>
      <c r="M455" s="20"/>
      <c r="N455" s="17"/>
    </row>
    <row r="456" spans="1:14" ht="15" customHeight="1" x14ac:dyDescent="0.3">
      <c r="A456" s="22"/>
      <c r="B456" s="23"/>
      <c r="C456" s="23"/>
      <c r="D456" s="23"/>
      <c r="E456" s="23"/>
      <c r="F456" s="24"/>
      <c r="G456" s="24"/>
      <c r="H456" s="24"/>
      <c r="I456" s="24"/>
      <c r="J456" s="23"/>
      <c r="K456" s="14"/>
      <c r="L456" s="14"/>
      <c r="M456" s="23"/>
      <c r="N456" s="14"/>
    </row>
    <row r="457" spans="1:14" ht="15" customHeight="1" x14ac:dyDescent="0.3">
      <c r="A457" s="25"/>
      <c r="B457" s="20"/>
      <c r="C457" s="20"/>
      <c r="D457" s="20"/>
      <c r="E457" s="20"/>
      <c r="F457" s="21"/>
      <c r="G457" s="21"/>
      <c r="H457" s="21"/>
      <c r="I457" s="21"/>
      <c r="J457" s="20"/>
      <c r="K457" s="17"/>
      <c r="L457" s="17"/>
      <c r="M457" s="20"/>
      <c r="N457" s="17"/>
    </row>
    <row r="458" spans="1:14" ht="15" customHeight="1" x14ac:dyDescent="0.3">
      <c r="A458" s="22"/>
      <c r="B458" s="23"/>
      <c r="C458" s="23"/>
      <c r="D458" s="23"/>
      <c r="E458" s="23"/>
      <c r="F458" s="24"/>
      <c r="G458" s="24"/>
      <c r="H458" s="24"/>
      <c r="I458" s="24"/>
      <c r="J458" s="23"/>
      <c r="K458" s="14"/>
      <c r="L458" s="14"/>
      <c r="M458" s="23"/>
      <c r="N458" s="14"/>
    </row>
    <row r="459" spans="1:14" ht="15" customHeight="1" x14ac:dyDescent="0.3">
      <c r="A459" s="25"/>
      <c r="B459" s="20"/>
      <c r="C459" s="20"/>
      <c r="D459" s="20"/>
      <c r="E459" s="20"/>
      <c r="F459" s="21"/>
      <c r="G459" s="21"/>
      <c r="H459" s="21"/>
      <c r="I459" s="21"/>
      <c r="J459" s="20"/>
      <c r="K459" s="17"/>
      <c r="L459" s="17"/>
      <c r="M459" s="20"/>
      <c r="N459" s="17"/>
    </row>
    <row r="460" spans="1:14" ht="15" customHeight="1" x14ac:dyDescent="0.3">
      <c r="A460" s="22"/>
      <c r="B460" s="23"/>
      <c r="C460" s="23"/>
      <c r="D460" s="23"/>
      <c r="E460" s="23"/>
      <c r="F460" s="24"/>
      <c r="G460" s="24"/>
      <c r="H460" s="24"/>
      <c r="I460" s="24"/>
      <c r="J460" s="23"/>
      <c r="K460" s="14"/>
      <c r="L460" s="14"/>
      <c r="M460" s="23"/>
      <c r="N460" s="14"/>
    </row>
    <row r="461" spans="1:14" ht="15" customHeight="1" x14ac:dyDescent="0.3">
      <c r="A461" s="25"/>
      <c r="B461" s="20"/>
      <c r="C461" s="20"/>
      <c r="D461" s="20"/>
      <c r="E461" s="20"/>
      <c r="F461" s="21"/>
      <c r="G461" s="21"/>
      <c r="H461" s="21"/>
      <c r="I461" s="21"/>
      <c r="J461" s="20"/>
      <c r="K461" s="17"/>
      <c r="L461" s="17"/>
      <c r="M461" s="20"/>
      <c r="N461" s="17"/>
    </row>
    <row r="462" spans="1:14" ht="15" customHeight="1" x14ac:dyDescent="0.3">
      <c r="A462" s="22"/>
      <c r="B462" s="23"/>
      <c r="C462" s="23"/>
      <c r="D462" s="23"/>
      <c r="E462" s="23"/>
      <c r="F462" s="24"/>
      <c r="G462" s="24"/>
      <c r="H462" s="24"/>
      <c r="I462" s="24"/>
      <c r="J462" s="23"/>
      <c r="K462" s="14"/>
      <c r="L462" s="14"/>
      <c r="M462" s="23"/>
      <c r="N462" s="14"/>
    </row>
    <row r="463" spans="1:14" ht="15" customHeight="1" x14ac:dyDescent="0.3">
      <c r="A463" s="25"/>
      <c r="B463" s="20"/>
      <c r="C463" s="20"/>
      <c r="D463" s="20"/>
      <c r="E463" s="20"/>
      <c r="F463" s="21"/>
      <c r="G463" s="21"/>
      <c r="H463" s="21"/>
      <c r="I463" s="21"/>
      <c r="J463" s="20"/>
      <c r="K463" s="17"/>
      <c r="L463" s="17"/>
      <c r="M463" s="20"/>
      <c r="N463" s="17"/>
    </row>
    <row r="464" spans="1:14" ht="15" customHeight="1" x14ac:dyDescent="0.3">
      <c r="A464" s="22"/>
      <c r="B464" s="23"/>
      <c r="C464" s="23"/>
      <c r="D464" s="23"/>
      <c r="E464" s="23"/>
      <c r="F464" s="24"/>
      <c r="G464" s="24"/>
      <c r="H464" s="24"/>
      <c r="I464" s="24"/>
      <c r="J464" s="23"/>
      <c r="K464" s="14"/>
      <c r="L464" s="14"/>
      <c r="M464" s="23"/>
      <c r="N464" s="14"/>
    </row>
    <row r="465" spans="1:14" ht="15" customHeight="1" x14ac:dyDescent="0.3">
      <c r="A465" s="25"/>
      <c r="B465" s="20"/>
      <c r="C465" s="20"/>
      <c r="D465" s="20"/>
      <c r="E465" s="20"/>
      <c r="F465" s="21"/>
      <c r="G465" s="21"/>
      <c r="H465" s="21"/>
      <c r="I465" s="21"/>
      <c r="J465" s="20"/>
      <c r="K465" s="17"/>
      <c r="L465" s="17"/>
      <c r="M465" s="20"/>
      <c r="N465" s="17"/>
    </row>
    <row r="466" spans="1:14" ht="15" customHeight="1" x14ac:dyDescent="0.3">
      <c r="A466" s="22"/>
      <c r="B466" s="23"/>
      <c r="C466" s="23"/>
      <c r="D466" s="23"/>
      <c r="E466" s="23"/>
      <c r="F466" s="24"/>
      <c r="G466" s="24"/>
      <c r="H466" s="24"/>
      <c r="I466" s="24"/>
      <c r="J466" s="23"/>
      <c r="K466" s="14"/>
      <c r="L466" s="14"/>
      <c r="M466" s="23"/>
      <c r="N466" s="14"/>
    </row>
    <row r="467" spans="1:14" ht="15" customHeight="1" x14ac:dyDescent="0.3">
      <c r="A467" s="25"/>
      <c r="B467" s="20"/>
      <c r="C467" s="20"/>
      <c r="D467" s="20"/>
      <c r="E467" s="20"/>
      <c r="F467" s="21"/>
      <c r="G467" s="21"/>
      <c r="H467" s="21"/>
      <c r="I467" s="21"/>
      <c r="J467" s="20"/>
      <c r="K467" s="17"/>
      <c r="L467" s="17"/>
      <c r="M467" s="20"/>
      <c r="N467" s="17"/>
    </row>
    <row r="468" spans="1:14" ht="15" customHeight="1" x14ac:dyDescent="0.3">
      <c r="A468" s="22"/>
      <c r="B468" s="23"/>
      <c r="C468" s="23"/>
      <c r="D468" s="23"/>
      <c r="E468" s="23"/>
      <c r="F468" s="24"/>
      <c r="G468" s="24"/>
      <c r="H468" s="24"/>
      <c r="I468" s="24"/>
      <c r="J468" s="23"/>
      <c r="K468" s="14"/>
      <c r="L468" s="14"/>
      <c r="M468" s="23"/>
      <c r="N468" s="14"/>
    </row>
    <row r="469" spans="1:14" ht="15" customHeight="1" x14ac:dyDescent="0.3">
      <c r="A469" s="25"/>
      <c r="B469" s="20"/>
      <c r="C469" s="20"/>
      <c r="D469" s="20"/>
      <c r="E469" s="20"/>
      <c r="F469" s="21"/>
      <c r="G469" s="21"/>
      <c r="H469" s="21"/>
      <c r="I469" s="21"/>
      <c r="J469" s="20"/>
      <c r="K469" s="17"/>
      <c r="L469" s="17"/>
      <c r="M469" s="20"/>
      <c r="N469" s="17"/>
    </row>
    <row r="470" spans="1:14" ht="15" customHeight="1" x14ac:dyDescent="0.3">
      <c r="A470" s="22"/>
      <c r="B470" s="23"/>
      <c r="C470" s="23"/>
      <c r="D470" s="23"/>
      <c r="E470" s="23"/>
      <c r="F470" s="24"/>
      <c r="G470" s="24"/>
      <c r="H470" s="24"/>
      <c r="I470" s="24"/>
      <c r="J470" s="23"/>
      <c r="K470" s="14"/>
      <c r="L470" s="14"/>
      <c r="M470" s="23"/>
      <c r="N470" s="14"/>
    </row>
    <row r="471" spans="1:14" ht="15" customHeight="1" x14ac:dyDescent="0.3">
      <c r="A471" s="25"/>
      <c r="B471" s="20"/>
      <c r="C471" s="20"/>
      <c r="D471" s="20"/>
      <c r="E471" s="20"/>
      <c r="F471" s="21"/>
      <c r="G471" s="21"/>
      <c r="H471" s="21"/>
      <c r="I471" s="21"/>
      <c r="J471" s="20"/>
      <c r="K471" s="17"/>
      <c r="L471" s="17"/>
      <c r="M471" s="20"/>
      <c r="N471" s="17"/>
    </row>
    <row r="472" spans="1:14" ht="15" customHeight="1" x14ac:dyDescent="0.3">
      <c r="A472" s="22"/>
      <c r="B472" s="23"/>
      <c r="C472" s="23"/>
      <c r="D472" s="23"/>
      <c r="E472" s="23"/>
      <c r="F472" s="24"/>
      <c r="G472" s="24"/>
      <c r="H472" s="24"/>
      <c r="I472" s="24"/>
      <c r="J472" s="23"/>
      <c r="K472" s="14"/>
      <c r="L472" s="14"/>
      <c r="M472" s="23"/>
      <c r="N472" s="14"/>
    </row>
    <row r="473" spans="1:14" ht="15" customHeight="1" x14ac:dyDescent="0.3">
      <c r="A473" s="25"/>
      <c r="B473" s="20"/>
      <c r="C473" s="20"/>
      <c r="D473" s="20"/>
      <c r="E473" s="20"/>
      <c r="F473" s="21"/>
      <c r="G473" s="21"/>
      <c r="H473" s="21"/>
      <c r="I473" s="21"/>
      <c r="J473" s="20"/>
      <c r="K473" s="17"/>
      <c r="L473" s="17"/>
      <c r="M473" s="20"/>
      <c r="N473" s="17"/>
    </row>
    <row r="474" spans="1:14" ht="15" customHeight="1" x14ac:dyDescent="0.3">
      <c r="A474" s="22"/>
      <c r="B474" s="23"/>
      <c r="C474" s="23"/>
      <c r="D474" s="23"/>
      <c r="E474" s="23"/>
      <c r="F474" s="24"/>
      <c r="G474" s="24"/>
      <c r="H474" s="24"/>
      <c r="I474" s="24"/>
      <c r="J474" s="23"/>
      <c r="K474" s="14"/>
      <c r="L474" s="14"/>
      <c r="M474" s="23"/>
      <c r="N474" s="14"/>
    </row>
    <row r="475" spans="1:14" ht="15" customHeight="1" x14ac:dyDescent="0.3">
      <c r="A475" s="25"/>
      <c r="B475" s="20"/>
      <c r="C475" s="20"/>
      <c r="D475" s="20"/>
      <c r="E475" s="20"/>
      <c r="F475" s="21"/>
      <c r="G475" s="21"/>
      <c r="H475" s="21"/>
      <c r="I475" s="21"/>
      <c r="J475" s="20"/>
      <c r="K475" s="17"/>
      <c r="L475" s="17"/>
      <c r="M475" s="20"/>
      <c r="N475" s="17"/>
    </row>
    <row r="476" spans="1:14" ht="15" customHeight="1" x14ac:dyDescent="0.3">
      <c r="A476" s="22"/>
      <c r="B476" s="23"/>
      <c r="C476" s="23"/>
      <c r="D476" s="23"/>
      <c r="E476" s="23"/>
      <c r="F476" s="24"/>
      <c r="G476" s="24"/>
      <c r="H476" s="24"/>
      <c r="I476" s="24"/>
      <c r="J476" s="23"/>
      <c r="K476" s="14"/>
      <c r="L476" s="14"/>
      <c r="M476" s="23"/>
      <c r="N476" s="14"/>
    </row>
    <row r="477" spans="1:14" ht="15" customHeight="1" x14ac:dyDescent="0.3">
      <c r="A477" s="25"/>
      <c r="B477" s="20"/>
      <c r="C477" s="20"/>
      <c r="D477" s="20"/>
      <c r="E477" s="20"/>
      <c r="F477" s="21"/>
      <c r="G477" s="21"/>
      <c r="H477" s="21"/>
      <c r="I477" s="21"/>
      <c r="J477" s="20"/>
      <c r="K477" s="17"/>
      <c r="L477" s="17"/>
      <c r="M477" s="20"/>
      <c r="N477" s="17"/>
    </row>
    <row r="478" spans="1:14" ht="15" customHeight="1" x14ac:dyDescent="0.3">
      <c r="A478" s="22"/>
      <c r="B478" s="23"/>
      <c r="C478" s="23"/>
      <c r="D478" s="23"/>
      <c r="E478" s="23"/>
      <c r="F478" s="24"/>
      <c r="G478" s="24"/>
      <c r="H478" s="24"/>
      <c r="I478" s="24"/>
      <c r="J478" s="23"/>
      <c r="K478" s="14"/>
      <c r="L478" s="14"/>
      <c r="M478" s="23"/>
      <c r="N478" s="14"/>
    </row>
    <row r="479" spans="1:14" ht="15" customHeight="1" x14ac:dyDescent="0.3">
      <c r="A479" s="25"/>
      <c r="B479" s="20"/>
      <c r="C479" s="20"/>
      <c r="D479" s="20"/>
      <c r="E479" s="20"/>
      <c r="F479" s="21"/>
      <c r="G479" s="21"/>
      <c r="H479" s="21"/>
      <c r="I479" s="21"/>
      <c r="J479" s="20"/>
      <c r="K479" s="17"/>
      <c r="L479" s="17"/>
      <c r="M479" s="20"/>
      <c r="N479" s="17"/>
    </row>
    <row r="480" spans="1:14" ht="15" customHeight="1" x14ac:dyDescent="0.3">
      <c r="A480" s="22"/>
      <c r="B480" s="23"/>
      <c r="C480" s="23"/>
      <c r="D480" s="23"/>
      <c r="E480" s="23"/>
      <c r="F480" s="24"/>
      <c r="G480" s="24"/>
      <c r="H480" s="24"/>
      <c r="I480" s="24"/>
      <c r="J480" s="23"/>
      <c r="K480" s="14"/>
      <c r="L480" s="14"/>
      <c r="M480" s="23"/>
      <c r="N480" s="14"/>
    </row>
    <row r="481" spans="1:14" ht="15" customHeight="1" x14ac:dyDescent="0.3">
      <c r="A481" s="25"/>
      <c r="B481" s="20"/>
      <c r="C481" s="20"/>
      <c r="D481" s="20"/>
      <c r="E481" s="20"/>
      <c r="F481" s="21"/>
      <c r="G481" s="21"/>
      <c r="H481" s="21"/>
      <c r="I481" s="21"/>
      <c r="J481" s="20"/>
      <c r="K481" s="17"/>
      <c r="L481" s="17"/>
      <c r="M481" s="20"/>
      <c r="N481" s="17"/>
    </row>
    <row r="482" spans="1:14" ht="15" customHeight="1" x14ac:dyDescent="0.3">
      <c r="A482" s="22"/>
      <c r="B482" s="23"/>
      <c r="C482" s="23"/>
      <c r="D482" s="23"/>
      <c r="E482" s="23"/>
      <c r="F482" s="24"/>
      <c r="G482" s="24"/>
      <c r="H482" s="24"/>
      <c r="I482" s="24"/>
      <c r="J482" s="23"/>
      <c r="K482" s="14"/>
      <c r="L482" s="14"/>
      <c r="M482" s="23"/>
      <c r="N482" s="14"/>
    </row>
    <row r="483" spans="1:14" ht="15" customHeight="1" x14ac:dyDescent="0.3">
      <c r="A483" s="25"/>
      <c r="B483" s="20"/>
      <c r="C483" s="20"/>
      <c r="D483" s="20"/>
      <c r="E483" s="20"/>
      <c r="F483" s="21"/>
      <c r="G483" s="21"/>
      <c r="H483" s="21"/>
      <c r="I483" s="21"/>
      <c r="J483" s="20"/>
      <c r="K483" s="17"/>
      <c r="L483" s="17"/>
      <c r="M483" s="20"/>
      <c r="N483" s="17"/>
    </row>
    <row r="484" spans="1:14" ht="15" customHeight="1" x14ac:dyDescent="0.3">
      <c r="A484" s="22"/>
      <c r="B484" s="23"/>
      <c r="C484" s="23"/>
      <c r="D484" s="23"/>
      <c r="E484" s="23"/>
      <c r="F484" s="24"/>
      <c r="G484" s="24"/>
      <c r="H484" s="24"/>
      <c r="I484" s="24"/>
      <c r="J484" s="23"/>
      <c r="K484" s="14"/>
      <c r="L484" s="14"/>
      <c r="M484" s="23"/>
      <c r="N484" s="14"/>
    </row>
    <row r="485" spans="1:14" ht="15" customHeight="1" x14ac:dyDescent="0.3">
      <c r="A485" s="25"/>
      <c r="B485" s="20"/>
      <c r="C485" s="20"/>
      <c r="D485" s="20"/>
      <c r="E485" s="20"/>
      <c r="F485" s="21"/>
      <c r="G485" s="21"/>
      <c r="H485" s="21"/>
      <c r="I485" s="21"/>
      <c r="J485" s="20"/>
      <c r="K485" s="17"/>
      <c r="L485" s="17"/>
      <c r="M485" s="20"/>
      <c r="N485" s="17"/>
    </row>
    <row r="486" spans="1:14" ht="15" customHeight="1" x14ac:dyDescent="0.3">
      <c r="A486" s="22"/>
      <c r="B486" s="23"/>
      <c r="C486" s="23"/>
      <c r="D486" s="23"/>
      <c r="E486" s="23"/>
      <c r="F486" s="24"/>
      <c r="G486" s="24"/>
      <c r="H486" s="24"/>
      <c r="I486" s="24"/>
      <c r="J486" s="23"/>
      <c r="K486" s="14"/>
      <c r="L486" s="14"/>
      <c r="M486" s="23"/>
      <c r="N486" s="14"/>
    </row>
    <row r="487" spans="1:14" ht="15" customHeight="1" x14ac:dyDescent="0.3">
      <c r="A487" s="25"/>
      <c r="B487" s="20"/>
      <c r="C487" s="20"/>
      <c r="D487" s="20"/>
      <c r="E487" s="20"/>
      <c r="F487" s="21"/>
      <c r="G487" s="21"/>
      <c r="H487" s="21"/>
      <c r="I487" s="21"/>
      <c r="J487" s="20"/>
      <c r="K487" s="17"/>
      <c r="L487" s="17"/>
      <c r="M487" s="20"/>
      <c r="N487" s="17"/>
    </row>
    <row r="488" spans="1:14" ht="15" customHeight="1" x14ac:dyDescent="0.3">
      <c r="A488" s="22"/>
      <c r="B488" s="23"/>
      <c r="C488" s="23"/>
      <c r="D488" s="23"/>
      <c r="E488" s="23"/>
      <c r="F488" s="24"/>
      <c r="G488" s="24"/>
      <c r="H488" s="24"/>
      <c r="I488" s="24"/>
      <c r="J488" s="23"/>
      <c r="K488" s="14"/>
      <c r="L488" s="14"/>
      <c r="M488" s="23"/>
      <c r="N488" s="14"/>
    </row>
    <row r="489" spans="1:14" ht="15" customHeight="1" x14ac:dyDescent="0.3">
      <c r="A489" s="25"/>
      <c r="B489" s="20"/>
      <c r="C489" s="20"/>
      <c r="D489" s="20"/>
      <c r="E489" s="20"/>
      <c r="F489" s="21"/>
      <c r="G489" s="21"/>
      <c r="H489" s="21"/>
      <c r="I489" s="21"/>
      <c r="J489" s="20"/>
      <c r="K489" s="17"/>
      <c r="L489" s="17"/>
      <c r="M489" s="20"/>
      <c r="N489" s="17"/>
    </row>
    <row r="490" spans="1:14" ht="15" customHeight="1" x14ac:dyDescent="0.3">
      <c r="A490" s="22"/>
      <c r="B490" s="23"/>
      <c r="C490" s="23"/>
      <c r="D490" s="23"/>
      <c r="E490" s="23"/>
      <c r="F490" s="24"/>
      <c r="G490" s="24"/>
      <c r="H490" s="24"/>
      <c r="I490" s="24"/>
      <c r="J490" s="23"/>
      <c r="K490" s="14"/>
      <c r="L490" s="14"/>
      <c r="M490" s="23"/>
      <c r="N490" s="14"/>
    </row>
    <row r="491" spans="1:14" ht="15" customHeight="1" x14ac:dyDescent="0.3">
      <c r="A491" s="25"/>
      <c r="B491" s="20"/>
      <c r="C491" s="20"/>
      <c r="D491" s="20"/>
      <c r="E491" s="20"/>
      <c r="F491" s="21"/>
      <c r="G491" s="21"/>
      <c r="H491" s="21"/>
      <c r="I491" s="21"/>
      <c r="J491" s="20"/>
      <c r="K491" s="17"/>
      <c r="L491" s="17"/>
      <c r="M491" s="20"/>
      <c r="N491" s="17"/>
    </row>
    <row r="492" spans="1:14" ht="15" customHeight="1" x14ac:dyDescent="0.3">
      <c r="A492" s="22"/>
      <c r="B492" s="23"/>
      <c r="C492" s="23"/>
      <c r="D492" s="23"/>
      <c r="E492" s="23"/>
      <c r="F492" s="24"/>
      <c r="G492" s="24"/>
      <c r="H492" s="24"/>
      <c r="I492" s="24"/>
      <c r="J492" s="23"/>
      <c r="K492" s="14"/>
      <c r="L492" s="14"/>
      <c r="M492" s="23"/>
      <c r="N492" s="14"/>
    </row>
    <row r="493" spans="1:14" ht="15" customHeight="1" x14ac:dyDescent="0.3">
      <c r="A493" s="25"/>
      <c r="B493" s="20"/>
      <c r="C493" s="20"/>
      <c r="D493" s="20"/>
      <c r="E493" s="20"/>
      <c r="F493" s="21"/>
      <c r="G493" s="21"/>
      <c r="H493" s="21"/>
      <c r="I493" s="21"/>
      <c r="J493" s="20"/>
      <c r="K493" s="17"/>
      <c r="L493" s="17"/>
      <c r="M493" s="20"/>
      <c r="N493" s="17"/>
    </row>
    <row r="494" spans="1:14" ht="15" customHeight="1" x14ac:dyDescent="0.3">
      <c r="A494" s="22"/>
      <c r="B494" s="23"/>
      <c r="C494" s="23"/>
      <c r="D494" s="23"/>
      <c r="E494" s="23"/>
      <c r="F494" s="24"/>
      <c r="G494" s="24"/>
      <c r="H494" s="24"/>
      <c r="I494" s="24"/>
      <c r="J494" s="23"/>
      <c r="K494" s="14"/>
      <c r="L494" s="14"/>
      <c r="M494" s="23"/>
      <c r="N494" s="14"/>
    </row>
    <row r="495" spans="1:14" ht="15" customHeight="1" x14ac:dyDescent="0.3">
      <c r="A495" s="25"/>
      <c r="B495" s="20"/>
      <c r="C495" s="20"/>
      <c r="D495" s="20"/>
      <c r="E495" s="20"/>
      <c r="F495" s="21"/>
      <c r="G495" s="21"/>
      <c r="H495" s="21"/>
      <c r="I495" s="21"/>
      <c r="J495" s="20"/>
      <c r="K495" s="17"/>
      <c r="L495" s="17"/>
      <c r="M495" s="20"/>
      <c r="N495" s="17"/>
    </row>
    <row r="496" spans="1:14" ht="15" customHeight="1" x14ac:dyDescent="0.3">
      <c r="A496" s="22"/>
      <c r="B496" s="23"/>
      <c r="C496" s="23"/>
      <c r="D496" s="23"/>
      <c r="E496" s="23"/>
      <c r="F496" s="24"/>
      <c r="G496" s="24"/>
      <c r="H496" s="24"/>
      <c r="I496" s="24"/>
      <c r="J496" s="23"/>
      <c r="K496" s="14"/>
      <c r="L496" s="14"/>
      <c r="M496" s="23"/>
      <c r="N496" s="14"/>
    </row>
    <row r="497" spans="1:14" ht="15" customHeight="1" x14ac:dyDescent="0.3">
      <c r="A497" s="25"/>
      <c r="B497" s="20"/>
      <c r="C497" s="20"/>
      <c r="D497" s="20"/>
      <c r="E497" s="20"/>
      <c r="F497" s="21"/>
      <c r="G497" s="21"/>
      <c r="H497" s="21"/>
      <c r="I497" s="21"/>
      <c r="J497" s="20"/>
      <c r="K497" s="17"/>
      <c r="L497" s="17"/>
      <c r="M497" s="20"/>
      <c r="N497" s="17"/>
    </row>
    <row r="498" spans="1:14" ht="15" customHeight="1" x14ac:dyDescent="0.3">
      <c r="A498" s="22"/>
      <c r="B498" s="23"/>
      <c r="C498" s="23"/>
      <c r="D498" s="23"/>
      <c r="E498" s="23"/>
      <c r="F498" s="24"/>
      <c r="G498" s="24"/>
      <c r="H498" s="24"/>
      <c r="I498" s="24"/>
      <c r="J498" s="23"/>
      <c r="K498" s="14"/>
      <c r="L498" s="14"/>
      <c r="M498" s="23"/>
      <c r="N498" s="14"/>
    </row>
    <row r="499" spans="1:14" ht="15" customHeight="1" x14ac:dyDescent="0.3">
      <c r="A499" s="25"/>
      <c r="B499" s="20"/>
      <c r="C499" s="20"/>
      <c r="D499" s="20"/>
      <c r="E499" s="20"/>
      <c r="F499" s="21"/>
      <c r="G499" s="21"/>
      <c r="H499" s="21"/>
      <c r="I499" s="21"/>
      <c r="J499" s="20"/>
      <c r="K499" s="17"/>
      <c r="L499" s="17"/>
      <c r="M499" s="20"/>
      <c r="N499" s="17"/>
    </row>
    <row r="500" spans="1:14" ht="15" customHeight="1" x14ac:dyDescent="0.3">
      <c r="A500" s="22"/>
      <c r="B500" s="23"/>
      <c r="C500" s="23"/>
      <c r="D500" s="23"/>
      <c r="E500" s="23"/>
      <c r="F500" s="24"/>
      <c r="G500" s="24"/>
      <c r="H500" s="24"/>
      <c r="I500" s="24"/>
      <c r="J500" s="23"/>
      <c r="K500" s="14"/>
      <c r="L500" s="14"/>
      <c r="M500" s="23"/>
      <c r="N500" s="14"/>
    </row>
    <row r="501" spans="1:14" ht="15" customHeight="1" x14ac:dyDescent="0.3">
      <c r="A501" s="25"/>
      <c r="B501" s="20"/>
      <c r="C501" s="20"/>
      <c r="D501" s="20"/>
      <c r="E501" s="20"/>
      <c r="F501" s="21"/>
      <c r="G501" s="21"/>
      <c r="H501" s="21"/>
      <c r="I501" s="21"/>
      <c r="J501" s="20"/>
      <c r="K501" s="17"/>
      <c r="L501" s="17"/>
      <c r="M501" s="20"/>
      <c r="N501" s="17"/>
    </row>
    <row r="502" spans="1:14" ht="15" customHeight="1" x14ac:dyDescent="0.3">
      <c r="A502" s="22"/>
      <c r="B502" s="23"/>
      <c r="C502" s="23"/>
      <c r="D502" s="23"/>
      <c r="E502" s="23"/>
      <c r="F502" s="24"/>
      <c r="G502" s="24"/>
      <c r="H502" s="24"/>
      <c r="I502" s="24"/>
      <c r="J502" s="23"/>
      <c r="K502" s="14"/>
      <c r="L502" s="14"/>
      <c r="M502" s="23"/>
      <c r="N502" s="14"/>
    </row>
    <row r="503" spans="1:14" ht="15" customHeight="1" x14ac:dyDescent="0.3">
      <c r="A503" s="25"/>
      <c r="B503" s="20"/>
      <c r="C503" s="20"/>
      <c r="D503" s="20"/>
      <c r="E503" s="20"/>
      <c r="F503" s="21"/>
      <c r="G503" s="21"/>
      <c r="H503" s="21"/>
      <c r="I503" s="21"/>
      <c r="J503" s="20"/>
      <c r="K503" s="17"/>
      <c r="L503" s="17"/>
      <c r="M503" s="20"/>
      <c r="N503" s="17"/>
    </row>
    <row r="504" spans="1:14" ht="15" customHeight="1" x14ac:dyDescent="0.3">
      <c r="A504" s="22"/>
      <c r="B504" s="23"/>
      <c r="C504" s="23"/>
      <c r="D504" s="23"/>
      <c r="E504" s="23"/>
      <c r="F504" s="24"/>
      <c r="G504" s="24"/>
      <c r="H504" s="24"/>
      <c r="I504" s="24"/>
      <c r="J504" s="23"/>
      <c r="K504" s="14"/>
      <c r="L504" s="14"/>
      <c r="M504" s="23"/>
      <c r="N504" s="14"/>
    </row>
    <row r="505" spans="1:14" ht="15" customHeight="1" x14ac:dyDescent="0.3">
      <c r="A505" s="25"/>
      <c r="B505" s="20"/>
      <c r="C505" s="20"/>
      <c r="D505" s="20"/>
      <c r="E505" s="20"/>
      <c r="F505" s="21"/>
      <c r="G505" s="21"/>
      <c r="H505" s="21"/>
      <c r="I505" s="21"/>
      <c r="J505" s="20"/>
      <c r="K505" s="17"/>
      <c r="L505" s="17"/>
      <c r="M505" s="20"/>
      <c r="N505" s="17"/>
    </row>
    <row r="506" spans="1:14" ht="15" customHeight="1" x14ac:dyDescent="0.3">
      <c r="A506" s="22"/>
      <c r="B506" s="23"/>
      <c r="C506" s="23"/>
      <c r="D506" s="23"/>
      <c r="E506" s="23"/>
      <c r="F506" s="24"/>
      <c r="G506" s="24"/>
      <c r="H506" s="24"/>
      <c r="I506" s="24"/>
      <c r="J506" s="23"/>
      <c r="K506" s="14"/>
      <c r="L506" s="14"/>
      <c r="M506" s="23"/>
      <c r="N506" s="14"/>
    </row>
    <row r="507" spans="1:14" ht="15" customHeight="1" x14ac:dyDescent="0.3">
      <c r="A507" s="25"/>
      <c r="B507" s="20"/>
      <c r="C507" s="20"/>
      <c r="D507" s="20"/>
      <c r="E507" s="20"/>
      <c r="F507" s="21"/>
      <c r="G507" s="21"/>
      <c r="H507" s="21"/>
      <c r="I507" s="21"/>
      <c r="J507" s="20"/>
      <c r="K507" s="17"/>
      <c r="L507" s="17"/>
      <c r="M507" s="20"/>
      <c r="N507" s="17"/>
    </row>
    <row r="508" spans="1:14" ht="15" customHeight="1" x14ac:dyDescent="0.3">
      <c r="A508" s="22"/>
      <c r="B508" s="23"/>
      <c r="C508" s="23"/>
      <c r="D508" s="23"/>
      <c r="E508" s="23"/>
      <c r="F508" s="24"/>
      <c r="G508" s="24"/>
      <c r="H508" s="24"/>
      <c r="I508" s="24"/>
      <c r="J508" s="23"/>
      <c r="K508" s="14"/>
      <c r="L508" s="14"/>
      <c r="M508" s="23"/>
      <c r="N508" s="14"/>
    </row>
    <row r="509" spans="1:14" ht="15" customHeight="1" x14ac:dyDescent="0.3">
      <c r="A509" s="25"/>
      <c r="B509" s="20"/>
      <c r="C509" s="20"/>
      <c r="D509" s="20"/>
      <c r="E509" s="20"/>
      <c r="F509" s="21"/>
      <c r="G509" s="21"/>
      <c r="H509" s="21"/>
      <c r="I509" s="21"/>
      <c r="J509" s="20"/>
      <c r="K509" s="17"/>
      <c r="L509" s="17"/>
      <c r="M509" s="20"/>
      <c r="N509" s="17"/>
    </row>
    <row r="510" spans="1:14" ht="15" customHeight="1" x14ac:dyDescent="0.3">
      <c r="A510" s="22"/>
      <c r="B510" s="23"/>
      <c r="C510" s="23"/>
      <c r="D510" s="23"/>
      <c r="E510" s="23"/>
      <c r="F510" s="24"/>
      <c r="G510" s="24"/>
      <c r="H510" s="24"/>
      <c r="I510" s="24"/>
      <c r="J510" s="23"/>
      <c r="K510" s="14"/>
      <c r="L510" s="14"/>
      <c r="M510" s="23"/>
      <c r="N510" s="14"/>
    </row>
    <row r="511" spans="1:14" ht="15" customHeight="1" x14ac:dyDescent="0.3">
      <c r="A511" s="25"/>
      <c r="B511" s="20"/>
      <c r="C511" s="20"/>
      <c r="D511" s="20"/>
      <c r="E511" s="20"/>
      <c r="F511" s="21"/>
      <c r="G511" s="21"/>
      <c r="H511" s="21"/>
      <c r="I511" s="21"/>
      <c r="J511" s="20"/>
      <c r="K511" s="17"/>
      <c r="L511" s="17"/>
      <c r="M511" s="20"/>
      <c r="N511" s="17"/>
    </row>
    <row r="512" spans="1:14" ht="15" customHeight="1" x14ac:dyDescent="0.3">
      <c r="A512" s="22"/>
      <c r="B512" s="23"/>
      <c r="C512" s="23"/>
      <c r="D512" s="23"/>
      <c r="E512" s="23"/>
      <c r="F512" s="24"/>
      <c r="G512" s="24"/>
      <c r="H512" s="24"/>
      <c r="I512" s="24"/>
      <c r="J512" s="23"/>
      <c r="K512" s="14"/>
      <c r="L512" s="14"/>
      <c r="M512" s="23"/>
      <c r="N512" s="14"/>
    </row>
    <row r="513" spans="1:14" ht="15" customHeight="1" x14ac:dyDescent="0.3">
      <c r="A513" s="25"/>
      <c r="B513" s="20"/>
      <c r="C513" s="20"/>
      <c r="D513" s="20"/>
      <c r="E513" s="20"/>
      <c r="F513" s="21"/>
      <c r="G513" s="21"/>
      <c r="H513" s="21"/>
      <c r="I513" s="21"/>
      <c r="J513" s="20"/>
      <c r="K513" s="17"/>
      <c r="L513" s="17"/>
      <c r="M513" s="20"/>
      <c r="N513" s="17"/>
    </row>
    <row r="514" spans="1:14" ht="15" customHeight="1" x14ac:dyDescent="0.3">
      <c r="A514" s="22"/>
      <c r="B514" s="23"/>
      <c r="C514" s="23"/>
      <c r="D514" s="23"/>
      <c r="E514" s="23"/>
      <c r="F514" s="24"/>
      <c r="G514" s="24"/>
      <c r="H514" s="24"/>
      <c r="I514" s="24"/>
      <c r="J514" s="23"/>
      <c r="K514" s="14"/>
      <c r="L514" s="14"/>
      <c r="M514" s="23"/>
      <c r="N514" s="14"/>
    </row>
    <row r="515" spans="1:14" ht="15" customHeight="1" x14ac:dyDescent="0.3">
      <c r="A515" s="25"/>
      <c r="B515" s="20"/>
      <c r="C515" s="20"/>
      <c r="D515" s="20"/>
      <c r="E515" s="20"/>
      <c r="F515" s="21"/>
      <c r="G515" s="21"/>
      <c r="H515" s="21"/>
      <c r="I515" s="21"/>
      <c r="J515" s="20"/>
      <c r="K515" s="17"/>
      <c r="L515" s="17"/>
      <c r="M515" s="20"/>
      <c r="N515" s="17"/>
    </row>
    <row r="516" spans="1:14" ht="15" customHeight="1" x14ac:dyDescent="0.3">
      <c r="A516" s="22"/>
      <c r="B516" s="23"/>
      <c r="C516" s="23"/>
      <c r="D516" s="23"/>
      <c r="E516" s="23"/>
      <c r="F516" s="24"/>
      <c r="G516" s="24"/>
      <c r="H516" s="24"/>
      <c r="I516" s="24"/>
      <c r="J516" s="23"/>
      <c r="K516" s="14"/>
      <c r="L516" s="14"/>
      <c r="M516" s="23"/>
      <c r="N516" s="14"/>
    </row>
    <row r="517" spans="1:14" ht="15" customHeight="1" x14ac:dyDescent="0.3">
      <c r="A517" s="25"/>
      <c r="B517" s="20"/>
      <c r="C517" s="20"/>
      <c r="D517" s="20"/>
      <c r="E517" s="20"/>
      <c r="F517" s="21"/>
      <c r="G517" s="21"/>
      <c r="H517" s="21"/>
      <c r="I517" s="21"/>
      <c r="J517" s="20"/>
      <c r="K517" s="17"/>
      <c r="L517" s="17"/>
      <c r="M517" s="20"/>
      <c r="N517" s="17"/>
    </row>
    <row r="518" spans="1:14" ht="15" customHeight="1" x14ac:dyDescent="0.3">
      <c r="A518" s="22"/>
      <c r="B518" s="23"/>
      <c r="C518" s="23"/>
      <c r="D518" s="23"/>
      <c r="E518" s="23"/>
      <c r="F518" s="24"/>
      <c r="G518" s="24"/>
      <c r="H518" s="24"/>
      <c r="I518" s="24"/>
      <c r="J518" s="23"/>
      <c r="K518" s="14"/>
      <c r="L518" s="14"/>
      <c r="M518" s="23"/>
      <c r="N518" s="14"/>
    </row>
    <row r="519" spans="1:14" ht="15" customHeight="1" x14ac:dyDescent="0.3">
      <c r="A519" s="25"/>
      <c r="B519" s="20"/>
      <c r="C519" s="20"/>
      <c r="D519" s="20"/>
      <c r="E519" s="20"/>
      <c r="F519" s="21"/>
      <c r="G519" s="21"/>
      <c r="H519" s="21"/>
      <c r="I519" s="21"/>
      <c r="J519" s="20"/>
      <c r="K519" s="17"/>
      <c r="L519" s="17"/>
      <c r="M519" s="20"/>
      <c r="N519" s="17"/>
    </row>
    <row r="520" spans="1:14" ht="15" customHeight="1" x14ac:dyDescent="0.3">
      <c r="A520" s="22"/>
      <c r="B520" s="23"/>
      <c r="C520" s="23"/>
      <c r="D520" s="23"/>
      <c r="E520" s="23"/>
      <c r="F520" s="24"/>
      <c r="G520" s="24"/>
      <c r="H520" s="24"/>
      <c r="I520" s="24"/>
      <c r="J520" s="23"/>
      <c r="K520" s="14"/>
      <c r="L520" s="14"/>
      <c r="M520" s="23"/>
      <c r="N520" s="14"/>
    </row>
    <row r="521" spans="1:14" ht="15" customHeight="1" x14ac:dyDescent="0.3">
      <c r="A521" s="25"/>
      <c r="B521" s="20"/>
      <c r="C521" s="20"/>
      <c r="D521" s="20"/>
      <c r="E521" s="20"/>
      <c r="F521" s="21"/>
      <c r="G521" s="21"/>
      <c r="H521" s="21"/>
      <c r="I521" s="21"/>
      <c r="J521" s="20"/>
      <c r="K521" s="17"/>
      <c r="L521" s="17"/>
      <c r="M521" s="20"/>
      <c r="N521" s="17"/>
    </row>
    <row r="522" spans="1:14" ht="15" customHeight="1" x14ac:dyDescent="0.3">
      <c r="A522" s="22"/>
      <c r="B522" s="23"/>
      <c r="C522" s="23"/>
      <c r="D522" s="23"/>
      <c r="E522" s="23"/>
      <c r="F522" s="24"/>
      <c r="G522" s="24"/>
      <c r="H522" s="24"/>
      <c r="I522" s="24"/>
      <c r="J522" s="23"/>
      <c r="K522" s="14"/>
      <c r="L522" s="14"/>
      <c r="M522" s="23"/>
      <c r="N522" s="14"/>
    </row>
    <row r="523" spans="1:14" ht="15" customHeight="1" x14ac:dyDescent="0.3">
      <c r="A523" s="25"/>
      <c r="B523" s="20"/>
      <c r="C523" s="20"/>
      <c r="D523" s="20"/>
      <c r="E523" s="20"/>
      <c r="F523" s="21"/>
      <c r="G523" s="21"/>
      <c r="H523" s="21"/>
      <c r="I523" s="21"/>
      <c r="J523" s="20"/>
      <c r="K523" s="17"/>
      <c r="L523" s="17"/>
      <c r="M523" s="20"/>
      <c r="N523" s="17"/>
    </row>
    <row r="524" spans="1:14" ht="15" customHeight="1" x14ac:dyDescent="0.3">
      <c r="A524" s="22"/>
      <c r="B524" s="23"/>
      <c r="C524" s="23"/>
      <c r="D524" s="23"/>
      <c r="E524" s="23"/>
      <c r="F524" s="24"/>
      <c r="G524" s="24"/>
      <c r="H524" s="24"/>
      <c r="I524" s="24"/>
      <c r="J524" s="23"/>
      <c r="K524" s="14"/>
      <c r="L524" s="14"/>
      <c r="M524" s="23"/>
      <c r="N524" s="14"/>
    </row>
    <row r="525" spans="1:14" ht="15" customHeight="1" x14ac:dyDescent="0.3">
      <c r="A525" s="25"/>
      <c r="B525" s="20"/>
      <c r="C525" s="20"/>
      <c r="D525" s="20"/>
      <c r="E525" s="20"/>
      <c r="F525" s="21"/>
      <c r="G525" s="21"/>
      <c r="H525" s="21"/>
      <c r="I525" s="21"/>
      <c r="J525" s="20"/>
      <c r="K525" s="17"/>
      <c r="L525" s="17"/>
      <c r="M525" s="20"/>
      <c r="N525" s="17"/>
    </row>
    <row r="526" spans="1:14" ht="15" customHeight="1" x14ac:dyDescent="0.3">
      <c r="A526" s="22"/>
      <c r="B526" s="23"/>
      <c r="C526" s="23"/>
      <c r="D526" s="23"/>
      <c r="E526" s="23"/>
      <c r="F526" s="24"/>
      <c r="G526" s="24"/>
      <c r="H526" s="24"/>
      <c r="I526" s="24"/>
      <c r="J526" s="23"/>
      <c r="K526" s="14"/>
      <c r="L526" s="14"/>
      <c r="M526" s="23"/>
      <c r="N526" s="14"/>
    </row>
    <row r="527" spans="1:14" ht="15" customHeight="1" x14ac:dyDescent="0.3">
      <c r="A527" s="25"/>
      <c r="B527" s="20"/>
      <c r="C527" s="20"/>
      <c r="D527" s="20"/>
      <c r="E527" s="20"/>
      <c r="F527" s="21"/>
      <c r="G527" s="21"/>
      <c r="H527" s="21"/>
      <c r="I527" s="21"/>
      <c r="J527" s="20"/>
      <c r="K527" s="17"/>
      <c r="L527" s="17"/>
      <c r="M527" s="20"/>
      <c r="N527" s="17"/>
    </row>
    <row r="528" spans="1:14" ht="15" customHeight="1" x14ac:dyDescent="0.3">
      <c r="A528" s="22"/>
      <c r="B528" s="23"/>
      <c r="C528" s="23"/>
      <c r="D528" s="23"/>
      <c r="E528" s="23"/>
      <c r="F528" s="24"/>
      <c r="G528" s="24"/>
      <c r="H528" s="24"/>
      <c r="I528" s="24"/>
      <c r="J528" s="23"/>
      <c r="K528" s="14"/>
      <c r="L528" s="14"/>
      <c r="M528" s="23"/>
      <c r="N528" s="14"/>
    </row>
    <row r="529" spans="1:14" ht="15" customHeight="1" x14ac:dyDescent="0.3">
      <c r="A529" s="25"/>
      <c r="B529" s="20"/>
      <c r="C529" s="20"/>
      <c r="D529" s="20"/>
      <c r="E529" s="20"/>
      <c r="F529" s="21"/>
      <c r="G529" s="21"/>
      <c r="H529" s="21"/>
      <c r="I529" s="21"/>
      <c r="J529" s="20"/>
      <c r="K529" s="17"/>
      <c r="L529" s="17"/>
      <c r="M529" s="20"/>
      <c r="N529" s="17"/>
    </row>
    <row r="530" spans="1:14" ht="15" customHeight="1" x14ac:dyDescent="0.3">
      <c r="A530" s="22"/>
      <c r="B530" s="23"/>
      <c r="C530" s="23"/>
      <c r="D530" s="23"/>
      <c r="E530" s="23"/>
      <c r="F530" s="24"/>
      <c r="G530" s="24"/>
      <c r="H530" s="24"/>
      <c r="I530" s="24"/>
      <c r="J530" s="23"/>
      <c r="K530" s="14"/>
      <c r="L530" s="14"/>
      <c r="M530" s="23"/>
      <c r="N530" s="14"/>
    </row>
    <row r="531" spans="1:14" ht="15" customHeight="1" x14ac:dyDescent="0.3">
      <c r="A531" s="25"/>
      <c r="B531" s="20"/>
      <c r="C531" s="20"/>
      <c r="D531" s="20"/>
      <c r="E531" s="20"/>
      <c r="F531" s="21"/>
      <c r="G531" s="21"/>
      <c r="H531" s="21"/>
      <c r="I531" s="21"/>
      <c r="J531" s="20"/>
      <c r="K531" s="17"/>
      <c r="L531" s="17"/>
      <c r="M531" s="20"/>
      <c r="N531" s="17"/>
    </row>
    <row r="532" spans="1:14" ht="15" customHeight="1" x14ac:dyDescent="0.3">
      <c r="A532" s="22"/>
      <c r="B532" s="23"/>
      <c r="C532" s="23"/>
      <c r="D532" s="23"/>
      <c r="E532" s="23"/>
      <c r="F532" s="24"/>
      <c r="G532" s="24"/>
      <c r="H532" s="24"/>
      <c r="I532" s="24"/>
      <c r="J532" s="23"/>
      <c r="K532" s="14"/>
      <c r="L532" s="14"/>
      <c r="M532" s="23"/>
      <c r="N532" s="14"/>
    </row>
    <row r="533" spans="1:14" ht="15" customHeight="1" x14ac:dyDescent="0.3">
      <c r="A533" s="25"/>
      <c r="B533" s="20"/>
      <c r="C533" s="20"/>
      <c r="D533" s="20"/>
      <c r="E533" s="20"/>
      <c r="F533" s="21"/>
      <c r="G533" s="21"/>
      <c r="H533" s="21"/>
      <c r="I533" s="21"/>
      <c r="J533" s="20"/>
      <c r="K533" s="17"/>
      <c r="L533" s="17"/>
      <c r="M533" s="20"/>
      <c r="N533" s="17"/>
    </row>
    <row r="534" spans="1:14" ht="15" customHeight="1" x14ac:dyDescent="0.3">
      <c r="A534" s="22"/>
      <c r="B534" s="23"/>
      <c r="C534" s="23"/>
      <c r="D534" s="23"/>
      <c r="E534" s="23"/>
      <c r="F534" s="24"/>
      <c r="G534" s="24"/>
      <c r="H534" s="24"/>
      <c r="I534" s="24"/>
      <c r="J534" s="23"/>
      <c r="K534" s="14"/>
      <c r="L534" s="14"/>
      <c r="M534" s="23"/>
      <c r="N534" s="14"/>
    </row>
    <row r="535" spans="1:14" ht="15" customHeight="1" x14ac:dyDescent="0.3">
      <c r="A535" s="25"/>
      <c r="B535" s="20"/>
      <c r="C535" s="20"/>
      <c r="D535" s="20"/>
      <c r="E535" s="20"/>
      <c r="F535" s="21"/>
      <c r="G535" s="21"/>
      <c r="H535" s="21"/>
      <c r="I535" s="21"/>
      <c r="J535" s="20"/>
      <c r="K535" s="17"/>
      <c r="L535" s="17"/>
      <c r="M535" s="20"/>
      <c r="N535" s="17"/>
    </row>
    <row r="536" spans="1:14" ht="15" customHeight="1" x14ac:dyDescent="0.3">
      <c r="A536" s="22"/>
      <c r="B536" s="23"/>
      <c r="C536" s="23"/>
      <c r="D536" s="23"/>
      <c r="E536" s="23"/>
      <c r="F536" s="24"/>
      <c r="G536" s="24"/>
      <c r="H536" s="24"/>
      <c r="I536" s="24"/>
      <c r="J536" s="23"/>
      <c r="K536" s="14"/>
      <c r="L536" s="14"/>
      <c r="M536" s="23"/>
      <c r="N536" s="14"/>
    </row>
    <row r="537" spans="1:14" ht="15" customHeight="1" x14ac:dyDescent="0.3">
      <c r="A537" s="25"/>
      <c r="B537" s="20"/>
      <c r="C537" s="20"/>
      <c r="D537" s="20"/>
      <c r="E537" s="20"/>
      <c r="F537" s="21"/>
      <c r="G537" s="21"/>
      <c r="H537" s="21"/>
      <c r="I537" s="21"/>
      <c r="J537" s="20"/>
      <c r="K537" s="17"/>
      <c r="L537" s="17"/>
      <c r="M537" s="20"/>
      <c r="N537" s="17"/>
    </row>
    <row r="538" spans="1:14" ht="15" customHeight="1" x14ac:dyDescent="0.3">
      <c r="A538" s="22"/>
      <c r="B538" s="23"/>
      <c r="C538" s="23"/>
      <c r="D538" s="23"/>
      <c r="E538" s="23"/>
      <c r="F538" s="24"/>
      <c r="G538" s="24"/>
      <c r="H538" s="24"/>
      <c r="I538" s="24"/>
      <c r="J538" s="23"/>
      <c r="K538" s="14"/>
      <c r="L538" s="14"/>
      <c r="M538" s="23"/>
      <c r="N538" s="14"/>
    </row>
    <row r="539" spans="1:14" ht="15" customHeight="1" x14ac:dyDescent="0.3">
      <c r="A539" s="25"/>
      <c r="B539" s="20"/>
      <c r="C539" s="20"/>
      <c r="D539" s="20"/>
      <c r="E539" s="20"/>
      <c r="F539" s="21"/>
      <c r="G539" s="21"/>
      <c r="H539" s="21"/>
      <c r="I539" s="21"/>
      <c r="J539" s="20"/>
      <c r="K539" s="17"/>
      <c r="L539" s="17"/>
      <c r="M539" s="20"/>
      <c r="N539" s="17"/>
    </row>
    <row r="540" spans="1:14" ht="15" customHeight="1" x14ac:dyDescent="0.3">
      <c r="A540" s="22"/>
      <c r="B540" s="23"/>
      <c r="C540" s="23"/>
      <c r="D540" s="23"/>
      <c r="E540" s="23"/>
      <c r="F540" s="24"/>
      <c r="G540" s="24"/>
      <c r="H540" s="24"/>
      <c r="I540" s="24"/>
      <c r="J540" s="23"/>
      <c r="K540" s="14"/>
      <c r="L540" s="14"/>
      <c r="M540" s="23"/>
      <c r="N540" s="14"/>
    </row>
    <row r="541" spans="1:14" ht="15" customHeight="1" x14ac:dyDescent="0.3">
      <c r="A541" s="25"/>
      <c r="B541" s="20"/>
      <c r="C541" s="20"/>
      <c r="D541" s="20"/>
      <c r="E541" s="20"/>
      <c r="F541" s="21"/>
      <c r="G541" s="21"/>
      <c r="H541" s="21"/>
      <c r="I541" s="21"/>
      <c r="J541" s="20"/>
      <c r="K541" s="17"/>
      <c r="L541" s="17"/>
      <c r="M541" s="20"/>
      <c r="N541" s="17"/>
    </row>
    <row r="542" spans="1:14" ht="15" customHeight="1" x14ac:dyDescent="0.3">
      <c r="A542" s="22"/>
      <c r="B542" s="23"/>
      <c r="C542" s="23"/>
      <c r="D542" s="23"/>
      <c r="E542" s="23"/>
      <c r="F542" s="24"/>
      <c r="G542" s="24"/>
      <c r="H542" s="24"/>
      <c r="I542" s="24"/>
      <c r="J542" s="23"/>
      <c r="K542" s="14"/>
      <c r="L542" s="14"/>
      <c r="M542" s="23"/>
      <c r="N542" s="14"/>
    </row>
    <row r="543" spans="1:14" ht="15" customHeight="1" x14ac:dyDescent="0.3">
      <c r="A543" s="25"/>
      <c r="B543" s="20"/>
      <c r="C543" s="20"/>
      <c r="D543" s="20"/>
      <c r="E543" s="20"/>
      <c r="F543" s="21"/>
      <c r="G543" s="21"/>
      <c r="H543" s="21"/>
      <c r="I543" s="21"/>
      <c r="J543" s="20"/>
      <c r="K543" s="17"/>
      <c r="L543" s="17"/>
      <c r="M543" s="20"/>
      <c r="N543" s="17"/>
    </row>
    <row r="544" spans="1:14" ht="15" customHeight="1" x14ac:dyDescent="0.3">
      <c r="A544" s="22"/>
      <c r="B544" s="23"/>
      <c r="C544" s="23"/>
      <c r="D544" s="23"/>
      <c r="E544" s="23"/>
      <c r="F544" s="24"/>
      <c r="G544" s="24"/>
      <c r="H544" s="24"/>
      <c r="I544" s="24"/>
      <c r="J544" s="23"/>
      <c r="K544" s="14"/>
      <c r="L544" s="14"/>
      <c r="M544" s="23"/>
      <c r="N544" s="14"/>
    </row>
    <row r="545" spans="1:14" ht="15" customHeight="1" x14ac:dyDescent="0.3">
      <c r="A545" s="25"/>
      <c r="B545" s="20"/>
      <c r="C545" s="20"/>
      <c r="D545" s="20"/>
      <c r="E545" s="20"/>
      <c r="F545" s="21"/>
      <c r="G545" s="21"/>
      <c r="H545" s="21"/>
      <c r="I545" s="21"/>
      <c r="J545" s="20"/>
      <c r="K545" s="17"/>
      <c r="L545" s="17"/>
      <c r="M545" s="20"/>
      <c r="N545" s="17"/>
    </row>
    <row r="546" spans="1:14" ht="15" customHeight="1" x14ac:dyDescent="0.3">
      <c r="A546" s="22"/>
      <c r="B546" s="23"/>
      <c r="C546" s="23"/>
      <c r="D546" s="23"/>
      <c r="E546" s="23"/>
      <c r="F546" s="24"/>
      <c r="G546" s="24"/>
      <c r="H546" s="24"/>
      <c r="I546" s="24"/>
      <c r="J546" s="23"/>
      <c r="K546" s="14"/>
      <c r="L546" s="14"/>
      <c r="M546" s="23"/>
      <c r="N546" s="14"/>
    </row>
    <row r="547" spans="1:14" ht="15" customHeight="1" x14ac:dyDescent="0.3">
      <c r="A547" s="25"/>
      <c r="B547" s="20"/>
      <c r="C547" s="20"/>
      <c r="D547" s="20"/>
      <c r="E547" s="20"/>
      <c r="F547" s="21"/>
      <c r="G547" s="21"/>
      <c r="H547" s="21"/>
      <c r="I547" s="21"/>
      <c r="J547" s="20"/>
      <c r="K547" s="17"/>
      <c r="L547" s="17"/>
      <c r="M547" s="20"/>
      <c r="N547" s="17"/>
    </row>
    <row r="548" spans="1:14" ht="15" customHeight="1" x14ac:dyDescent="0.3">
      <c r="A548" s="22"/>
      <c r="B548" s="23"/>
      <c r="C548" s="23"/>
      <c r="D548" s="23"/>
      <c r="E548" s="23"/>
      <c r="F548" s="24"/>
      <c r="G548" s="24"/>
      <c r="H548" s="24"/>
      <c r="I548" s="24"/>
      <c r="J548" s="23"/>
      <c r="K548" s="14"/>
      <c r="L548" s="14"/>
      <c r="M548" s="23"/>
      <c r="N548" s="14"/>
    </row>
    <row r="549" spans="1:14" ht="15" customHeight="1" x14ac:dyDescent="0.3">
      <c r="A549" s="25"/>
      <c r="B549" s="20"/>
      <c r="C549" s="20"/>
      <c r="D549" s="20"/>
      <c r="E549" s="20"/>
      <c r="F549" s="21"/>
      <c r="G549" s="21"/>
      <c r="H549" s="21"/>
      <c r="I549" s="21"/>
      <c r="J549" s="20"/>
      <c r="K549" s="17"/>
      <c r="L549" s="17"/>
      <c r="M549" s="20"/>
      <c r="N549" s="17"/>
    </row>
    <row r="550" spans="1:14" ht="15" customHeight="1" x14ac:dyDescent="0.3">
      <c r="A550" s="22"/>
      <c r="B550" s="23"/>
      <c r="C550" s="23"/>
      <c r="D550" s="23"/>
      <c r="E550" s="23"/>
      <c r="F550" s="24"/>
      <c r="G550" s="24"/>
      <c r="H550" s="24"/>
      <c r="I550" s="24"/>
      <c r="J550" s="23"/>
      <c r="K550" s="14"/>
      <c r="L550" s="14"/>
      <c r="M550" s="23"/>
      <c r="N550" s="14"/>
    </row>
    <row r="551" spans="1:14" ht="15" customHeight="1" x14ac:dyDescent="0.3">
      <c r="A551" s="25"/>
      <c r="B551" s="20"/>
      <c r="C551" s="20"/>
      <c r="D551" s="20"/>
      <c r="E551" s="20"/>
      <c r="F551" s="21"/>
      <c r="G551" s="21"/>
      <c r="H551" s="21"/>
      <c r="I551" s="21"/>
      <c r="J551" s="20"/>
      <c r="K551" s="17"/>
      <c r="L551" s="17"/>
      <c r="M551" s="20"/>
      <c r="N551" s="17"/>
    </row>
    <row r="552" spans="1:14" ht="15" customHeight="1" x14ac:dyDescent="0.3">
      <c r="A552" s="22"/>
      <c r="B552" s="23"/>
      <c r="C552" s="23"/>
      <c r="D552" s="23"/>
      <c r="E552" s="23"/>
      <c r="F552" s="24"/>
      <c r="G552" s="24"/>
      <c r="H552" s="24"/>
      <c r="I552" s="24"/>
      <c r="J552" s="23"/>
      <c r="K552" s="14"/>
      <c r="L552" s="14"/>
      <c r="M552" s="23"/>
      <c r="N552" s="14"/>
    </row>
    <row r="553" spans="1:14" ht="15" customHeight="1" x14ac:dyDescent="0.3">
      <c r="A553" s="25"/>
      <c r="B553" s="20"/>
      <c r="C553" s="20"/>
      <c r="D553" s="20"/>
      <c r="E553" s="20"/>
      <c r="F553" s="21"/>
      <c r="G553" s="21"/>
      <c r="H553" s="21"/>
      <c r="I553" s="21"/>
      <c r="J553" s="20"/>
      <c r="K553" s="17"/>
      <c r="L553" s="17"/>
      <c r="M553" s="20"/>
      <c r="N553" s="17"/>
    </row>
    <row r="554" spans="1:14" ht="15" customHeight="1" x14ac:dyDescent="0.3">
      <c r="A554" s="22"/>
      <c r="B554" s="23"/>
      <c r="C554" s="23"/>
      <c r="D554" s="23"/>
      <c r="E554" s="23"/>
      <c r="F554" s="24"/>
      <c r="G554" s="24"/>
      <c r="H554" s="24"/>
      <c r="I554" s="24"/>
      <c r="J554" s="23"/>
      <c r="K554" s="14"/>
      <c r="L554" s="14"/>
      <c r="M554" s="23"/>
      <c r="N554" s="14"/>
    </row>
    <row r="555" spans="1:14" ht="15" customHeight="1" x14ac:dyDescent="0.3">
      <c r="A555" s="25"/>
      <c r="B555" s="20"/>
      <c r="C555" s="20"/>
      <c r="D555" s="20"/>
      <c r="E555" s="20"/>
      <c r="F555" s="21"/>
      <c r="G555" s="21"/>
      <c r="H555" s="21"/>
      <c r="I555" s="21"/>
      <c r="J555" s="20"/>
      <c r="K555" s="17"/>
      <c r="L555" s="17"/>
      <c r="M555" s="20"/>
      <c r="N555" s="17"/>
    </row>
    <row r="556" spans="1:14" ht="15" customHeight="1" x14ac:dyDescent="0.3">
      <c r="A556" s="22"/>
      <c r="B556" s="23"/>
      <c r="C556" s="23"/>
      <c r="D556" s="23"/>
      <c r="E556" s="23"/>
      <c r="F556" s="24"/>
      <c r="G556" s="24"/>
      <c r="H556" s="24"/>
      <c r="I556" s="24"/>
      <c r="J556" s="23"/>
      <c r="K556" s="14"/>
      <c r="L556" s="14"/>
      <c r="M556" s="23"/>
      <c r="N556" s="14"/>
    </row>
    <row r="557" spans="1:14" ht="15" customHeight="1" x14ac:dyDescent="0.3">
      <c r="A557" s="25"/>
      <c r="B557" s="20"/>
      <c r="C557" s="20"/>
      <c r="D557" s="20"/>
      <c r="E557" s="20"/>
      <c r="F557" s="21"/>
      <c r="G557" s="21"/>
      <c r="H557" s="21"/>
      <c r="I557" s="21"/>
      <c r="J557" s="20"/>
      <c r="K557" s="17"/>
      <c r="L557" s="17"/>
      <c r="M557" s="20"/>
      <c r="N557" s="17"/>
    </row>
    <row r="558" spans="1:14" ht="15" customHeight="1" x14ac:dyDescent="0.3">
      <c r="A558" s="22"/>
      <c r="B558" s="23"/>
      <c r="C558" s="23"/>
      <c r="D558" s="23"/>
      <c r="E558" s="23"/>
      <c r="F558" s="24"/>
      <c r="G558" s="24"/>
      <c r="H558" s="24"/>
      <c r="I558" s="24"/>
      <c r="J558" s="23"/>
      <c r="K558" s="14"/>
      <c r="L558" s="14"/>
      <c r="M558" s="23"/>
      <c r="N558" s="14"/>
    </row>
    <row r="559" spans="1:14" ht="15" customHeight="1" x14ac:dyDescent="0.3">
      <c r="A559" s="25"/>
      <c r="B559" s="20"/>
      <c r="C559" s="20"/>
      <c r="D559" s="20"/>
      <c r="E559" s="20"/>
      <c r="F559" s="21"/>
      <c r="G559" s="21"/>
      <c r="H559" s="21"/>
      <c r="I559" s="21"/>
      <c r="J559" s="20"/>
      <c r="K559" s="17"/>
      <c r="L559" s="17"/>
      <c r="M559" s="20"/>
      <c r="N559" s="17"/>
    </row>
    <row r="560" spans="1:14" ht="15" customHeight="1" x14ac:dyDescent="0.3">
      <c r="A560" s="22"/>
      <c r="B560" s="23"/>
      <c r="C560" s="23"/>
      <c r="D560" s="23"/>
      <c r="E560" s="23"/>
      <c r="F560" s="24"/>
      <c r="G560" s="24"/>
      <c r="H560" s="24"/>
      <c r="I560" s="24"/>
      <c r="J560" s="23"/>
      <c r="K560" s="14"/>
      <c r="L560" s="14"/>
      <c r="M560" s="23"/>
      <c r="N560" s="14"/>
    </row>
    <row r="561" spans="1:14" ht="15" customHeight="1" x14ac:dyDescent="0.3">
      <c r="A561" s="25"/>
      <c r="B561" s="20"/>
      <c r="C561" s="20"/>
      <c r="D561" s="20"/>
      <c r="E561" s="20"/>
      <c r="F561" s="21"/>
      <c r="G561" s="21"/>
      <c r="H561" s="21"/>
      <c r="I561" s="21"/>
      <c r="J561" s="20"/>
      <c r="K561" s="17"/>
      <c r="L561" s="17"/>
      <c r="M561" s="20"/>
      <c r="N561" s="17"/>
    </row>
    <row r="562" spans="1:14" ht="15" customHeight="1" x14ac:dyDescent="0.3">
      <c r="A562" s="22"/>
      <c r="B562" s="23"/>
      <c r="C562" s="23"/>
      <c r="D562" s="23"/>
      <c r="E562" s="23"/>
      <c r="F562" s="24"/>
      <c r="G562" s="24"/>
      <c r="H562" s="24"/>
      <c r="I562" s="24"/>
      <c r="J562" s="23"/>
      <c r="K562" s="14"/>
      <c r="L562" s="14"/>
      <c r="M562" s="23"/>
      <c r="N562" s="14"/>
    </row>
    <row r="563" spans="1:14" ht="15" customHeight="1" x14ac:dyDescent="0.3">
      <c r="A563" s="25"/>
      <c r="B563" s="20"/>
      <c r="C563" s="20"/>
      <c r="D563" s="20"/>
      <c r="E563" s="20"/>
      <c r="F563" s="21"/>
      <c r="G563" s="21"/>
      <c r="H563" s="21"/>
      <c r="I563" s="21"/>
      <c r="J563" s="20"/>
      <c r="K563" s="17"/>
      <c r="L563" s="17"/>
      <c r="M563" s="20"/>
      <c r="N563" s="17"/>
    </row>
    <row r="564" spans="1:14" ht="15" customHeight="1" x14ac:dyDescent="0.3">
      <c r="A564" s="22"/>
      <c r="B564" s="23"/>
      <c r="C564" s="23"/>
      <c r="D564" s="23"/>
      <c r="E564" s="23"/>
      <c r="F564" s="24"/>
      <c r="G564" s="24"/>
      <c r="H564" s="24"/>
      <c r="I564" s="24"/>
      <c r="J564" s="23"/>
      <c r="K564" s="14"/>
      <c r="L564" s="14"/>
      <c r="M564" s="23"/>
      <c r="N564" s="14"/>
    </row>
    <row r="565" spans="1:14" ht="15" customHeight="1" x14ac:dyDescent="0.3">
      <c r="A565" s="25"/>
      <c r="B565" s="20"/>
      <c r="C565" s="20"/>
      <c r="D565" s="20"/>
      <c r="E565" s="20"/>
      <c r="F565" s="21"/>
      <c r="G565" s="21"/>
      <c r="H565" s="21"/>
      <c r="I565" s="21"/>
      <c r="J565" s="20"/>
      <c r="K565" s="17"/>
      <c r="L565" s="17"/>
      <c r="M565" s="20"/>
      <c r="N565" s="17"/>
    </row>
    <row r="566" spans="1:14" ht="15" customHeight="1" x14ac:dyDescent="0.3">
      <c r="A566" s="22"/>
      <c r="B566" s="23"/>
      <c r="C566" s="23"/>
      <c r="D566" s="23"/>
      <c r="E566" s="23"/>
      <c r="F566" s="24"/>
      <c r="G566" s="24"/>
      <c r="H566" s="24"/>
      <c r="I566" s="24"/>
      <c r="J566" s="23"/>
      <c r="K566" s="14"/>
      <c r="L566" s="14"/>
      <c r="M566" s="23"/>
      <c r="N566" s="14"/>
    </row>
    <row r="567" spans="1:14" ht="15" customHeight="1" x14ac:dyDescent="0.3">
      <c r="A567" s="25"/>
      <c r="B567" s="20"/>
      <c r="C567" s="20"/>
      <c r="D567" s="20"/>
      <c r="E567" s="20"/>
      <c r="F567" s="21"/>
      <c r="G567" s="21"/>
      <c r="H567" s="21"/>
      <c r="I567" s="21"/>
      <c r="J567" s="20"/>
      <c r="K567" s="17"/>
      <c r="L567" s="17"/>
      <c r="M567" s="20"/>
      <c r="N567" s="17"/>
    </row>
    <row r="568" spans="1:14" ht="15" customHeight="1" x14ac:dyDescent="0.3">
      <c r="A568" s="22"/>
      <c r="B568" s="23"/>
      <c r="C568" s="23"/>
      <c r="D568" s="23"/>
      <c r="E568" s="23"/>
      <c r="F568" s="24"/>
      <c r="G568" s="24"/>
      <c r="H568" s="24"/>
      <c r="I568" s="24"/>
      <c r="J568" s="23"/>
      <c r="K568" s="14"/>
      <c r="L568" s="14"/>
      <c r="M568" s="23"/>
      <c r="N568" s="14"/>
    </row>
    <row r="569" spans="1:14" ht="15" customHeight="1" x14ac:dyDescent="0.3">
      <c r="A569" s="25"/>
      <c r="B569" s="20"/>
      <c r="C569" s="20"/>
      <c r="D569" s="20"/>
      <c r="E569" s="20"/>
      <c r="F569" s="21"/>
      <c r="G569" s="21"/>
      <c r="H569" s="21"/>
      <c r="I569" s="21"/>
      <c r="J569" s="20"/>
      <c r="K569" s="17"/>
      <c r="L569" s="17"/>
      <c r="M569" s="20"/>
      <c r="N569" s="17"/>
    </row>
    <row r="570" spans="1:14" ht="15" customHeight="1" x14ac:dyDescent="0.3">
      <c r="A570" s="22"/>
      <c r="B570" s="23"/>
      <c r="C570" s="23"/>
      <c r="D570" s="23"/>
      <c r="E570" s="23"/>
      <c r="F570" s="24"/>
      <c r="G570" s="24"/>
      <c r="H570" s="24"/>
      <c r="I570" s="24"/>
      <c r="J570" s="23"/>
      <c r="K570" s="14"/>
      <c r="L570" s="14"/>
      <c r="M570" s="23"/>
      <c r="N570" s="14"/>
    </row>
    <row r="571" spans="1:14" ht="15" customHeight="1" x14ac:dyDescent="0.3">
      <c r="A571" s="25"/>
      <c r="B571" s="20"/>
      <c r="C571" s="20"/>
      <c r="D571" s="20"/>
      <c r="E571" s="20"/>
      <c r="F571" s="21"/>
      <c r="G571" s="21"/>
      <c r="H571" s="21"/>
      <c r="I571" s="21"/>
      <c r="J571" s="20"/>
      <c r="K571" s="17"/>
      <c r="L571" s="17"/>
      <c r="M571" s="20"/>
      <c r="N571" s="17"/>
    </row>
    <row r="572" spans="1:14" ht="15" customHeight="1" x14ac:dyDescent="0.3">
      <c r="A572" s="22"/>
      <c r="B572" s="23"/>
      <c r="C572" s="23"/>
      <c r="D572" s="23"/>
      <c r="E572" s="23"/>
      <c r="F572" s="24"/>
      <c r="G572" s="24"/>
      <c r="H572" s="24"/>
      <c r="I572" s="24"/>
      <c r="J572" s="23"/>
      <c r="K572" s="14"/>
      <c r="L572" s="14"/>
      <c r="M572" s="23"/>
      <c r="N572" s="14"/>
    </row>
    <row r="573" spans="1:14" ht="15" customHeight="1" x14ac:dyDescent="0.3">
      <c r="A573" s="25"/>
      <c r="B573" s="20"/>
      <c r="C573" s="20"/>
      <c r="D573" s="20"/>
      <c r="E573" s="20"/>
      <c r="F573" s="21"/>
      <c r="G573" s="21"/>
      <c r="H573" s="21"/>
      <c r="I573" s="21"/>
      <c r="J573" s="20"/>
      <c r="K573" s="17"/>
      <c r="L573" s="17"/>
      <c r="M573" s="20"/>
      <c r="N573" s="17"/>
    </row>
    <row r="574" spans="1:14" ht="15" customHeight="1" x14ac:dyDescent="0.3">
      <c r="A574" s="22"/>
      <c r="B574" s="23"/>
      <c r="C574" s="23"/>
      <c r="D574" s="23"/>
      <c r="E574" s="23"/>
      <c r="F574" s="24"/>
      <c r="G574" s="24"/>
      <c r="H574" s="24"/>
      <c r="I574" s="24"/>
      <c r="J574" s="23"/>
      <c r="K574" s="14"/>
      <c r="L574" s="14"/>
      <c r="M574" s="23"/>
      <c r="N574" s="14"/>
    </row>
    <row r="575" spans="1:14" ht="15" customHeight="1" x14ac:dyDescent="0.3">
      <c r="A575" s="25"/>
      <c r="B575" s="20"/>
      <c r="C575" s="20"/>
      <c r="D575" s="20"/>
      <c r="E575" s="20"/>
      <c r="F575" s="21"/>
      <c r="G575" s="21"/>
      <c r="H575" s="21"/>
      <c r="I575" s="21"/>
      <c r="J575" s="20"/>
      <c r="K575" s="17"/>
      <c r="L575" s="17"/>
      <c r="M575" s="20"/>
      <c r="N575" s="17"/>
    </row>
    <row r="576" spans="1:14" ht="15" customHeight="1" x14ac:dyDescent="0.3">
      <c r="A576" s="22"/>
      <c r="B576" s="23"/>
      <c r="C576" s="23"/>
      <c r="D576" s="23"/>
      <c r="E576" s="23"/>
      <c r="F576" s="24"/>
      <c r="G576" s="24"/>
      <c r="H576" s="24"/>
      <c r="I576" s="24"/>
      <c r="J576" s="23"/>
      <c r="K576" s="14"/>
      <c r="L576" s="14"/>
      <c r="M576" s="23"/>
      <c r="N576" s="14"/>
    </row>
    <row r="577" spans="1:14" ht="15" customHeight="1" x14ac:dyDescent="0.3">
      <c r="A577" s="25"/>
      <c r="B577" s="20"/>
      <c r="C577" s="20"/>
      <c r="D577" s="20"/>
      <c r="E577" s="20"/>
      <c r="F577" s="21"/>
      <c r="G577" s="21"/>
      <c r="H577" s="21"/>
      <c r="I577" s="21"/>
      <c r="J577" s="20"/>
      <c r="K577" s="17"/>
      <c r="L577" s="17"/>
      <c r="M577" s="20"/>
      <c r="N577" s="17"/>
    </row>
    <row r="578" spans="1:14" ht="15" customHeight="1" x14ac:dyDescent="0.3">
      <c r="A578" s="22"/>
      <c r="B578" s="23"/>
      <c r="C578" s="23"/>
      <c r="D578" s="23"/>
      <c r="E578" s="23"/>
      <c r="F578" s="24"/>
      <c r="G578" s="24"/>
      <c r="H578" s="24"/>
      <c r="I578" s="24"/>
      <c r="J578" s="23"/>
      <c r="K578" s="14"/>
      <c r="L578" s="14"/>
      <c r="M578" s="23"/>
      <c r="N578" s="14"/>
    </row>
    <row r="579" spans="1:14" ht="15" customHeight="1" x14ac:dyDescent="0.3">
      <c r="A579" s="25"/>
      <c r="B579" s="20"/>
      <c r="C579" s="20"/>
      <c r="D579" s="20"/>
      <c r="E579" s="20"/>
      <c r="F579" s="21"/>
      <c r="G579" s="21"/>
      <c r="H579" s="21"/>
      <c r="I579" s="21"/>
      <c r="J579" s="20"/>
      <c r="K579" s="17"/>
      <c r="L579" s="17"/>
      <c r="M579" s="20"/>
      <c r="N579" s="17"/>
    </row>
    <row r="580" spans="1:14" ht="15" customHeight="1" x14ac:dyDescent="0.3">
      <c r="A580" s="22"/>
      <c r="B580" s="23"/>
      <c r="C580" s="23"/>
      <c r="D580" s="23"/>
      <c r="E580" s="23"/>
      <c r="F580" s="24"/>
      <c r="G580" s="24"/>
      <c r="H580" s="24"/>
      <c r="I580" s="24"/>
      <c r="J580" s="23"/>
      <c r="K580" s="14"/>
      <c r="L580" s="14"/>
      <c r="M580" s="23"/>
      <c r="N580" s="14"/>
    </row>
    <row r="581" spans="1:14" ht="15" customHeight="1" x14ac:dyDescent="0.3">
      <c r="A581" s="25"/>
      <c r="B581" s="20"/>
      <c r="C581" s="20"/>
      <c r="D581" s="20"/>
      <c r="E581" s="20"/>
      <c r="F581" s="21"/>
      <c r="G581" s="21"/>
      <c r="H581" s="21"/>
      <c r="I581" s="21"/>
      <c r="J581" s="20"/>
      <c r="K581" s="17"/>
      <c r="L581" s="17"/>
      <c r="M581" s="20"/>
      <c r="N581" s="17"/>
    </row>
    <row r="582" spans="1:14" ht="15" customHeight="1" x14ac:dyDescent="0.3">
      <c r="A582" s="22"/>
      <c r="B582" s="23"/>
      <c r="C582" s="23"/>
      <c r="D582" s="23"/>
      <c r="E582" s="23"/>
      <c r="F582" s="24"/>
      <c r="G582" s="24"/>
      <c r="H582" s="24"/>
      <c r="I582" s="24"/>
      <c r="J582" s="23"/>
      <c r="K582" s="14"/>
      <c r="L582" s="14"/>
      <c r="M582" s="23"/>
      <c r="N582" s="14"/>
    </row>
    <row r="583" spans="1:14" ht="15" customHeight="1" x14ac:dyDescent="0.3">
      <c r="A583" s="25"/>
      <c r="B583" s="20"/>
      <c r="C583" s="20"/>
      <c r="D583" s="20"/>
      <c r="E583" s="20"/>
      <c r="F583" s="21"/>
      <c r="G583" s="21"/>
      <c r="H583" s="21"/>
      <c r="I583" s="21"/>
      <c r="J583" s="20"/>
      <c r="K583" s="17"/>
      <c r="L583" s="17"/>
      <c r="M583" s="20"/>
      <c r="N583" s="17"/>
    </row>
    <row r="584" spans="1:14" ht="15" customHeight="1" x14ac:dyDescent="0.3">
      <c r="A584" s="22"/>
      <c r="B584" s="23"/>
      <c r="C584" s="23"/>
      <c r="D584" s="23"/>
      <c r="E584" s="23"/>
      <c r="F584" s="24"/>
      <c r="G584" s="24"/>
      <c r="H584" s="24"/>
      <c r="I584" s="24"/>
      <c r="J584" s="23"/>
      <c r="K584" s="14"/>
      <c r="L584" s="14"/>
      <c r="M584" s="23"/>
      <c r="N584" s="14"/>
    </row>
    <row r="585" spans="1:14" ht="15" customHeight="1" x14ac:dyDescent="0.3">
      <c r="A585" s="25"/>
      <c r="B585" s="20"/>
      <c r="C585" s="20"/>
      <c r="D585" s="20"/>
      <c r="E585" s="20"/>
      <c r="F585" s="21"/>
      <c r="G585" s="21"/>
      <c r="H585" s="21"/>
      <c r="I585" s="21"/>
      <c r="J585" s="20"/>
      <c r="K585" s="17"/>
      <c r="L585" s="17"/>
      <c r="M585" s="20"/>
      <c r="N585" s="17"/>
    </row>
    <row r="586" spans="1:14" ht="15" customHeight="1" x14ac:dyDescent="0.3">
      <c r="A586" s="22"/>
      <c r="B586" s="23"/>
      <c r="C586" s="23"/>
      <c r="D586" s="23"/>
      <c r="E586" s="23"/>
      <c r="F586" s="24"/>
      <c r="G586" s="24"/>
      <c r="H586" s="24"/>
      <c r="I586" s="24"/>
      <c r="J586" s="23"/>
      <c r="K586" s="14"/>
      <c r="L586" s="14"/>
      <c r="M586" s="23"/>
      <c r="N586" s="14"/>
    </row>
    <row r="587" spans="1:14" ht="15" customHeight="1" x14ac:dyDescent="0.3">
      <c r="A587" s="25"/>
      <c r="B587" s="20"/>
      <c r="C587" s="20"/>
      <c r="D587" s="20"/>
      <c r="E587" s="20"/>
      <c r="F587" s="21"/>
      <c r="G587" s="21"/>
      <c r="H587" s="21"/>
      <c r="I587" s="21"/>
      <c r="J587" s="20"/>
      <c r="K587" s="17"/>
      <c r="L587" s="17"/>
      <c r="M587" s="20"/>
      <c r="N587" s="17"/>
    </row>
    <row r="588" spans="1:14" ht="15" customHeight="1" x14ac:dyDescent="0.3">
      <c r="A588" s="22"/>
      <c r="B588" s="23"/>
      <c r="C588" s="23"/>
      <c r="D588" s="23"/>
      <c r="E588" s="23"/>
      <c r="F588" s="24"/>
      <c r="G588" s="24"/>
      <c r="H588" s="24"/>
      <c r="I588" s="24"/>
      <c r="J588" s="23"/>
      <c r="K588" s="14"/>
      <c r="L588" s="14"/>
      <c r="M588" s="23"/>
      <c r="N588" s="14"/>
    </row>
    <row r="589" spans="1:14" ht="15" customHeight="1" x14ac:dyDescent="0.3">
      <c r="A589" s="25"/>
      <c r="B589" s="20"/>
      <c r="C589" s="20"/>
      <c r="D589" s="20"/>
      <c r="E589" s="20"/>
      <c r="F589" s="21"/>
      <c r="G589" s="21"/>
      <c r="H589" s="21"/>
      <c r="I589" s="21"/>
      <c r="J589" s="20"/>
      <c r="K589" s="17"/>
      <c r="L589" s="17"/>
      <c r="M589" s="20"/>
      <c r="N589" s="17"/>
    </row>
    <row r="590" spans="1:14" ht="15" customHeight="1" x14ac:dyDescent="0.3">
      <c r="A590" s="22"/>
      <c r="B590" s="23"/>
      <c r="C590" s="23"/>
      <c r="D590" s="23"/>
      <c r="E590" s="23"/>
      <c r="F590" s="24"/>
      <c r="G590" s="24"/>
      <c r="H590" s="24"/>
      <c r="I590" s="24"/>
      <c r="J590" s="23"/>
      <c r="K590" s="14"/>
      <c r="L590" s="14"/>
      <c r="M590" s="23"/>
      <c r="N590" s="14"/>
    </row>
    <row r="591" spans="1:14" ht="15" customHeight="1" x14ac:dyDescent="0.3">
      <c r="A591" s="25"/>
      <c r="B591" s="20"/>
      <c r="C591" s="20"/>
      <c r="D591" s="20"/>
      <c r="E591" s="20"/>
      <c r="F591" s="21"/>
      <c r="G591" s="21"/>
      <c r="H591" s="21"/>
      <c r="I591" s="21"/>
      <c r="J591" s="20"/>
      <c r="K591" s="17"/>
      <c r="L591" s="17"/>
      <c r="M591" s="20"/>
      <c r="N591" s="17"/>
    </row>
    <row r="592" spans="1:14" ht="15" customHeight="1" x14ac:dyDescent="0.3">
      <c r="A592" s="22"/>
      <c r="B592" s="23"/>
      <c r="C592" s="23"/>
      <c r="D592" s="23"/>
      <c r="E592" s="23"/>
      <c r="F592" s="24"/>
      <c r="G592" s="24"/>
      <c r="H592" s="24"/>
      <c r="I592" s="24"/>
      <c r="J592" s="23"/>
      <c r="K592" s="14"/>
      <c r="L592" s="14"/>
      <c r="M592" s="23"/>
      <c r="N592" s="14"/>
    </row>
    <row r="593" spans="1:14" ht="15" customHeight="1" x14ac:dyDescent="0.3">
      <c r="A593" s="25"/>
      <c r="B593" s="20"/>
      <c r="C593" s="20"/>
      <c r="D593" s="20"/>
      <c r="E593" s="20"/>
      <c r="F593" s="21"/>
      <c r="G593" s="21"/>
      <c r="H593" s="21"/>
      <c r="I593" s="21"/>
      <c r="J593" s="20"/>
      <c r="K593" s="17"/>
      <c r="L593" s="17"/>
      <c r="M593" s="20"/>
      <c r="N593" s="17"/>
    </row>
    <row r="594" spans="1:14" ht="15" customHeight="1" x14ac:dyDescent="0.3">
      <c r="A594" s="22"/>
      <c r="B594" s="23"/>
      <c r="C594" s="23"/>
      <c r="D594" s="23"/>
      <c r="E594" s="23"/>
      <c r="F594" s="24"/>
      <c r="G594" s="24"/>
      <c r="H594" s="24"/>
      <c r="I594" s="24"/>
      <c r="J594" s="23"/>
      <c r="K594" s="14"/>
      <c r="L594" s="14"/>
      <c r="M594" s="23"/>
      <c r="N594" s="14"/>
    </row>
    <row r="595" spans="1:14" ht="15" customHeight="1" x14ac:dyDescent="0.3">
      <c r="A595" s="25"/>
      <c r="B595" s="20"/>
      <c r="C595" s="20"/>
      <c r="D595" s="20"/>
      <c r="E595" s="20"/>
      <c r="F595" s="21"/>
      <c r="G595" s="21"/>
      <c r="H595" s="21"/>
      <c r="I595" s="21"/>
      <c r="J595" s="20"/>
      <c r="K595" s="17"/>
      <c r="L595" s="17"/>
      <c r="M595" s="20"/>
      <c r="N595" s="17"/>
    </row>
    <row r="596" spans="1:14" ht="15" customHeight="1" x14ac:dyDescent="0.3">
      <c r="A596" s="22"/>
      <c r="B596" s="23"/>
      <c r="C596" s="23"/>
      <c r="D596" s="23"/>
      <c r="E596" s="23"/>
      <c r="F596" s="24"/>
      <c r="G596" s="24"/>
      <c r="H596" s="24"/>
      <c r="I596" s="24"/>
      <c r="J596" s="23"/>
      <c r="K596" s="14"/>
      <c r="L596" s="14"/>
      <c r="M596" s="23"/>
      <c r="N596" s="14"/>
    </row>
    <row r="597" spans="1:14" ht="15" customHeight="1" x14ac:dyDescent="0.3">
      <c r="A597" s="25"/>
      <c r="B597" s="20"/>
      <c r="C597" s="20"/>
      <c r="D597" s="20"/>
      <c r="E597" s="20"/>
      <c r="F597" s="21"/>
      <c r="G597" s="21"/>
      <c r="H597" s="21"/>
      <c r="I597" s="21"/>
      <c r="J597" s="20"/>
      <c r="K597" s="17"/>
      <c r="L597" s="17"/>
      <c r="M597" s="20"/>
      <c r="N597" s="17"/>
    </row>
    <row r="598" spans="1:14" ht="15" customHeight="1" x14ac:dyDescent="0.3">
      <c r="A598" s="22"/>
      <c r="B598" s="23"/>
      <c r="C598" s="23"/>
      <c r="D598" s="23"/>
      <c r="E598" s="23"/>
      <c r="F598" s="24"/>
      <c r="G598" s="24"/>
      <c r="H598" s="24"/>
      <c r="I598" s="24"/>
      <c r="J598" s="23"/>
      <c r="K598" s="14"/>
      <c r="L598" s="14"/>
      <c r="M598" s="23"/>
      <c r="N598" s="14"/>
    </row>
    <row r="599" spans="1:14" ht="15" customHeight="1" x14ac:dyDescent="0.3">
      <c r="A599" s="25"/>
      <c r="B599" s="20"/>
      <c r="C599" s="20"/>
      <c r="D599" s="20"/>
      <c r="E599" s="20"/>
      <c r="F599" s="21"/>
      <c r="G599" s="21"/>
      <c r="H599" s="21"/>
      <c r="I599" s="21"/>
      <c r="J599" s="20"/>
      <c r="K599" s="17"/>
      <c r="L599" s="17"/>
      <c r="M599" s="20"/>
      <c r="N599" s="17"/>
    </row>
    <row r="600" spans="1:14" ht="15" customHeight="1" x14ac:dyDescent="0.3">
      <c r="A600" s="22"/>
      <c r="B600" s="23"/>
      <c r="C600" s="23"/>
      <c r="D600" s="23"/>
      <c r="E600" s="23"/>
      <c r="F600" s="24"/>
      <c r="G600" s="24"/>
      <c r="H600" s="24"/>
      <c r="I600" s="24"/>
      <c r="J600" s="23"/>
      <c r="K600" s="14"/>
      <c r="L600" s="14"/>
      <c r="M600" s="23"/>
      <c r="N600" s="14"/>
    </row>
    <row r="601" spans="1:14" ht="15" customHeight="1" x14ac:dyDescent="0.3">
      <c r="A601" s="25"/>
      <c r="B601" s="20"/>
      <c r="C601" s="20"/>
      <c r="D601" s="20"/>
      <c r="E601" s="20"/>
      <c r="F601" s="21"/>
      <c r="G601" s="21"/>
      <c r="H601" s="21"/>
      <c r="I601" s="21"/>
      <c r="J601" s="20"/>
      <c r="K601" s="17"/>
      <c r="L601" s="17"/>
      <c r="M601" s="20"/>
      <c r="N601" s="17"/>
    </row>
    <row r="602" spans="1:14" ht="15" customHeight="1" x14ac:dyDescent="0.3">
      <c r="A602" s="22"/>
      <c r="B602" s="23"/>
      <c r="C602" s="23"/>
      <c r="D602" s="23"/>
      <c r="E602" s="23"/>
      <c r="F602" s="24"/>
      <c r="G602" s="24"/>
      <c r="H602" s="24"/>
      <c r="I602" s="24"/>
      <c r="J602" s="23"/>
      <c r="K602" s="14"/>
      <c r="L602" s="14"/>
      <c r="M602" s="23"/>
      <c r="N602" s="14"/>
    </row>
    <row r="603" spans="1:14" ht="15" customHeight="1" x14ac:dyDescent="0.3">
      <c r="A603" s="25"/>
      <c r="B603" s="20"/>
      <c r="C603" s="20"/>
      <c r="D603" s="20"/>
      <c r="E603" s="20"/>
      <c r="F603" s="21"/>
      <c r="G603" s="21"/>
      <c r="H603" s="21"/>
      <c r="I603" s="21"/>
      <c r="J603" s="20"/>
      <c r="K603" s="17"/>
      <c r="L603" s="17"/>
      <c r="M603" s="20"/>
      <c r="N603" s="17"/>
    </row>
    <row r="604" spans="1:14" ht="15" customHeight="1" x14ac:dyDescent="0.3">
      <c r="A604" s="22"/>
      <c r="B604" s="23"/>
      <c r="C604" s="23"/>
      <c r="D604" s="23"/>
      <c r="E604" s="23"/>
      <c r="F604" s="24"/>
      <c r="G604" s="24"/>
      <c r="H604" s="24"/>
      <c r="I604" s="24"/>
      <c r="J604" s="23"/>
      <c r="K604" s="14"/>
      <c r="L604" s="14"/>
      <c r="M604" s="23"/>
      <c r="N604" s="14"/>
    </row>
    <row r="605" spans="1:14" ht="15" customHeight="1" x14ac:dyDescent="0.3">
      <c r="A605" s="25"/>
      <c r="B605" s="20"/>
      <c r="C605" s="20"/>
      <c r="D605" s="20"/>
      <c r="E605" s="20"/>
      <c r="F605" s="21"/>
      <c r="G605" s="21"/>
      <c r="H605" s="21"/>
      <c r="I605" s="21"/>
      <c r="J605" s="20"/>
      <c r="K605" s="17"/>
      <c r="L605" s="17"/>
      <c r="M605" s="20"/>
      <c r="N605" s="17"/>
    </row>
    <row r="606" spans="1:14" ht="15" customHeight="1" x14ac:dyDescent="0.3">
      <c r="A606" s="22"/>
      <c r="B606" s="23"/>
      <c r="C606" s="23"/>
      <c r="D606" s="23"/>
      <c r="E606" s="23"/>
      <c r="F606" s="24"/>
      <c r="G606" s="24"/>
      <c r="H606" s="24"/>
      <c r="I606" s="24"/>
      <c r="J606" s="23"/>
      <c r="K606" s="14"/>
      <c r="L606" s="14"/>
      <c r="M606" s="23"/>
      <c r="N606" s="14"/>
    </row>
    <row r="607" spans="1:14" ht="15" customHeight="1" x14ac:dyDescent="0.3">
      <c r="A607" s="25"/>
      <c r="B607" s="20"/>
      <c r="C607" s="20"/>
      <c r="D607" s="20"/>
      <c r="E607" s="20"/>
      <c r="F607" s="21"/>
      <c r="G607" s="21"/>
      <c r="H607" s="21"/>
      <c r="I607" s="21"/>
      <c r="J607" s="20"/>
      <c r="K607" s="17"/>
      <c r="L607" s="17"/>
      <c r="M607" s="20"/>
      <c r="N607" s="17"/>
    </row>
    <row r="608" spans="1:14" ht="15" customHeight="1" x14ac:dyDescent="0.3">
      <c r="A608" s="22"/>
      <c r="B608" s="23"/>
      <c r="C608" s="23"/>
      <c r="D608" s="23"/>
      <c r="E608" s="23"/>
      <c r="F608" s="24"/>
      <c r="G608" s="24"/>
      <c r="H608" s="24"/>
      <c r="I608" s="24"/>
      <c r="J608" s="23"/>
      <c r="K608" s="14"/>
      <c r="L608" s="14"/>
      <c r="M608" s="23"/>
      <c r="N608" s="14"/>
    </row>
    <row r="609" spans="1:14" ht="15" customHeight="1" x14ac:dyDescent="0.3">
      <c r="A609" s="25"/>
      <c r="B609" s="20"/>
      <c r="C609" s="20"/>
      <c r="D609" s="20"/>
      <c r="E609" s="20"/>
      <c r="F609" s="21"/>
      <c r="G609" s="21"/>
      <c r="H609" s="21"/>
      <c r="I609" s="21"/>
      <c r="J609" s="20"/>
      <c r="K609" s="17"/>
      <c r="L609" s="17"/>
      <c r="M609" s="20"/>
      <c r="N609" s="17"/>
    </row>
    <row r="610" spans="1:14" ht="15" customHeight="1" x14ac:dyDescent="0.3">
      <c r="A610" s="22"/>
      <c r="B610" s="23"/>
      <c r="C610" s="23"/>
      <c r="D610" s="23"/>
      <c r="E610" s="23"/>
      <c r="F610" s="24"/>
      <c r="G610" s="24"/>
      <c r="H610" s="24"/>
      <c r="I610" s="24"/>
      <c r="J610" s="23"/>
      <c r="K610" s="14"/>
      <c r="L610" s="14"/>
      <c r="M610" s="23"/>
      <c r="N610" s="14"/>
    </row>
    <row r="611" spans="1:14" ht="15" customHeight="1" x14ac:dyDescent="0.3">
      <c r="A611" s="25"/>
      <c r="B611" s="20"/>
      <c r="C611" s="20"/>
      <c r="D611" s="20"/>
      <c r="E611" s="20"/>
      <c r="F611" s="21"/>
      <c r="G611" s="21"/>
      <c r="H611" s="21"/>
      <c r="I611" s="21"/>
      <c r="J611" s="20"/>
      <c r="K611" s="17"/>
      <c r="L611" s="17"/>
      <c r="M611" s="20"/>
      <c r="N611" s="17"/>
    </row>
    <row r="612" spans="1:14" ht="15" customHeight="1" x14ac:dyDescent="0.3">
      <c r="A612" s="22"/>
      <c r="B612" s="23"/>
      <c r="C612" s="23"/>
      <c r="D612" s="23"/>
      <c r="E612" s="23"/>
      <c r="F612" s="24"/>
      <c r="G612" s="24"/>
      <c r="H612" s="24"/>
      <c r="I612" s="24"/>
      <c r="J612" s="23"/>
      <c r="K612" s="14"/>
      <c r="L612" s="14"/>
      <c r="M612" s="23"/>
      <c r="N612" s="14"/>
    </row>
    <row r="613" spans="1:14" ht="15" customHeight="1" x14ac:dyDescent="0.3">
      <c r="A613" s="25"/>
      <c r="B613" s="20"/>
      <c r="C613" s="20"/>
      <c r="D613" s="20"/>
      <c r="E613" s="20"/>
      <c r="F613" s="21"/>
      <c r="G613" s="21"/>
      <c r="H613" s="21"/>
      <c r="I613" s="21"/>
      <c r="J613" s="20"/>
      <c r="K613" s="17"/>
      <c r="L613" s="17"/>
      <c r="M613" s="20"/>
      <c r="N613" s="17"/>
    </row>
    <row r="614" spans="1:14" ht="15" customHeight="1" x14ac:dyDescent="0.3">
      <c r="A614" s="22"/>
      <c r="B614" s="23"/>
      <c r="C614" s="23"/>
      <c r="D614" s="23"/>
      <c r="E614" s="23"/>
      <c r="F614" s="24"/>
      <c r="G614" s="24"/>
      <c r="H614" s="24"/>
      <c r="I614" s="24"/>
      <c r="J614" s="23"/>
      <c r="K614" s="14"/>
      <c r="L614" s="14"/>
      <c r="M614" s="23"/>
      <c r="N614" s="14"/>
    </row>
    <row r="615" spans="1:14" ht="15" customHeight="1" x14ac:dyDescent="0.3">
      <c r="A615" s="25"/>
      <c r="B615" s="20"/>
      <c r="C615" s="20"/>
      <c r="D615" s="20"/>
      <c r="E615" s="20"/>
      <c r="F615" s="21"/>
      <c r="G615" s="21"/>
      <c r="H615" s="21"/>
      <c r="I615" s="21"/>
      <c r="J615" s="20"/>
      <c r="K615" s="17"/>
      <c r="L615" s="17"/>
      <c r="M615" s="20"/>
      <c r="N615" s="17"/>
    </row>
    <row r="616" spans="1:14" ht="15" customHeight="1" x14ac:dyDescent="0.3">
      <c r="A616" s="22"/>
      <c r="B616" s="23"/>
      <c r="C616" s="23"/>
      <c r="D616" s="23"/>
      <c r="E616" s="23"/>
      <c r="F616" s="24"/>
      <c r="G616" s="24"/>
      <c r="H616" s="24"/>
      <c r="I616" s="24"/>
      <c r="J616" s="23"/>
      <c r="K616" s="14"/>
      <c r="L616" s="14"/>
      <c r="M616" s="23"/>
      <c r="N616" s="14"/>
    </row>
    <row r="617" spans="1:14" ht="15" customHeight="1" x14ac:dyDescent="0.3">
      <c r="A617" s="25"/>
      <c r="B617" s="20"/>
      <c r="C617" s="20"/>
      <c r="D617" s="20"/>
      <c r="E617" s="20"/>
      <c r="F617" s="21"/>
      <c r="G617" s="21"/>
      <c r="H617" s="21"/>
      <c r="I617" s="21"/>
      <c r="J617" s="20"/>
      <c r="K617" s="17"/>
      <c r="L617" s="17"/>
      <c r="M617" s="20"/>
      <c r="N617" s="17"/>
    </row>
    <row r="618" spans="1:14" ht="15" customHeight="1" x14ac:dyDescent="0.3">
      <c r="A618" s="22"/>
      <c r="B618" s="23"/>
      <c r="C618" s="23"/>
      <c r="D618" s="23"/>
      <c r="E618" s="23"/>
      <c r="F618" s="24"/>
      <c r="G618" s="24"/>
      <c r="H618" s="24"/>
      <c r="I618" s="24"/>
      <c r="J618" s="23"/>
      <c r="K618" s="14"/>
      <c r="L618" s="14"/>
      <c r="M618" s="23"/>
      <c r="N618" s="14"/>
    </row>
    <row r="619" spans="1:14" ht="15" customHeight="1" x14ac:dyDescent="0.3">
      <c r="A619" s="25"/>
      <c r="B619" s="20"/>
      <c r="C619" s="20"/>
      <c r="D619" s="20"/>
      <c r="E619" s="20"/>
      <c r="F619" s="21"/>
      <c r="G619" s="21"/>
      <c r="H619" s="21"/>
      <c r="I619" s="21"/>
      <c r="J619" s="20"/>
      <c r="K619" s="17"/>
      <c r="L619" s="17"/>
      <c r="M619" s="20"/>
      <c r="N619" s="17"/>
    </row>
    <row r="620" spans="1:14" ht="15" customHeight="1" x14ac:dyDescent="0.3">
      <c r="A620" s="22"/>
      <c r="B620" s="23"/>
      <c r="C620" s="23"/>
      <c r="D620" s="23"/>
      <c r="E620" s="23"/>
      <c r="F620" s="24"/>
      <c r="G620" s="24"/>
      <c r="H620" s="24"/>
      <c r="I620" s="24"/>
      <c r="J620" s="23"/>
      <c r="K620" s="14"/>
      <c r="L620" s="14"/>
      <c r="M620" s="23"/>
      <c r="N620" s="14"/>
    </row>
    <row r="621" spans="1:14" ht="15" customHeight="1" x14ac:dyDescent="0.3">
      <c r="A621" s="25"/>
      <c r="B621" s="20"/>
      <c r="C621" s="20"/>
      <c r="D621" s="20"/>
      <c r="E621" s="20"/>
      <c r="F621" s="21"/>
      <c r="G621" s="21"/>
      <c r="H621" s="21"/>
      <c r="I621" s="21"/>
      <c r="J621" s="20"/>
      <c r="K621" s="17"/>
      <c r="L621" s="17"/>
      <c r="M621" s="20"/>
      <c r="N621" s="17"/>
    </row>
    <row r="622" spans="1:14" ht="15" customHeight="1" x14ac:dyDescent="0.3">
      <c r="A622" s="22"/>
      <c r="B622" s="23"/>
      <c r="C622" s="23"/>
      <c r="D622" s="23"/>
      <c r="E622" s="23"/>
      <c r="F622" s="24"/>
      <c r="G622" s="24"/>
      <c r="H622" s="24"/>
      <c r="I622" s="24"/>
      <c r="J622" s="23"/>
      <c r="K622" s="14"/>
      <c r="L622" s="14"/>
      <c r="M622" s="23"/>
      <c r="N622" s="14"/>
    </row>
    <row r="623" spans="1:14" ht="15" customHeight="1" x14ac:dyDescent="0.3">
      <c r="A623" s="25"/>
      <c r="B623" s="20"/>
      <c r="C623" s="20"/>
      <c r="D623" s="20"/>
      <c r="E623" s="20"/>
      <c r="F623" s="21"/>
      <c r="G623" s="21"/>
      <c r="H623" s="21"/>
      <c r="I623" s="21"/>
      <c r="J623" s="20"/>
      <c r="K623" s="17"/>
      <c r="L623" s="17"/>
      <c r="M623" s="20"/>
      <c r="N623" s="17"/>
    </row>
    <row r="624" spans="1:14" ht="15" customHeight="1" x14ac:dyDescent="0.3">
      <c r="A624" s="22"/>
      <c r="B624" s="23"/>
      <c r="C624" s="23"/>
      <c r="D624" s="23"/>
      <c r="E624" s="23"/>
      <c r="F624" s="24"/>
      <c r="G624" s="24"/>
      <c r="H624" s="24"/>
      <c r="I624" s="24"/>
      <c r="J624" s="23"/>
      <c r="K624" s="14"/>
      <c r="L624" s="14"/>
      <c r="M624" s="23"/>
      <c r="N624" s="14"/>
    </row>
    <row r="625" spans="1:14" ht="15" customHeight="1" x14ac:dyDescent="0.3">
      <c r="A625" s="25"/>
      <c r="B625" s="20"/>
      <c r="C625" s="20"/>
      <c r="D625" s="20"/>
      <c r="E625" s="20"/>
      <c r="F625" s="21"/>
      <c r="G625" s="21"/>
      <c r="H625" s="21"/>
      <c r="I625" s="21"/>
      <c r="J625" s="20"/>
      <c r="K625" s="17"/>
      <c r="L625" s="17"/>
      <c r="M625" s="20"/>
      <c r="N625" s="17"/>
    </row>
    <row r="626" spans="1:14" ht="15" customHeight="1" x14ac:dyDescent="0.3">
      <c r="A626" s="22"/>
      <c r="B626" s="23"/>
      <c r="C626" s="23"/>
      <c r="D626" s="23"/>
      <c r="E626" s="23"/>
      <c r="F626" s="24"/>
      <c r="G626" s="24"/>
      <c r="H626" s="24"/>
      <c r="I626" s="24"/>
      <c r="J626" s="23"/>
      <c r="K626" s="14"/>
      <c r="L626" s="14"/>
      <c r="M626" s="23"/>
      <c r="N626" s="14"/>
    </row>
    <row r="627" spans="1:14" ht="15" customHeight="1" x14ac:dyDescent="0.3">
      <c r="A627" s="25"/>
      <c r="B627" s="20"/>
      <c r="C627" s="20"/>
      <c r="D627" s="20"/>
      <c r="E627" s="20"/>
      <c r="F627" s="21"/>
      <c r="G627" s="21"/>
      <c r="H627" s="21"/>
      <c r="I627" s="21"/>
      <c r="J627" s="20"/>
      <c r="K627" s="17"/>
      <c r="L627" s="17"/>
      <c r="M627" s="20"/>
      <c r="N627" s="17"/>
    </row>
    <row r="628" spans="1:14" ht="15" customHeight="1" x14ac:dyDescent="0.3">
      <c r="A628" s="22"/>
      <c r="B628" s="23"/>
      <c r="C628" s="23"/>
      <c r="D628" s="23"/>
      <c r="E628" s="23"/>
      <c r="F628" s="24"/>
      <c r="G628" s="24"/>
      <c r="H628" s="24"/>
      <c r="I628" s="24"/>
      <c r="J628" s="23"/>
      <c r="K628" s="14"/>
      <c r="L628" s="14"/>
      <c r="M628" s="23"/>
      <c r="N628" s="14"/>
    </row>
    <row r="629" spans="1:14" ht="15" customHeight="1" x14ac:dyDescent="0.3">
      <c r="A629" s="25"/>
      <c r="B629" s="20"/>
      <c r="C629" s="20"/>
      <c r="D629" s="20"/>
      <c r="E629" s="20"/>
      <c r="F629" s="21"/>
      <c r="G629" s="21"/>
      <c r="H629" s="21"/>
      <c r="I629" s="21"/>
      <c r="J629" s="20"/>
      <c r="K629" s="17"/>
      <c r="L629" s="17"/>
      <c r="M629" s="20"/>
      <c r="N629" s="17"/>
    </row>
    <row r="630" spans="1:14" ht="15" customHeight="1" x14ac:dyDescent="0.3">
      <c r="A630" s="22"/>
      <c r="B630" s="23"/>
      <c r="C630" s="23"/>
      <c r="D630" s="23"/>
      <c r="E630" s="23"/>
      <c r="F630" s="24"/>
      <c r="G630" s="24"/>
      <c r="H630" s="24"/>
      <c r="I630" s="24"/>
      <c r="J630" s="23"/>
      <c r="K630" s="14"/>
      <c r="L630" s="14"/>
      <c r="M630" s="23"/>
      <c r="N630" s="14"/>
    </row>
    <row r="631" spans="1:14" ht="15" customHeight="1" x14ac:dyDescent="0.3">
      <c r="A631" s="25"/>
      <c r="B631" s="20"/>
      <c r="C631" s="20"/>
      <c r="D631" s="20"/>
      <c r="E631" s="20"/>
      <c r="F631" s="21"/>
      <c r="G631" s="21"/>
      <c r="H631" s="21"/>
      <c r="I631" s="21"/>
      <c r="J631" s="20"/>
      <c r="K631" s="17"/>
      <c r="L631" s="17"/>
      <c r="M631" s="20"/>
      <c r="N631" s="17"/>
    </row>
    <row r="632" spans="1:14" ht="15" customHeight="1" x14ac:dyDescent="0.3">
      <c r="A632" s="22"/>
      <c r="B632" s="23"/>
      <c r="C632" s="23"/>
      <c r="D632" s="23"/>
      <c r="E632" s="23"/>
      <c r="F632" s="24"/>
      <c r="G632" s="24"/>
      <c r="H632" s="24"/>
      <c r="I632" s="24"/>
      <c r="J632" s="23"/>
      <c r="K632" s="14"/>
      <c r="L632" s="14"/>
      <c r="M632" s="23"/>
      <c r="N632" s="14"/>
    </row>
    <row r="633" spans="1:14" ht="15" customHeight="1" x14ac:dyDescent="0.3">
      <c r="A633" s="25"/>
      <c r="B633" s="20"/>
      <c r="C633" s="20"/>
      <c r="D633" s="20"/>
      <c r="E633" s="20"/>
      <c r="F633" s="21"/>
      <c r="G633" s="21"/>
      <c r="H633" s="21"/>
      <c r="I633" s="21"/>
      <c r="J633" s="20"/>
      <c r="K633" s="17"/>
      <c r="L633" s="17"/>
      <c r="M633" s="20"/>
      <c r="N633" s="17"/>
    </row>
    <row r="634" spans="1:14" ht="15" customHeight="1" x14ac:dyDescent="0.3">
      <c r="A634" s="22"/>
      <c r="B634" s="23"/>
      <c r="C634" s="23"/>
      <c r="D634" s="23"/>
      <c r="E634" s="23"/>
      <c r="F634" s="24"/>
      <c r="G634" s="24"/>
      <c r="H634" s="24"/>
      <c r="I634" s="24"/>
      <c r="J634" s="23"/>
      <c r="K634" s="14"/>
      <c r="L634" s="14"/>
      <c r="M634" s="23"/>
      <c r="N634" s="14"/>
    </row>
    <row r="635" spans="1:14" ht="15" customHeight="1" x14ac:dyDescent="0.3">
      <c r="A635" s="25"/>
      <c r="B635" s="20"/>
      <c r="C635" s="20"/>
      <c r="D635" s="20"/>
      <c r="E635" s="20"/>
      <c r="F635" s="21"/>
      <c r="G635" s="21"/>
      <c r="H635" s="21"/>
      <c r="I635" s="21"/>
      <c r="J635" s="20"/>
      <c r="K635" s="17"/>
      <c r="L635" s="17"/>
      <c r="M635" s="20"/>
      <c r="N635" s="17"/>
    </row>
    <row r="636" spans="1:14" ht="15" customHeight="1" x14ac:dyDescent="0.3">
      <c r="A636" s="22"/>
      <c r="B636" s="23"/>
      <c r="C636" s="23"/>
      <c r="D636" s="23"/>
      <c r="E636" s="23"/>
      <c r="F636" s="24"/>
      <c r="G636" s="24"/>
      <c r="H636" s="24"/>
      <c r="I636" s="24"/>
      <c r="J636" s="23"/>
      <c r="K636" s="14"/>
      <c r="L636" s="14"/>
      <c r="M636" s="23"/>
      <c r="N636" s="14"/>
    </row>
    <row r="637" spans="1:14" ht="15" customHeight="1" x14ac:dyDescent="0.3">
      <c r="A637" s="25"/>
      <c r="B637" s="20"/>
      <c r="C637" s="20"/>
      <c r="D637" s="20"/>
      <c r="E637" s="20"/>
      <c r="F637" s="21"/>
      <c r="G637" s="21"/>
      <c r="H637" s="21"/>
      <c r="I637" s="21"/>
      <c r="J637" s="20"/>
      <c r="K637" s="17"/>
      <c r="L637" s="17"/>
      <c r="M637" s="20"/>
      <c r="N637" s="17"/>
    </row>
    <row r="638" spans="1:14" ht="15" customHeight="1" x14ac:dyDescent="0.3">
      <c r="A638" s="22"/>
      <c r="B638" s="23"/>
      <c r="C638" s="23"/>
      <c r="D638" s="23"/>
      <c r="E638" s="23"/>
      <c r="F638" s="24"/>
      <c r="G638" s="24"/>
      <c r="H638" s="24"/>
      <c r="I638" s="24"/>
      <c r="J638" s="23"/>
      <c r="K638" s="14"/>
      <c r="L638" s="14"/>
      <c r="M638" s="23"/>
      <c r="N638" s="14"/>
    </row>
    <row r="639" spans="1:14" ht="15" customHeight="1" x14ac:dyDescent="0.3">
      <c r="A639" s="25"/>
      <c r="B639" s="20"/>
      <c r="C639" s="20"/>
      <c r="D639" s="20"/>
      <c r="E639" s="20"/>
      <c r="F639" s="21"/>
      <c r="G639" s="21"/>
      <c r="H639" s="21"/>
      <c r="I639" s="21"/>
      <c r="J639" s="20"/>
      <c r="K639" s="17"/>
      <c r="L639" s="17"/>
      <c r="M639" s="20"/>
      <c r="N639" s="17"/>
    </row>
    <row r="640" spans="1:14" ht="15" customHeight="1" x14ac:dyDescent="0.3">
      <c r="A640" s="22"/>
      <c r="B640" s="23"/>
      <c r="C640" s="23"/>
      <c r="D640" s="23"/>
      <c r="E640" s="23"/>
      <c r="F640" s="24"/>
      <c r="G640" s="24"/>
      <c r="H640" s="24"/>
      <c r="I640" s="24"/>
      <c r="J640" s="23"/>
      <c r="K640" s="14"/>
      <c r="L640" s="14"/>
      <c r="M640" s="23"/>
      <c r="N640" s="14"/>
    </row>
    <row r="641" spans="1:14" ht="15" customHeight="1" x14ac:dyDescent="0.3">
      <c r="A641" s="25"/>
      <c r="B641" s="20"/>
      <c r="C641" s="20"/>
      <c r="D641" s="20"/>
      <c r="E641" s="20"/>
      <c r="F641" s="21"/>
      <c r="G641" s="21"/>
      <c r="H641" s="21"/>
      <c r="I641" s="21"/>
      <c r="J641" s="20"/>
      <c r="K641" s="17"/>
      <c r="L641" s="17"/>
      <c r="M641" s="20"/>
      <c r="N641" s="17"/>
    </row>
    <row r="642" spans="1:14" ht="15" customHeight="1" x14ac:dyDescent="0.3">
      <c r="A642" s="22"/>
      <c r="B642" s="23"/>
      <c r="C642" s="23"/>
      <c r="D642" s="23"/>
      <c r="E642" s="23"/>
      <c r="F642" s="24"/>
      <c r="G642" s="24"/>
      <c r="H642" s="24"/>
      <c r="I642" s="24"/>
      <c r="J642" s="23"/>
      <c r="K642" s="14"/>
      <c r="L642" s="14"/>
      <c r="M642" s="23"/>
      <c r="N642" s="14"/>
    </row>
    <row r="643" spans="1:14" ht="15" customHeight="1" x14ac:dyDescent="0.3">
      <c r="A643" s="25"/>
      <c r="B643" s="20"/>
      <c r="C643" s="20"/>
      <c r="D643" s="20"/>
      <c r="E643" s="20"/>
      <c r="F643" s="21"/>
      <c r="G643" s="21"/>
      <c r="H643" s="21"/>
      <c r="I643" s="21"/>
      <c r="J643" s="20"/>
      <c r="K643" s="17"/>
      <c r="L643" s="17"/>
      <c r="M643" s="20"/>
      <c r="N643" s="17"/>
    </row>
    <row r="644" spans="1:14" ht="15" customHeight="1" x14ac:dyDescent="0.3">
      <c r="A644" s="22"/>
      <c r="B644" s="23"/>
      <c r="C644" s="23"/>
      <c r="D644" s="23"/>
      <c r="E644" s="23"/>
      <c r="F644" s="24"/>
      <c r="G644" s="24"/>
      <c r="H644" s="24"/>
      <c r="I644" s="24"/>
      <c r="J644" s="23"/>
      <c r="K644" s="14"/>
      <c r="L644" s="14"/>
      <c r="M644" s="23"/>
      <c r="N644" s="14"/>
    </row>
    <row r="645" spans="1:14" ht="15" customHeight="1" x14ac:dyDescent="0.3">
      <c r="A645" s="25"/>
      <c r="B645" s="20"/>
      <c r="C645" s="20"/>
      <c r="D645" s="20"/>
      <c r="E645" s="20"/>
      <c r="F645" s="21"/>
      <c r="G645" s="21"/>
      <c r="H645" s="21"/>
      <c r="I645" s="21"/>
      <c r="J645" s="20"/>
      <c r="K645" s="17"/>
      <c r="L645" s="17"/>
      <c r="M645" s="20"/>
      <c r="N645" s="17"/>
    </row>
    <row r="646" spans="1:14" ht="15" customHeight="1" x14ac:dyDescent="0.3">
      <c r="A646" s="22"/>
      <c r="B646" s="23"/>
      <c r="C646" s="23"/>
      <c r="D646" s="23"/>
      <c r="E646" s="23"/>
      <c r="F646" s="24"/>
      <c r="G646" s="24"/>
      <c r="H646" s="24"/>
      <c r="I646" s="24"/>
      <c r="J646" s="23"/>
      <c r="K646" s="14"/>
      <c r="L646" s="14"/>
      <c r="M646" s="23"/>
      <c r="N646" s="14"/>
    </row>
    <row r="647" spans="1:14" ht="15" customHeight="1" x14ac:dyDescent="0.3">
      <c r="A647" s="25"/>
      <c r="B647" s="20"/>
      <c r="C647" s="20"/>
      <c r="D647" s="20"/>
      <c r="E647" s="20"/>
      <c r="F647" s="21"/>
      <c r="G647" s="21"/>
      <c r="H647" s="21"/>
      <c r="I647" s="21"/>
      <c r="J647" s="20"/>
      <c r="K647" s="17"/>
      <c r="L647" s="17"/>
      <c r="M647" s="20"/>
      <c r="N647" s="17"/>
    </row>
    <row r="648" spans="1:14" ht="15" customHeight="1" x14ac:dyDescent="0.3">
      <c r="A648" s="22"/>
      <c r="B648" s="23"/>
      <c r="C648" s="23"/>
      <c r="D648" s="23"/>
      <c r="E648" s="23"/>
      <c r="F648" s="24"/>
      <c r="G648" s="24"/>
      <c r="H648" s="24"/>
      <c r="I648" s="24"/>
      <c r="J648" s="23"/>
      <c r="K648" s="14"/>
      <c r="L648" s="14"/>
      <c r="M648" s="23"/>
      <c r="N648" s="14"/>
    </row>
    <row r="649" spans="1:14" ht="15" customHeight="1" x14ac:dyDescent="0.3">
      <c r="A649" s="25"/>
      <c r="B649" s="20"/>
      <c r="C649" s="20"/>
      <c r="D649" s="20"/>
      <c r="E649" s="20"/>
      <c r="F649" s="21"/>
      <c r="G649" s="21"/>
      <c r="H649" s="21"/>
      <c r="I649" s="21"/>
      <c r="J649" s="20"/>
      <c r="K649" s="17"/>
      <c r="L649" s="17"/>
      <c r="M649" s="20"/>
      <c r="N649" s="17"/>
    </row>
    <row r="650" spans="1:14" ht="15" customHeight="1" x14ac:dyDescent="0.3">
      <c r="A650" s="22"/>
      <c r="B650" s="23"/>
      <c r="C650" s="23"/>
      <c r="D650" s="23"/>
      <c r="E650" s="23"/>
      <c r="F650" s="24"/>
      <c r="G650" s="24"/>
      <c r="H650" s="24"/>
      <c r="I650" s="24"/>
      <c r="J650" s="23"/>
      <c r="K650" s="14"/>
      <c r="L650" s="14"/>
      <c r="M650" s="23"/>
      <c r="N650" s="14"/>
    </row>
    <row r="651" spans="1:14" ht="15" customHeight="1" x14ac:dyDescent="0.3">
      <c r="A651" s="25"/>
      <c r="B651" s="20"/>
      <c r="C651" s="20"/>
      <c r="D651" s="20"/>
      <c r="E651" s="20"/>
      <c r="F651" s="21"/>
      <c r="G651" s="21"/>
      <c r="H651" s="21"/>
      <c r="I651" s="21"/>
      <c r="J651" s="20"/>
      <c r="K651" s="17"/>
      <c r="L651" s="17"/>
      <c r="M651" s="20"/>
      <c r="N651" s="17"/>
    </row>
    <row r="652" spans="1:14" ht="15" customHeight="1" x14ac:dyDescent="0.3">
      <c r="A652" s="22"/>
      <c r="B652" s="23"/>
      <c r="C652" s="23"/>
      <c r="D652" s="23"/>
      <c r="E652" s="23"/>
      <c r="F652" s="24"/>
      <c r="G652" s="24"/>
      <c r="H652" s="24"/>
      <c r="I652" s="24"/>
      <c r="J652" s="23"/>
      <c r="K652" s="14"/>
      <c r="L652" s="14"/>
      <c r="M652" s="23"/>
      <c r="N652" s="14"/>
    </row>
    <row r="653" spans="1:14" ht="15" customHeight="1" x14ac:dyDescent="0.3">
      <c r="A653" s="25"/>
      <c r="B653" s="20"/>
      <c r="C653" s="20"/>
      <c r="D653" s="20"/>
      <c r="E653" s="20"/>
      <c r="F653" s="21"/>
      <c r="G653" s="21"/>
      <c r="H653" s="21"/>
      <c r="I653" s="21"/>
      <c r="J653" s="20"/>
      <c r="K653" s="17"/>
      <c r="L653" s="17"/>
      <c r="M653" s="20"/>
      <c r="N653" s="17"/>
    </row>
    <row r="654" spans="1:14" ht="15" customHeight="1" x14ac:dyDescent="0.3">
      <c r="A654" s="22"/>
      <c r="B654" s="23"/>
      <c r="C654" s="23"/>
      <c r="D654" s="23"/>
      <c r="E654" s="23"/>
      <c r="F654" s="24"/>
      <c r="G654" s="24"/>
      <c r="H654" s="24"/>
      <c r="I654" s="24"/>
      <c r="J654" s="23"/>
      <c r="K654" s="14"/>
      <c r="L654" s="14"/>
      <c r="M654" s="23"/>
      <c r="N654" s="14"/>
    </row>
    <row r="655" spans="1:14" ht="15" customHeight="1" x14ac:dyDescent="0.3">
      <c r="A655" s="25"/>
      <c r="B655" s="20"/>
      <c r="C655" s="20"/>
      <c r="D655" s="20"/>
      <c r="E655" s="20"/>
      <c r="F655" s="21"/>
      <c r="G655" s="21"/>
      <c r="H655" s="21"/>
      <c r="I655" s="21"/>
      <c r="J655" s="20"/>
      <c r="K655" s="17"/>
      <c r="L655" s="17"/>
      <c r="M655" s="20"/>
      <c r="N655" s="17"/>
    </row>
    <row r="656" spans="1:14" ht="15" customHeight="1" x14ac:dyDescent="0.3">
      <c r="A656" s="22"/>
      <c r="B656" s="23"/>
      <c r="C656" s="23"/>
      <c r="D656" s="23"/>
      <c r="E656" s="23"/>
      <c r="F656" s="24"/>
      <c r="G656" s="24"/>
      <c r="H656" s="24"/>
      <c r="I656" s="24"/>
      <c r="J656" s="23"/>
      <c r="K656" s="14"/>
      <c r="L656" s="14"/>
      <c r="M656" s="23"/>
      <c r="N656" s="14"/>
    </row>
    <row r="657" spans="1:14" ht="15" customHeight="1" x14ac:dyDescent="0.3">
      <c r="A657" s="25"/>
      <c r="B657" s="20"/>
      <c r="C657" s="20"/>
      <c r="D657" s="20"/>
      <c r="E657" s="20"/>
      <c r="F657" s="21"/>
      <c r="G657" s="21"/>
      <c r="H657" s="21"/>
      <c r="I657" s="21"/>
      <c r="J657" s="20"/>
      <c r="K657" s="17"/>
      <c r="L657" s="17"/>
      <c r="M657" s="20"/>
      <c r="N657" s="17"/>
    </row>
    <row r="658" spans="1:14" ht="15" customHeight="1" x14ac:dyDescent="0.3">
      <c r="A658" s="22"/>
      <c r="B658" s="23"/>
      <c r="C658" s="23"/>
      <c r="D658" s="23"/>
      <c r="E658" s="23"/>
      <c r="F658" s="24"/>
      <c r="G658" s="24"/>
      <c r="H658" s="24"/>
      <c r="I658" s="24"/>
      <c r="J658" s="23"/>
      <c r="K658" s="14"/>
      <c r="L658" s="14"/>
      <c r="M658" s="23"/>
      <c r="N658" s="14"/>
    </row>
    <row r="659" spans="1:14" ht="15" customHeight="1" x14ac:dyDescent="0.3">
      <c r="A659" s="25"/>
      <c r="B659" s="20"/>
      <c r="C659" s="20"/>
      <c r="D659" s="20"/>
      <c r="E659" s="20"/>
      <c r="F659" s="21"/>
      <c r="G659" s="21"/>
      <c r="H659" s="21"/>
      <c r="I659" s="21"/>
      <c r="J659" s="20"/>
      <c r="K659" s="17"/>
      <c r="L659" s="17"/>
      <c r="M659" s="20"/>
      <c r="N659" s="17"/>
    </row>
    <row r="660" spans="1:14" ht="15" customHeight="1" x14ac:dyDescent="0.3">
      <c r="A660" s="22"/>
      <c r="B660" s="23"/>
      <c r="C660" s="23"/>
      <c r="D660" s="23"/>
      <c r="E660" s="23"/>
      <c r="F660" s="24"/>
      <c r="G660" s="24"/>
      <c r="H660" s="24"/>
      <c r="I660" s="24"/>
      <c r="J660" s="23"/>
      <c r="K660" s="14"/>
      <c r="L660" s="14"/>
      <c r="M660" s="23"/>
      <c r="N660" s="14"/>
    </row>
    <row r="661" spans="1:14" ht="15" customHeight="1" x14ac:dyDescent="0.3">
      <c r="A661" s="25"/>
      <c r="B661" s="20"/>
      <c r="C661" s="20"/>
      <c r="D661" s="20"/>
      <c r="E661" s="20"/>
      <c r="F661" s="21"/>
      <c r="G661" s="21"/>
      <c r="H661" s="21"/>
      <c r="I661" s="21"/>
      <c r="J661" s="20"/>
      <c r="K661" s="17"/>
      <c r="L661" s="17"/>
      <c r="M661" s="20"/>
      <c r="N661" s="17"/>
    </row>
    <row r="662" spans="1:14" ht="15" customHeight="1" x14ac:dyDescent="0.3">
      <c r="A662" s="22"/>
      <c r="B662" s="23"/>
      <c r="C662" s="23"/>
      <c r="D662" s="23"/>
      <c r="E662" s="23"/>
      <c r="F662" s="24"/>
      <c r="G662" s="24"/>
      <c r="H662" s="24"/>
      <c r="I662" s="24"/>
      <c r="J662" s="23"/>
      <c r="K662" s="14"/>
      <c r="L662" s="14"/>
      <c r="M662" s="23"/>
      <c r="N662" s="14"/>
    </row>
    <row r="663" spans="1:14" ht="15" customHeight="1" x14ac:dyDescent="0.3">
      <c r="A663" s="25"/>
      <c r="B663" s="20"/>
      <c r="C663" s="20"/>
      <c r="D663" s="20"/>
      <c r="E663" s="20"/>
      <c r="F663" s="21"/>
      <c r="G663" s="21"/>
      <c r="H663" s="21"/>
      <c r="I663" s="21"/>
      <c r="J663" s="20"/>
      <c r="K663" s="17"/>
      <c r="L663" s="17"/>
      <c r="M663" s="20"/>
      <c r="N663" s="17"/>
    </row>
    <row r="664" spans="1:14" ht="15" customHeight="1" x14ac:dyDescent="0.3">
      <c r="A664" s="22"/>
      <c r="B664" s="23"/>
      <c r="C664" s="23"/>
      <c r="D664" s="23"/>
      <c r="E664" s="23"/>
      <c r="F664" s="24"/>
      <c r="G664" s="24"/>
      <c r="H664" s="24"/>
      <c r="I664" s="24"/>
      <c r="J664" s="23"/>
      <c r="K664" s="14"/>
      <c r="L664" s="14"/>
      <c r="M664" s="23"/>
      <c r="N664" s="14"/>
    </row>
    <row r="665" spans="1:14" ht="15" customHeight="1" x14ac:dyDescent="0.3">
      <c r="A665" s="25"/>
      <c r="B665" s="20"/>
      <c r="C665" s="20"/>
      <c r="D665" s="20"/>
      <c r="E665" s="20"/>
      <c r="F665" s="21"/>
      <c r="G665" s="21"/>
      <c r="H665" s="21"/>
      <c r="I665" s="21"/>
      <c r="J665" s="20"/>
      <c r="K665" s="17"/>
      <c r="L665" s="17"/>
      <c r="M665" s="20"/>
      <c r="N665" s="17"/>
    </row>
    <row r="666" spans="1:14" ht="15" customHeight="1" x14ac:dyDescent="0.3">
      <c r="A666" s="22"/>
      <c r="B666" s="23"/>
      <c r="C666" s="23"/>
      <c r="D666" s="23"/>
      <c r="E666" s="23"/>
      <c r="F666" s="24"/>
      <c r="G666" s="24"/>
      <c r="H666" s="24"/>
      <c r="I666" s="24"/>
      <c r="J666" s="23"/>
      <c r="K666" s="14"/>
      <c r="L666" s="14"/>
      <c r="M666" s="23"/>
      <c r="N666" s="14"/>
    </row>
    <row r="667" spans="1:14" ht="15" customHeight="1" x14ac:dyDescent="0.3">
      <c r="A667" s="25"/>
      <c r="B667" s="20"/>
      <c r="C667" s="20"/>
      <c r="D667" s="20"/>
      <c r="E667" s="20"/>
      <c r="F667" s="21"/>
      <c r="G667" s="21"/>
      <c r="H667" s="21"/>
      <c r="I667" s="21"/>
      <c r="J667" s="20"/>
      <c r="K667" s="17"/>
      <c r="L667" s="17"/>
      <c r="M667" s="20"/>
      <c r="N667" s="17"/>
    </row>
    <row r="668" spans="1:14" ht="15" customHeight="1" x14ac:dyDescent="0.3">
      <c r="A668" s="22"/>
      <c r="B668" s="23"/>
      <c r="C668" s="23"/>
      <c r="D668" s="23"/>
      <c r="E668" s="23"/>
      <c r="F668" s="24"/>
      <c r="G668" s="24"/>
      <c r="H668" s="24"/>
      <c r="I668" s="24"/>
      <c r="J668" s="23"/>
      <c r="K668" s="14"/>
      <c r="L668" s="14"/>
      <c r="M668" s="23"/>
      <c r="N668" s="14"/>
    </row>
    <row r="669" spans="1:14" ht="15" customHeight="1" x14ac:dyDescent="0.3">
      <c r="A669" s="25"/>
      <c r="B669" s="20"/>
      <c r="C669" s="20"/>
      <c r="D669" s="20"/>
      <c r="E669" s="20"/>
      <c r="F669" s="21"/>
      <c r="G669" s="21"/>
      <c r="H669" s="21"/>
      <c r="I669" s="21"/>
      <c r="J669" s="20"/>
      <c r="K669" s="17"/>
      <c r="L669" s="17"/>
      <c r="M669" s="20"/>
      <c r="N669" s="17"/>
    </row>
    <row r="670" spans="1:14" ht="15" customHeight="1" x14ac:dyDescent="0.3">
      <c r="A670" s="22"/>
      <c r="B670" s="23"/>
      <c r="C670" s="23"/>
      <c r="D670" s="23"/>
      <c r="E670" s="23"/>
      <c r="F670" s="24"/>
      <c r="G670" s="24"/>
      <c r="H670" s="24"/>
      <c r="I670" s="24"/>
      <c r="J670" s="23"/>
      <c r="K670" s="14"/>
      <c r="L670" s="14"/>
      <c r="M670" s="23"/>
      <c r="N670" s="14"/>
    </row>
    <row r="671" spans="1:14" ht="15" customHeight="1" x14ac:dyDescent="0.3">
      <c r="A671" s="25"/>
      <c r="B671" s="20"/>
      <c r="C671" s="20"/>
      <c r="D671" s="20"/>
      <c r="E671" s="20"/>
      <c r="F671" s="21"/>
      <c r="G671" s="21"/>
      <c r="H671" s="21"/>
      <c r="I671" s="21"/>
      <c r="J671" s="20"/>
      <c r="K671" s="17"/>
      <c r="L671" s="17"/>
      <c r="M671" s="20"/>
      <c r="N671" s="17"/>
    </row>
    <row r="672" spans="1:14" ht="15" customHeight="1" x14ac:dyDescent="0.3">
      <c r="A672" s="22"/>
      <c r="B672" s="23"/>
      <c r="C672" s="23"/>
      <c r="D672" s="23"/>
      <c r="E672" s="23"/>
      <c r="F672" s="24"/>
      <c r="G672" s="24"/>
      <c r="H672" s="24"/>
      <c r="I672" s="24"/>
      <c r="J672" s="23"/>
      <c r="K672" s="14"/>
      <c r="L672" s="14"/>
      <c r="M672" s="23"/>
      <c r="N672" s="14"/>
    </row>
    <row r="673" spans="1:14" ht="15" customHeight="1" x14ac:dyDescent="0.3">
      <c r="A673" s="25"/>
      <c r="B673" s="20"/>
      <c r="C673" s="20"/>
      <c r="D673" s="20"/>
      <c r="E673" s="20"/>
      <c r="F673" s="21"/>
      <c r="G673" s="21"/>
      <c r="H673" s="21"/>
      <c r="I673" s="21"/>
      <c r="J673" s="20"/>
      <c r="K673" s="17"/>
      <c r="L673" s="17"/>
      <c r="M673" s="20"/>
      <c r="N673" s="17"/>
    </row>
    <row r="674" spans="1:14" ht="15" customHeight="1" x14ac:dyDescent="0.3">
      <c r="A674" s="22"/>
      <c r="B674" s="23"/>
      <c r="C674" s="23"/>
      <c r="D674" s="23"/>
      <c r="E674" s="23"/>
      <c r="F674" s="24"/>
      <c r="G674" s="24"/>
      <c r="H674" s="24"/>
      <c r="I674" s="24"/>
      <c r="J674" s="23"/>
      <c r="K674" s="14"/>
      <c r="L674" s="14"/>
      <c r="M674" s="23"/>
      <c r="N674" s="14"/>
    </row>
    <row r="675" spans="1:14" ht="15" customHeight="1" x14ac:dyDescent="0.3">
      <c r="A675" s="25"/>
      <c r="B675" s="20"/>
      <c r="C675" s="20"/>
      <c r="D675" s="20"/>
      <c r="E675" s="20"/>
      <c r="F675" s="21"/>
      <c r="G675" s="21"/>
      <c r="H675" s="21"/>
      <c r="I675" s="21"/>
      <c r="J675" s="20"/>
      <c r="K675" s="17"/>
      <c r="L675" s="17"/>
      <c r="M675" s="20"/>
      <c r="N675" s="17"/>
    </row>
    <row r="676" spans="1:14" ht="15" customHeight="1" x14ac:dyDescent="0.3">
      <c r="A676" s="22"/>
      <c r="B676" s="23"/>
      <c r="C676" s="23"/>
      <c r="D676" s="23"/>
      <c r="E676" s="23"/>
      <c r="F676" s="24"/>
      <c r="G676" s="24"/>
      <c r="H676" s="24"/>
      <c r="I676" s="24"/>
      <c r="J676" s="23"/>
      <c r="K676" s="14"/>
      <c r="L676" s="14"/>
      <c r="M676" s="23"/>
      <c r="N676" s="14"/>
    </row>
    <row r="677" spans="1:14" ht="15" customHeight="1" x14ac:dyDescent="0.3">
      <c r="A677" s="25"/>
      <c r="B677" s="20"/>
      <c r="C677" s="20"/>
      <c r="D677" s="20"/>
      <c r="E677" s="20"/>
      <c r="F677" s="21"/>
      <c r="G677" s="21"/>
      <c r="H677" s="21"/>
      <c r="I677" s="21"/>
      <c r="J677" s="20"/>
      <c r="K677" s="17"/>
      <c r="L677" s="17"/>
      <c r="M677" s="20"/>
      <c r="N677" s="17"/>
    </row>
    <row r="678" spans="1:14" ht="15" customHeight="1" x14ac:dyDescent="0.3">
      <c r="A678" s="22"/>
      <c r="B678" s="23"/>
      <c r="C678" s="23"/>
      <c r="D678" s="23"/>
      <c r="E678" s="23"/>
      <c r="F678" s="24"/>
      <c r="G678" s="24"/>
      <c r="H678" s="24"/>
      <c r="I678" s="24"/>
      <c r="J678" s="23"/>
      <c r="K678" s="14"/>
      <c r="L678" s="14"/>
      <c r="M678" s="23"/>
      <c r="N678" s="14"/>
    </row>
    <row r="679" spans="1:14" ht="15" customHeight="1" x14ac:dyDescent="0.3">
      <c r="A679" s="25"/>
      <c r="B679" s="20"/>
      <c r="C679" s="20"/>
      <c r="D679" s="20"/>
      <c r="E679" s="20"/>
      <c r="F679" s="21"/>
      <c r="G679" s="21"/>
      <c r="H679" s="21"/>
      <c r="I679" s="21"/>
      <c r="J679" s="20"/>
      <c r="K679" s="17"/>
      <c r="L679" s="17"/>
      <c r="M679" s="20"/>
      <c r="N679" s="17"/>
    </row>
    <row r="680" spans="1:14" ht="15" customHeight="1" x14ac:dyDescent="0.3">
      <c r="A680" s="22"/>
      <c r="B680" s="23"/>
      <c r="C680" s="23"/>
      <c r="D680" s="23"/>
      <c r="E680" s="23"/>
      <c r="F680" s="24"/>
      <c r="G680" s="24"/>
      <c r="H680" s="24"/>
      <c r="I680" s="24"/>
      <c r="J680" s="23"/>
      <c r="K680" s="14"/>
      <c r="L680" s="14"/>
      <c r="M680" s="23"/>
      <c r="N680" s="14"/>
    </row>
    <row r="681" spans="1:14" ht="15" customHeight="1" x14ac:dyDescent="0.3">
      <c r="A681" s="25"/>
      <c r="B681" s="20"/>
      <c r="C681" s="20"/>
      <c r="D681" s="20"/>
      <c r="E681" s="20"/>
      <c r="F681" s="21"/>
      <c r="G681" s="21"/>
      <c r="H681" s="21"/>
      <c r="I681" s="21"/>
      <c r="J681" s="20"/>
      <c r="K681" s="17"/>
      <c r="L681" s="17"/>
      <c r="M681" s="20"/>
      <c r="N681" s="17"/>
    </row>
    <row r="682" spans="1:14" ht="15" customHeight="1" x14ac:dyDescent="0.3">
      <c r="A682" s="22"/>
      <c r="B682" s="23"/>
      <c r="C682" s="23"/>
      <c r="D682" s="23"/>
      <c r="E682" s="23"/>
      <c r="F682" s="24"/>
      <c r="G682" s="24"/>
      <c r="H682" s="24"/>
      <c r="I682" s="24"/>
      <c r="J682" s="23"/>
      <c r="K682" s="14"/>
      <c r="L682" s="14"/>
      <c r="M682" s="23"/>
      <c r="N682" s="14"/>
    </row>
    <row r="683" spans="1:14" ht="15" customHeight="1" x14ac:dyDescent="0.3">
      <c r="A683" s="25"/>
      <c r="B683" s="20"/>
      <c r="C683" s="20"/>
      <c r="D683" s="20"/>
      <c r="E683" s="20"/>
      <c r="F683" s="21"/>
      <c r="G683" s="21"/>
      <c r="H683" s="21"/>
      <c r="I683" s="21"/>
      <c r="J683" s="20"/>
      <c r="K683" s="17"/>
      <c r="L683" s="17"/>
      <c r="M683" s="20"/>
      <c r="N683" s="17"/>
    </row>
    <row r="684" spans="1:14" ht="15" customHeight="1" x14ac:dyDescent="0.3">
      <c r="A684" s="22"/>
      <c r="B684" s="23"/>
      <c r="C684" s="23"/>
      <c r="D684" s="23"/>
      <c r="E684" s="23"/>
      <c r="F684" s="24"/>
      <c r="G684" s="24"/>
      <c r="H684" s="24"/>
      <c r="I684" s="24"/>
      <c r="J684" s="23"/>
      <c r="K684" s="14"/>
      <c r="L684" s="14"/>
      <c r="M684" s="23"/>
      <c r="N684" s="14"/>
    </row>
    <row r="685" spans="1:14" ht="15" customHeight="1" x14ac:dyDescent="0.3">
      <c r="A685" s="25"/>
      <c r="B685" s="20"/>
      <c r="C685" s="20"/>
      <c r="D685" s="20"/>
      <c r="E685" s="20"/>
      <c r="F685" s="21"/>
      <c r="G685" s="21"/>
      <c r="H685" s="21"/>
      <c r="I685" s="21"/>
      <c r="J685" s="20"/>
      <c r="K685" s="17"/>
      <c r="L685" s="17"/>
      <c r="M685" s="20"/>
      <c r="N685" s="17"/>
    </row>
    <row r="686" spans="1:14" ht="15" customHeight="1" x14ac:dyDescent="0.3">
      <c r="A686" s="22"/>
      <c r="B686" s="23"/>
      <c r="C686" s="23"/>
      <c r="D686" s="23"/>
      <c r="E686" s="23"/>
      <c r="F686" s="24"/>
      <c r="G686" s="24"/>
      <c r="H686" s="24"/>
      <c r="I686" s="24"/>
      <c r="J686" s="23"/>
      <c r="K686" s="14"/>
      <c r="L686" s="14"/>
      <c r="M686" s="23"/>
      <c r="N686" s="14"/>
    </row>
    <row r="687" spans="1:14" ht="15" customHeight="1" x14ac:dyDescent="0.3">
      <c r="A687" s="25"/>
      <c r="B687" s="20"/>
      <c r="C687" s="20"/>
      <c r="D687" s="20"/>
      <c r="E687" s="20"/>
      <c r="F687" s="21"/>
      <c r="G687" s="21"/>
      <c r="H687" s="21"/>
      <c r="I687" s="21"/>
      <c r="J687" s="20"/>
      <c r="K687" s="17"/>
      <c r="L687" s="17"/>
      <c r="M687" s="20"/>
      <c r="N687" s="17"/>
    </row>
    <row r="688" spans="1:14" ht="15" customHeight="1" x14ac:dyDescent="0.3">
      <c r="A688" s="22"/>
      <c r="B688" s="23"/>
      <c r="C688" s="23"/>
      <c r="D688" s="23"/>
      <c r="E688" s="23"/>
      <c r="F688" s="24"/>
      <c r="G688" s="24"/>
      <c r="H688" s="24"/>
      <c r="I688" s="24"/>
      <c r="J688" s="23"/>
      <c r="K688" s="14"/>
      <c r="L688" s="14"/>
      <c r="M688" s="23"/>
      <c r="N688" s="14"/>
    </row>
    <row r="689" spans="1:14" ht="15" customHeight="1" x14ac:dyDescent="0.3">
      <c r="A689" s="25"/>
      <c r="B689" s="20"/>
      <c r="C689" s="20"/>
      <c r="D689" s="20"/>
      <c r="E689" s="20"/>
      <c r="F689" s="21"/>
      <c r="G689" s="21"/>
      <c r="H689" s="21"/>
      <c r="I689" s="21"/>
      <c r="J689" s="20"/>
      <c r="K689" s="17"/>
      <c r="L689" s="17"/>
      <c r="M689" s="20"/>
      <c r="N689" s="17"/>
    </row>
    <row r="690" spans="1:14" ht="15" customHeight="1" x14ac:dyDescent="0.3">
      <c r="A690" s="22"/>
      <c r="B690" s="23"/>
      <c r="C690" s="23"/>
      <c r="D690" s="23"/>
      <c r="E690" s="23"/>
      <c r="F690" s="24"/>
      <c r="G690" s="24"/>
      <c r="H690" s="24"/>
      <c r="I690" s="24"/>
      <c r="J690" s="23"/>
      <c r="K690" s="14"/>
      <c r="L690" s="14"/>
      <c r="M690" s="23"/>
      <c r="N690" s="14"/>
    </row>
    <row r="691" spans="1:14" ht="15" customHeight="1" x14ac:dyDescent="0.3">
      <c r="A691" s="25"/>
      <c r="B691" s="20"/>
      <c r="C691" s="20"/>
      <c r="D691" s="20"/>
      <c r="E691" s="20"/>
      <c r="F691" s="21"/>
      <c r="G691" s="21"/>
      <c r="H691" s="21"/>
      <c r="I691" s="21"/>
      <c r="J691" s="20"/>
      <c r="K691" s="17"/>
      <c r="L691" s="17"/>
      <c r="M691" s="20"/>
      <c r="N691" s="17"/>
    </row>
    <row r="692" spans="1:14" ht="15" customHeight="1" x14ac:dyDescent="0.3">
      <c r="A692" s="22"/>
      <c r="B692" s="23"/>
      <c r="C692" s="23"/>
      <c r="D692" s="23"/>
      <c r="E692" s="23"/>
      <c r="F692" s="24"/>
      <c r="G692" s="24"/>
      <c r="H692" s="24"/>
      <c r="I692" s="24"/>
      <c r="J692" s="23"/>
      <c r="K692" s="14"/>
      <c r="L692" s="14"/>
      <c r="M692" s="23"/>
      <c r="N692" s="14"/>
    </row>
    <row r="693" spans="1:14" ht="15" customHeight="1" x14ac:dyDescent="0.3">
      <c r="A693" s="25"/>
      <c r="B693" s="20"/>
      <c r="C693" s="20"/>
      <c r="D693" s="20"/>
      <c r="E693" s="20"/>
      <c r="F693" s="21"/>
      <c r="G693" s="21"/>
      <c r="H693" s="21"/>
      <c r="I693" s="21"/>
      <c r="J693" s="20"/>
      <c r="K693" s="17"/>
      <c r="L693" s="17"/>
      <c r="M693" s="20"/>
      <c r="N693" s="17"/>
    </row>
    <row r="694" spans="1:14" ht="15" customHeight="1" x14ac:dyDescent="0.3">
      <c r="A694" s="22"/>
      <c r="B694" s="23"/>
      <c r="C694" s="23"/>
      <c r="D694" s="23"/>
      <c r="E694" s="23"/>
      <c r="F694" s="24"/>
      <c r="G694" s="24"/>
      <c r="H694" s="24"/>
      <c r="I694" s="24"/>
      <c r="J694" s="23"/>
      <c r="K694" s="14"/>
      <c r="L694" s="14"/>
      <c r="M694" s="23"/>
      <c r="N694" s="14"/>
    </row>
    <row r="695" spans="1:14" ht="15" customHeight="1" x14ac:dyDescent="0.3">
      <c r="A695" s="25"/>
      <c r="B695" s="20"/>
      <c r="C695" s="20"/>
      <c r="D695" s="20"/>
      <c r="E695" s="20"/>
      <c r="F695" s="21"/>
      <c r="G695" s="21"/>
      <c r="H695" s="21"/>
      <c r="I695" s="21"/>
      <c r="J695" s="20"/>
      <c r="K695" s="17"/>
      <c r="L695" s="17"/>
      <c r="M695" s="20"/>
      <c r="N695" s="17"/>
    </row>
    <row r="696" spans="1:14" ht="15" customHeight="1" x14ac:dyDescent="0.3">
      <c r="A696" s="22"/>
      <c r="B696" s="23"/>
      <c r="C696" s="23"/>
      <c r="D696" s="23"/>
      <c r="E696" s="23"/>
      <c r="F696" s="24"/>
      <c r="G696" s="24"/>
      <c r="H696" s="24"/>
      <c r="I696" s="24"/>
      <c r="J696" s="23"/>
      <c r="K696" s="14"/>
      <c r="L696" s="14"/>
      <c r="M696" s="23"/>
      <c r="N696" s="14"/>
    </row>
    <row r="697" spans="1:14" ht="15" customHeight="1" x14ac:dyDescent="0.3">
      <c r="A697" s="25"/>
      <c r="B697" s="20"/>
      <c r="C697" s="20"/>
      <c r="D697" s="20"/>
      <c r="E697" s="20"/>
      <c r="F697" s="21"/>
      <c r="G697" s="21"/>
      <c r="H697" s="21"/>
      <c r="I697" s="21"/>
      <c r="J697" s="20"/>
      <c r="K697" s="17"/>
      <c r="L697" s="17"/>
      <c r="M697" s="20"/>
      <c r="N697" s="17"/>
    </row>
    <row r="698" spans="1:14" ht="15" customHeight="1" x14ac:dyDescent="0.3">
      <c r="A698" s="22"/>
      <c r="B698" s="23"/>
      <c r="C698" s="23"/>
      <c r="D698" s="23"/>
      <c r="E698" s="23"/>
      <c r="F698" s="24"/>
      <c r="G698" s="24"/>
      <c r="H698" s="24"/>
      <c r="I698" s="24"/>
      <c r="J698" s="23"/>
      <c r="K698" s="14"/>
      <c r="L698" s="14"/>
      <c r="M698" s="23"/>
      <c r="N698" s="14"/>
    </row>
    <row r="699" spans="1:14" ht="15" customHeight="1" x14ac:dyDescent="0.3">
      <c r="A699" s="25"/>
      <c r="B699" s="20"/>
      <c r="C699" s="20"/>
      <c r="D699" s="20"/>
      <c r="E699" s="20"/>
      <c r="F699" s="21"/>
      <c r="G699" s="21"/>
      <c r="H699" s="21"/>
      <c r="I699" s="21"/>
      <c r="J699" s="20"/>
      <c r="K699" s="17"/>
      <c r="L699" s="17"/>
      <c r="M699" s="20"/>
      <c r="N699" s="17"/>
    </row>
    <row r="700" spans="1:14" ht="15" customHeight="1" x14ac:dyDescent="0.3">
      <c r="A700" s="22"/>
      <c r="B700" s="23"/>
      <c r="C700" s="23"/>
      <c r="D700" s="23"/>
      <c r="E700" s="23"/>
      <c r="F700" s="24"/>
      <c r="G700" s="24"/>
      <c r="H700" s="24"/>
      <c r="I700" s="24"/>
      <c r="J700" s="23"/>
      <c r="K700" s="14"/>
      <c r="L700" s="14"/>
      <c r="M700" s="23"/>
      <c r="N700" s="14"/>
    </row>
    <row r="701" spans="1:14" ht="15" customHeight="1" x14ac:dyDescent="0.3">
      <c r="A701" s="25"/>
      <c r="B701" s="20"/>
      <c r="C701" s="20"/>
      <c r="D701" s="20"/>
      <c r="E701" s="20"/>
      <c r="F701" s="21"/>
      <c r="G701" s="21"/>
      <c r="H701" s="21"/>
      <c r="I701" s="21"/>
      <c r="J701" s="20"/>
      <c r="K701" s="17"/>
      <c r="L701" s="17"/>
      <c r="M701" s="20"/>
      <c r="N701" s="17"/>
    </row>
    <row r="702" spans="1:14" ht="15" customHeight="1" x14ac:dyDescent="0.3">
      <c r="A702" s="22"/>
      <c r="B702" s="23"/>
      <c r="C702" s="23"/>
      <c r="D702" s="23"/>
      <c r="E702" s="23"/>
      <c r="F702" s="24"/>
      <c r="G702" s="24"/>
      <c r="H702" s="24"/>
      <c r="I702" s="24"/>
      <c r="J702" s="23"/>
      <c r="K702" s="14"/>
      <c r="L702" s="14"/>
      <c r="M702" s="23"/>
      <c r="N702" s="14"/>
    </row>
    <row r="703" spans="1:14" ht="15" customHeight="1" x14ac:dyDescent="0.3">
      <c r="A703" s="25"/>
      <c r="B703" s="20"/>
      <c r="C703" s="20"/>
      <c r="D703" s="20"/>
      <c r="E703" s="20"/>
      <c r="F703" s="21"/>
      <c r="G703" s="21"/>
      <c r="H703" s="21"/>
      <c r="I703" s="21"/>
      <c r="J703" s="20"/>
      <c r="K703" s="17"/>
      <c r="L703" s="17"/>
      <c r="M703" s="20"/>
      <c r="N703" s="17"/>
    </row>
    <row r="704" spans="1:14" ht="15" customHeight="1" x14ac:dyDescent="0.3">
      <c r="A704" s="22"/>
      <c r="B704" s="23"/>
      <c r="C704" s="23"/>
      <c r="D704" s="23"/>
      <c r="E704" s="23"/>
      <c r="F704" s="24"/>
      <c r="G704" s="24"/>
      <c r="H704" s="24"/>
      <c r="I704" s="24"/>
      <c r="J704" s="23"/>
      <c r="K704" s="14"/>
      <c r="L704" s="14"/>
      <c r="M704" s="23"/>
      <c r="N704" s="14"/>
    </row>
    <row r="705" spans="1:14" ht="15" customHeight="1" x14ac:dyDescent="0.3">
      <c r="A705" s="25"/>
      <c r="B705" s="20"/>
      <c r="C705" s="20"/>
      <c r="D705" s="20"/>
      <c r="E705" s="20"/>
      <c r="F705" s="21"/>
      <c r="G705" s="21"/>
      <c r="H705" s="21"/>
      <c r="I705" s="21"/>
      <c r="J705" s="20"/>
      <c r="K705" s="17"/>
      <c r="L705" s="17"/>
      <c r="M705" s="20"/>
      <c r="N705" s="17"/>
    </row>
    <row r="706" spans="1:14" ht="15" customHeight="1" x14ac:dyDescent="0.3">
      <c r="A706" s="22"/>
      <c r="B706" s="23"/>
      <c r="C706" s="23"/>
      <c r="D706" s="23"/>
      <c r="E706" s="23"/>
      <c r="F706" s="24"/>
      <c r="G706" s="24"/>
      <c r="H706" s="24"/>
      <c r="I706" s="24"/>
      <c r="J706" s="23"/>
      <c r="K706" s="14"/>
      <c r="L706" s="14"/>
      <c r="M706" s="23"/>
      <c r="N706" s="14"/>
    </row>
    <row r="707" spans="1:14" ht="15" customHeight="1" x14ac:dyDescent="0.3">
      <c r="A707" s="25"/>
      <c r="B707" s="20"/>
      <c r="C707" s="20"/>
      <c r="D707" s="20"/>
      <c r="E707" s="20"/>
      <c r="F707" s="21"/>
      <c r="G707" s="21"/>
      <c r="H707" s="21"/>
      <c r="I707" s="21"/>
      <c r="J707" s="20"/>
      <c r="K707" s="17"/>
      <c r="L707" s="17"/>
      <c r="M707" s="20"/>
      <c r="N707" s="17"/>
    </row>
    <row r="708" spans="1:14" ht="15" customHeight="1" x14ac:dyDescent="0.3">
      <c r="A708" s="22"/>
      <c r="B708" s="23"/>
      <c r="C708" s="23"/>
      <c r="D708" s="23"/>
      <c r="E708" s="23"/>
      <c r="F708" s="24"/>
      <c r="G708" s="24"/>
      <c r="H708" s="24"/>
      <c r="I708" s="24"/>
      <c r="J708" s="23"/>
      <c r="K708" s="14"/>
      <c r="L708" s="14"/>
      <c r="M708" s="23"/>
      <c r="N708" s="14"/>
    </row>
    <row r="709" spans="1:14" ht="15" customHeight="1" x14ac:dyDescent="0.3">
      <c r="A709" s="25"/>
      <c r="B709" s="20"/>
      <c r="C709" s="20"/>
      <c r="D709" s="20"/>
      <c r="E709" s="20"/>
      <c r="F709" s="21"/>
      <c r="G709" s="21"/>
      <c r="H709" s="21"/>
      <c r="I709" s="21"/>
      <c r="J709" s="20"/>
      <c r="K709" s="17"/>
      <c r="L709" s="17"/>
      <c r="M709" s="20"/>
      <c r="N709" s="17"/>
    </row>
    <row r="710" spans="1:14" ht="15" customHeight="1" x14ac:dyDescent="0.3">
      <c r="A710" s="22"/>
      <c r="B710" s="23"/>
      <c r="C710" s="23"/>
      <c r="D710" s="23"/>
      <c r="E710" s="23"/>
      <c r="F710" s="24"/>
      <c r="G710" s="24"/>
      <c r="H710" s="24"/>
      <c r="I710" s="24"/>
      <c r="J710" s="23"/>
      <c r="K710" s="14"/>
      <c r="L710" s="14"/>
      <c r="M710" s="23"/>
      <c r="N710" s="14"/>
    </row>
    <row r="711" spans="1:14" ht="15" customHeight="1" x14ac:dyDescent="0.3">
      <c r="A711" s="25"/>
      <c r="B711" s="20"/>
      <c r="C711" s="20"/>
      <c r="D711" s="20"/>
      <c r="E711" s="20"/>
      <c r="F711" s="21"/>
      <c r="G711" s="21"/>
      <c r="H711" s="21"/>
      <c r="I711" s="21"/>
      <c r="J711" s="20"/>
      <c r="K711" s="17"/>
      <c r="L711" s="17"/>
      <c r="M711" s="20"/>
      <c r="N711" s="17"/>
    </row>
    <row r="712" spans="1:14" ht="15" customHeight="1" x14ac:dyDescent="0.3">
      <c r="A712" s="22"/>
      <c r="B712" s="23"/>
      <c r="C712" s="23"/>
      <c r="D712" s="23"/>
      <c r="E712" s="23"/>
      <c r="F712" s="24"/>
      <c r="G712" s="24"/>
      <c r="H712" s="24"/>
      <c r="I712" s="24"/>
      <c r="J712" s="23"/>
      <c r="K712" s="14"/>
      <c r="L712" s="14"/>
      <c r="M712" s="23"/>
      <c r="N712" s="14"/>
    </row>
    <row r="713" spans="1:14" ht="15" customHeight="1" x14ac:dyDescent="0.3">
      <c r="A713" s="25"/>
      <c r="B713" s="20"/>
      <c r="C713" s="20"/>
      <c r="D713" s="20"/>
      <c r="E713" s="20"/>
      <c r="F713" s="21"/>
      <c r="G713" s="21"/>
      <c r="H713" s="21"/>
      <c r="I713" s="21"/>
      <c r="J713" s="20"/>
      <c r="K713" s="17"/>
      <c r="L713" s="17"/>
      <c r="M713" s="20"/>
      <c r="N713" s="17"/>
    </row>
    <row r="714" spans="1:14" ht="15" customHeight="1" x14ac:dyDescent="0.3">
      <c r="A714" s="22"/>
      <c r="B714" s="23"/>
      <c r="C714" s="23"/>
      <c r="D714" s="23"/>
      <c r="E714" s="23"/>
      <c r="F714" s="24"/>
      <c r="G714" s="24"/>
      <c r="H714" s="24"/>
      <c r="I714" s="24"/>
      <c r="J714" s="23"/>
      <c r="K714" s="14"/>
      <c r="L714" s="14"/>
      <c r="M714" s="23"/>
      <c r="N714" s="14"/>
    </row>
    <row r="715" spans="1:14" ht="15" customHeight="1" x14ac:dyDescent="0.3">
      <c r="A715" s="25"/>
      <c r="B715" s="20"/>
      <c r="C715" s="20"/>
      <c r="D715" s="20"/>
      <c r="E715" s="20"/>
      <c r="F715" s="21"/>
      <c r="G715" s="21"/>
      <c r="H715" s="21"/>
      <c r="I715" s="21"/>
      <c r="J715" s="20"/>
      <c r="K715" s="17"/>
      <c r="L715" s="17"/>
      <c r="M715" s="20"/>
      <c r="N715" s="17"/>
    </row>
    <row r="716" spans="1:14" ht="15" customHeight="1" x14ac:dyDescent="0.3">
      <c r="A716" s="22"/>
      <c r="B716" s="23"/>
      <c r="C716" s="23"/>
      <c r="D716" s="23"/>
      <c r="E716" s="23"/>
      <c r="F716" s="24"/>
      <c r="G716" s="24"/>
      <c r="H716" s="24"/>
      <c r="I716" s="24"/>
      <c r="J716" s="23"/>
      <c r="K716" s="14"/>
      <c r="L716" s="14"/>
      <c r="M716" s="23"/>
      <c r="N716" s="14"/>
    </row>
    <row r="717" spans="1:14" ht="15" customHeight="1" x14ac:dyDescent="0.3">
      <c r="A717" s="25"/>
      <c r="B717" s="20"/>
      <c r="C717" s="20"/>
      <c r="D717" s="20"/>
      <c r="E717" s="20"/>
      <c r="F717" s="21"/>
      <c r="G717" s="21"/>
      <c r="H717" s="21"/>
      <c r="I717" s="21"/>
      <c r="J717" s="20"/>
      <c r="K717" s="17"/>
      <c r="L717" s="17"/>
      <c r="M717" s="20"/>
      <c r="N717" s="17"/>
    </row>
    <row r="718" spans="1:14" ht="15" customHeight="1" x14ac:dyDescent="0.3">
      <c r="A718" s="22"/>
      <c r="B718" s="23"/>
      <c r="C718" s="23"/>
      <c r="D718" s="23"/>
      <c r="E718" s="23"/>
      <c r="F718" s="24"/>
      <c r="G718" s="24"/>
      <c r="H718" s="24"/>
      <c r="I718" s="24"/>
      <c r="J718" s="23"/>
      <c r="K718" s="14"/>
      <c r="L718" s="14"/>
      <c r="M718" s="23"/>
      <c r="N718" s="14"/>
    </row>
    <row r="719" spans="1:14" ht="15" customHeight="1" x14ac:dyDescent="0.3">
      <c r="A719" s="25"/>
      <c r="B719" s="20"/>
      <c r="C719" s="20"/>
      <c r="D719" s="20"/>
      <c r="E719" s="20"/>
      <c r="F719" s="21"/>
      <c r="G719" s="21"/>
      <c r="H719" s="21"/>
      <c r="I719" s="21"/>
      <c r="J719" s="20"/>
      <c r="K719" s="17"/>
      <c r="L719" s="17"/>
      <c r="M719" s="20"/>
      <c r="N719" s="17"/>
    </row>
    <row r="720" spans="1:14" ht="15" customHeight="1" x14ac:dyDescent="0.3">
      <c r="A720" s="22"/>
      <c r="B720" s="23"/>
      <c r="C720" s="23"/>
      <c r="D720" s="23"/>
      <c r="E720" s="23"/>
      <c r="F720" s="24"/>
      <c r="G720" s="24"/>
      <c r="H720" s="24"/>
      <c r="I720" s="24"/>
      <c r="J720" s="23"/>
      <c r="K720" s="14"/>
      <c r="L720" s="14"/>
      <c r="M720" s="23"/>
      <c r="N720" s="14"/>
    </row>
    <row r="721" spans="1:14" ht="15" customHeight="1" x14ac:dyDescent="0.3">
      <c r="A721" s="25"/>
      <c r="B721" s="20"/>
      <c r="C721" s="20"/>
      <c r="D721" s="20"/>
      <c r="E721" s="20"/>
      <c r="F721" s="21"/>
      <c r="G721" s="21"/>
      <c r="H721" s="21"/>
      <c r="I721" s="21"/>
      <c r="J721" s="20"/>
      <c r="K721" s="17"/>
      <c r="L721" s="17"/>
      <c r="M721" s="20"/>
      <c r="N721" s="17"/>
    </row>
    <row r="722" spans="1:14" ht="15" customHeight="1" x14ac:dyDescent="0.3">
      <c r="A722" s="22"/>
      <c r="B722" s="23"/>
      <c r="C722" s="23"/>
      <c r="D722" s="23"/>
      <c r="E722" s="23"/>
      <c r="F722" s="24"/>
      <c r="G722" s="24"/>
      <c r="H722" s="24"/>
      <c r="I722" s="24"/>
      <c r="J722" s="23"/>
      <c r="K722" s="14"/>
      <c r="L722" s="14"/>
      <c r="M722" s="23"/>
      <c r="N722" s="14"/>
    </row>
    <row r="723" spans="1:14" ht="15" customHeight="1" x14ac:dyDescent="0.3">
      <c r="A723" s="25"/>
      <c r="B723" s="20"/>
      <c r="C723" s="20"/>
      <c r="D723" s="20"/>
      <c r="E723" s="20"/>
      <c r="F723" s="21"/>
      <c r="G723" s="21"/>
      <c r="H723" s="21"/>
      <c r="I723" s="21"/>
      <c r="J723" s="20"/>
      <c r="K723" s="17"/>
      <c r="L723" s="17"/>
      <c r="M723" s="20"/>
      <c r="N723" s="17"/>
    </row>
    <row r="724" spans="1:14" ht="15" customHeight="1" x14ac:dyDescent="0.3">
      <c r="A724" s="22"/>
      <c r="B724" s="23"/>
      <c r="C724" s="23"/>
      <c r="D724" s="23"/>
      <c r="E724" s="23"/>
      <c r="F724" s="24"/>
      <c r="G724" s="24"/>
      <c r="H724" s="24"/>
      <c r="I724" s="24"/>
      <c r="J724" s="23"/>
      <c r="K724" s="14"/>
      <c r="L724" s="14"/>
      <c r="M724" s="23"/>
      <c r="N724" s="14"/>
    </row>
    <row r="725" spans="1:14" ht="15" customHeight="1" x14ac:dyDescent="0.3">
      <c r="A725" s="25"/>
      <c r="B725" s="20"/>
      <c r="C725" s="20"/>
      <c r="D725" s="20"/>
      <c r="E725" s="20"/>
      <c r="F725" s="21"/>
      <c r="G725" s="21"/>
      <c r="H725" s="21"/>
      <c r="I725" s="21"/>
      <c r="J725" s="20"/>
      <c r="K725" s="17"/>
      <c r="L725" s="17"/>
      <c r="M725" s="20"/>
      <c r="N725" s="17"/>
    </row>
    <row r="726" spans="1:14" ht="15" customHeight="1" x14ac:dyDescent="0.3">
      <c r="A726" s="22"/>
      <c r="B726" s="23"/>
      <c r="C726" s="23"/>
      <c r="D726" s="23"/>
      <c r="E726" s="23"/>
      <c r="F726" s="24"/>
      <c r="G726" s="24"/>
      <c r="H726" s="24"/>
      <c r="I726" s="24"/>
      <c r="J726" s="23"/>
      <c r="K726" s="14"/>
      <c r="L726" s="14"/>
      <c r="M726" s="23"/>
      <c r="N726" s="14"/>
    </row>
    <row r="727" spans="1:14" ht="15" customHeight="1" x14ac:dyDescent="0.3">
      <c r="A727" s="25"/>
      <c r="B727" s="20"/>
      <c r="C727" s="20"/>
      <c r="D727" s="20"/>
      <c r="E727" s="20"/>
      <c r="F727" s="21"/>
      <c r="G727" s="21"/>
      <c r="H727" s="21"/>
      <c r="I727" s="21"/>
      <c r="J727" s="20"/>
      <c r="K727" s="17"/>
      <c r="L727" s="17"/>
      <c r="M727" s="20"/>
      <c r="N727" s="17"/>
    </row>
    <row r="728" spans="1:14" ht="15" customHeight="1" x14ac:dyDescent="0.3">
      <c r="A728" s="22"/>
      <c r="B728" s="23"/>
      <c r="C728" s="23"/>
      <c r="D728" s="23"/>
      <c r="E728" s="23"/>
      <c r="F728" s="24"/>
      <c r="G728" s="24"/>
      <c r="H728" s="24"/>
      <c r="I728" s="24"/>
      <c r="J728" s="23"/>
      <c r="K728" s="14"/>
      <c r="L728" s="14"/>
      <c r="M728" s="23"/>
      <c r="N728" s="14"/>
    </row>
    <row r="729" spans="1:14" ht="15" customHeight="1" x14ac:dyDescent="0.3">
      <c r="A729" s="25"/>
      <c r="B729" s="20"/>
      <c r="C729" s="20"/>
      <c r="D729" s="20"/>
      <c r="E729" s="20"/>
      <c r="F729" s="21"/>
      <c r="G729" s="21"/>
      <c r="H729" s="21"/>
      <c r="I729" s="21"/>
      <c r="J729" s="20"/>
      <c r="K729" s="17"/>
      <c r="L729" s="17"/>
      <c r="M729" s="20"/>
      <c r="N729" s="17"/>
    </row>
    <row r="730" spans="1:14" ht="15" customHeight="1" x14ac:dyDescent="0.3">
      <c r="A730" s="22"/>
      <c r="B730" s="23"/>
      <c r="C730" s="23"/>
      <c r="D730" s="23"/>
      <c r="E730" s="23"/>
      <c r="F730" s="24"/>
      <c r="G730" s="24"/>
      <c r="H730" s="24"/>
      <c r="I730" s="24"/>
      <c r="J730" s="23"/>
      <c r="K730" s="14"/>
      <c r="L730" s="14"/>
      <c r="M730" s="23"/>
      <c r="N730" s="14"/>
    </row>
    <row r="731" spans="1:14" ht="15" customHeight="1" x14ac:dyDescent="0.3">
      <c r="A731" s="25"/>
      <c r="B731" s="20"/>
      <c r="C731" s="20"/>
      <c r="D731" s="20"/>
      <c r="E731" s="20"/>
      <c r="F731" s="21"/>
      <c r="G731" s="21"/>
      <c r="H731" s="21"/>
      <c r="I731" s="21"/>
      <c r="J731" s="20"/>
      <c r="K731" s="17"/>
      <c r="L731" s="17"/>
      <c r="M731" s="20"/>
      <c r="N731" s="17"/>
    </row>
    <row r="732" spans="1:14" ht="15" customHeight="1" x14ac:dyDescent="0.3">
      <c r="A732" s="22"/>
      <c r="B732" s="23"/>
      <c r="C732" s="23"/>
      <c r="D732" s="23"/>
      <c r="E732" s="23"/>
      <c r="F732" s="24"/>
      <c r="G732" s="24"/>
      <c r="H732" s="24"/>
      <c r="I732" s="24"/>
      <c r="J732" s="23"/>
      <c r="K732" s="14"/>
      <c r="L732" s="14"/>
      <c r="M732" s="23"/>
      <c r="N732" s="14"/>
    </row>
    <row r="733" spans="1:14" ht="15" customHeight="1" x14ac:dyDescent="0.3">
      <c r="A733" s="25"/>
      <c r="B733" s="20"/>
      <c r="C733" s="20"/>
      <c r="D733" s="20"/>
      <c r="E733" s="20"/>
      <c r="F733" s="21"/>
      <c r="G733" s="21"/>
      <c r="H733" s="21"/>
      <c r="I733" s="21"/>
      <c r="J733" s="20"/>
      <c r="K733" s="17"/>
      <c r="L733" s="17"/>
      <c r="M733" s="20"/>
      <c r="N733" s="17"/>
    </row>
    <row r="734" spans="1:14" ht="15" customHeight="1" x14ac:dyDescent="0.3">
      <c r="A734" s="22"/>
      <c r="B734" s="23"/>
      <c r="C734" s="23"/>
      <c r="D734" s="23"/>
      <c r="E734" s="23"/>
      <c r="F734" s="24"/>
      <c r="G734" s="24"/>
      <c r="H734" s="24"/>
      <c r="I734" s="24"/>
      <c r="J734" s="23"/>
      <c r="K734" s="14"/>
      <c r="L734" s="14"/>
      <c r="M734" s="23"/>
      <c r="N734" s="14"/>
    </row>
    <row r="735" spans="1:14" ht="15" customHeight="1" x14ac:dyDescent="0.3">
      <c r="A735" s="25"/>
      <c r="B735" s="20"/>
      <c r="C735" s="20"/>
      <c r="D735" s="20"/>
      <c r="E735" s="20"/>
      <c r="F735" s="21"/>
      <c r="G735" s="21"/>
      <c r="H735" s="21"/>
      <c r="I735" s="21"/>
      <c r="J735" s="20"/>
      <c r="K735" s="17"/>
      <c r="L735" s="17"/>
      <c r="M735" s="20"/>
      <c r="N735" s="17"/>
    </row>
    <row r="736" spans="1:14" ht="15" customHeight="1" x14ac:dyDescent="0.3">
      <c r="A736" s="22"/>
      <c r="B736" s="23"/>
      <c r="C736" s="23"/>
      <c r="D736" s="23"/>
      <c r="E736" s="23"/>
      <c r="F736" s="24"/>
      <c r="G736" s="24"/>
      <c r="H736" s="24"/>
      <c r="I736" s="24"/>
      <c r="J736" s="23"/>
      <c r="K736" s="14"/>
      <c r="L736" s="14"/>
      <c r="M736" s="23"/>
      <c r="N736" s="14"/>
    </row>
    <row r="737" spans="1:14" ht="15" customHeight="1" x14ac:dyDescent="0.3">
      <c r="A737" s="25"/>
      <c r="B737" s="20"/>
      <c r="C737" s="20"/>
      <c r="D737" s="20"/>
      <c r="E737" s="20"/>
      <c r="F737" s="21"/>
      <c r="G737" s="21"/>
      <c r="H737" s="21"/>
      <c r="I737" s="21"/>
      <c r="J737" s="20"/>
      <c r="K737" s="17"/>
      <c r="L737" s="17"/>
      <c r="M737" s="20"/>
      <c r="N737" s="17"/>
    </row>
    <row r="738" spans="1:14" ht="15" customHeight="1" x14ac:dyDescent="0.3">
      <c r="A738" s="22"/>
      <c r="B738" s="23"/>
      <c r="C738" s="23"/>
      <c r="D738" s="23"/>
      <c r="E738" s="23"/>
      <c r="F738" s="24"/>
      <c r="G738" s="24"/>
      <c r="H738" s="24"/>
      <c r="I738" s="24"/>
      <c r="J738" s="23"/>
      <c r="K738" s="14"/>
      <c r="L738" s="14"/>
      <c r="M738" s="23"/>
      <c r="N738" s="14"/>
    </row>
    <row r="739" spans="1:14" ht="15" customHeight="1" x14ac:dyDescent="0.3">
      <c r="A739" s="25"/>
      <c r="B739" s="20"/>
      <c r="C739" s="20"/>
      <c r="D739" s="20"/>
      <c r="E739" s="20"/>
      <c r="F739" s="21"/>
      <c r="G739" s="21"/>
      <c r="H739" s="21"/>
      <c r="I739" s="21"/>
      <c r="J739" s="20"/>
      <c r="K739" s="17"/>
      <c r="L739" s="17"/>
      <c r="M739" s="20"/>
      <c r="N739" s="17"/>
    </row>
    <row r="740" spans="1:14" ht="15" customHeight="1" x14ac:dyDescent="0.3">
      <c r="A740" s="22"/>
      <c r="B740" s="23"/>
      <c r="C740" s="23"/>
      <c r="D740" s="23"/>
      <c r="E740" s="23"/>
      <c r="F740" s="24"/>
      <c r="G740" s="24"/>
      <c r="H740" s="24"/>
      <c r="I740" s="24"/>
      <c r="J740" s="23"/>
      <c r="K740" s="14"/>
      <c r="L740" s="14"/>
      <c r="M740" s="23"/>
      <c r="N740" s="14"/>
    </row>
    <row r="741" spans="1:14" ht="15" customHeight="1" x14ac:dyDescent="0.3">
      <c r="A741" s="25"/>
      <c r="B741" s="20"/>
      <c r="C741" s="20"/>
      <c r="D741" s="20"/>
      <c r="E741" s="20"/>
      <c r="F741" s="21"/>
      <c r="G741" s="21"/>
      <c r="H741" s="21"/>
      <c r="I741" s="21"/>
      <c r="J741" s="20"/>
      <c r="K741" s="17"/>
      <c r="L741" s="17"/>
      <c r="M741" s="20"/>
      <c r="N741" s="17"/>
    </row>
    <row r="742" spans="1:14" ht="15" customHeight="1" x14ac:dyDescent="0.3">
      <c r="A742" s="22"/>
      <c r="B742" s="23"/>
      <c r="C742" s="23"/>
      <c r="D742" s="23"/>
      <c r="E742" s="23"/>
      <c r="F742" s="24"/>
      <c r="G742" s="24"/>
      <c r="H742" s="24"/>
      <c r="I742" s="24"/>
      <c r="J742" s="23"/>
      <c r="K742" s="14"/>
      <c r="L742" s="14"/>
      <c r="M742" s="23"/>
      <c r="N742" s="14"/>
    </row>
    <row r="743" spans="1:14" ht="15" customHeight="1" x14ac:dyDescent="0.3">
      <c r="A743" s="25"/>
      <c r="B743" s="20"/>
      <c r="C743" s="20"/>
      <c r="D743" s="20"/>
      <c r="E743" s="20"/>
      <c r="F743" s="21"/>
      <c r="G743" s="21"/>
      <c r="H743" s="21"/>
      <c r="I743" s="21"/>
      <c r="J743" s="20"/>
      <c r="K743" s="17"/>
      <c r="L743" s="17"/>
      <c r="M743" s="20"/>
      <c r="N743" s="17"/>
    </row>
    <row r="744" spans="1:14" ht="15" customHeight="1" x14ac:dyDescent="0.3">
      <c r="A744" s="22"/>
      <c r="B744" s="23"/>
      <c r="C744" s="23"/>
      <c r="D744" s="23"/>
      <c r="E744" s="23"/>
      <c r="F744" s="24"/>
      <c r="G744" s="24"/>
      <c r="H744" s="24"/>
      <c r="I744" s="24"/>
      <c r="J744" s="23"/>
      <c r="K744" s="14"/>
      <c r="L744" s="14"/>
      <c r="M744" s="23"/>
      <c r="N744" s="14"/>
    </row>
    <row r="745" spans="1:14" ht="15" customHeight="1" x14ac:dyDescent="0.3">
      <c r="A745" s="25"/>
      <c r="B745" s="20"/>
      <c r="C745" s="20"/>
      <c r="D745" s="20"/>
      <c r="E745" s="20"/>
      <c r="F745" s="21"/>
      <c r="G745" s="21"/>
      <c r="H745" s="21"/>
      <c r="I745" s="21"/>
      <c r="J745" s="20"/>
      <c r="K745" s="17"/>
      <c r="L745" s="17"/>
      <c r="M745" s="20"/>
      <c r="N745" s="17"/>
    </row>
    <row r="746" spans="1:14" ht="15" customHeight="1" x14ac:dyDescent="0.3">
      <c r="A746" s="22"/>
      <c r="B746" s="23"/>
      <c r="C746" s="23"/>
      <c r="D746" s="23"/>
      <c r="E746" s="23"/>
      <c r="F746" s="24"/>
      <c r="G746" s="24"/>
      <c r="H746" s="24"/>
      <c r="I746" s="24"/>
      <c r="J746" s="23"/>
      <c r="K746" s="14"/>
      <c r="L746" s="14"/>
      <c r="M746" s="23"/>
      <c r="N746" s="14"/>
    </row>
    <row r="747" spans="1:14" ht="15" customHeight="1" x14ac:dyDescent="0.3">
      <c r="A747" s="25"/>
      <c r="B747" s="20"/>
      <c r="C747" s="20"/>
      <c r="D747" s="20"/>
      <c r="E747" s="20"/>
      <c r="F747" s="21"/>
      <c r="G747" s="21"/>
      <c r="H747" s="21"/>
      <c r="I747" s="21"/>
      <c r="J747" s="20"/>
      <c r="K747" s="17"/>
      <c r="L747" s="17"/>
      <c r="M747" s="20"/>
      <c r="N747" s="17"/>
    </row>
    <row r="748" spans="1:14" ht="15" customHeight="1" x14ac:dyDescent="0.3">
      <c r="A748" s="22"/>
      <c r="B748" s="23"/>
      <c r="C748" s="23"/>
      <c r="D748" s="23"/>
      <c r="E748" s="23"/>
      <c r="F748" s="24"/>
      <c r="G748" s="24"/>
      <c r="H748" s="24"/>
      <c r="I748" s="24"/>
      <c r="J748" s="23"/>
      <c r="K748" s="14"/>
      <c r="L748" s="14"/>
      <c r="M748" s="23"/>
      <c r="N748" s="14"/>
    </row>
    <row r="749" spans="1:14" ht="15" customHeight="1" x14ac:dyDescent="0.3">
      <c r="A749" s="25"/>
      <c r="B749" s="20"/>
      <c r="C749" s="20"/>
      <c r="D749" s="20"/>
      <c r="E749" s="20"/>
      <c r="F749" s="21"/>
      <c r="G749" s="21"/>
      <c r="H749" s="21"/>
      <c r="I749" s="21"/>
      <c r="J749" s="20"/>
      <c r="K749" s="17"/>
      <c r="L749" s="17"/>
      <c r="M749" s="20"/>
      <c r="N749" s="17"/>
    </row>
    <row r="750" spans="1:14" ht="15" customHeight="1" x14ac:dyDescent="0.3">
      <c r="A750" s="22"/>
      <c r="B750" s="23"/>
      <c r="C750" s="23"/>
      <c r="D750" s="23"/>
      <c r="E750" s="23"/>
      <c r="F750" s="24"/>
      <c r="G750" s="24"/>
      <c r="H750" s="24"/>
      <c r="I750" s="24"/>
      <c r="J750" s="23"/>
      <c r="K750" s="14"/>
      <c r="L750" s="14"/>
      <c r="M750" s="23"/>
      <c r="N750" s="14"/>
    </row>
    <row r="751" spans="1:14" ht="15" customHeight="1" x14ac:dyDescent="0.3">
      <c r="A751" s="25"/>
      <c r="B751" s="20"/>
      <c r="C751" s="20"/>
      <c r="D751" s="20"/>
      <c r="E751" s="20"/>
      <c r="F751" s="21"/>
      <c r="G751" s="21"/>
      <c r="H751" s="21"/>
      <c r="I751" s="21"/>
      <c r="J751" s="20"/>
      <c r="K751" s="17"/>
      <c r="L751" s="17"/>
      <c r="M751" s="20"/>
      <c r="N751" s="17"/>
    </row>
    <row r="752" spans="1:14" ht="15" customHeight="1" x14ac:dyDescent="0.3">
      <c r="A752" s="22"/>
      <c r="B752" s="23"/>
      <c r="C752" s="23"/>
      <c r="D752" s="23"/>
      <c r="E752" s="23"/>
      <c r="F752" s="24"/>
      <c r="G752" s="24"/>
      <c r="H752" s="24"/>
      <c r="I752" s="24"/>
      <c r="J752" s="23"/>
      <c r="K752" s="14"/>
      <c r="L752" s="14"/>
      <c r="M752" s="23"/>
      <c r="N752" s="14"/>
    </row>
    <row r="753" spans="1:14" ht="15" customHeight="1" x14ac:dyDescent="0.3">
      <c r="A753" s="25"/>
      <c r="B753" s="20"/>
      <c r="C753" s="20"/>
      <c r="D753" s="20"/>
      <c r="E753" s="20"/>
      <c r="F753" s="21"/>
      <c r="G753" s="21"/>
      <c r="H753" s="21"/>
      <c r="I753" s="21"/>
      <c r="J753" s="20"/>
      <c r="K753" s="17"/>
      <c r="L753" s="17"/>
      <c r="M753" s="20"/>
      <c r="N753" s="17"/>
    </row>
    <row r="754" spans="1:14" ht="15" customHeight="1" x14ac:dyDescent="0.3">
      <c r="A754" s="22"/>
      <c r="B754" s="23"/>
      <c r="C754" s="23"/>
      <c r="D754" s="23"/>
      <c r="E754" s="23"/>
      <c r="F754" s="24"/>
      <c r="G754" s="24"/>
      <c r="H754" s="24"/>
      <c r="I754" s="24"/>
      <c r="J754" s="23"/>
      <c r="K754" s="14"/>
      <c r="L754" s="14"/>
      <c r="M754" s="23"/>
      <c r="N754" s="14"/>
    </row>
    <row r="755" spans="1:14" ht="15" customHeight="1" x14ac:dyDescent="0.3">
      <c r="A755" s="25"/>
      <c r="B755" s="20"/>
      <c r="C755" s="20"/>
      <c r="D755" s="20"/>
      <c r="E755" s="20"/>
      <c r="F755" s="21"/>
      <c r="G755" s="21"/>
      <c r="H755" s="21"/>
      <c r="I755" s="21"/>
      <c r="J755" s="20"/>
      <c r="K755" s="17"/>
      <c r="L755" s="17"/>
      <c r="M755" s="20"/>
      <c r="N755" s="17"/>
    </row>
    <row r="756" spans="1:14" ht="15" customHeight="1" x14ac:dyDescent="0.3">
      <c r="A756" s="22"/>
      <c r="B756" s="23"/>
      <c r="C756" s="23"/>
      <c r="D756" s="23"/>
      <c r="E756" s="23"/>
      <c r="F756" s="24"/>
      <c r="G756" s="24"/>
      <c r="H756" s="24"/>
      <c r="I756" s="24"/>
      <c r="J756" s="23"/>
      <c r="K756" s="14"/>
      <c r="L756" s="14"/>
      <c r="M756" s="23"/>
      <c r="N756" s="14"/>
    </row>
    <row r="757" spans="1:14" ht="15" customHeight="1" x14ac:dyDescent="0.3">
      <c r="A757" s="25"/>
      <c r="B757" s="20"/>
      <c r="C757" s="20"/>
      <c r="D757" s="20"/>
      <c r="E757" s="20"/>
      <c r="F757" s="21"/>
      <c r="G757" s="21"/>
      <c r="H757" s="21"/>
      <c r="I757" s="21"/>
      <c r="J757" s="20"/>
      <c r="K757" s="17"/>
      <c r="L757" s="17"/>
      <c r="M757" s="20"/>
      <c r="N757" s="17"/>
    </row>
    <row r="758" spans="1:14" ht="15" customHeight="1" x14ac:dyDescent="0.3">
      <c r="A758" s="22"/>
      <c r="B758" s="23"/>
      <c r="C758" s="23"/>
      <c r="D758" s="23"/>
      <c r="E758" s="23"/>
      <c r="F758" s="24"/>
      <c r="G758" s="24"/>
      <c r="H758" s="24"/>
      <c r="I758" s="24"/>
      <c r="J758" s="23"/>
      <c r="K758" s="14"/>
      <c r="L758" s="14"/>
      <c r="M758" s="23"/>
      <c r="N758" s="14"/>
    </row>
    <row r="759" spans="1:14" ht="15" customHeight="1" x14ac:dyDescent="0.3">
      <c r="A759" s="25"/>
      <c r="B759" s="20"/>
      <c r="C759" s="20"/>
      <c r="D759" s="20"/>
      <c r="E759" s="20"/>
      <c r="F759" s="21"/>
      <c r="G759" s="21"/>
      <c r="H759" s="21"/>
      <c r="I759" s="21"/>
      <c r="J759" s="20"/>
      <c r="K759" s="17"/>
      <c r="L759" s="17"/>
      <c r="M759" s="20"/>
      <c r="N759" s="17"/>
    </row>
    <row r="760" spans="1:14" ht="15" customHeight="1" x14ac:dyDescent="0.3">
      <c r="A760" s="22"/>
      <c r="B760" s="23"/>
      <c r="C760" s="23"/>
      <c r="D760" s="23"/>
      <c r="E760" s="23"/>
      <c r="F760" s="24"/>
      <c r="G760" s="24"/>
      <c r="H760" s="24"/>
      <c r="I760" s="24"/>
      <c r="J760" s="23"/>
      <c r="K760" s="14"/>
      <c r="L760" s="14"/>
      <c r="M760" s="23"/>
      <c r="N760" s="14"/>
    </row>
    <row r="761" spans="1:14" ht="15" customHeight="1" x14ac:dyDescent="0.3">
      <c r="A761" s="25"/>
      <c r="B761" s="20"/>
      <c r="C761" s="20"/>
      <c r="D761" s="20"/>
      <c r="E761" s="20"/>
      <c r="F761" s="21"/>
      <c r="G761" s="21"/>
      <c r="H761" s="21"/>
      <c r="I761" s="21"/>
      <c r="J761" s="20"/>
      <c r="K761" s="17"/>
      <c r="L761" s="17"/>
      <c r="M761" s="20"/>
      <c r="N761" s="17"/>
    </row>
    <row r="762" spans="1:14" ht="15" customHeight="1" x14ac:dyDescent="0.3">
      <c r="A762" s="22"/>
      <c r="B762" s="23"/>
      <c r="C762" s="23"/>
      <c r="D762" s="23"/>
      <c r="E762" s="23"/>
      <c r="F762" s="24"/>
      <c r="G762" s="24"/>
      <c r="H762" s="24"/>
      <c r="I762" s="24"/>
      <c r="J762" s="23"/>
      <c r="K762" s="14"/>
      <c r="L762" s="14"/>
      <c r="M762" s="23"/>
      <c r="N762" s="14"/>
    </row>
    <row r="763" spans="1:14" ht="15" customHeight="1" x14ac:dyDescent="0.3">
      <c r="A763" s="25"/>
      <c r="B763" s="20"/>
      <c r="C763" s="20"/>
      <c r="D763" s="20"/>
      <c r="E763" s="20"/>
      <c r="F763" s="21"/>
      <c r="G763" s="21"/>
      <c r="H763" s="21"/>
      <c r="I763" s="21"/>
      <c r="J763" s="20"/>
      <c r="K763" s="17"/>
      <c r="L763" s="17"/>
      <c r="M763" s="20"/>
      <c r="N763" s="17"/>
    </row>
    <row r="764" spans="1:14" ht="15" customHeight="1" x14ac:dyDescent="0.3">
      <c r="A764" s="22"/>
      <c r="B764" s="23"/>
      <c r="C764" s="23"/>
      <c r="D764" s="23"/>
      <c r="E764" s="23"/>
      <c r="F764" s="24"/>
      <c r="G764" s="24"/>
      <c r="H764" s="24"/>
      <c r="I764" s="24"/>
      <c r="J764" s="23"/>
      <c r="K764" s="14"/>
      <c r="L764" s="14"/>
      <c r="M764" s="23"/>
      <c r="N764" s="14"/>
    </row>
    <row r="765" spans="1:14" ht="15" customHeight="1" x14ac:dyDescent="0.3">
      <c r="A765" s="25"/>
      <c r="B765" s="20"/>
      <c r="C765" s="20"/>
      <c r="D765" s="20"/>
      <c r="E765" s="20"/>
      <c r="F765" s="21"/>
      <c r="G765" s="21"/>
      <c r="H765" s="21"/>
      <c r="I765" s="21"/>
      <c r="J765" s="20"/>
      <c r="K765" s="17"/>
      <c r="L765" s="17"/>
      <c r="M765" s="20"/>
      <c r="N765" s="17"/>
    </row>
    <row r="766" spans="1:14" ht="15" customHeight="1" x14ac:dyDescent="0.3">
      <c r="A766" s="22"/>
      <c r="B766" s="23"/>
      <c r="C766" s="23"/>
      <c r="D766" s="23"/>
      <c r="E766" s="23"/>
      <c r="F766" s="24"/>
      <c r="G766" s="24"/>
      <c r="H766" s="24"/>
      <c r="I766" s="24"/>
      <c r="J766" s="23"/>
      <c r="K766" s="14"/>
      <c r="L766" s="14"/>
      <c r="M766" s="23"/>
      <c r="N766" s="14"/>
    </row>
    <row r="767" spans="1:14" ht="15" customHeight="1" x14ac:dyDescent="0.3">
      <c r="A767" s="25"/>
      <c r="B767" s="20"/>
      <c r="C767" s="20"/>
      <c r="D767" s="20"/>
      <c r="E767" s="20"/>
      <c r="F767" s="21"/>
      <c r="G767" s="21"/>
      <c r="H767" s="21"/>
      <c r="I767" s="21"/>
      <c r="J767" s="20"/>
      <c r="K767" s="17"/>
      <c r="L767" s="17"/>
      <c r="M767" s="20"/>
      <c r="N767" s="17"/>
    </row>
    <row r="768" spans="1:14" ht="15" customHeight="1" x14ac:dyDescent="0.3">
      <c r="A768" s="22"/>
      <c r="B768" s="23"/>
      <c r="C768" s="23"/>
      <c r="D768" s="23"/>
      <c r="E768" s="23"/>
      <c r="F768" s="24"/>
      <c r="G768" s="24"/>
      <c r="H768" s="24"/>
      <c r="I768" s="24"/>
      <c r="J768" s="23"/>
      <c r="K768" s="14"/>
      <c r="L768" s="14"/>
      <c r="M768" s="23"/>
      <c r="N768" s="14"/>
    </row>
    <row r="769" spans="1:14" ht="15" customHeight="1" x14ac:dyDescent="0.3">
      <c r="A769" s="25"/>
      <c r="B769" s="20"/>
      <c r="C769" s="20"/>
      <c r="D769" s="20"/>
      <c r="E769" s="20"/>
      <c r="F769" s="21"/>
      <c r="G769" s="21"/>
      <c r="H769" s="21"/>
      <c r="I769" s="21"/>
      <c r="J769" s="20"/>
      <c r="K769" s="17"/>
      <c r="L769" s="17"/>
      <c r="M769" s="20"/>
      <c r="N769" s="17"/>
    </row>
    <row r="770" spans="1:14" ht="15" customHeight="1" x14ac:dyDescent="0.3">
      <c r="A770" s="22"/>
      <c r="B770" s="23"/>
      <c r="C770" s="23"/>
      <c r="D770" s="23"/>
      <c r="E770" s="23"/>
      <c r="F770" s="24"/>
      <c r="G770" s="24"/>
      <c r="H770" s="24"/>
      <c r="I770" s="24"/>
      <c r="J770" s="23"/>
      <c r="K770" s="14"/>
      <c r="L770" s="14"/>
      <c r="M770" s="23"/>
      <c r="N770" s="14"/>
    </row>
    <row r="771" spans="1:14" ht="15" customHeight="1" x14ac:dyDescent="0.3">
      <c r="A771" s="25"/>
      <c r="B771" s="20"/>
      <c r="C771" s="20"/>
      <c r="D771" s="20"/>
      <c r="E771" s="20"/>
      <c r="F771" s="21"/>
      <c r="G771" s="21"/>
      <c r="H771" s="21"/>
      <c r="I771" s="21"/>
      <c r="J771" s="20"/>
      <c r="K771" s="17"/>
      <c r="L771" s="17"/>
      <c r="M771" s="20"/>
      <c r="N771" s="17"/>
    </row>
    <row r="772" spans="1:14" ht="15" customHeight="1" x14ac:dyDescent="0.3">
      <c r="A772" s="22"/>
      <c r="B772" s="23"/>
      <c r="C772" s="23"/>
      <c r="D772" s="23"/>
      <c r="E772" s="23"/>
      <c r="F772" s="24"/>
      <c r="G772" s="24"/>
      <c r="H772" s="24"/>
      <c r="I772" s="24"/>
      <c r="J772" s="23"/>
      <c r="K772" s="14"/>
      <c r="L772" s="14"/>
      <c r="M772" s="23"/>
      <c r="N772" s="14"/>
    </row>
    <row r="773" spans="1:14" ht="15" customHeight="1" x14ac:dyDescent="0.3">
      <c r="A773" s="25"/>
      <c r="B773" s="20"/>
      <c r="C773" s="20"/>
      <c r="D773" s="20"/>
      <c r="E773" s="20"/>
      <c r="F773" s="21"/>
      <c r="G773" s="21"/>
      <c r="H773" s="21"/>
      <c r="I773" s="21"/>
      <c r="J773" s="20"/>
      <c r="K773" s="17"/>
      <c r="L773" s="17"/>
      <c r="M773" s="20"/>
      <c r="N773" s="17"/>
    </row>
    <row r="774" spans="1:14" ht="15" customHeight="1" x14ac:dyDescent="0.3">
      <c r="A774" s="22"/>
      <c r="B774" s="23"/>
      <c r="C774" s="23"/>
      <c r="D774" s="23"/>
      <c r="E774" s="23"/>
      <c r="F774" s="24"/>
      <c r="G774" s="24"/>
      <c r="H774" s="24"/>
      <c r="I774" s="24"/>
      <c r="J774" s="23"/>
      <c r="K774" s="14"/>
      <c r="L774" s="14"/>
      <c r="M774" s="23"/>
      <c r="N774" s="14"/>
    </row>
    <row r="775" spans="1:14" ht="15" customHeight="1" x14ac:dyDescent="0.3">
      <c r="A775" s="25"/>
      <c r="B775" s="20"/>
      <c r="C775" s="20"/>
      <c r="D775" s="20"/>
      <c r="E775" s="20"/>
      <c r="F775" s="21"/>
      <c r="G775" s="21"/>
      <c r="H775" s="21"/>
      <c r="I775" s="21"/>
      <c r="J775" s="20"/>
      <c r="K775" s="17"/>
      <c r="L775" s="17"/>
      <c r="M775" s="20"/>
      <c r="N775" s="17"/>
    </row>
    <row r="776" spans="1:14" ht="15" customHeight="1" x14ac:dyDescent="0.3">
      <c r="A776" s="22"/>
      <c r="B776" s="23"/>
      <c r="C776" s="23"/>
      <c r="D776" s="23"/>
      <c r="E776" s="23"/>
      <c r="F776" s="24"/>
      <c r="G776" s="24"/>
      <c r="H776" s="24"/>
      <c r="I776" s="24"/>
      <c r="J776" s="23"/>
      <c r="K776" s="14"/>
      <c r="L776" s="14"/>
      <c r="M776" s="23"/>
      <c r="N776" s="14"/>
    </row>
    <row r="777" spans="1:14" ht="15" customHeight="1" x14ac:dyDescent="0.3">
      <c r="A777" s="25"/>
      <c r="B777" s="20"/>
      <c r="C777" s="20"/>
      <c r="D777" s="20"/>
      <c r="E777" s="20"/>
      <c r="F777" s="21"/>
      <c r="G777" s="21"/>
      <c r="H777" s="21"/>
      <c r="I777" s="21"/>
      <c r="J777" s="20"/>
      <c r="K777" s="17"/>
      <c r="L777" s="17"/>
      <c r="M777" s="20"/>
      <c r="N777" s="17"/>
    </row>
    <row r="778" spans="1:14" ht="15" customHeight="1" x14ac:dyDescent="0.3">
      <c r="A778" s="22"/>
      <c r="B778" s="23"/>
      <c r="C778" s="23"/>
      <c r="D778" s="23"/>
      <c r="E778" s="23"/>
      <c r="F778" s="24"/>
      <c r="G778" s="24"/>
      <c r="H778" s="24"/>
      <c r="I778" s="24"/>
      <c r="J778" s="23"/>
      <c r="K778" s="14"/>
      <c r="L778" s="14"/>
      <c r="M778" s="23"/>
      <c r="N778" s="14"/>
    </row>
    <row r="779" spans="1:14" ht="15" customHeight="1" x14ac:dyDescent="0.3">
      <c r="A779" s="25"/>
      <c r="B779" s="20"/>
      <c r="C779" s="20"/>
      <c r="D779" s="20"/>
      <c r="E779" s="20"/>
      <c r="F779" s="21"/>
      <c r="G779" s="21"/>
      <c r="H779" s="21"/>
      <c r="I779" s="21"/>
      <c r="J779" s="20"/>
      <c r="K779" s="17"/>
      <c r="L779" s="17"/>
      <c r="M779" s="20"/>
      <c r="N779" s="17"/>
    </row>
    <row r="780" spans="1:14" ht="15" customHeight="1" x14ac:dyDescent="0.3">
      <c r="A780" s="22"/>
      <c r="B780" s="23"/>
      <c r="C780" s="23"/>
      <c r="D780" s="23"/>
      <c r="E780" s="23"/>
      <c r="F780" s="24"/>
      <c r="G780" s="24"/>
      <c r="H780" s="24"/>
      <c r="I780" s="24"/>
      <c r="J780" s="23"/>
      <c r="K780" s="14"/>
      <c r="L780" s="14"/>
      <c r="M780" s="23"/>
      <c r="N780" s="14"/>
    </row>
    <row r="781" spans="1:14" ht="15" customHeight="1" x14ac:dyDescent="0.3">
      <c r="A781" s="25"/>
      <c r="B781" s="20"/>
      <c r="C781" s="20"/>
      <c r="D781" s="20"/>
      <c r="E781" s="20"/>
      <c r="F781" s="21"/>
      <c r="G781" s="21"/>
      <c r="H781" s="21"/>
      <c r="I781" s="21"/>
      <c r="J781" s="20"/>
      <c r="K781" s="17"/>
      <c r="L781" s="17"/>
      <c r="M781" s="20"/>
      <c r="N781" s="17"/>
    </row>
    <row r="782" spans="1:14" ht="15" customHeight="1" x14ac:dyDescent="0.3">
      <c r="A782" s="22"/>
      <c r="B782" s="23"/>
      <c r="C782" s="23"/>
      <c r="D782" s="23"/>
      <c r="E782" s="23"/>
      <c r="F782" s="24"/>
      <c r="G782" s="24"/>
      <c r="H782" s="24"/>
      <c r="I782" s="24"/>
      <c r="J782" s="23"/>
      <c r="K782" s="14"/>
      <c r="L782" s="14"/>
      <c r="M782" s="23"/>
      <c r="N782" s="14"/>
    </row>
    <row r="783" spans="1:14" ht="15" customHeight="1" x14ac:dyDescent="0.3">
      <c r="A783" s="25"/>
      <c r="B783" s="20"/>
      <c r="C783" s="20"/>
      <c r="D783" s="20"/>
      <c r="E783" s="20"/>
      <c r="F783" s="21"/>
      <c r="G783" s="21"/>
      <c r="H783" s="21"/>
      <c r="I783" s="21"/>
      <c r="J783" s="20"/>
      <c r="K783" s="17"/>
      <c r="L783" s="17"/>
      <c r="M783" s="20"/>
      <c r="N783" s="17"/>
    </row>
    <row r="784" spans="1:14" ht="15" customHeight="1" x14ac:dyDescent="0.3">
      <c r="A784" s="22"/>
      <c r="B784" s="23"/>
      <c r="C784" s="23"/>
      <c r="D784" s="23"/>
      <c r="E784" s="23"/>
      <c r="F784" s="24"/>
      <c r="G784" s="24"/>
      <c r="H784" s="24"/>
      <c r="I784" s="24"/>
      <c r="J784" s="23"/>
      <c r="K784" s="14"/>
      <c r="L784" s="14"/>
      <c r="M784" s="23"/>
      <c r="N784" s="14"/>
    </row>
    <row r="785" spans="1:14" ht="15" customHeight="1" x14ac:dyDescent="0.3">
      <c r="A785" s="25"/>
      <c r="B785" s="20"/>
      <c r="C785" s="20"/>
      <c r="D785" s="20"/>
      <c r="E785" s="20"/>
      <c r="F785" s="21"/>
      <c r="G785" s="21"/>
      <c r="H785" s="21"/>
      <c r="I785" s="21"/>
      <c r="J785" s="20"/>
      <c r="K785" s="17"/>
      <c r="L785" s="17"/>
      <c r="M785" s="20"/>
      <c r="N785" s="17"/>
    </row>
    <row r="786" spans="1:14" ht="15" customHeight="1" x14ac:dyDescent="0.3">
      <c r="A786" s="22"/>
      <c r="B786" s="23"/>
      <c r="C786" s="23"/>
      <c r="D786" s="23"/>
      <c r="E786" s="23"/>
      <c r="F786" s="24"/>
      <c r="G786" s="24"/>
      <c r="H786" s="24"/>
      <c r="I786" s="24"/>
      <c r="J786" s="23"/>
      <c r="K786" s="14"/>
      <c r="L786" s="14"/>
      <c r="M786" s="23"/>
      <c r="N786" s="14"/>
    </row>
    <row r="787" spans="1:14" ht="15" customHeight="1" x14ac:dyDescent="0.3">
      <c r="A787" s="25"/>
      <c r="B787" s="20"/>
      <c r="C787" s="20"/>
      <c r="D787" s="20"/>
      <c r="E787" s="20"/>
      <c r="F787" s="21"/>
      <c r="G787" s="21"/>
      <c r="H787" s="21"/>
      <c r="I787" s="21"/>
      <c r="J787" s="20"/>
      <c r="K787" s="17"/>
      <c r="L787" s="17"/>
      <c r="M787" s="20"/>
      <c r="N787" s="17"/>
    </row>
    <row r="788" spans="1:14" ht="15" customHeight="1" x14ac:dyDescent="0.3">
      <c r="A788" s="22"/>
      <c r="B788" s="23"/>
      <c r="C788" s="23"/>
      <c r="D788" s="23"/>
      <c r="E788" s="23"/>
      <c r="F788" s="24"/>
      <c r="G788" s="24"/>
      <c r="H788" s="24"/>
      <c r="I788" s="24"/>
      <c r="J788" s="23"/>
      <c r="K788" s="14"/>
      <c r="L788" s="14"/>
      <c r="M788" s="23"/>
      <c r="N788" s="14"/>
    </row>
    <row r="789" spans="1:14" ht="15" customHeight="1" x14ac:dyDescent="0.3">
      <c r="A789" s="25"/>
      <c r="B789" s="20"/>
      <c r="C789" s="20"/>
      <c r="D789" s="20"/>
      <c r="E789" s="20"/>
      <c r="F789" s="21"/>
      <c r="G789" s="21"/>
      <c r="H789" s="21"/>
      <c r="I789" s="21"/>
      <c r="J789" s="20"/>
      <c r="K789" s="17"/>
      <c r="L789" s="17"/>
      <c r="M789" s="20"/>
      <c r="N789" s="17"/>
    </row>
    <row r="790" spans="1:14" ht="15" customHeight="1" x14ac:dyDescent="0.3">
      <c r="A790" s="22"/>
      <c r="B790" s="23"/>
      <c r="C790" s="23"/>
      <c r="D790" s="23"/>
      <c r="E790" s="23"/>
      <c r="F790" s="24"/>
      <c r="G790" s="24"/>
      <c r="H790" s="24"/>
      <c r="I790" s="24"/>
      <c r="J790" s="23"/>
      <c r="K790" s="14"/>
      <c r="L790" s="14"/>
      <c r="M790" s="23"/>
      <c r="N790" s="14"/>
    </row>
    <row r="791" spans="1:14" ht="15" customHeight="1" x14ac:dyDescent="0.3">
      <c r="A791" s="25"/>
      <c r="B791" s="20"/>
      <c r="C791" s="20"/>
      <c r="D791" s="20"/>
      <c r="E791" s="20"/>
      <c r="F791" s="21"/>
      <c r="G791" s="21"/>
      <c r="H791" s="21"/>
      <c r="I791" s="21"/>
      <c r="J791" s="20"/>
      <c r="K791" s="17"/>
      <c r="L791" s="17"/>
      <c r="M791" s="20"/>
      <c r="N791" s="17"/>
    </row>
    <row r="792" spans="1:14" ht="15" customHeight="1" x14ac:dyDescent="0.3">
      <c r="A792" s="22"/>
      <c r="B792" s="23"/>
      <c r="C792" s="23"/>
      <c r="D792" s="23"/>
      <c r="E792" s="23"/>
      <c r="F792" s="24"/>
      <c r="G792" s="24"/>
      <c r="H792" s="24"/>
      <c r="I792" s="24"/>
      <c r="J792" s="23"/>
      <c r="K792" s="14"/>
      <c r="L792" s="14"/>
      <c r="M792" s="23"/>
      <c r="N792" s="14"/>
    </row>
    <row r="793" spans="1:14" ht="15" customHeight="1" x14ac:dyDescent="0.3">
      <c r="A793" s="25"/>
      <c r="B793" s="20"/>
      <c r="C793" s="20"/>
      <c r="D793" s="20"/>
      <c r="E793" s="20"/>
      <c r="F793" s="21"/>
      <c r="G793" s="21"/>
      <c r="H793" s="21"/>
      <c r="I793" s="21"/>
      <c r="J793" s="20"/>
      <c r="K793" s="17"/>
      <c r="L793" s="17"/>
      <c r="M793" s="20"/>
      <c r="N793" s="17"/>
    </row>
    <row r="794" spans="1:14" ht="15" customHeight="1" x14ac:dyDescent="0.3">
      <c r="A794" s="22"/>
      <c r="B794" s="23"/>
      <c r="C794" s="23"/>
      <c r="D794" s="23"/>
      <c r="E794" s="23"/>
      <c r="F794" s="24"/>
      <c r="G794" s="24"/>
      <c r="H794" s="24"/>
      <c r="I794" s="24"/>
      <c r="J794" s="23"/>
      <c r="K794" s="14"/>
      <c r="L794" s="14"/>
      <c r="M794" s="23"/>
      <c r="N794" s="14"/>
    </row>
    <row r="795" spans="1:14" ht="15" customHeight="1" x14ac:dyDescent="0.3">
      <c r="A795" s="25"/>
      <c r="B795" s="20"/>
      <c r="C795" s="20"/>
      <c r="D795" s="20"/>
      <c r="E795" s="20"/>
      <c r="F795" s="21"/>
      <c r="G795" s="21"/>
      <c r="H795" s="21"/>
      <c r="I795" s="21"/>
      <c r="J795" s="20"/>
      <c r="K795" s="17"/>
      <c r="L795" s="17"/>
      <c r="M795" s="20"/>
      <c r="N795" s="17"/>
    </row>
    <row r="796" spans="1:14" ht="15" customHeight="1" x14ac:dyDescent="0.3">
      <c r="A796" s="22"/>
      <c r="B796" s="23"/>
      <c r="C796" s="23"/>
      <c r="D796" s="23"/>
      <c r="E796" s="23"/>
      <c r="F796" s="24"/>
      <c r="G796" s="24"/>
      <c r="H796" s="24"/>
      <c r="I796" s="24"/>
      <c r="J796" s="23"/>
      <c r="K796" s="14"/>
      <c r="L796" s="14"/>
      <c r="M796" s="23"/>
      <c r="N796" s="14"/>
    </row>
    <row r="797" spans="1:14" ht="15" customHeight="1" x14ac:dyDescent="0.3">
      <c r="A797" s="25"/>
      <c r="B797" s="20"/>
      <c r="C797" s="20"/>
      <c r="D797" s="20"/>
      <c r="E797" s="20"/>
      <c r="F797" s="21"/>
      <c r="G797" s="21"/>
      <c r="H797" s="21"/>
      <c r="I797" s="21"/>
      <c r="J797" s="20"/>
      <c r="K797" s="17"/>
      <c r="L797" s="17"/>
      <c r="M797" s="20"/>
      <c r="N797" s="17"/>
    </row>
    <row r="798" spans="1:14" ht="15" customHeight="1" x14ac:dyDescent="0.3">
      <c r="A798" s="22"/>
      <c r="B798" s="23"/>
      <c r="C798" s="23"/>
      <c r="D798" s="23"/>
      <c r="E798" s="23"/>
      <c r="F798" s="24"/>
      <c r="G798" s="24"/>
      <c r="H798" s="24"/>
      <c r="I798" s="24"/>
      <c r="J798" s="23"/>
      <c r="K798" s="14"/>
      <c r="L798" s="14"/>
      <c r="M798" s="23"/>
      <c r="N798" s="14"/>
    </row>
    <row r="799" spans="1:14" ht="15" customHeight="1" x14ac:dyDescent="0.3">
      <c r="A799" s="25"/>
      <c r="B799" s="20"/>
      <c r="C799" s="20"/>
      <c r="D799" s="20"/>
      <c r="E799" s="20"/>
      <c r="F799" s="21"/>
      <c r="G799" s="21"/>
      <c r="H799" s="21"/>
      <c r="I799" s="21"/>
      <c r="J799" s="20"/>
      <c r="K799" s="17"/>
      <c r="L799" s="17"/>
      <c r="M799" s="20"/>
      <c r="N799" s="17"/>
    </row>
    <row r="800" spans="1:14" ht="15" customHeight="1" x14ac:dyDescent="0.3">
      <c r="A800" s="22"/>
      <c r="B800" s="23"/>
      <c r="C800" s="23"/>
      <c r="D800" s="23"/>
      <c r="E800" s="23"/>
      <c r="F800" s="24"/>
      <c r="G800" s="24"/>
      <c r="H800" s="24"/>
      <c r="I800" s="24"/>
      <c r="J800" s="23"/>
      <c r="K800" s="14"/>
      <c r="L800" s="14"/>
      <c r="M800" s="23"/>
      <c r="N800" s="14"/>
    </row>
    <row r="801" spans="1:14" ht="15" customHeight="1" x14ac:dyDescent="0.3">
      <c r="A801" s="25"/>
      <c r="B801" s="20"/>
      <c r="C801" s="20"/>
      <c r="D801" s="20"/>
      <c r="E801" s="20"/>
      <c r="F801" s="21"/>
      <c r="G801" s="21"/>
      <c r="H801" s="21"/>
      <c r="I801" s="21"/>
      <c r="J801" s="20"/>
      <c r="K801" s="17"/>
      <c r="L801" s="17"/>
      <c r="M801" s="20"/>
      <c r="N801" s="17"/>
    </row>
    <row r="802" spans="1:14" ht="15" customHeight="1" x14ac:dyDescent="0.3">
      <c r="A802" s="22"/>
      <c r="B802" s="23"/>
      <c r="C802" s="23"/>
      <c r="D802" s="23"/>
      <c r="E802" s="23"/>
      <c r="F802" s="24"/>
      <c r="G802" s="24"/>
      <c r="H802" s="24"/>
      <c r="I802" s="24"/>
      <c r="J802" s="23"/>
      <c r="K802" s="14"/>
      <c r="L802" s="14"/>
      <c r="M802" s="23"/>
      <c r="N802" s="14"/>
    </row>
    <row r="803" spans="1:14" ht="15" customHeight="1" x14ac:dyDescent="0.3">
      <c r="A803" s="25"/>
      <c r="B803" s="20"/>
      <c r="C803" s="20"/>
      <c r="D803" s="20"/>
      <c r="E803" s="20"/>
      <c r="F803" s="21"/>
      <c r="G803" s="21"/>
      <c r="H803" s="21"/>
      <c r="I803" s="21"/>
      <c r="J803" s="20"/>
      <c r="K803" s="17"/>
      <c r="L803" s="17"/>
      <c r="M803" s="20"/>
      <c r="N803" s="17"/>
    </row>
    <row r="804" spans="1:14" ht="15" customHeight="1" x14ac:dyDescent="0.3">
      <c r="A804" s="22"/>
      <c r="B804" s="23"/>
      <c r="C804" s="23"/>
      <c r="D804" s="23"/>
      <c r="E804" s="23"/>
      <c r="F804" s="24"/>
      <c r="G804" s="24"/>
      <c r="H804" s="24"/>
      <c r="I804" s="24"/>
      <c r="J804" s="23"/>
      <c r="K804" s="14"/>
      <c r="L804" s="14"/>
      <c r="M804" s="23"/>
      <c r="N804" s="14"/>
    </row>
    <row r="805" spans="1:14" ht="15" customHeight="1" x14ac:dyDescent="0.3">
      <c r="A805" s="25"/>
      <c r="B805" s="20"/>
      <c r="C805" s="20"/>
      <c r="D805" s="20"/>
      <c r="E805" s="20"/>
      <c r="F805" s="21"/>
      <c r="G805" s="21"/>
      <c r="H805" s="21"/>
      <c r="I805" s="21"/>
      <c r="J805" s="20"/>
      <c r="K805" s="17"/>
      <c r="L805" s="17"/>
      <c r="M805" s="20"/>
      <c r="N805" s="17"/>
    </row>
    <row r="806" spans="1:14" ht="15" customHeight="1" x14ac:dyDescent="0.3">
      <c r="A806" s="22"/>
      <c r="B806" s="23"/>
      <c r="C806" s="23"/>
      <c r="D806" s="23"/>
      <c r="E806" s="23"/>
      <c r="F806" s="24"/>
      <c r="G806" s="24"/>
      <c r="H806" s="24"/>
      <c r="I806" s="24"/>
      <c r="J806" s="23"/>
      <c r="K806" s="14"/>
      <c r="L806" s="14"/>
      <c r="M806" s="23"/>
      <c r="N806" s="14"/>
    </row>
    <row r="807" spans="1:14" ht="15" customHeight="1" x14ac:dyDescent="0.3">
      <c r="A807" s="25"/>
      <c r="B807" s="20"/>
      <c r="C807" s="20"/>
      <c r="D807" s="20"/>
      <c r="E807" s="20"/>
      <c r="F807" s="21"/>
      <c r="G807" s="21"/>
      <c r="H807" s="21"/>
      <c r="I807" s="21"/>
      <c r="J807" s="20"/>
      <c r="K807" s="17"/>
      <c r="L807" s="17"/>
      <c r="M807" s="20"/>
      <c r="N807" s="17"/>
    </row>
    <row r="808" spans="1:14" ht="15" customHeight="1" x14ac:dyDescent="0.3">
      <c r="A808" s="22"/>
      <c r="B808" s="23"/>
      <c r="C808" s="23"/>
      <c r="D808" s="23"/>
      <c r="E808" s="23"/>
      <c r="F808" s="24"/>
      <c r="G808" s="24"/>
      <c r="H808" s="24"/>
      <c r="I808" s="24"/>
      <c r="J808" s="23"/>
      <c r="K808" s="14"/>
      <c r="L808" s="14"/>
      <c r="M808" s="23"/>
      <c r="N808" s="14"/>
    </row>
    <row r="809" spans="1:14" ht="15" customHeight="1" x14ac:dyDescent="0.3">
      <c r="A809" s="25"/>
      <c r="B809" s="20"/>
      <c r="C809" s="20"/>
      <c r="D809" s="20"/>
      <c r="E809" s="20"/>
      <c r="F809" s="21"/>
      <c r="G809" s="21"/>
      <c r="H809" s="21"/>
      <c r="I809" s="21"/>
      <c r="J809" s="20"/>
      <c r="K809" s="17"/>
      <c r="L809" s="17"/>
      <c r="M809" s="20"/>
      <c r="N809" s="17"/>
    </row>
    <row r="810" spans="1:14" ht="15" customHeight="1" x14ac:dyDescent="0.3">
      <c r="A810" s="22"/>
      <c r="B810" s="23"/>
      <c r="C810" s="23"/>
      <c r="D810" s="23"/>
      <c r="E810" s="23"/>
      <c r="F810" s="24"/>
      <c r="G810" s="24"/>
      <c r="H810" s="24"/>
      <c r="I810" s="24"/>
      <c r="J810" s="23"/>
      <c r="K810" s="14"/>
      <c r="L810" s="14"/>
      <c r="M810" s="23"/>
      <c r="N810" s="14"/>
    </row>
    <row r="811" spans="1:14" ht="15" customHeight="1" x14ac:dyDescent="0.3">
      <c r="A811" s="25"/>
      <c r="B811" s="20"/>
      <c r="C811" s="20"/>
      <c r="D811" s="20"/>
      <c r="E811" s="20"/>
      <c r="F811" s="21"/>
      <c r="G811" s="21"/>
      <c r="H811" s="21"/>
      <c r="I811" s="21"/>
      <c r="J811" s="20"/>
      <c r="K811" s="17"/>
      <c r="L811" s="17"/>
      <c r="M811" s="20"/>
      <c r="N811" s="17"/>
    </row>
    <row r="812" spans="1:14" ht="15" customHeight="1" x14ac:dyDescent="0.3">
      <c r="A812" s="22"/>
      <c r="B812" s="23"/>
      <c r="C812" s="23"/>
      <c r="D812" s="23"/>
      <c r="E812" s="23"/>
      <c r="F812" s="24"/>
      <c r="G812" s="24"/>
      <c r="H812" s="24"/>
      <c r="I812" s="24"/>
      <c r="J812" s="23"/>
      <c r="K812" s="14"/>
      <c r="L812" s="14"/>
      <c r="M812" s="23"/>
      <c r="N812" s="14"/>
    </row>
    <row r="813" spans="1:14" ht="15" customHeight="1" x14ac:dyDescent="0.3">
      <c r="A813" s="25"/>
      <c r="B813" s="20"/>
      <c r="C813" s="20"/>
      <c r="D813" s="20"/>
      <c r="E813" s="20"/>
      <c r="F813" s="21"/>
      <c r="G813" s="21"/>
      <c r="H813" s="21"/>
      <c r="I813" s="21"/>
      <c r="J813" s="20"/>
      <c r="K813" s="17"/>
      <c r="L813" s="17"/>
      <c r="M813" s="20"/>
      <c r="N813" s="17"/>
    </row>
    <row r="814" spans="1:14" ht="15" customHeight="1" x14ac:dyDescent="0.3">
      <c r="A814" s="22"/>
      <c r="B814" s="23"/>
      <c r="C814" s="23"/>
      <c r="D814" s="23"/>
      <c r="E814" s="23"/>
      <c r="F814" s="24"/>
      <c r="G814" s="24"/>
      <c r="H814" s="24"/>
      <c r="I814" s="24"/>
      <c r="J814" s="23"/>
      <c r="K814" s="14"/>
      <c r="L814" s="14"/>
      <c r="M814" s="23"/>
      <c r="N814" s="14"/>
    </row>
    <row r="815" spans="1:14" ht="15" customHeight="1" x14ac:dyDescent="0.3">
      <c r="A815" s="25"/>
      <c r="B815" s="20"/>
      <c r="C815" s="20"/>
      <c r="D815" s="20"/>
      <c r="E815" s="20"/>
      <c r="F815" s="21"/>
      <c r="G815" s="21"/>
      <c r="H815" s="21"/>
      <c r="I815" s="21"/>
      <c r="J815" s="20"/>
      <c r="K815" s="17"/>
      <c r="L815" s="17"/>
      <c r="M815" s="20"/>
      <c r="N815" s="17"/>
    </row>
    <row r="816" spans="1:14" ht="15" customHeight="1" x14ac:dyDescent="0.3">
      <c r="A816" s="22"/>
      <c r="B816" s="23"/>
      <c r="C816" s="23"/>
      <c r="D816" s="23"/>
      <c r="E816" s="23"/>
      <c r="F816" s="24"/>
      <c r="G816" s="24"/>
      <c r="H816" s="24"/>
      <c r="I816" s="24"/>
      <c r="J816" s="23"/>
      <c r="K816" s="14"/>
      <c r="L816" s="14"/>
      <c r="M816" s="23"/>
      <c r="N816" s="14"/>
    </row>
    <row r="817" spans="1:14" ht="15" customHeight="1" x14ac:dyDescent="0.3">
      <c r="A817" s="25"/>
      <c r="B817" s="20"/>
      <c r="C817" s="20"/>
      <c r="D817" s="20"/>
      <c r="E817" s="20"/>
      <c r="F817" s="21"/>
      <c r="G817" s="21"/>
      <c r="H817" s="21"/>
      <c r="I817" s="21"/>
      <c r="J817" s="20"/>
      <c r="K817" s="17"/>
      <c r="L817" s="17"/>
      <c r="M817" s="20"/>
      <c r="N817" s="17"/>
    </row>
    <row r="818" spans="1:14" ht="15" customHeight="1" x14ac:dyDescent="0.3">
      <c r="A818" s="22"/>
      <c r="B818" s="23"/>
      <c r="C818" s="23"/>
      <c r="D818" s="23"/>
      <c r="E818" s="23"/>
      <c r="F818" s="24"/>
      <c r="G818" s="24"/>
      <c r="H818" s="24"/>
      <c r="I818" s="24"/>
      <c r="J818" s="23"/>
      <c r="K818" s="14"/>
      <c r="L818" s="14"/>
      <c r="M818" s="23"/>
      <c r="N818" s="14"/>
    </row>
    <row r="819" spans="1:14" ht="15" customHeight="1" x14ac:dyDescent="0.3">
      <c r="A819" s="25"/>
      <c r="B819" s="20"/>
      <c r="C819" s="20"/>
      <c r="D819" s="20"/>
      <c r="E819" s="20"/>
      <c r="F819" s="21"/>
      <c r="G819" s="21"/>
      <c r="H819" s="21"/>
      <c r="I819" s="21"/>
      <c r="J819" s="20"/>
      <c r="K819" s="17"/>
      <c r="L819" s="17"/>
      <c r="M819" s="20"/>
      <c r="N819" s="17"/>
    </row>
    <row r="820" spans="1:14" ht="15" customHeight="1" x14ac:dyDescent="0.3">
      <c r="A820" s="22"/>
      <c r="B820" s="23"/>
      <c r="C820" s="23"/>
      <c r="D820" s="23"/>
      <c r="E820" s="23"/>
      <c r="F820" s="24"/>
      <c r="G820" s="24"/>
      <c r="H820" s="24"/>
      <c r="I820" s="24"/>
      <c r="J820" s="23"/>
      <c r="K820" s="14"/>
      <c r="L820" s="14"/>
      <c r="M820" s="23"/>
      <c r="N820" s="14"/>
    </row>
    <row r="821" spans="1:14" ht="15" customHeight="1" x14ac:dyDescent="0.3">
      <c r="A821" s="25"/>
      <c r="B821" s="20"/>
      <c r="C821" s="20"/>
      <c r="D821" s="20"/>
      <c r="E821" s="20"/>
      <c r="F821" s="21"/>
      <c r="G821" s="21"/>
      <c r="H821" s="21"/>
      <c r="I821" s="21"/>
      <c r="J821" s="20"/>
      <c r="K821" s="17"/>
      <c r="L821" s="17"/>
      <c r="M821" s="20"/>
      <c r="N821" s="17"/>
    </row>
    <row r="822" spans="1:14" ht="15" customHeight="1" x14ac:dyDescent="0.3">
      <c r="A822" s="22"/>
      <c r="B822" s="23"/>
      <c r="C822" s="23"/>
      <c r="D822" s="23"/>
      <c r="E822" s="23"/>
      <c r="F822" s="24"/>
      <c r="G822" s="24"/>
      <c r="H822" s="24"/>
      <c r="I822" s="24"/>
      <c r="J822" s="23"/>
      <c r="K822" s="14"/>
      <c r="L822" s="14"/>
      <c r="M822" s="23"/>
      <c r="N822" s="14"/>
    </row>
    <row r="823" spans="1:14" ht="15" customHeight="1" x14ac:dyDescent="0.3">
      <c r="A823" s="25"/>
      <c r="B823" s="20"/>
      <c r="C823" s="20"/>
      <c r="D823" s="20"/>
      <c r="E823" s="20"/>
      <c r="F823" s="21"/>
      <c r="G823" s="21"/>
      <c r="H823" s="21"/>
      <c r="I823" s="21"/>
      <c r="J823" s="20"/>
      <c r="K823" s="17"/>
      <c r="L823" s="17"/>
      <c r="M823" s="20"/>
      <c r="N823" s="17"/>
    </row>
    <row r="824" spans="1:14" ht="15" customHeight="1" x14ac:dyDescent="0.3">
      <c r="A824" s="22"/>
      <c r="B824" s="23"/>
      <c r="C824" s="23"/>
      <c r="D824" s="23"/>
      <c r="E824" s="23"/>
      <c r="F824" s="24"/>
      <c r="G824" s="24"/>
      <c r="H824" s="24"/>
      <c r="I824" s="24"/>
      <c r="J824" s="23"/>
      <c r="K824" s="14"/>
      <c r="L824" s="14"/>
      <c r="M824" s="23"/>
      <c r="N824" s="14"/>
    </row>
    <row r="825" spans="1:14" ht="15" customHeight="1" x14ac:dyDescent="0.3">
      <c r="A825" s="25"/>
      <c r="B825" s="20"/>
      <c r="C825" s="20"/>
      <c r="D825" s="20"/>
      <c r="E825" s="20"/>
      <c r="F825" s="21"/>
      <c r="G825" s="21"/>
      <c r="H825" s="21"/>
      <c r="I825" s="21"/>
      <c r="J825" s="20"/>
      <c r="K825" s="17"/>
      <c r="L825" s="17"/>
      <c r="M825" s="20"/>
      <c r="N825" s="17"/>
    </row>
    <row r="826" spans="1:14" ht="15" customHeight="1" x14ac:dyDescent="0.3">
      <c r="A826" s="22"/>
      <c r="B826" s="23"/>
      <c r="C826" s="23"/>
      <c r="D826" s="23"/>
      <c r="E826" s="23"/>
      <c r="F826" s="24"/>
      <c r="G826" s="24"/>
      <c r="H826" s="24"/>
      <c r="I826" s="24"/>
      <c r="J826" s="23"/>
      <c r="K826" s="14"/>
      <c r="L826" s="14"/>
      <c r="M826" s="23"/>
      <c r="N826" s="14"/>
    </row>
    <row r="827" spans="1:14" ht="15" customHeight="1" x14ac:dyDescent="0.3">
      <c r="A827" s="25"/>
      <c r="B827" s="20"/>
      <c r="C827" s="20"/>
      <c r="D827" s="20"/>
      <c r="E827" s="20"/>
      <c r="F827" s="21"/>
      <c r="G827" s="21"/>
      <c r="H827" s="21"/>
      <c r="I827" s="21"/>
      <c r="J827" s="20"/>
      <c r="K827" s="17"/>
      <c r="L827" s="17"/>
      <c r="M827" s="20"/>
      <c r="N827" s="17"/>
    </row>
    <row r="828" spans="1:14" ht="15" customHeight="1" x14ac:dyDescent="0.3">
      <c r="A828" s="22"/>
      <c r="B828" s="23"/>
      <c r="C828" s="23"/>
      <c r="D828" s="23"/>
      <c r="E828" s="23"/>
      <c r="F828" s="24"/>
      <c r="G828" s="24"/>
      <c r="H828" s="24"/>
      <c r="I828" s="24"/>
      <c r="J828" s="23"/>
      <c r="K828" s="14"/>
      <c r="L828" s="14"/>
      <c r="M828" s="23"/>
      <c r="N828" s="14"/>
    </row>
    <row r="829" spans="1:14" ht="15" customHeight="1" x14ac:dyDescent="0.3">
      <c r="A829" s="25"/>
      <c r="B829" s="20"/>
      <c r="C829" s="20"/>
      <c r="D829" s="20"/>
      <c r="E829" s="20"/>
      <c r="F829" s="21"/>
      <c r="G829" s="21"/>
      <c r="H829" s="21"/>
      <c r="I829" s="21"/>
      <c r="J829" s="20"/>
      <c r="K829" s="17"/>
      <c r="L829" s="17"/>
      <c r="M829" s="20"/>
      <c r="N829" s="17"/>
    </row>
    <row r="830" spans="1:14" ht="15" customHeight="1" x14ac:dyDescent="0.3">
      <c r="A830" s="22"/>
      <c r="B830" s="23"/>
      <c r="C830" s="23"/>
      <c r="D830" s="23"/>
      <c r="E830" s="23"/>
      <c r="F830" s="24"/>
      <c r="G830" s="24"/>
      <c r="H830" s="24"/>
      <c r="I830" s="24"/>
      <c r="J830" s="23"/>
      <c r="K830" s="14"/>
      <c r="L830" s="14"/>
      <c r="M830" s="23"/>
      <c r="N830" s="14"/>
    </row>
    <row r="831" spans="1:14" ht="15" customHeight="1" x14ac:dyDescent="0.3">
      <c r="A831" s="25"/>
      <c r="B831" s="20"/>
      <c r="C831" s="20"/>
      <c r="D831" s="20"/>
      <c r="E831" s="20"/>
      <c r="F831" s="21"/>
      <c r="G831" s="21"/>
      <c r="H831" s="21"/>
      <c r="I831" s="21"/>
      <c r="J831" s="20"/>
      <c r="K831" s="17"/>
      <c r="L831" s="17"/>
      <c r="M831" s="20"/>
      <c r="N831" s="17"/>
    </row>
    <row r="832" spans="1:14" ht="15" customHeight="1" x14ac:dyDescent="0.3">
      <c r="A832" s="22"/>
      <c r="B832" s="23"/>
      <c r="C832" s="23"/>
      <c r="D832" s="23"/>
      <c r="E832" s="23"/>
      <c r="F832" s="24"/>
      <c r="G832" s="24"/>
      <c r="H832" s="24"/>
      <c r="I832" s="24"/>
      <c r="J832" s="23"/>
      <c r="K832" s="14"/>
      <c r="L832" s="14"/>
      <c r="M832" s="23"/>
      <c r="N832" s="14"/>
    </row>
    <row r="833" spans="1:14" ht="15" customHeight="1" x14ac:dyDescent="0.3">
      <c r="A833" s="25"/>
      <c r="B833" s="20"/>
      <c r="C833" s="20"/>
      <c r="D833" s="20"/>
      <c r="E833" s="20"/>
      <c r="F833" s="21"/>
      <c r="G833" s="21"/>
      <c r="H833" s="21"/>
      <c r="I833" s="21"/>
      <c r="J833" s="20"/>
      <c r="K833" s="17"/>
      <c r="L833" s="17"/>
      <c r="M833" s="20"/>
      <c r="N833" s="17"/>
    </row>
    <row r="834" spans="1:14" ht="15" customHeight="1" x14ac:dyDescent="0.3">
      <c r="A834" s="22"/>
      <c r="B834" s="23"/>
      <c r="C834" s="23"/>
      <c r="D834" s="23"/>
      <c r="E834" s="23"/>
      <c r="F834" s="24"/>
      <c r="G834" s="24"/>
      <c r="H834" s="24"/>
      <c r="I834" s="24"/>
      <c r="J834" s="23"/>
      <c r="K834" s="14"/>
      <c r="L834" s="14"/>
      <c r="M834" s="23"/>
      <c r="N834" s="14"/>
    </row>
    <row r="835" spans="1:14" ht="15" customHeight="1" x14ac:dyDescent="0.3">
      <c r="A835" s="25"/>
      <c r="B835" s="20"/>
      <c r="C835" s="20"/>
      <c r="D835" s="20"/>
      <c r="E835" s="20"/>
      <c r="F835" s="21"/>
      <c r="G835" s="21"/>
      <c r="H835" s="21"/>
      <c r="I835" s="21"/>
      <c r="J835" s="20"/>
      <c r="K835" s="17"/>
      <c r="L835" s="17"/>
      <c r="M835" s="20"/>
      <c r="N835" s="17"/>
    </row>
    <row r="836" spans="1:14" ht="15" customHeight="1" x14ac:dyDescent="0.3">
      <c r="A836" s="22"/>
      <c r="B836" s="23"/>
      <c r="C836" s="23"/>
      <c r="D836" s="23"/>
      <c r="E836" s="23"/>
      <c r="F836" s="24"/>
      <c r="G836" s="24"/>
      <c r="H836" s="24"/>
      <c r="I836" s="24"/>
      <c r="J836" s="23"/>
      <c r="K836" s="14"/>
      <c r="L836" s="14"/>
      <c r="M836" s="23"/>
      <c r="N836" s="14"/>
    </row>
    <row r="837" spans="1:14" ht="15" customHeight="1" x14ac:dyDescent="0.3">
      <c r="A837" s="25"/>
      <c r="B837" s="20"/>
      <c r="C837" s="20"/>
      <c r="D837" s="20"/>
      <c r="E837" s="20"/>
      <c r="F837" s="21"/>
      <c r="G837" s="21"/>
      <c r="H837" s="21"/>
      <c r="I837" s="21"/>
      <c r="J837" s="20"/>
      <c r="K837" s="17"/>
      <c r="L837" s="17"/>
      <c r="M837" s="20"/>
      <c r="N837" s="17"/>
    </row>
    <row r="838" spans="1:14" ht="15" customHeight="1" x14ac:dyDescent="0.3">
      <c r="A838" s="22"/>
      <c r="B838" s="23"/>
      <c r="C838" s="23"/>
      <c r="D838" s="23"/>
      <c r="E838" s="23"/>
      <c r="F838" s="24"/>
      <c r="G838" s="24"/>
      <c r="H838" s="24"/>
      <c r="I838" s="24"/>
      <c r="J838" s="23"/>
      <c r="K838" s="14"/>
      <c r="L838" s="14"/>
      <c r="M838" s="23"/>
      <c r="N838" s="14"/>
    </row>
    <row r="839" spans="1:14" ht="15" customHeight="1" x14ac:dyDescent="0.3">
      <c r="A839" s="25"/>
      <c r="B839" s="20"/>
      <c r="C839" s="20"/>
      <c r="D839" s="20"/>
      <c r="E839" s="20"/>
      <c r="F839" s="21"/>
      <c r="G839" s="21"/>
      <c r="H839" s="21"/>
      <c r="I839" s="21"/>
      <c r="J839" s="20"/>
      <c r="K839" s="17"/>
      <c r="L839" s="17"/>
      <c r="M839" s="20"/>
      <c r="N839" s="17"/>
    </row>
    <row r="840" spans="1:14" ht="15" customHeight="1" x14ac:dyDescent="0.3">
      <c r="A840" s="22"/>
      <c r="B840" s="23"/>
      <c r="C840" s="23"/>
      <c r="D840" s="23"/>
      <c r="E840" s="23"/>
      <c r="F840" s="24"/>
      <c r="G840" s="24"/>
      <c r="H840" s="24"/>
      <c r="I840" s="24"/>
      <c r="J840" s="23"/>
      <c r="K840" s="14"/>
      <c r="L840" s="14"/>
      <c r="M840" s="23"/>
      <c r="N840" s="14"/>
    </row>
    <row r="841" spans="1:14" ht="15" customHeight="1" x14ac:dyDescent="0.3">
      <c r="A841" s="25"/>
      <c r="B841" s="20"/>
      <c r="C841" s="20"/>
      <c r="D841" s="20"/>
      <c r="E841" s="20"/>
      <c r="F841" s="21"/>
      <c r="G841" s="21"/>
      <c r="H841" s="21"/>
      <c r="I841" s="21"/>
      <c r="J841" s="20"/>
      <c r="K841" s="17"/>
      <c r="L841" s="17"/>
      <c r="M841" s="20"/>
      <c r="N841" s="17"/>
    </row>
    <row r="842" spans="1:14" ht="15" customHeight="1" x14ac:dyDescent="0.3">
      <c r="A842" s="22"/>
      <c r="B842" s="23"/>
      <c r="C842" s="23"/>
      <c r="D842" s="23"/>
      <c r="E842" s="23"/>
      <c r="F842" s="24"/>
      <c r="G842" s="24"/>
      <c r="H842" s="24"/>
      <c r="I842" s="24"/>
      <c r="J842" s="23"/>
      <c r="K842" s="14"/>
      <c r="L842" s="14"/>
      <c r="M842" s="23"/>
      <c r="N842" s="14"/>
    </row>
    <row r="843" spans="1:14" ht="15" customHeight="1" x14ac:dyDescent="0.3">
      <c r="A843" s="25"/>
      <c r="B843" s="20"/>
      <c r="C843" s="20"/>
      <c r="D843" s="20"/>
      <c r="E843" s="20"/>
      <c r="F843" s="21"/>
      <c r="G843" s="21"/>
      <c r="H843" s="21"/>
      <c r="I843" s="21"/>
      <c r="J843" s="20"/>
      <c r="K843" s="17"/>
      <c r="L843" s="17"/>
      <c r="M843" s="20"/>
      <c r="N843" s="17"/>
    </row>
    <row r="844" spans="1:14" ht="15" customHeight="1" x14ac:dyDescent="0.3">
      <c r="A844" s="22"/>
      <c r="B844" s="23"/>
      <c r="C844" s="23"/>
      <c r="D844" s="23"/>
      <c r="E844" s="23"/>
      <c r="F844" s="24"/>
      <c r="G844" s="24"/>
      <c r="H844" s="24"/>
      <c r="I844" s="24"/>
      <c r="J844" s="23"/>
      <c r="K844" s="14"/>
      <c r="L844" s="14"/>
      <c r="M844" s="23"/>
      <c r="N844" s="14"/>
    </row>
    <row r="845" spans="1:14" ht="15" customHeight="1" x14ac:dyDescent="0.3">
      <c r="A845" s="25"/>
      <c r="B845" s="20"/>
      <c r="C845" s="20"/>
      <c r="D845" s="20"/>
      <c r="E845" s="20"/>
      <c r="F845" s="21"/>
      <c r="G845" s="21"/>
      <c r="H845" s="21"/>
      <c r="I845" s="21"/>
      <c r="J845" s="20"/>
      <c r="K845" s="17"/>
      <c r="L845" s="17"/>
      <c r="M845" s="20"/>
      <c r="N845" s="17"/>
    </row>
    <row r="846" spans="1:14" ht="15" customHeight="1" x14ac:dyDescent="0.3">
      <c r="A846" s="22"/>
      <c r="B846" s="23"/>
      <c r="C846" s="23"/>
      <c r="D846" s="23"/>
      <c r="E846" s="23"/>
      <c r="F846" s="24"/>
      <c r="G846" s="24"/>
      <c r="H846" s="24"/>
      <c r="I846" s="24"/>
      <c r="J846" s="23"/>
      <c r="K846" s="14"/>
      <c r="L846" s="14"/>
      <c r="M846" s="23"/>
      <c r="N846" s="14"/>
    </row>
    <row r="847" spans="1:14" ht="15" customHeight="1" x14ac:dyDescent="0.3">
      <c r="A847" s="25"/>
      <c r="B847" s="20"/>
      <c r="C847" s="20"/>
      <c r="D847" s="20"/>
      <c r="E847" s="20"/>
      <c r="F847" s="21"/>
      <c r="G847" s="21"/>
      <c r="H847" s="21"/>
      <c r="I847" s="21"/>
      <c r="J847" s="20"/>
      <c r="K847" s="17"/>
      <c r="L847" s="17"/>
      <c r="M847" s="20"/>
      <c r="N847" s="17"/>
    </row>
    <row r="848" spans="1:14" ht="15" customHeight="1" x14ac:dyDescent="0.3">
      <c r="A848" s="22"/>
      <c r="B848" s="23"/>
      <c r="C848" s="23"/>
      <c r="D848" s="23"/>
      <c r="E848" s="23"/>
      <c r="F848" s="24"/>
      <c r="G848" s="24"/>
      <c r="H848" s="24"/>
      <c r="I848" s="24"/>
      <c r="J848" s="23"/>
      <c r="K848" s="14"/>
      <c r="L848" s="14"/>
      <c r="M848" s="23"/>
      <c r="N848" s="14"/>
    </row>
    <row r="849" spans="1:14" ht="15" customHeight="1" x14ac:dyDescent="0.3">
      <c r="A849" s="25"/>
      <c r="B849" s="20"/>
      <c r="C849" s="20"/>
      <c r="D849" s="20"/>
      <c r="E849" s="20"/>
      <c r="F849" s="21"/>
      <c r="G849" s="21"/>
      <c r="H849" s="21"/>
      <c r="I849" s="21"/>
      <c r="J849" s="20"/>
      <c r="K849" s="17"/>
      <c r="L849" s="17"/>
      <c r="M849" s="20"/>
      <c r="N849" s="17"/>
    </row>
    <row r="850" spans="1:14" ht="15" customHeight="1" x14ac:dyDescent="0.3">
      <c r="A850" s="22"/>
      <c r="B850" s="23"/>
      <c r="C850" s="23"/>
      <c r="D850" s="23"/>
      <c r="E850" s="23"/>
      <c r="F850" s="24"/>
      <c r="G850" s="24"/>
      <c r="H850" s="24"/>
      <c r="I850" s="24"/>
      <c r="J850" s="23"/>
      <c r="K850" s="14"/>
      <c r="L850" s="14"/>
      <c r="M850" s="23"/>
      <c r="N850" s="14"/>
    </row>
    <row r="851" spans="1:14" ht="15" customHeight="1" x14ac:dyDescent="0.3">
      <c r="A851" s="25"/>
      <c r="B851" s="20"/>
      <c r="C851" s="20"/>
      <c r="D851" s="20"/>
      <c r="E851" s="20"/>
      <c r="F851" s="21"/>
      <c r="G851" s="21"/>
      <c r="H851" s="21"/>
      <c r="I851" s="21"/>
      <c r="J851" s="20"/>
      <c r="K851" s="17"/>
      <c r="L851" s="17"/>
      <c r="M851" s="20"/>
      <c r="N851" s="17"/>
    </row>
    <row r="852" spans="1:14" ht="15" customHeight="1" x14ac:dyDescent="0.3">
      <c r="A852" s="22"/>
      <c r="B852" s="23"/>
      <c r="C852" s="23"/>
      <c r="D852" s="23"/>
      <c r="E852" s="23"/>
      <c r="F852" s="24"/>
      <c r="G852" s="24"/>
      <c r="H852" s="24"/>
      <c r="I852" s="24"/>
      <c r="J852" s="23"/>
      <c r="K852" s="14"/>
      <c r="L852" s="14"/>
      <c r="M852" s="23"/>
      <c r="N852" s="14"/>
    </row>
    <row r="853" spans="1:14" ht="15" customHeight="1" x14ac:dyDescent="0.3">
      <c r="A853" s="25"/>
      <c r="B853" s="20"/>
      <c r="C853" s="20"/>
      <c r="D853" s="20"/>
      <c r="E853" s="20"/>
      <c r="F853" s="21"/>
      <c r="G853" s="21"/>
      <c r="H853" s="21"/>
      <c r="I853" s="21"/>
      <c r="J853" s="20"/>
      <c r="K853" s="17"/>
      <c r="L853" s="17"/>
      <c r="M853" s="20"/>
      <c r="N853" s="17"/>
    </row>
    <row r="854" spans="1:14" ht="15" customHeight="1" x14ac:dyDescent="0.3">
      <c r="A854" s="22"/>
      <c r="B854" s="23"/>
      <c r="C854" s="23"/>
      <c r="D854" s="23"/>
      <c r="E854" s="23"/>
      <c r="F854" s="24"/>
      <c r="G854" s="24"/>
      <c r="H854" s="24"/>
      <c r="I854" s="24"/>
      <c r="J854" s="23"/>
      <c r="K854" s="14"/>
      <c r="L854" s="14"/>
      <c r="M854" s="23"/>
      <c r="N854" s="14"/>
    </row>
    <row r="855" spans="1:14" ht="15" customHeight="1" x14ac:dyDescent="0.3">
      <c r="A855" s="25"/>
      <c r="B855" s="20"/>
      <c r="C855" s="20"/>
      <c r="D855" s="20"/>
      <c r="E855" s="20"/>
      <c r="F855" s="21"/>
      <c r="G855" s="21"/>
      <c r="H855" s="21"/>
      <c r="I855" s="21"/>
      <c r="J855" s="20"/>
      <c r="K855" s="17"/>
      <c r="L855" s="17"/>
      <c r="M855" s="20"/>
      <c r="N855" s="17"/>
    </row>
    <row r="856" spans="1:14" ht="15" customHeight="1" x14ac:dyDescent="0.3">
      <c r="A856" s="22"/>
      <c r="B856" s="23"/>
      <c r="C856" s="23"/>
      <c r="D856" s="23"/>
      <c r="E856" s="23"/>
      <c r="F856" s="24"/>
      <c r="G856" s="24"/>
      <c r="H856" s="24"/>
      <c r="I856" s="24"/>
      <c r="J856" s="23"/>
      <c r="K856" s="14"/>
      <c r="L856" s="14"/>
      <c r="M856" s="23"/>
      <c r="N856" s="14"/>
    </row>
    <row r="857" spans="1:14" ht="15" customHeight="1" x14ac:dyDescent="0.3">
      <c r="A857" s="25"/>
      <c r="B857" s="20"/>
      <c r="C857" s="20"/>
      <c r="D857" s="20"/>
      <c r="E857" s="20"/>
      <c r="F857" s="21"/>
      <c r="G857" s="21"/>
      <c r="H857" s="21"/>
      <c r="I857" s="21"/>
      <c r="J857" s="20"/>
      <c r="K857" s="17"/>
      <c r="L857" s="17"/>
      <c r="M857" s="20"/>
      <c r="N857" s="17"/>
    </row>
    <row r="858" spans="1:14" ht="15" customHeight="1" x14ac:dyDescent="0.3">
      <c r="A858" s="22"/>
      <c r="B858" s="23"/>
      <c r="C858" s="23"/>
      <c r="D858" s="23"/>
      <c r="E858" s="23"/>
      <c r="F858" s="24"/>
      <c r="G858" s="24"/>
      <c r="H858" s="24"/>
      <c r="I858" s="24"/>
      <c r="J858" s="23"/>
      <c r="K858" s="14"/>
      <c r="L858" s="14"/>
      <c r="M858" s="23"/>
      <c r="N858" s="14"/>
    </row>
    <row r="859" spans="1:14" ht="15" customHeight="1" x14ac:dyDescent="0.3">
      <c r="A859" s="25"/>
      <c r="B859" s="20"/>
      <c r="C859" s="20"/>
      <c r="D859" s="20"/>
      <c r="E859" s="20"/>
      <c r="F859" s="21"/>
      <c r="G859" s="21"/>
      <c r="H859" s="21"/>
      <c r="I859" s="21"/>
      <c r="J859" s="20"/>
      <c r="K859" s="17"/>
      <c r="L859" s="17"/>
      <c r="M859" s="20"/>
      <c r="N859" s="17"/>
    </row>
    <row r="860" spans="1:14" ht="15" customHeight="1" x14ac:dyDescent="0.3">
      <c r="A860" s="22"/>
      <c r="B860" s="23"/>
      <c r="C860" s="23"/>
      <c r="D860" s="23"/>
      <c r="E860" s="23"/>
      <c r="F860" s="24"/>
      <c r="G860" s="24"/>
      <c r="H860" s="24"/>
      <c r="I860" s="24"/>
      <c r="J860" s="23"/>
      <c r="K860" s="14"/>
      <c r="L860" s="14"/>
      <c r="M860" s="23"/>
      <c r="N860" s="14"/>
    </row>
    <row r="861" spans="1:14" ht="15" customHeight="1" x14ac:dyDescent="0.3">
      <c r="A861" s="25"/>
      <c r="B861" s="20"/>
      <c r="C861" s="20"/>
      <c r="D861" s="20"/>
      <c r="E861" s="20"/>
      <c r="F861" s="21"/>
      <c r="G861" s="21"/>
      <c r="H861" s="21"/>
      <c r="I861" s="21"/>
      <c r="J861" s="20"/>
      <c r="K861" s="17"/>
      <c r="L861" s="17"/>
      <c r="M861" s="20"/>
      <c r="N861" s="17"/>
    </row>
    <row r="862" spans="1:14" ht="15" customHeight="1" x14ac:dyDescent="0.3">
      <c r="A862" s="22"/>
      <c r="B862" s="23"/>
      <c r="C862" s="23"/>
      <c r="D862" s="23"/>
      <c r="E862" s="23"/>
      <c r="F862" s="24"/>
      <c r="G862" s="24"/>
      <c r="H862" s="24"/>
      <c r="I862" s="24"/>
      <c r="J862" s="23"/>
      <c r="K862" s="14"/>
      <c r="L862" s="14"/>
      <c r="M862" s="23"/>
      <c r="N862" s="14"/>
    </row>
    <row r="863" spans="1:14" ht="15" customHeight="1" x14ac:dyDescent="0.3">
      <c r="A863" s="25"/>
      <c r="B863" s="20"/>
      <c r="C863" s="20"/>
      <c r="D863" s="20"/>
      <c r="E863" s="20"/>
      <c r="F863" s="21"/>
      <c r="G863" s="21"/>
      <c r="H863" s="21"/>
      <c r="I863" s="21"/>
      <c r="J863" s="20"/>
      <c r="K863" s="17"/>
      <c r="L863" s="17"/>
      <c r="M863" s="20"/>
      <c r="N863" s="17"/>
    </row>
    <row r="864" spans="1:14" ht="15" customHeight="1" x14ac:dyDescent="0.3">
      <c r="A864" s="22"/>
      <c r="B864" s="23"/>
      <c r="C864" s="23"/>
      <c r="D864" s="23"/>
      <c r="E864" s="23"/>
      <c r="F864" s="24"/>
      <c r="G864" s="24"/>
      <c r="H864" s="24"/>
      <c r="I864" s="24"/>
      <c r="J864" s="23"/>
      <c r="K864" s="14"/>
      <c r="L864" s="14"/>
      <c r="M864" s="23"/>
      <c r="N864" s="14"/>
    </row>
    <row r="865" spans="1:14" ht="15" customHeight="1" x14ac:dyDescent="0.3">
      <c r="A865" s="25"/>
      <c r="B865" s="20"/>
      <c r="C865" s="20"/>
      <c r="D865" s="20"/>
      <c r="E865" s="20"/>
      <c r="F865" s="21"/>
      <c r="G865" s="21"/>
      <c r="H865" s="21"/>
      <c r="I865" s="21"/>
      <c r="J865" s="20"/>
      <c r="K865" s="17"/>
      <c r="L865" s="17"/>
      <c r="M865" s="20"/>
      <c r="N865" s="17"/>
    </row>
    <row r="866" spans="1:14" ht="15" customHeight="1" x14ac:dyDescent="0.3">
      <c r="A866" s="22"/>
      <c r="B866" s="23"/>
      <c r="C866" s="23"/>
      <c r="D866" s="23"/>
      <c r="E866" s="23"/>
      <c r="F866" s="24"/>
      <c r="G866" s="24"/>
      <c r="H866" s="24"/>
      <c r="I866" s="24"/>
      <c r="J866" s="23"/>
      <c r="K866" s="14"/>
      <c r="L866" s="14"/>
      <c r="M866" s="23"/>
      <c r="N866" s="14"/>
    </row>
    <row r="867" spans="1:14" ht="15" customHeight="1" x14ac:dyDescent="0.3">
      <c r="A867" s="25"/>
      <c r="B867" s="20"/>
      <c r="C867" s="20"/>
      <c r="D867" s="20"/>
      <c r="E867" s="20"/>
      <c r="F867" s="21"/>
      <c r="G867" s="21"/>
      <c r="H867" s="21"/>
      <c r="I867" s="21"/>
      <c r="J867" s="20"/>
      <c r="K867" s="17"/>
      <c r="L867" s="17"/>
      <c r="M867" s="20"/>
      <c r="N867" s="17"/>
    </row>
    <row r="868" spans="1:14" ht="15" customHeight="1" x14ac:dyDescent="0.3">
      <c r="A868" s="22"/>
      <c r="B868" s="23"/>
      <c r="C868" s="23"/>
      <c r="D868" s="23"/>
      <c r="E868" s="23"/>
      <c r="F868" s="24"/>
      <c r="G868" s="24"/>
      <c r="H868" s="24"/>
      <c r="I868" s="24"/>
      <c r="J868" s="23"/>
      <c r="K868" s="14"/>
      <c r="L868" s="14"/>
      <c r="M868" s="23"/>
      <c r="N868" s="14"/>
    </row>
    <row r="869" spans="1:14" ht="15" customHeight="1" x14ac:dyDescent="0.3">
      <c r="A869" s="25"/>
      <c r="B869" s="20"/>
      <c r="C869" s="20"/>
      <c r="D869" s="20"/>
      <c r="E869" s="20"/>
      <c r="F869" s="21"/>
      <c r="G869" s="21"/>
      <c r="H869" s="21"/>
      <c r="I869" s="21"/>
      <c r="J869" s="20"/>
      <c r="K869" s="17"/>
      <c r="L869" s="17"/>
      <c r="M869" s="20"/>
      <c r="N869" s="17"/>
    </row>
    <row r="870" spans="1:14" ht="15" customHeight="1" x14ac:dyDescent="0.3">
      <c r="A870" s="22"/>
      <c r="B870" s="23"/>
      <c r="C870" s="23"/>
      <c r="D870" s="23"/>
      <c r="E870" s="23"/>
      <c r="F870" s="24"/>
      <c r="G870" s="24"/>
      <c r="H870" s="24"/>
      <c r="I870" s="24"/>
      <c r="J870" s="23"/>
      <c r="K870" s="14"/>
      <c r="L870" s="14"/>
      <c r="M870" s="23"/>
      <c r="N870" s="14"/>
    </row>
    <row r="871" spans="1:14" ht="15" customHeight="1" x14ac:dyDescent="0.3">
      <c r="A871" s="25"/>
      <c r="B871" s="20"/>
      <c r="C871" s="20"/>
      <c r="D871" s="20"/>
      <c r="E871" s="20"/>
      <c r="F871" s="21"/>
      <c r="G871" s="21"/>
      <c r="H871" s="21"/>
      <c r="I871" s="21"/>
      <c r="J871" s="20"/>
      <c r="K871" s="17"/>
      <c r="L871" s="17"/>
      <c r="M871" s="20"/>
      <c r="N871" s="17"/>
    </row>
    <row r="872" spans="1:14" ht="15" customHeight="1" x14ac:dyDescent="0.3">
      <c r="A872" s="22"/>
      <c r="B872" s="23"/>
      <c r="C872" s="23"/>
      <c r="D872" s="23"/>
      <c r="E872" s="23"/>
      <c r="F872" s="24"/>
      <c r="G872" s="24"/>
      <c r="H872" s="24"/>
      <c r="I872" s="24"/>
      <c r="J872" s="23"/>
      <c r="K872" s="14"/>
      <c r="L872" s="14"/>
      <c r="M872" s="23"/>
      <c r="N872" s="14"/>
    </row>
    <row r="873" spans="1:14" ht="15" customHeight="1" x14ac:dyDescent="0.3">
      <c r="A873" s="25"/>
      <c r="B873" s="20"/>
      <c r="C873" s="20"/>
      <c r="D873" s="20"/>
      <c r="E873" s="20"/>
      <c r="F873" s="21"/>
      <c r="G873" s="21"/>
      <c r="H873" s="21"/>
      <c r="I873" s="21"/>
      <c r="J873" s="20"/>
      <c r="K873" s="17"/>
      <c r="L873" s="17"/>
      <c r="M873" s="20"/>
      <c r="N873" s="17"/>
    </row>
    <row r="874" spans="1:14" ht="15" customHeight="1" x14ac:dyDescent="0.3">
      <c r="A874" s="22"/>
      <c r="B874" s="23"/>
      <c r="C874" s="23"/>
      <c r="D874" s="23"/>
      <c r="E874" s="23"/>
      <c r="F874" s="24"/>
      <c r="G874" s="24"/>
      <c r="H874" s="24"/>
      <c r="I874" s="24"/>
      <c r="J874" s="23"/>
      <c r="K874" s="14"/>
      <c r="L874" s="14"/>
      <c r="M874" s="23"/>
      <c r="N874" s="14"/>
    </row>
    <row r="875" spans="1:14" ht="15" customHeight="1" x14ac:dyDescent="0.3">
      <c r="A875" s="25"/>
      <c r="B875" s="20"/>
      <c r="C875" s="20"/>
      <c r="D875" s="20"/>
      <c r="E875" s="20"/>
      <c r="F875" s="21"/>
      <c r="G875" s="21"/>
      <c r="H875" s="21"/>
      <c r="I875" s="21"/>
      <c r="J875" s="20"/>
      <c r="K875" s="17"/>
      <c r="L875" s="17"/>
      <c r="M875" s="20"/>
      <c r="N875" s="17"/>
    </row>
    <row r="876" spans="1:14" ht="15" customHeight="1" x14ac:dyDescent="0.3">
      <c r="A876" s="22"/>
      <c r="B876" s="23"/>
      <c r="C876" s="23"/>
      <c r="D876" s="23"/>
      <c r="E876" s="23"/>
      <c r="F876" s="24"/>
      <c r="G876" s="24"/>
      <c r="H876" s="24"/>
      <c r="I876" s="24"/>
      <c r="J876" s="23"/>
      <c r="K876" s="14"/>
      <c r="L876" s="14"/>
      <c r="M876" s="23"/>
      <c r="N876" s="14"/>
    </row>
    <row r="877" spans="1:14" ht="15" customHeight="1" x14ac:dyDescent="0.3">
      <c r="A877" s="25"/>
      <c r="B877" s="20"/>
      <c r="C877" s="20"/>
      <c r="D877" s="20"/>
      <c r="E877" s="20"/>
      <c r="F877" s="21"/>
      <c r="G877" s="21"/>
      <c r="H877" s="21"/>
      <c r="I877" s="21"/>
      <c r="J877" s="20"/>
      <c r="K877" s="17"/>
      <c r="L877" s="17"/>
      <c r="M877" s="20"/>
      <c r="N877" s="17"/>
    </row>
    <row r="878" spans="1:14" ht="15" customHeight="1" x14ac:dyDescent="0.3">
      <c r="A878" s="22"/>
      <c r="B878" s="23"/>
      <c r="C878" s="23"/>
      <c r="D878" s="23"/>
      <c r="E878" s="23"/>
      <c r="F878" s="24"/>
      <c r="G878" s="24"/>
      <c r="H878" s="24"/>
      <c r="I878" s="24"/>
      <c r="J878" s="23"/>
      <c r="K878" s="14"/>
      <c r="L878" s="14"/>
      <c r="M878" s="23"/>
      <c r="N878" s="14"/>
    </row>
    <row r="879" spans="1:14" ht="15" customHeight="1" x14ac:dyDescent="0.3">
      <c r="A879" s="25"/>
      <c r="B879" s="20"/>
      <c r="C879" s="20"/>
      <c r="D879" s="20"/>
      <c r="E879" s="20"/>
      <c r="F879" s="21"/>
      <c r="G879" s="21"/>
      <c r="H879" s="21"/>
      <c r="I879" s="21"/>
      <c r="J879" s="20"/>
      <c r="K879" s="17"/>
      <c r="L879" s="17"/>
      <c r="M879" s="20"/>
      <c r="N879" s="17"/>
    </row>
    <row r="880" spans="1:14" ht="15" customHeight="1" x14ac:dyDescent="0.3">
      <c r="A880" s="22"/>
      <c r="B880" s="23"/>
      <c r="C880" s="23"/>
      <c r="D880" s="23"/>
      <c r="E880" s="23"/>
      <c r="F880" s="24"/>
      <c r="G880" s="24"/>
      <c r="H880" s="24"/>
      <c r="I880" s="24"/>
      <c r="J880" s="23"/>
      <c r="K880" s="14"/>
      <c r="L880" s="14"/>
      <c r="M880" s="23"/>
      <c r="N880" s="14"/>
    </row>
    <row r="881" spans="1:14" ht="15" customHeight="1" x14ac:dyDescent="0.3">
      <c r="A881" s="25"/>
      <c r="B881" s="20"/>
      <c r="C881" s="20"/>
      <c r="D881" s="20"/>
      <c r="E881" s="20"/>
      <c r="F881" s="21"/>
      <c r="G881" s="21"/>
      <c r="H881" s="21"/>
      <c r="I881" s="21"/>
      <c r="J881" s="20"/>
      <c r="K881" s="17"/>
      <c r="L881" s="17"/>
      <c r="M881" s="20"/>
      <c r="N881" s="17"/>
    </row>
    <row r="882" spans="1:14" ht="15" customHeight="1" x14ac:dyDescent="0.3">
      <c r="A882" s="22"/>
      <c r="B882" s="23"/>
      <c r="C882" s="23"/>
      <c r="D882" s="23"/>
      <c r="E882" s="23"/>
      <c r="F882" s="24"/>
      <c r="G882" s="24"/>
      <c r="H882" s="24"/>
      <c r="I882" s="24"/>
      <c r="J882" s="23"/>
      <c r="K882" s="14"/>
      <c r="L882" s="14"/>
      <c r="M882" s="23"/>
      <c r="N882" s="14"/>
    </row>
    <row r="883" spans="1:14" ht="15" customHeight="1" x14ac:dyDescent="0.3">
      <c r="A883" s="25"/>
      <c r="B883" s="20"/>
      <c r="C883" s="20"/>
      <c r="D883" s="20"/>
      <c r="E883" s="20"/>
      <c r="F883" s="21"/>
      <c r="G883" s="21"/>
      <c r="H883" s="21"/>
      <c r="I883" s="21"/>
      <c r="J883" s="20"/>
      <c r="K883" s="17"/>
      <c r="L883" s="17"/>
      <c r="M883" s="20"/>
      <c r="N883" s="17"/>
    </row>
    <row r="884" spans="1:14" ht="15" customHeight="1" x14ac:dyDescent="0.3">
      <c r="A884" s="22"/>
      <c r="B884" s="23"/>
      <c r="C884" s="23"/>
      <c r="D884" s="23"/>
      <c r="E884" s="23"/>
      <c r="F884" s="24"/>
      <c r="G884" s="24"/>
      <c r="H884" s="24"/>
      <c r="I884" s="24"/>
      <c r="J884" s="23"/>
      <c r="K884" s="14"/>
      <c r="L884" s="14"/>
      <c r="M884" s="23"/>
      <c r="N884" s="14"/>
    </row>
    <row r="885" spans="1:14" ht="15" customHeight="1" x14ac:dyDescent="0.3">
      <c r="A885" s="25"/>
      <c r="B885" s="20"/>
      <c r="C885" s="20"/>
      <c r="D885" s="20"/>
      <c r="E885" s="20"/>
      <c r="F885" s="21"/>
      <c r="G885" s="21"/>
      <c r="H885" s="21"/>
      <c r="I885" s="21"/>
      <c r="J885" s="20"/>
      <c r="K885" s="17"/>
      <c r="L885" s="17"/>
      <c r="M885" s="20"/>
      <c r="N885" s="17"/>
    </row>
    <row r="886" spans="1:14" ht="15" customHeight="1" x14ac:dyDescent="0.3">
      <c r="A886" s="22"/>
      <c r="B886" s="23"/>
      <c r="C886" s="23"/>
      <c r="D886" s="23"/>
      <c r="E886" s="23"/>
      <c r="F886" s="24"/>
      <c r="G886" s="24"/>
      <c r="H886" s="24"/>
      <c r="I886" s="24"/>
      <c r="J886" s="23"/>
      <c r="K886" s="14"/>
      <c r="L886" s="14"/>
      <c r="M886" s="23"/>
      <c r="N886" s="14"/>
    </row>
    <row r="887" spans="1:14" ht="15" customHeight="1" x14ac:dyDescent="0.3">
      <c r="A887" s="25"/>
      <c r="B887" s="20"/>
      <c r="C887" s="20"/>
      <c r="D887" s="20"/>
      <c r="E887" s="20"/>
      <c r="F887" s="21"/>
      <c r="G887" s="21"/>
      <c r="H887" s="21"/>
      <c r="I887" s="21"/>
      <c r="J887" s="20"/>
      <c r="K887" s="17"/>
      <c r="L887" s="17"/>
      <c r="M887" s="20"/>
      <c r="N887" s="17"/>
    </row>
    <row r="888" spans="1:14" ht="15" customHeight="1" x14ac:dyDescent="0.3">
      <c r="A888" s="22"/>
      <c r="B888" s="23"/>
      <c r="C888" s="23"/>
      <c r="D888" s="23"/>
      <c r="E888" s="23"/>
      <c r="F888" s="24"/>
      <c r="G888" s="24"/>
      <c r="H888" s="24"/>
      <c r="I888" s="24"/>
      <c r="J888" s="23"/>
      <c r="K888" s="14"/>
      <c r="L888" s="14"/>
      <c r="M888" s="23"/>
      <c r="N888" s="14"/>
    </row>
    <row r="889" spans="1:14" ht="15" customHeight="1" x14ac:dyDescent="0.3">
      <c r="A889" s="25"/>
      <c r="B889" s="20"/>
      <c r="C889" s="20"/>
      <c r="D889" s="20"/>
      <c r="E889" s="20"/>
      <c r="F889" s="21"/>
      <c r="G889" s="21"/>
      <c r="H889" s="21"/>
      <c r="I889" s="21"/>
      <c r="J889" s="20"/>
      <c r="K889" s="17"/>
      <c r="L889" s="17"/>
      <c r="M889" s="20"/>
      <c r="N889" s="17"/>
    </row>
    <row r="890" spans="1:14" ht="15" customHeight="1" x14ac:dyDescent="0.3">
      <c r="A890" s="22"/>
      <c r="B890" s="23"/>
      <c r="C890" s="23"/>
      <c r="D890" s="23"/>
      <c r="E890" s="23"/>
      <c r="F890" s="24"/>
      <c r="G890" s="24"/>
      <c r="H890" s="24"/>
      <c r="I890" s="24"/>
      <c r="J890" s="23"/>
      <c r="K890" s="14"/>
      <c r="L890" s="14"/>
      <c r="M890" s="23"/>
      <c r="N890" s="14"/>
    </row>
    <row r="891" spans="1:14" ht="15" customHeight="1" x14ac:dyDescent="0.3">
      <c r="A891" s="25"/>
      <c r="B891" s="20"/>
      <c r="C891" s="20"/>
      <c r="D891" s="20"/>
      <c r="E891" s="20"/>
      <c r="F891" s="21"/>
      <c r="G891" s="21"/>
      <c r="H891" s="21"/>
      <c r="I891" s="21"/>
      <c r="J891" s="20"/>
      <c r="K891" s="17"/>
      <c r="L891" s="17"/>
      <c r="M891" s="20"/>
      <c r="N891" s="17"/>
    </row>
    <row r="892" spans="1:14" ht="15" customHeight="1" x14ac:dyDescent="0.3">
      <c r="A892" s="22"/>
      <c r="B892" s="23"/>
      <c r="C892" s="23"/>
      <c r="D892" s="23"/>
      <c r="E892" s="23"/>
      <c r="F892" s="24"/>
      <c r="G892" s="24"/>
      <c r="H892" s="24"/>
      <c r="I892" s="24"/>
      <c r="J892" s="23"/>
      <c r="K892" s="14"/>
      <c r="L892" s="14"/>
      <c r="M892" s="23"/>
      <c r="N892" s="14"/>
    </row>
    <row r="893" spans="1:14" ht="15" customHeight="1" x14ac:dyDescent="0.3">
      <c r="A893" s="25"/>
      <c r="B893" s="20"/>
      <c r="C893" s="20"/>
      <c r="D893" s="20"/>
      <c r="E893" s="20"/>
      <c r="F893" s="21"/>
      <c r="G893" s="21"/>
      <c r="H893" s="21"/>
      <c r="I893" s="21"/>
      <c r="J893" s="20"/>
      <c r="K893" s="17"/>
      <c r="L893" s="17"/>
      <c r="M893" s="20"/>
      <c r="N893" s="17"/>
    </row>
    <row r="894" spans="1:14" ht="15" customHeight="1" x14ac:dyDescent="0.3">
      <c r="A894" s="22"/>
      <c r="B894" s="23"/>
      <c r="C894" s="23"/>
      <c r="D894" s="23"/>
      <c r="E894" s="23"/>
      <c r="F894" s="24"/>
      <c r="G894" s="24"/>
      <c r="H894" s="24"/>
      <c r="I894" s="24"/>
      <c r="J894" s="23"/>
      <c r="K894" s="14"/>
      <c r="L894" s="14"/>
      <c r="M894" s="23"/>
      <c r="N894" s="14"/>
    </row>
    <row r="895" spans="1:14" ht="15" customHeight="1" x14ac:dyDescent="0.3">
      <c r="A895" s="25"/>
      <c r="B895" s="20"/>
      <c r="C895" s="20"/>
      <c r="D895" s="20"/>
      <c r="E895" s="20"/>
      <c r="F895" s="21"/>
      <c r="G895" s="21"/>
      <c r="H895" s="21"/>
      <c r="I895" s="21"/>
      <c r="J895" s="20"/>
      <c r="K895" s="17"/>
      <c r="L895" s="17"/>
      <c r="M895" s="20"/>
      <c r="N895" s="17"/>
    </row>
    <row r="896" spans="1:14" ht="15" customHeight="1" x14ac:dyDescent="0.3">
      <c r="A896" s="22"/>
      <c r="B896" s="23"/>
      <c r="C896" s="23"/>
      <c r="D896" s="23"/>
      <c r="E896" s="23"/>
      <c r="F896" s="24"/>
      <c r="G896" s="24"/>
      <c r="H896" s="24"/>
      <c r="I896" s="24"/>
      <c r="J896" s="23"/>
      <c r="K896" s="14"/>
      <c r="L896" s="14"/>
      <c r="M896" s="23"/>
      <c r="N896" s="14"/>
    </row>
    <row r="897" spans="1:14" ht="15" customHeight="1" x14ac:dyDescent="0.3">
      <c r="A897" s="25"/>
      <c r="B897" s="20"/>
      <c r="C897" s="20"/>
      <c r="D897" s="20"/>
      <c r="E897" s="20"/>
      <c r="F897" s="21"/>
      <c r="G897" s="21"/>
      <c r="H897" s="21"/>
      <c r="I897" s="21"/>
      <c r="J897" s="20"/>
      <c r="K897" s="17"/>
      <c r="L897" s="17"/>
      <c r="M897" s="20"/>
      <c r="N897" s="17"/>
    </row>
    <row r="898" spans="1:14" ht="15" customHeight="1" x14ac:dyDescent="0.3">
      <c r="A898" s="22"/>
      <c r="B898" s="23"/>
      <c r="C898" s="23"/>
      <c r="D898" s="23"/>
      <c r="E898" s="23"/>
      <c r="F898" s="24"/>
      <c r="G898" s="24"/>
      <c r="H898" s="24"/>
      <c r="I898" s="24"/>
      <c r="J898" s="23"/>
      <c r="K898" s="14"/>
      <c r="L898" s="14"/>
      <c r="M898" s="23"/>
      <c r="N898" s="14"/>
    </row>
    <row r="899" spans="1:14" ht="15" customHeight="1" x14ac:dyDescent="0.3">
      <c r="A899" s="25"/>
      <c r="B899" s="20"/>
      <c r="C899" s="20"/>
      <c r="D899" s="20"/>
      <c r="E899" s="20"/>
      <c r="F899" s="21"/>
      <c r="G899" s="21"/>
      <c r="H899" s="21"/>
      <c r="I899" s="21"/>
      <c r="J899" s="20"/>
      <c r="K899" s="17"/>
      <c r="L899" s="17"/>
      <c r="M899" s="20"/>
      <c r="N899" s="17"/>
    </row>
    <row r="900" spans="1:14" ht="15" customHeight="1" x14ac:dyDescent="0.3">
      <c r="A900" s="22"/>
      <c r="B900" s="23"/>
      <c r="C900" s="23"/>
      <c r="D900" s="23"/>
      <c r="E900" s="23"/>
      <c r="F900" s="24"/>
      <c r="G900" s="24"/>
      <c r="H900" s="24"/>
      <c r="I900" s="24"/>
      <c r="J900" s="23"/>
      <c r="K900" s="14"/>
      <c r="L900" s="14"/>
      <c r="M900" s="23"/>
      <c r="N900" s="14"/>
    </row>
    <row r="901" spans="1:14" ht="15" customHeight="1" x14ac:dyDescent="0.3">
      <c r="A901" s="25"/>
      <c r="B901" s="20"/>
      <c r="C901" s="20"/>
      <c r="D901" s="20"/>
      <c r="E901" s="20"/>
      <c r="F901" s="21"/>
      <c r="G901" s="21"/>
      <c r="H901" s="21"/>
      <c r="I901" s="21"/>
      <c r="J901" s="20"/>
      <c r="K901" s="17"/>
      <c r="L901" s="17"/>
      <c r="M901" s="20"/>
      <c r="N901" s="17"/>
    </row>
    <row r="902" spans="1:14" ht="15" customHeight="1" x14ac:dyDescent="0.3">
      <c r="A902" s="22"/>
      <c r="B902" s="23"/>
      <c r="C902" s="23"/>
      <c r="D902" s="23"/>
      <c r="E902" s="23"/>
      <c r="F902" s="24"/>
      <c r="G902" s="24"/>
      <c r="H902" s="24"/>
      <c r="I902" s="24"/>
      <c r="J902" s="23"/>
      <c r="K902" s="14"/>
      <c r="L902" s="14"/>
      <c r="M902" s="23"/>
      <c r="N902" s="14"/>
    </row>
    <row r="903" spans="1:14" ht="15" customHeight="1" x14ac:dyDescent="0.3">
      <c r="A903" s="25"/>
      <c r="B903" s="20"/>
      <c r="C903" s="20"/>
      <c r="D903" s="20"/>
      <c r="E903" s="20"/>
      <c r="F903" s="21"/>
      <c r="G903" s="21"/>
      <c r="H903" s="21"/>
      <c r="I903" s="21"/>
      <c r="J903" s="20"/>
      <c r="K903" s="17"/>
      <c r="L903" s="17"/>
      <c r="M903" s="20"/>
      <c r="N903" s="17"/>
    </row>
    <row r="904" spans="1:14" ht="15" customHeight="1" x14ac:dyDescent="0.3">
      <c r="A904" s="22"/>
      <c r="B904" s="23"/>
      <c r="C904" s="23"/>
      <c r="D904" s="23"/>
      <c r="E904" s="23"/>
      <c r="F904" s="24"/>
      <c r="G904" s="24"/>
      <c r="H904" s="24"/>
      <c r="I904" s="24"/>
      <c r="J904" s="23"/>
      <c r="K904" s="14"/>
      <c r="L904" s="14"/>
      <c r="M904" s="23"/>
      <c r="N904" s="14"/>
    </row>
    <row r="905" spans="1:14" ht="15" customHeight="1" x14ac:dyDescent="0.3">
      <c r="A905" s="25"/>
      <c r="B905" s="20"/>
      <c r="C905" s="20"/>
      <c r="D905" s="20"/>
      <c r="E905" s="20"/>
      <c r="F905" s="21"/>
      <c r="G905" s="21"/>
      <c r="H905" s="21"/>
      <c r="I905" s="21"/>
      <c r="J905" s="20"/>
      <c r="K905" s="17"/>
      <c r="L905" s="17"/>
      <c r="M905" s="20"/>
      <c r="N905" s="17"/>
    </row>
    <row r="906" spans="1:14" ht="15" customHeight="1" x14ac:dyDescent="0.3">
      <c r="A906" s="22"/>
      <c r="B906" s="23"/>
      <c r="C906" s="23"/>
      <c r="D906" s="23"/>
      <c r="E906" s="23"/>
      <c r="F906" s="24"/>
      <c r="G906" s="24"/>
      <c r="H906" s="24"/>
      <c r="I906" s="24"/>
      <c r="J906" s="23"/>
      <c r="K906" s="14"/>
      <c r="L906" s="14"/>
      <c r="M906" s="23"/>
      <c r="N906" s="14"/>
    </row>
    <row r="907" spans="1:14" ht="15" customHeight="1" x14ac:dyDescent="0.3">
      <c r="A907" s="25"/>
      <c r="B907" s="20"/>
      <c r="C907" s="20"/>
      <c r="D907" s="20"/>
      <c r="E907" s="20"/>
      <c r="F907" s="21"/>
      <c r="G907" s="21"/>
      <c r="H907" s="21"/>
      <c r="I907" s="21"/>
      <c r="J907" s="20"/>
      <c r="K907" s="17"/>
      <c r="L907" s="17"/>
      <c r="M907" s="20"/>
      <c r="N907" s="17"/>
    </row>
    <row r="908" spans="1:14" ht="15" customHeight="1" x14ac:dyDescent="0.3">
      <c r="A908" s="22"/>
      <c r="B908" s="23"/>
      <c r="C908" s="23"/>
      <c r="D908" s="23"/>
      <c r="E908" s="23"/>
      <c r="F908" s="24"/>
      <c r="G908" s="24"/>
      <c r="H908" s="24"/>
      <c r="I908" s="24"/>
      <c r="J908" s="23"/>
      <c r="K908" s="14"/>
      <c r="L908" s="14"/>
      <c r="M908" s="23"/>
      <c r="N908" s="14"/>
    </row>
    <row r="909" spans="1:14" ht="15" customHeight="1" x14ac:dyDescent="0.3">
      <c r="A909" s="25"/>
      <c r="B909" s="20"/>
      <c r="C909" s="20"/>
      <c r="D909" s="20"/>
      <c r="E909" s="20"/>
      <c r="F909" s="21"/>
      <c r="G909" s="21"/>
      <c r="H909" s="21"/>
      <c r="I909" s="21"/>
      <c r="J909" s="20"/>
      <c r="K909" s="17"/>
      <c r="L909" s="17"/>
      <c r="M909" s="20"/>
      <c r="N909" s="17"/>
    </row>
    <row r="910" spans="1:14" ht="15" customHeight="1" x14ac:dyDescent="0.3">
      <c r="A910" s="22"/>
      <c r="B910" s="23"/>
      <c r="C910" s="23"/>
      <c r="D910" s="23"/>
      <c r="E910" s="23"/>
      <c r="F910" s="24"/>
      <c r="G910" s="24"/>
      <c r="H910" s="24"/>
      <c r="I910" s="24"/>
      <c r="J910" s="23"/>
      <c r="K910" s="14"/>
      <c r="L910" s="14"/>
      <c r="M910" s="23"/>
      <c r="N910" s="14"/>
    </row>
    <row r="911" spans="1:14" ht="15" customHeight="1" x14ac:dyDescent="0.3">
      <c r="A911" s="25"/>
      <c r="B911" s="20"/>
      <c r="C911" s="20"/>
      <c r="D911" s="20"/>
      <c r="E911" s="20"/>
      <c r="F911" s="21"/>
      <c r="G911" s="21"/>
      <c r="H911" s="21"/>
      <c r="I911" s="21"/>
      <c r="J911" s="20"/>
      <c r="K911" s="17"/>
      <c r="L911" s="17"/>
      <c r="M911" s="20"/>
      <c r="N911" s="17"/>
    </row>
    <row r="912" spans="1:14" ht="15" customHeight="1" x14ac:dyDescent="0.3">
      <c r="A912" s="22"/>
      <c r="B912" s="23"/>
      <c r="C912" s="23"/>
      <c r="D912" s="23"/>
      <c r="E912" s="23"/>
      <c r="F912" s="24"/>
      <c r="G912" s="24"/>
      <c r="H912" s="24"/>
      <c r="I912" s="24"/>
      <c r="J912" s="23"/>
      <c r="K912" s="14"/>
      <c r="L912" s="14"/>
      <c r="M912" s="23"/>
      <c r="N912" s="14"/>
    </row>
    <row r="913" spans="1:14" ht="15" customHeight="1" x14ac:dyDescent="0.3">
      <c r="A913" s="25"/>
      <c r="B913" s="20"/>
      <c r="C913" s="20"/>
      <c r="D913" s="20"/>
      <c r="E913" s="20"/>
      <c r="F913" s="21"/>
      <c r="G913" s="21"/>
      <c r="H913" s="21"/>
      <c r="I913" s="21"/>
      <c r="J913" s="20"/>
      <c r="K913" s="17"/>
      <c r="L913" s="17"/>
      <c r="M913" s="20"/>
      <c r="N913" s="17"/>
    </row>
    <row r="914" spans="1:14" ht="15" customHeight="1" x14ac:dyDescent="0.3">
      <c r="A914" s="22"/>
      <c r="B914" s="23"/>
      <c r="C914" s="23"/>
      <c r="D914" s="23"/>
      <c r="E914" s="23"/>
      <c r="F914" s="24"/>
      <c r="G914" s="24"/>
      <c r="H914" s="24"/>
      <c r="I914" s="24"/>
      <c r="J914" s="23"/>
      <c r="K914" s="14"/>
      <c r="L914" s="14"/>
      <c r="M914" s="23"/>
      <c r="N914" s="14"/>
    </row>
    <row r="915" spans="1:14" ht="15" customHeight="1" x14ac:dyDescent="0.3">
      <c r="A915" s="25"/>
      <c r="B915" s="20"/>
      <c r="C915" s="20"/>
      <c r="D915" s="20"/>
      <c r="E915" s="20"/>
      <c r="F915" s="21"/>
      <c r="G915" s="21"/>
      <c r="H915" s="21"/>
      <c r="I915" s="21"/>
      <c r="J915" s="20"/>
      <c r="K915" s="17"/>
      <c r="L915" s="17"/>
      <c r="M915" s="20"/>
      <c r="N915" s="17"/>
    </row>
    <row r="916" spans="1:14" ht="15" customHeight="1" x14ac:dyDescent="0.3">
      <c r="A916" s="22"/>
      <c r="B916" s="23"/>
      <c r="C916" s="23"/>
      <c r="D916" s="23"/>
      <c r="E916" s="23"/>
      <c r="F916" s="24"/>
      <c r="G916" s="24"/>
      <c r="H916" s="24"/>
      <c r="I916" s="24"/>
      <c r="J916" s="23"/>
      <c r="K916" s="14"/>
      <c r="L916" s="14"/>
      <c r="M916" s="23"/>
      <c r="N916" s="14"/>
    </row>
    <row r="917" spans="1:14" ht="15" customHeight="1" x14ac:dyDescent="0.3">
      <c r="A917" s="25"/>
      <c r="B917" s="20"/>
      <c r="C917" s="20"/>
      <c r="D917" s="20"/>
      <c r="E917" s="20"/>
      <c r="F917" s="21"/>
      <c r="G917" s="21"/>
      <c r="H917" s="21"/>
      <c r="I917" s="21"/>
      <c r="J917" s="20"/>
      <c r="K917" s="17"/>
      <c r="L917" s="17"/>
      <c r="M917" s="20"/>
      <c r="N917" s="17"/>
    </row>
    <row r="918" spans="1:14" ht="15" customHeight="1" x14ac:dyDescent="0.3">
      <c r="A918" s="22"/>
      <c r="B918" s="23"/>
      <c r="C918" s="23"/>
      <c r="D918" s="23"/>
      <c r="E918" s="23"/>
      <c r="F918" s="24"/>
      <c r="G918" s="24"/>
      <c r="H918" s="24"/>
      <c r="I918" s="24"/>
      <c r="J918" s="23"/>
      <c r="K918" s="14"/>
      <c r="L918" s="14"/>
      <c r="M918" s="23"/>
      <c r="N918" s="14"/>
    </row>
    <row r="919" spans="1:14" ht="15" customHeight="1" x14ac:dyDescent="0.3">
      <c r="A919" s="25"/>
      <c r="B919" s="20"/>
      <c r="C919" s="20"/>
      <c r="D919" s="20"/>
      <c r="E919" s="20"/>
      <c r="F919" s="21"/>
      <c r="G919" s="21"/>
      <c r="H919" s="21"/>
      <c r="I919" s="21"/>
      <c r="J919" s="20"/>
      <c r="K919" s="17"/>
      <c r="L919" s="17"/>
      <c r="M919" s="20"/>
      <c r="N919" s="17"/>
    </row>
    <row r="920" spans="1:14" ht="15" customHeight="1" x14ac:dyDescent="0.3">
      <c r="A920" s="22"/>
      <c r="B920" s="23"/>
      <c r="C920" s="23"/>
      <c r="D920" s="23"/>
      <c r="E920" s="23"/>
      <c r="F920" s="24"/>
      <c r="G920" s="24"/>
      <c r="H920" s="24"/>
      <c r="I920" s="24"/>
      <c r="J920" s="23"/>
      <c r="K920" s="14"/>
      <c r="L920" s="14"/>
      <c r="M920" s="23"/>
      <c r="N920" s="14"/>
    </row>
    <row r="921" spans="1:14" ht="15" customHeight="1" x14ac:dyDescent="0.3">
      <c r="A921" s="25"/>
      <c r="B921" s="20"/>
      <c r="C921" s="20"/>
      <c r="D921" s="20"/>
      <c r="E921" s="20"/>
      <c r="F921" s="21"/>
      <c r="G921" s="21"/>
      <c r="H921" s="21"/>
      <c r="I921" s="21"/>
      <c r="J921" s="20"/>
      <c r="K921" s="17"/>
      <c r="L921" s="17"/>
      <c r="M921" s="20"/>
      <c r="N921" s="17"/>
    </row>
    <row r="922" spans="1:14" ht="15" customHeight="1" x14ac:dyDescent="0.3">
      <c r="A922" s="22"/>
      <c r="B922" s="23"/>
      <c r="C922" s="23"/>
      <c r="D922" s="23"/>
      <c r="E922" s="23"/>
      <c r="F922" s="24"/>
      <c r="G922" s="24"/>
      <c r="H922" s="24"/>
      <c r="I922" s="24"/>
      <c r="J922" s="23"/>
      <c r="K922" s="14"/>
      <c r="L922" s="14"/>
      <c r="M922" s="23"/>
      <c r="N922" s="14"/>
    </row>
    <row r="923" spans="1:14" ht="15" customHeight="1" x14ac:dyDescent="0.3">
      <c r="A923" s="25"/>
      <c r="B923" s="20"/>
      <c r="C923" s="20"/>
      <c r="D923" s="20"/>
      <c r="E923" s="20"/>
      <c r="F923" s="21"/>
      <c r="G923" s="21"/>
      <c r="H923" s="21"/>
      <c r="I923" s="21"/>
      <c r="J923" s="20"/>
      <c r="K923" s="17"/>
      <c r="L923" s="17"/>
      <c r="M923" s="20"/>
      <c r="N923" s="17"/>
    </row>
    <row r="924" spans="1:14" ht="15" customHeight="1" x14ac:dyDescent="0.3">
      <c r="A924" s="22"/>
      <c r="B924" s="23"/>
      <c r="C924" s="23"/>
      <c r="D924" s="23"/>
      <c r="E924" s="23"/>
      <c r="F924" s="24"/>
      <c r="G924" s="24"/>
      <c r="H924" s="24"/>
      <c r="I924" s="24"/>
      <c r="J924" s="23"/>
      <c r="K924" s="14"/>
      <c r="L924" s="14"/>
      <c r="M924" s="23"/>
      <c r="N924" s="14"/>
    </row>
    <row r="925" spans="1:14" ht="15" customHeight="1" x14ac:dyDescent="0.3">
      <c r="A925" s="25"/>
      <c r="B925" s="20"/>
      <c r="C925" s="20"/>
      <c r="D925" s="20"/>
      <c r="E925" s="20"/>
      <c r="F925" s="21"/>
      <c r="G925" s="21"/>
      <c r="H925" s="21"/>
      <c r="I925" s="21"/>
      <c r="J925" s="20"/>
      <c r="K925" s="17"/>
      <c r="L925" s="17"/>
      <c r="M925" s="20"/>
      <c r="N925" s="17"/>
    </row>
    <row r="926" spans="1:14" ht="15" customHeight="1" x14ac:dyDescent="0.3">
      <c r="A926" s="22"/>
      <c r="B926" s="23"/>
      <c r="C926" s="23"/>
      <c r="D926" s="23"/>
      <c r="E926" s="23"/>
      <c r="F926" s="24"/>
      <c r="G926" s="24"/>
      <c r="H926" s="24"/>
      <c r="I926" s="24"/>
      <c r="J926" s="23"/>
      <c r="K926" s="14"/>
      <c r="L926" s="14"/>
      <c r="M926" s="23"/>
      <c r="N926" s="14"/>
    </row>
    <row r="927" spans="1:14" ht="15" customHeight="1" x14ac:dyDescent="0.3">
      <c r="A927" s="25"/>
      <c r="B927" s="20"/>
      <c r="C927" s="20"/>
      <c r="D927" s="20"/>
      <c r="E927" s="20"/>
      <c r="F927" s="21"/>
      <c r="G927" s="21"/>
      <c r="H927" s="21"/>
      <c r="I927" s="21"/>
      <c r="J927" s="20"/>
      <c r="K927" s="17"/>
      <c r="L927" s="17"/>
      <c r="M927" s="20"/>
      <c r="N927" s="17"/>
    </row>
    <row r="928" spans="1:14" ht="15" customHeight="1" x14ac:dyDescent="0.3">
      <c r="A928" s="22"/>
      <c r="B928" s="23"/>
      <c r="C928" s="23"/>
      <c r="D928" s="23"/>
      <c r="E928" s="23"/>
      <c r="F928" s="24"/>
      <c r="G928" s="24"/>
      <c r="H928" s="24"/>
      <c r="I928" s="24"/>
      <c r="J928" s="23"/>
      <c r="K928" s="14"/>
      <c r="L928" s="14"/>
      <c r="M928" s="23"/>
      <c r="N928" s="14"/>
    </row>
    <row r="929" spans="1:14" ht="15" customHeight="1" x14ac:dyDescent="0.3">
      <c r="A929" s="25"/>
      <c r="B929" s="20"/>
      <c r="C929" s="20"/>
      <c r="D929" s="20"/>
      <c r="E929" s="20"/>
      <c r="F929" s="21"/>
      <c r="G929" s="21"/>
      <c r="H929" s="21"/>
      <c r="I929" s="21"/>
      <c r="J929" s="20"/>
      <c r="K929" s="17"/>
      <c r="L929" s="17"/>
      <c r="M929" s="20"/>
      <c r="N929" s="17"/>
    </row>
    <row r="930" spans="1:14" ht="15" customHeight="1" x14ac:dyDescent="0.3">
      <c r="A930" s="22"/>
      <c r="B930" s="23"/>
      <c r="C930" s="23"/>
      <c r="D930" s="23"/>
      <c r="E930" s="23"/>
      <c r="F930" s="24"/>
      <c r="G930" s="24"/>
      <c r="H930" s="24"/>
      <c r="I930" s="24"/>
      <c r="J930" s="23"/>
      <c r="K930" s="14"/>
      <c r="L930" s="14"/>
      <c r="M930" s="23"/>
      <c r="N930" s="14"/>
    </row>
    <row r="931" spans="1:14" ht="15" customHeight="1" x14ac:dyDescent="0.3">
      <c r="A931" s="25"/>
      <c r="B931" s="20"/>
      <c r="C931" s="20"/>
      <c r="D931" s="20"/>
      <c r="E931" s="20"/>
      <c r="F931" s="21"/>
      <c r="G931" s="21"/>
      <c r="H931" s="21"/>
      <c r="I931" s="21"/>
      <c r="J931" s="20"/>
      <c r="K931" s="17"/>
      <c r="L931" s="17"/>
      <c r="M931" s="20"/>
      <c r="N931" s="17"/>
    </row>
    <row r="932" spans="1:14" ht="15" customHeight="1" x14ac:dyDescent="0.3">
      <c r="A932" s="22"/>
      <c r="B932" s="23"/>
      <c r="C932" s="23"/>
      <c r="D932" s="23"/>
      <c r="E932" s="23"/>
      <c r="F932" s="24"/>
      <c r="G932" s="24"/>
      <c r="H932" s="24"/>
      <c r="I932" s="24"/>
      <c r="J932" s="23"/>
      <c r="K932" s="14"/>
      <c r="L932" s="14"/>
      <c r="M932" s="23"/>
      <c r="N932" s="14"/>
    </row>
    <row r="933" spans="1:14" ht="15" customHeight="1" x14ac:dyDescent="0.3">
      <c r="A933" s="25"/>
      <c r="B933" s="20"/>
      <c r="C933" s="20"/>
      <c r="D933" s="20"/>
      <c r="E933" s="20"/>
      <c r="F933" s="21"/>
      <c r="G933" s="21"/>
      <c r="H933" s="21"/>
      <c r="I933" s="21"/>
      <c r="J933" s="20"/>
      <c r="K933" s="17"/>
      <c r="L933" s="17"/>
      <c r="M933" s="20"/>
      <c r="N933" s="17"/>
    </row>
    <row r="934" spans="1:14" ht="15" customHeight="1" x14ac:dyDescent="0.3">
      <c r="A934" s="22"/>
      <c r="B934" s="23"/>
      <c r="C934" s="23"/>
      <c r="D934" s="23"/>
      <c r="E934" s="23"/>
      <c r="F934" s="24"/>
      <c r="G934" s="24"/>
      <c r="H934" s="24"/>
      <c r="I934" s="24"/>
      <c r="J934" s="23"/>
      <c r="K934" s="14"/>
      <c r="L934" s="14"/>
      <c r="M934" s="23"/>
      <c r="N934" s="14"/>
    </row>
    <row r="935" spans="1:14" ht="15" customHeight="1" x14ac:dyDescent="0.3">
      <c r="A935" s="25"/>
      <c r="B935" s="20"/>
      <c r="C935" s="20"/>
      <c r="D935" s="20"/>
      <c r="E935" s="20"/>
      <c r="F935" s="21"/>
      <c r="G935" s="21"/>
      <c r="H935" s="21"/>
      <c r="I935" s="21"/>
      <c r="J935" s="20"/>
      <c r="K935" s="17"/>
      <c r="L935" s="17"/>
      <c r="M935" s="20"/>
      <c r="N935" s="17"/>
    </row>
    <row r="936" spans="1:14" ht="15" customHeight="1" x14ac:dyDescent="0.3">
      <c r="A936" s="22"/>
      <c r="B936" s="23"/>
      <c r="C936" s="23"/>
      <c r="D936" s="23"/>
      <c r="E936" s="23"/>
      <c r="F936" s="24"/>
      <c r="G936" s="24"/>
      <c r="H936" s="24"/>
      <c r="I936" s="24"/>
      <c r="J936" s="23"/>
      <c r="K936" s="14"/>
      <c r="L936" s="14"/>
      <c r="M936" s="23"/>
      <c r="N936" s="14"/>
    </row>
    <row r="937" spans="1:14" ht="15" customHeight="1" x14ac:dyDescent="0.3">
      <c r="A937" s="25"/>
      <c r="B937" s="20"/>
      <c r="C937" s="20"/>
      <c r="D937" s="20"/>
      <c r="E937" s="20"/>
      <c r="F937" s="21"/>
      <c r="G937" s="21"/>
      <c r="H937" s="21"/>
      <c r="I937" s="21"/>
      <c r="J937" s="20"/>
      <c r="K937" s="17"/>
      <c r="L937" s="17"/>
      <c r="M937" s="20"/>
      <c r="N937" s="17"/>
    </row>
    <row r="938" spans="1:14" ht="15" customHeight="1" x14ac:dyDescent="0.3">
      <c r="A938" s="22"/>
      <c r="B938" s="23"/>
      <c r="C938" s="23"/>
      <c r="D938" s="23"/>
      <c r="E938" s="23"/>
      <c r="F938" s="24"/>
      <c r="G938" s="24"/>
      <c r="H938" s="24"/>
      <c r="I938" s="24"/>
      <c r="J938" s="23"/>
      <c r="K938" s="14"/>
      <c r="L938" s="14"/>
      <c r="M938" s="23"/>
      <c r="N938" s="14"/>
    </row>
    <row r="939" spans="1:14" ht="15" customHeight="1" x14ac:dyDescent="0.3">
      <c r="A939" s="25"/>
      <c r="B939" s="20"/>
      <c r="C939" s="20"/>
      <c r="D939" s="20"/>
      <c r="E939" s="20"/>
      <c r="F939" s="21"/>
      <c r="G939" s="21"/>
      <c r="H939" s="21"/>
      <c r="I939" s="21"/>
      <c r="J939" s="20"/>
      <c r="K939" s="17"/>
      <c r="L939" s="17"/>
      <c r="M939" s="20"/>
      <c r="N939" s="17"/>
    </row>
    <row r="940" spans="1:14" ht="15" customHeight="1" x14ac:dyDescent="0.3">
      <c r="A940" s="22"/>
      <c r="B940" s="23"/>
      <c r="C940" s="23"/>
      <c r="D940" s="23"/>
      <c r="E940" s="23"/>
      <c r="F940" s="24"/>
      <c r="G940" s="24"/>
      <c r="H940" s="24"/>
      <c r="I940" s="24"/>
      <c r="J940" s="23"/>
      <c r="K940" s="14"/>
      <c r="L940" s="14"/>
      <c r="M940" s="23"/>
      <c r="N940" s="14"/>
    </row>
    <row r="941" spans="1:14" ht="15" customHeight="1" x14ac:dyDescent="0.3">
      <c r="A941" s="25"/>
      <c r="B941" s="20"/>
      <c r="C941" s="20"/>
      <c r="D941" s="20"/>
      <c r="E941" s="20"/>
      <c r="F941" s="21"/>
      <c r="G941" s="21"/>
      <c r="H941" s="21"/>
      <c r="I941" s="21"/>
      <c r="J941" s="20"/>
      <c r="K941" s="17"/>
      <c r="L941" s="17"/>
      <c r="M941" s="20"/>
      <c r="N941" s="17"/>
    </row>
    <row r="942" spans="1:14" ht="15" customHeight="1" x14ac:dyDescent="0.3">
      <c r="A942" s="22"/>
      <c r="B942" s="23"/>
      <c r="C942" s="23"/>
      <c r="D942" s="23"/>
      <c r="E942" s="23"/>
      <c r="F942" s="24"/>
      <c r="G942" s="24"/>
      <c r="H942" s="24"/>
      <c r="I942" s="24"/>
      <c r="J942" s="23"/>
      <c r="K942" s="14"/>
      <c r="L942" s="14"/>
      <c r="M942" s="23"/>
      <c r="N942" s="14"/>
    </row>
    <row r="943" spans="1:14" ht="15" customHeight="1" x14ac:dyDescent="0.3">
      <c r="A943" s="25"/>
      <c r="B943" s="20"/>
      <c r="C943" s="20"/>
      <c r="D943" s="20"/>
      <c r="E943" s="20"/>
      <c r="F943" s="21"/>
      <c r="G943" s="21"/>
      <c r="H943" s="21"/>
      <c r="I943" s="21"/>
      <c r="J943" s="20"/>
      <c r="K943" s="17"/>
      <c r="L943" s="17"/>
      <c r="M943" s="20"/>
      <c r="N943" s="17"/>
    </row>
    <row r="944" spans="1:14" ht="15" customHeight="1" x14ac:dyDescent="0.3">
      <c r="A944" s="22"/>
      <c r="B944" s="23"/>
      <c r="C944" s="23"/>
      <c r="D944" s="23"/>
      <c r="E944" s="23"/>
      <c r="F944" s="24"/>
      <c r="G944" s="24"/>
      <c r="H944" s="24"/>
      <c r="I944" s="24"/>
      <c r="J944" s="23"/>
      <c r="K944" s="14"/>
      <c r="L944" s="14"/>
      <c r="M944" s="23"/>
      <c r="N944" s="14"/>
    </row>
    <row r="945" spans="1:14" ht="15" customHeight="1" x14ac:dyDescent="0.3">
      <c r="A945" s="25"/>
      <c r="B945" s="20"/>
      <c r="C945" s="20"/>
      <c r="D945" s="20"/>
      <c r="E945" s="20"/>
      <c r="F945" s="21"/>
      <c r="G945" s="21"/>
      <c r="H945" s="21"/>
      <c r="I945" s="21"/>
      <c r="J945" s="20"/>
      <c r="K945" s="17"/>
      <c r="L945" s="17"/>
      <c r="M945" s="20"/>
      <c r="N945" s="17"/>
    </row>
    <row r="946" spans="1:14" ht="15" customHeight="1" x14ac:dyDescent="0.3">
      <c r="A946" s="22"/>
      <c r="B946" s="23"/>
      <c r="C946" s="23"/>
      <c r="D946" s="23"/>
      <c r="E946" s="23"/>
      <c r="F946" s="24"/>
      <c r="G946" s="24"/>
      <c r="H946" s="24"/>
      <c r="I946" s="24"/>
      <c r="J946" s="23"/>
      <c r="K946" s="14"/>
      <c r="L946" s="14"/>
      <c r="M946" s="23"/>
      <c r="N946" s="14"/>
    </row>
    <row r="947" spans="1:14" ht="15" customHeight="1" x14ac:dyDescent="0.3">
      <c r="A947" s="25"/>
      <c r="B947" s="20"/>
      <c r="C947" s="20"/>
      <c r="D947" s="20"/>
      <c r="E947" s="20"/>
      <c r="F947" s="21"/>
      <c r="G947" s="21"/>
      <c r="H947" s="21"/>
      <c r="I947" s="21"/>
      <c r="J947" s="20"/>
      <c r="K947" s="17"/>
      <c r="L947" s="17"/>
      <c r="M947" s="20"/>
      <c r="N947" s="17"/>
    </row>
    <row r="948" spans="1:14" ht="15" customHeight="1" x14ac:dyDescent="0.3">
      <c r="A948" s="22"/>
      <c r="B948" s="23"/>
      <c r="C948" s="23"/>
      <c r="D948" s="23"/>
      <c r="E948" s="23"/>
      <c r="F948" s="24"/>
      <c r="G948" s="24"/>
      <c r="H948" s="24"/>
      <c r="I948" s="24"/>
      <c r="J948" s="23"/>
      <c r="K948" s="14"/>
      <c r="L948" s="14"/>
      <c r="M948" s="23"/>
      <c r="N948" s="14"/>
    </row>
    <row r="949" spans="1:14" ht="15" customHeight="1" x14ac:dyDescent="0.3">
      <c r="A949" s="25"/>
      <c r="B949" s="20"/>
      <c r="C949" s="20"/>
      <c r="D949" s="20"/>
      <c r="E949" s="20"/>
      <c r="F949" s="21"/>
      <c r="G949" s="21"/>
      <c r="H949" s="21"/>
      <c r="I949" s="21"/>
      <c r="J949" s="20"/>
      <c r="K949" s="17"/>
      <c r="L949" s="17"/>
      <c r="M949" s="20"/>
      <c r="N949" s="17"/>
    </row>
    <row r="950" spans="1:14" ht="15" customHeight="1" x14ac:dyDescent="0.3">
      <c r="A950" s="22"/>
      <c r="B950" s="23"/>
      <c r="C950" s="23"/>
      <c r="D950" s="23"/>
      <c r="E950" s="23"/>
      <c r="F950" s="24"/>
      <c r="G950" s="24"/>
      <c r="H950" s="24"/>
      <c r="I950" s="24"/>
      <c r="J950" s="23"/>
      <c r="K950" s="14"/>
      <c r="L950" s="14"/>
      <c r="M950" s="23"/>
      <c r="N950" s="14"/>
    </row>
    <row r="951" spans="1:14" ht="15" customHeight="1" x14ac:dyDescent="0.3">
      <c r="A951" s="25"/>
      <c r="B951" s="20"/>
      <c r="C951" s="20"/>
      <c r="D951" s="20"/>
      <c r="E951" s="20"/>
      <c r="F951" s="21"/>
      <c r="G951" s="21"/>
      <c r="H951" s="21"/>
      <c r="I951" s="21"/>
      <c r="J951" s="20"/>
      <c r="K951" s="17"/>
      <c r="L951" s="17"/>
      <c r="M951" s="20"/>
      <c r="N951" s="17"/>
    </row>
    <row r="952" spans="1:14" ht="15" customHeight="1" x14ac:dyDescent="0.3">
      <c r="A952" s="22"/>
      <c r="B952" s="23"/>
      <c r="C952" s="23"/>
      <c r="D952" s="23"/>
      <c r="E952" s="23"/>
      <c r="F952" s="24"/>
      <c r="G952" s="24"/>
      <c r="H952" s="24"/>
      <c r="I952" s="24"/>
      <c r="J952" s="23"/>
      <c r="K952" s="14"/>
      <c r="L952" s="14"/>
      <c r="M952" s="23"/>
      <c r="N952" s="14"/>
    </row>
    <row r="953" spans="1:14" ht="15" customHeight="1" x14ac:dyDescent="0.3">
      <c r="A953" s="25"/>
      <c r="B953" s="20"/>
      <c r="C953" s="20"/>
      <c r="D953" s="20"/>
      <c r="E953" s="20"/>
      <c r="F953" s="21"/>
      <c r="G953" s="21"/>
      <c r="H953" s="21"/>
      <c r="I953" s="21"/>
      <c r="J953" s="20"/>
      <c r="K953" s="17"/>
      <c r="L953" s="17"/>
      <c r="M953" s="20"/>
      <c r="N953" s="17"/>
    </row>
    <row r="954" spans="1:14" ht="15" customHeight="1" x14ac:dyDescent="0.3">
      <c r="A954" s="22"/>
      <c r="B954" s="23"/>
      <c r="C954" s="23"/>
      <c r="D954" s="23"/>
      <c r="E954" s="23"/>
      <c r="F954" s="24"/>
      <c r="G954" s="24"/>
      <c r="H954" s="24"/>
      <c r="I954" s="24"/>
      <c r="J954" s="23"/>
      <c r="K954" s="14"/>
      <c r="L954" s="14"/>
      <c r="M954" s="23"/>
      <c r="N954" s="14"/>
    </row>
    <row r="955" spans="1:14" ht="15" customHeight="1" x14ac:dyDescent="0.3">
      <c r="A955" s="25"/>
      <c r="B955" s="20"/>
      <c r="C955" s="20"/>
      <c r="D955" s="20"/>
      <c r="E955" s="20"/>
      <c r="F955" s="21"/>
      <c r="G955" s="21"/>
      <c r="H955" s="21"/>
      <c r="I955" s="21"/>
      <c r="J955" s="20"/>
      <c r="K955" s="17"/>
      <c r="L955" s="17"/>
      <c r="M955" s="20"/>
      <c r="N955" s="17"/>
    </row>
    <row r="956" spans="1:14" ht="15" customHeight="1" x14ac:dyDescent="0.3">
      <c r="A956" s="22"/>
      <c r="B956" s="23"/>
      <c r="C956" s="23"/>
      <c r="D956" s="23"/>
      <c r="E956" s="23"/>
      <c r="F956" s="24"/>
      <c r="G956" s="24"/>
      <c r="H956" s="24"/>
      <c r="I956" s="24"/>
      <c r="J956" s="23"/>
      <c r="K956" s="14"/>
      <c r="L956" s="14"/>
      <c r="M956" s="23"/>
      <c r="N956" s="14"/>
    </row>
    <row r="957" spans="1:14" ht="15" customHeight="1" x14ac:dyDescent="0.3">
      <c r="A957" s="25"/>
      <c r="B957" s="20"/>
      <c r="C957" s="20"/>
      <c r="D957" s="20"/>
      <c r="E957" s="20"/>
      <c r="F957" s="21"/>
      <c r="G957" s="21"/>
      <c r="H957" s="21"/>
      <c r="I957" s="21"/>
      <c r="J957" s="20"/>
      <c r="K957" s="17"/>
      <c r="L957" s="17"/>
      <c r="M957" s="20"/>
      <c r="N957" s="17"/>
    </row>
    <row r="958" spans="1:14" ht="15" customHeight="1" x14ac:dyDescent="0.3">
      <c r="A958" s="22"/>
      <c r="B958" s="23"/>
      <c r="C958" s="23"/>
      <c r="D958" s="23"/>
      <c r="E958" s="23"/>
      <c r="F958" s="24"/>
      <c r="G958" s="24"/>
      <c r="H958" s="24"/>
      <c r="I958" s="24"/>
      <c r="J958" s="23"/>
      <c r="K958" s="14"/>
      <c r="L958" s="14"/>
      <c r="M958" s="23"/>
      <c r="N958" s="14"/>
    </row>
    <row r="959" spans="1:14" ht="15" customHeight="1" x14ac:dyDescent="0.3">
      <c r="A959" s="25"/>
      <c r="B959" s="20"/>
      <c r="C959" s="20"/>
      <c r="D959" s="20"/>
      <c r="E959" s="20"/>
      <c r="F959" s="21"/>
      <c r="G959" s="21"/>
      <c r="H959" s="21"/>
      <c r="I959" s="21"/>
      <c r="J959" s="20"/>
      <c r="K959" s="17"/>
      <c r="L959" s="17"/>
      <c r="M959" s="20"/>
      <c r="N959" s="17"/>
    </row>
    <row r="960" spans="1:14" ht="15" customHeight="1" x14ac:dyDescent="0.3">
      <c r="A960" s="22"/>
      <c r="B960" s="23"/>
      <c r="C960" s="23"/>
      <c r="D960" s="23"/>
      <c r="E960" s="23"/>
      <c r="F960" s="24"/>
      <c r="G960" s="24"/>
      <c r="H960" s="24"/>
      <c r="I960" s="24"/>
      <c r="J960" s="23"/>
      <c r="K960" s="14"/>
      <c r="L960" s="14"/>
      <c r="M960" s="23"/>
      <c r="N960" s="14"/>
    </row>
    <row r="961" spans="1:14" ht="15" customHeight="1" x14ac:dyDescent="0.3">
      <c r="A961" s="25"/>
      <c r="B961" s="20"/>
      <c r="C961" s="20"/>
      <c r="D961" s="20"/>
      <c r="E961" s="20"/>
      <c r="F961" s="21"/>
      <c r="G961" s="21"/>
      <c r="H961" s="21"/>
      <c r="I961" s="21"/>
      <c r="J961" s="20"/>
      <c r="K961" s="17"/>
      <c r="L961" s="17"/>
      <c r="M961" s="20"/>
      <c r="N961" s="17"/>
    </row>
    <row r="962" spans="1:14" ht="15" customHeight="1" x14ac:dyDescent="0.3">
      <c r="A962" s="22"/>
      <c r="B962" s="23"/>
      <c r="C962" s="23"/>
      <c r="D962" s="23"/>
      <c r="E962" s="23"/>
      <c r="F962" s="24"/>
      <c r="G962" s="24"/>
      <c r="H962" s="24"/>
      <c r="I962" s="24"/>
      <c r="J962" s="23"/>
      <c r="K962" s="14"/>
      <c r="L962" s="14"/>
      <c r="M962" s="23"/>
      <c r="N962" s="14"/>
    </row>
    <row r="963" spans="1:14" ht="15" customHeight="1" x14ac:dyDescent="0.3">
      <c r="A963" s="25"/>
      <c r="B963" s="20"/>
      <c r="C963" s="20"/>
      <c r="D963" s="20"/>
      <c r="E963" s="20"/>
      <c r="F963" s="21"/>
      <c r="G963" s="21"/>
      <c r="H963" s="21"/>
      <c r="I963" s="21"/>
      <c r="J963" s="20"/>
      <c r="K963" s="17"/>
      <c r="L963" s="17"/>
      <c r="M963" s="20"/>
      <c r="N963" s="17"/>
    </row>
    <row r="964" spans="1:14" ht="15" customHeight="1" x14ac:dyDescent="0.3">
      <c r="A964" s="22"/>
      <c r="B964" s="23"/>
      <c r="C964" s="23"/>
      <c r="D964" s="23"/>
      <c r="E964" s="23"/>
      <c r="F964" s="24"/>
      <c r="G964" s="24"/>
      <c r="H964" s="24"/>
      <c r="I964" s="24"/>
      <c r="J964" s="23"/>
      <c r="K964" s="14"/>
      <c r="L964" s="14"/>
      <c r="M964" s="23"/>
      <c r="N964" s="14"/>
    </row>
    <row r="965" spans="1:14" ht="15" customHeight="1" x14ac:dyDescent="0.3">
      <c r="A965" s="25"/>
      <c r="B965" s="20"/>
      <c r="C965" s="20"/>
      <c r="D965" s="20"/>
      <c r="E965" s="20"/>
      <c r="F965" s="21"/>
      <c r="G965" s="21"/>
      <c r="H965" s="21"/>
      <c r="I965" s="21"/>
      <c r="J965" s="20"/>
      <c r="K965" s="17"/>
      <c r="L965" s="17"/>
      <c r="M965" s="20"/>
      <c r="N965" s="17"/>
    </row>
    <row r="966" spans="1:14" ht="15" customHeight="1" x14ac:dyDescent="0.3">
      <c r="A966" s="22"/>
      <c r="B966" s="23"/>
      <c r="C966" s="23"/>
      <c r="D966" s="23"/>
      <c r="E966" s="23"/>
      <c r="F966" s="24"/>
      <c r="G966" s="24"/>
      <c r="H966" s="24"/>
      <c r="I966" s="24"/>
      <c r="J966" s="23"/>
      <c r="K966" s="14"/>
      <c r="L966" s="14"/>
      <c r="M966" s="23"/>
      <c r="N966" s="14"/>
    </row>
    <row r="967" spans="1:14" ht="15" customHeight="1" x14ac:dyDescent="0.3">
      <c r="A967" s="25"/>
      <c r="B967" s="20"/>
      <c r="C967" s="20"/>
      <c r="D967" s="20"/>
      <c r="E967" s="20"/>
      <c r="F967" s="21"/>
      <c r="G967" s="21"/>
      <c r="H967" s="21"/>
      <c r="I967" s="21"/>
      <c r="J967" s="20"/>
      <c r="K967" s="17"/>
      <c r="L967" s="17"/>
      <c r="M967" s="20"/>
      <c r="N967" s="17"/>
    </row>
    <row r="968" spans="1:14" ht="15" customHeight="1" x14ac:dyDescent="0.3">
      <c r="A968" s="22"/>
      <c r="B968" s="23"/>
      <c r="C968" s="23"/>
      <c r="D968" s="23"/>
      <c r="E968" s="23"/>
      <c r="F968" s="24"/>
      <c r="G968" s="24"/>
      <c r="H968" s="24"/>
      <c r="I968" s="24"/>
      <c r="J968" s="23"/>
      <c r="K968" s="14"/>
      <c r="L968" s="14"/>
      <c r="M968" s="23"/>
      <c r="N968" s="14"/>
    </row>
    <row r="969" spans="1:14" ht="15" customHeight="1" x14ac:dyDescent="0.3">
      <c r="A969" s="25"/>
      <c r="B969" s="20"/>
      <c r="C969" s="20"/>
      <c r="D969" s="20"/>
      <c r="E969" s="20"/>
      <c r="F969" s="21"/>
      <c r="G969" s="21"/>
      <c r="H969" s="21"/>
      <c r="I969" s="21"/>
      <c r="J969" s="20"/>
      <c r="K969" s="17"/>
      <c r="L969" s="17"/>
      <c r="M969" s="20"/>
      <c r="N969" s="17"/>
    </row>
    <row r="970" spans="1:14" ht="15" customHeight="1" x14ac:dyDescent="0.3">
      <c r="A970" s="22"/>
      <c r="B970" s="23"/>
      <c r="C970" s="23"/>
      <c r="D970" s="23"/>
      <c r="E970" s="23"/>
      <c r="F970" s="24"/>
      <c r="G970" s="24"/>
      <c r="H970" s="24"/>
      <c r="I970" s="24"/>
      <c r="J970" s="23"/>
      <c r="K970" s="14"/>
      <c r="L970" s="14"/>
      <c r="M970" s="23"/>
      <c r="N970" s="14"/>
    </row>
    <row r="971" spans="1:14" ht="15" customHeight="1" x14ac:dyDescent="0.3">
      <c r="A971" s="25"/>
      <c r="B971" s="20"/>
      <c r="C971" s="20"/>
      <c r="D971" s="20"/>
      <c r="E971" s="20"/>
      <c r="F971" s="21"/>
      <c r="G971" s="21"/>
      <c r="H971" s="21"/>
      <c r="I971" s="21"/>
      <c r="J971" s="20"/>
      <c r="K971" s="17"/>
      <c r="L971" s="17"/>
      <c r="M971" s="20"/>
      <c r="N971" s="17"/>
    </row>
    <row r="972" spans="1:14" ht="15" customHeight="1" x14ac:dyDescent="0.3">
      <c r="A972" s="22"/>
      <c r="B972" s="23"/>
      <c r="C972" s="23"/>
      <c r="D972" s="23"/>
      <c r="E972" s="23"/>
      <c r="F972" s="24"/>
      <c r="G972" s="24"/>
      <c r="H972" s="24"/>
      <c r="I972" s="24"/>
      <c r="J972" s="23"/>
      <c r="K972" s="14"/>
      <c r="L972" s="14"/>
      <c r="M972" s="23"/>
      <c r="N972" s="14"/>
    </row>
    <row r="973" spans="1:14" ht="15" customHeight="1" x14ac:dyDescent="0.3">
      <c r="A973" s="25"/>
      <c r="B973" s="20"/>
      <c r="C973" s="20"/>
      <c r="D973" s="20"/>
      <c r="E973" s="20"/>
      <c r="F973" s="21"/>
      <c r="G973" s="21"/>
      <c r="H973" s="21"/>
      <c r="I973" s="21"/>
      <c r="J973" s="20"/>
      <c r="K973" s="17"/>
      <c r="L973" s="17"/>
      <c r="M973" s="20"/>
      <c r="N973" s="17"/>
    </row>
    <row r="974" spans="1:14" ht="15" customHeight="1" x14ac:dyDescent="0.3">
      <c r="A974" s="22"/>
      <c r="B974" s="23"/>
      <c r="C974" s="23"/>
      <c r="D974" s="23"/>
      <c r="E974" s="23"/>
      <c r="F974" s="24"/>
      <c r="G974" s="24"/>
      <c r="H974" s="24"/>
      <c r="I974" s="24"/>
      <c r="J974" s="23"/>
      <c r="K974" s="14"/>
      <c r="L974" s="14"/>
      <c r="M974" s="23"/>
      <c r="N974" s="14"/>
    </row>
    <row r="975" spans="1:14" ht="15" customHeight="1" x14ac:dyDescent="0.3">
      <c r="A975" s="25"/>
      <c r="B975" s="20"/>
      <c r="C975" s="20"/>
      <c r="D975" s="20"/>
      <c r="E975" s="20"/>
      <c r="F975" s="21"/>
      <c r="G975" s="21"/>
      <c r="H975" s="21"/>
      <c r="I975" s="21"/>
      <c r="J975" s="20"/>
      <c r="K975" s="17"/>
      <c r="L975" s="17"/>
      <c r="M975" s="20"/>
      <c r="N975" s="17"/>
    </row>
    <row r="976" spans="1:14" ht="15" customHeight="1" x14ac:dyDescent="0.3">
      <c r="A976" s="22"/>
      <c r="B976" s="23"/>
      <c r="C976" s="23"/>
      <c r="D976" s="23"/>
      <c r="E976" s="23"/>
      <c r="F976" s="24"/>
      <c r="G976" s="24"/>
      <c r="H976" s="24"/>
      <c r="I976" s="24"/>
      <c r="J976" s="23"/>
      <c r="K976" s="14"/>
      <c r="L976" s="14"/>
      <c r="M976" s="23"/>
      <c r="N976" s="14"/>
    </row>
    <row r="977" spans="1:14" ht="15" customHeight="1" x14ac:dyDescent="0.3">
      <c r="A977" s="25"/>
      <c r="B977" s="20"/>
      <c r="C977" s="20"/>
      <c r="D977" s="20"/>
      <c r="E977" s="20"/>
      <c r="F977" s="21"/>
      <c r="G977" s="21"/>
      <c r="H977" s="21"/>
      <c r="I977" s="21"/>
      <c r="J977" s="20"/>
      <c r="K977" s="17"/>
      <c r="L977" s="17"/>
      <c r="M977" s="20"/>
      <c r="N977" s="17"/>
    </row>
    <row r="978" spans="1:14" ht="15" customHeight="1" x14ac:dyDescent="0.3">
      <c r="A978" s="22"/>
      <c r="B978" s="23"/>
      <c r="C978" s="23"/>
      <c r="D978" s="23"/>
      <c r="E978" s="23"/>
      <c r="F978" s="24"/>
      <c r="G978" s="24"/>
      <c r="H978" s="24"/>
      <c r="I978" s="24"/>
      <c r="J978" s="23"/>
      <c r="K978" s="14"/>
      <c r="L978" s="14"/>
      <c r="M978" s="23"/>
      <c r="N978" s="14"/>
    </row>
    <row r="979" spans="1:14" ht="15" customHeight="1" x14ac:dyDescent="0.3">
      <c r="A979" s="25"/>
      <c r="B979" s="20"/>
      <c r="C979" s="20"/>
      <c r="D979" s="20"/>
      <c r="E979" s="20"/>
      <c r="F979" s="21"/>
      <c r="G979" s="21"/>
      <c r="H979" s="21"/>
      <c r="I979" s="21"/>
      <c r="J979" s="20"/>
      <c r="K979" s="17"/>
      <c r="L979" s="17"/>
      <c r="M979" s="20"/>
      <c r="N979" s="17"/>
    </row>
    <row r="980" spans="1:14" ht="15" customHeight="1" x14ac:dyDescent="0.3">
      <c r="A980" s="22"/>
      <c r="B980" s="23"/>
      <c r="C980" s="23"/>
      <c r="D980" s="23"/>
      <c r="E980" s="23"/>
      <c r="F980" s="24"/>
      <c r="G980" s="24"/>
      <c r="H980" s="24"/>
      <c r="I980" s="24"/>
      <c r="J980" s="23"/>
      <c r="K980" s="14"/>
      <c r="L980" s="14"/>
      <c r="M980" s="23"/>
      <c r="N980" s="14"/>
    </row>
    <row r="981" spans="1:14" ht="15" customHeight="1" x14ac:dyDescent="0.3">
      <c r="A981" s="25"/>
      <c r="B981" s="20"/>
      <c r="C981" s="20"/>
      <c r="D981" s="20"/>
      <c r="E981" s="20"/>
      <c r="F981" s="21"/>
      <c r="G981" s="21"/>
      <c r="H981" s="21"/>
      <c r="I981" s="21"/>
      <c r="J981" s="20"/>
      <c r="K981" s="17"/>
      <c r="L981" s="17"/>
      <c r="M981" s="20"/>
      <c r="N981" s="17"/>
    </row>
    <row r="982" spans="1:14" ht="15" customHeight="1" x14ac:dyDescent="0.3">
      <c r="A982" s="22"/>
      <c r="B982" s="23"/>
      <c r="C982" s="23"/>
      <c r="D982" s="23"/>
      <c r="E982" s="23"/>
      <c r="F982" s="24"/>
      <c r="G982" s="24"/>
      <c r="H982" s="24"/>
      <c r="I982" s="24"/>
      <c r="J982" s="23"/>
      <c r="K982" s="14"/>
      <c r="L982" s="14"/>
      <c r="M982" s="23"/>
      <c r="N982" s="14"/>
    </row>
    <row r="983" spans="1:14" ht="15" customHeight="1" x14ac:dyDescent="0.3">
      <c r="A983" s="25"/>
      <c r="B983" s="20"/>
      <c r="C983" s="20"/>
      <c r="D983" s="20"/>
      <c r="E983" s="20"/>
      <c r="F983" s="21"/>
      <c r="G983" s="21"/>
      <c r="H983" s="21"/>
      <c r="I983" s="21"/>
      <c r="J983" s="20"/>
      <c r="K983" s="17"/>
      <c r="L983" s="17"/>
      <c r="M983" s="20"/>
      <c r="N983" s="17"/>
    </row>
    <row r="984" spans="1:14" ht="15" customHeight="1" x14ac:dyDescent="0.3">
      <c r="A984" s="22"/>
      <c r="B984" s="23"/>
      <c r="C984" s="23"/>
      <c r="D984" s="23"/>
      <c r="E984" s="23"/>
      <c r="F984" s="24"/>
      <c r="G984" s="24"/>
      <c r="H984" s="24"/>
      <c r="I984" s="24"/>
      <c r="J984" s="23"/>
      <c r="K984" s="14"/>
      <c r="L984" s="14"/>
      <c r="M984" s="23"/>
      <c r="N984" s="14"/>
    </row>
    <row r="985" spans="1:14" ht="15" customHeight="1" x14ac:dyDescent="0.3">
      <c r="A985" s="25"/>
      <c r="B985" s="20"/>
      <c r="C985" s="20"/>
      <c r="D985" s="20"/>
      <c r="E985" s="20"/>
      <c r="F985" s="21"/>
      <c r="G985" s="21"/>
      <c r="H985" s="21"/>
      <c r="I985" s="21"/>
      <c r="J985" s="20"/>
      <c r="K985" s="17"/>
      <c r="L985" s="17"/>
      <c r="M985" s="20"/>
      <c r="N985" s="17"/>
    </row>
    <row r="986" spans="1:14" ht="15" customHeight="1" x14ac:dyDescent="0.3">
      <c r="A986" s="22"/>
      <c r="B986" s="23"/>
      <c r="C986" s="23"/>
      <c r="D986" s="23"/>
      <c r="E986" s="23"/>
      <c r="F986" s="24"/>
      <c r="G986" s="24"/>
      <c r="H986" s="24"/>
      <c r="I986" s="24"/>
      <c r="J986" s="23"/>
      <c r="K986" s="14"/>
      <c r="L986" s="14"/>
      <c r="M986" s="23"/>
      <c r="N986" s="14"/>
    </row>
    <row r="987" spans="1:14" ht="15" customHeight="1" x14ac:dyDescent="0.3">
      <c r="A987" s="25"/>
      <c r="B987" s="20"/>
      <c r="C987" s="20"/>
      <c r="D987" s="20"/>
      <c r="E987" s="20"/>
      <c r="F987" s="21"/>
      <c r="G987" s="21"/>
      <c r="H987" s="21"/>
      <c r="I987" s="21"/>
      <c r="J987" s="20"/>
      <c r="K987" s="17"/>
      <c r="L987" s="17"/>
      <c r="M987" s="20"/>
      <c r="N987" s="17"/>
    </row>
    <row r="988" spans="1:14" ht="15" customHeight="1" x14ac:dyDescent="0.3">
      <c r="A988" s="22"/>
      <c r="B988" s="23"/>
      <c r="C988" s="23"/>
      <c r="D988" s="23"/>
      <c r="E988" s="23"/>
      <c r="F988" s="24"/>
      <c r="G988" s="24"/>
      <c r="H988" s="24"/>
      <c r="I988" s="24"/>
      <c r="J988" s="23"/>
      <c r="K988" s="14"/>
      <c r="L988" s="14"/>
      <c r="M988" s="23"/>
      <c r="N988" s="14"/>
    </row>
    <row r="989" spans="1:14" ht="15" customHeight="1" x14ac:dyDescent="0.3">
      <c r="A989" s="25"/>
      <c r="B989" s="20"/>
      <c r="C989" s="20"/>
      <c r="D989" s="20"/>
      <c r="E989" s="20"/>
      <c r="F989" s="21"/>
      <c r="G989" s="21"/>
      <c r="H989" s="21"/>
      <c r="I989" s="21"/>
      <c r="J989" s="20"/>
      <c r="K989" s="17"/>
      <c r="L989" s="17"/>
      <c r="M989" s="20"/>
      <c r="N989" s="17"/>
    </row>
    <row r="990" spans="1:14" ht="15" customHeight="1" x14ac:dyDescent="0.3">
      <c r="A990" s="22"/>
      <c r="B990" s="23"/>
      <c r="C990" s="23"/>
      <c r="D990" s="23"/>
      <c r="E990" s="23"/>
      <c r="F990" s="24"/>
      <c r="G990" s="24"/>
      <c r="H990" s="24"/>
      <c r="I990" s="24"/>
      <c r="J990" s="23"/>
      <c r="K990" s="14"/>
      <c r="L990" s="14"/>
      <c r="M990" s="23"/>
      <c r="N990" s="14"/>
    </row>
    <row r="991" spans="1:14" ht="15" customHeight="1" x14ac:dyDescent="0.3">
      <c r="A991" s="25"/>
      <c r="B991" s="20"/>
      <c r="C991" s="20"/>
      <c r="D991" s="20"/>
      <c r="E991" s="20"/>
      <c r="F991" s="21"/>
      <c r="G991" s="21"/>
      <c r="H991" s="21"/>
      <c r="I991" s="21"/>
      <c r="J991" s="20"/>
      <c r="K991" s="17"/>
      <c r="L991" s="17"/>
      <c r="M991" s="20"/>
      <c r="N991" s="17"/>
    </row>
    <row r="992" spans="1:14" ht="15" customHeight="1" x14ac:dyDescent="0.3">
      <c r="A992" s="22"/>
      <c r="B992" s="23"/>
      <c r="C992" s="23"/>
      <c r="D992" s="23"/>
      <c r="E992" s="23"/>
      <c r="F992" s="24"/>
      <c r="G992" s="24"/>
      <c r="H992" s="24"/>
      <c r="I992" s="24"/>
      <c r="J992" s="23"/>
      <c r="K992" s="14"/>
      <c r="L992" s="14"/>
      <c r="M992" s="23"/>
      <c r="N992" s="14"/>
    </row>
    <row r="993" spans="1:14" ht="15" customHeight="1" x14ac:dyDescent="0.3">
      <c r="A993" s="25"/>
      <c r="B993" s="20"/>
      <c r="C993" s="20"/>
      <c r="D993" s="20"/>
      <c r="E993" s="20"/>
      <c r="F993" s="21"/>
      <c r="G993" s="21"/>
      <c r="H993" s="21"/>
      <c r="I993" s="21"/>
      <c r="J993" s="20"/>
      <c r="K993" s="17"/>
      <c r="L993" s="17"/>
      <c r="M993" s="20"/>
      <c r="N993" s="17"/>
    </row>
    <row r="994" spans="1:14" ht="15" customHeight="1" x14ac:dyDescent="0.3">
      <c r="A994" s="22"/>
      <c r="B994" s="23"/>
      <c r="C994" s="23"/>
      <c r="D994" s="23"/>
      <c r="E994" s="23"/>
      <c r="F994" s="24"/>
      <c r="G994" s="24"/>
      <c r="H994" s="24"/>
      <c r="I994" s="24"/>
      <c r="J994" s="23"/>
      <c r="K994" s="14"/>
      <c r="L994" s="14"/>
      <c r="M994" s="23"/>
      <c r="N994" s="14"/>
    </row>
    <row r="995" spans="1:14" ht="15" customHeight="1" x14ac:dyDescent="0.3">
      <c r="A995" s="25"/>
      <c r="B995" s="20"/>
      <c r="C995" s="20"/>
      <c r="D995" s="20"/>
      <c r="E995" s="20"/>
      <c r="F995" s="21"/>
      <c r="G995" s="21"/>
      <c r="H995" s="21"/>
      <c r="I995" s="21"/>
      <c r="J995" s="20"/>
      <c r="K995" s="17"/>
      <c r="L995" s="17"/>
      <c r="M995" s="20"/>
      <c r="N995" s="17"/>
    </row>
    <row r="996" spans="1:14" ht="15" customHeight="1" x14ac:dyDescent="0.3">
      <c r="A996" s="22"/>
      <c r="B996" s="23"/>
      <c r="C996" s="23"/>
      <c r="D996" s="23"/>
      <c r="E996" s="23"/>
      <c r="F996" s="24"/>
      <c r="G996" s="24"/>
      <c r="H996" s="24"/>
      <c r="I996" s="24"/>
      <c r="J996" s="23"/>
      <c r="K996" s="14"/>
      <c r="L996" s="14"/>
      <c r="M996" s="23"/>
      <c r="N996" s="14"/>
    </row>
    <row r="997" spans="1:14" ht="15" customHeight="1" x14ac:dyDescent="0.3">
      <c r="A997" s="25"/>
      <c r="B997" s="20"/>
      <c r="C997" s="20"/>
      <c r="D997" s="20"/>
      <c r="E997" s="20"/>
      <c r="F997" s="21"/>
      <c r="G997" s="21"/>
      <c r="H997" s="21"/>
      <c r="I997" s="21"/>
      <c r="J997" s="20"/>
      <c r="K997" s="17"/>
      <c r="L997" s="17"/>
      <c r="M997" s="20"/>
      <c r="N997" s="17"/>
    </row>
    <row r="998" spans="1:14" ht="15" customHeight="1" x14ac:dyDescent="0.3">
      <c r="A998" s="22"/>
      <c r="B998" s="23"/>
      <c r="C998" s="23"/>
      <c r="D998" s="23"/>
      <c r="E998" s="23"/>
      <c r="F998" s="24"/>
      <c r="G998" s="24"/>
      <c r="H998" s="24"/>
      <c r="I998" s="24"/>
      <c r="J998" s="23"/>
      <c r="K998" s="14"/>
      <c r="L998" s="14"/>
      <c r="M998" s="23"/>
      <c r="N998" s="14"/>
    </row>
    <row r="999" spans="1:14" ht="15" customHeight="1" x14ac:dyDescent="0.3">
      <c r="A999" s="25"/>
      <c r="B999" s="20"/>
      <c r="C999" s="20"/>
      <c r="D999" s="20"/>
      <c r="E999" s="20"/>
      <c r="F999" s="21"/>
      <c r="G999" s="21"/>
      <c r="H999" s="21"/>
      <c r="I999" s="21"/>
      <c r="J999" s="20"/>
      <c r="K999" s="17"/>
      <c r="L999" s="17"/>
      <c r="M999" s="20"/>
      <c r="N999" s="17"/>
    </row>
    <row r="1000" spans="1:14" ht="15" customHeight="1" x14ac:dyDescent="0.3">
      <c r="A1000" s="22"/>
      <c r="B1000" s="23"/>
      <c r="C1000" s="23"/>
      <c r="D1000" s="23"/>
      <c r="E1000" s="23"/>
      <c r="F1000" s="24"/>
      <c r="G1000" s="24"/>
      <c r="H1000" s="24"/>
      <c r="I1000" s="24"/>
      <c r="J1000" s="23"/>
      <c r="K1000" s="14"/>
      <c r="L1000" s="14"/>
      <c r="M1000" s="23"/>
      <c r="N1000" s="14"/>
    </row>
    <row r="1001" spans="1:14" ht="15" customHeight="1" x14ac:dyDescent="0.3">
      <c r="A1001" s="25"/>
      <c r="B1001" s="20"/>
      <c r="C1001" s="20"/>
      <c r="D1001" s="20"/>
      <c r="E1001" s="20"/>
      <c r="F1001" s="21"/>
      <c r="G1001" s="21"/>
      <c r="H1001" s="21"/>
      <c r="I1001" s="21"/>
      <c r="J1001" s="20"/>
      <c r="K1001" s="17"/>
      <c r="L1001" s="17"/>
      <c r="M1001" s="20"/>
      <c r="N1001" s="17"/>
    </row>
    <row r="1002" spans="1:14" ht="15" customHeight="1" x14ac:dyDescent="0.3">
      <c r="A1002" s="22"/>
      <c r="B1002" s="23"/>
      <c r="C1002" s="23"/>
      <c r="D1002" s="23"/>
      <c r="E1002" s="23"/>
      <c r="F1002" s="24"/>
      <c r="G1002" s="24"/>
      <c r="H1002" s="24"/>
      <c r="I1002" s="24"/>
      <c r="J1002" s="23"/>
      <c r="K1002" s="14"/>
      <c r="L1002" s="14"/>
      <c r="M1002" s="23"/>
      <c r="N1002" s="14"/>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Engagement Dashboard</vt:lpstr>
      <vt:lpstr>Cohorts</vt:lpstr>
      <vt:lpstr>Paste - Mentors</vt:lpstr>
      <vt:lpstr>Paste - Relationships</vt:lpstr>
      <vt:lpstr>Mentor Pool</vt:lpstr>
      <vt:lpstr>Programme Mentors</vt:lpstr>
      <vt:lpstr>Intern Profiles</vt:lpstr>
      <vt:lpstr>Intern Monitoring</vt:lpstr>
      <vt:lpstr>Session Logs</vt:lpstr>
      <vt:lpstr>Monthly Pulse 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Morris Nkomo</cp:lastModifiedBy>
  <cp:revision>0</cp:revision>
  <dcterms:created xsi:type="dcterms:W3CDTF">2026-03-26T23:23:45Z</dcterms:created>
  <dcterms:modified xsi:type="dcterms:W3CDTF">2026-03-29T11:18:35Z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16eec4e-c7b8-491d-b7d8-90a69632743d_Enabled">
    <vt:lpwstr>true</vt:lpwstr>
  </property>
  <property fmtid="{D5CDD505-2E9C-101B-9397-08002B2CF9AE}" pid="3" name="MSIP_Label_216eec4e-c7b8-491d-b7d8-90a69632743d_SetDate">
    <vt:lpwstr>2026-03-29T10:26:41Z</vt:lpwstr>
  </property>
  <property fmtid="{D5CDD505-2E9C-101B-9397-08002B2CF9AE}" pid="4" name="MSIP_Label_216eec4e-c7b8-491d-b7d8-90a69632743d_Method">
    <vt:lpwstr>Standard</vt:lpwstr>
  </property>
  <property fmtid="{D5CDD505-2E9C-101B-9397-08002B2CF9AE}" pid="5" name="MSIP_Label_216eec4e-c7b8-491d-b7d8-90a69632743d_Name">
    <vt:lpwstr>216eec4e-c7b8-491d-b7d8-90a69632743d</vt:lpwstr>
  </property>
  <property fmtid="{D5CDD505-2E9C-101B-9397-08002B2CF9AE}" pid="6" name="MSIP_Label_216eec4e-c7b8-491d-b7d8-90a69632743d_SiteId">
    <vt:lpwstr>4032514a-830a-4f20-9539-81bbc35b3cd9</vt:lpwstr>
  </property>
  <property fmtid="{D5CDD505-2E9C-101B-9397-08002B2CF9AE}" pid="7" name="MSIP_Label_216eec4e-c7b8-491d-b7d8-90a69632743d_ActionId">
    <vt:lpwstr>25beb478-d652-462e-89a4-2cff385817c0</vt:lpwstr>
  </property>
  <property fmtid="{D5CDD505-2E9C-101B-9397-08002B2CF9AE}" pid="8" name="MSIP_Label_216eec4e-c7b8-491d-b7d8-90a69632743d_ContentBits">
    <vt:lpwstr>0</vt:lpwstr>
  </property>
  <property fmtid="{D5CDD505-2E9C-101B-9397-08002B2CF9AE}" pid="9" name="MSIP_Label_216eec4e-c7b8-491d-b7d8-90a69632743d_Tag">
    <vt:lpwstr>10, 3, 0, 1</vt:lpwstr>
  </property>
</Properties>
</file>